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510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/Users/sverreakersveen/Documents/Skole/5klasse/Master/Masterprogg/id-trading/Programming/Output/"/>
    </mc:Choice>
  </mc:AlternateContent>
  <bookViews>
    <workbookView xWindow="640" yWindow="1180" windowWidth="24960" windowHeight="14740" tabRatio="500" activeTab="1"/>
  </bookViews>
  <sheets>
    <sheet name="Input" sheetId="1" r:id="rId1"/>
    <sheet name="Bidding" sheetId="2" r:id="rId2"/>
    <sheet name="Lookup" sheetId="3" r:id="rId3"/>
  </sheets>
  <definedNames>
    <definedName name="_xlnm._FilterDatabase" localSheetId="0" hidden="1">Input!$A$1:$G$567</definedName>
    <definedName name="CHARS">Lookup!$L$1:$M$20</definedName>
  </definedNames>
  <calcPr calcId="150000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14" i="2" l="1"/>
  <c r="F14" i="2"/>
  <c r="E14" i="2"/>
  <c r="H14" i="2" a="1"/>
  <c r="H14" i="2"/>
  <c r="I14" i="2"/>
  <c r="J14" i="2"/>
  <c r="B15" i="2"/>
  <c r="F15" i="2"/>
  <c r="E15" i="2"/>
  <c r="H15" i="2" a="1"/>
  <c r="H15" i="2"/>
  <c r="I15" i="2"/>
  <c r="J15" i="2"/>
  <c r="B16" i="2"/>
  <c r="F16" i="2"/>
  <c r="E16" i="2"/>
  <c r="H16" i="2" a="1"/>
  <c r="H16" i="2"/>
  <c r="I16" i="2"/>
  <c r="J16" i="2"/>
  <c r="B17" i="2"/>
  <c r="F17" i="2"/>
  <c r="E17" i="2"/>
  <c r="H17" i="2" a="1"/>
  <c r="H17" i="2"/>
  <c r="I17" i="2"/>
  <c r="J17" i="2"/>
  <c r="B18" i="2"/>
  <c r="F18" i="2"/>
  <c r="E18" i="2"/>
  <c r="H18" i="2" a="1"/>
  <c r="H18" i="2"/>
  <c r="I18" i="2"/>
  <c r="J18" i="2"/>
  <c r="B19" i="2"/>
  <c r="F19" i="2"/>
  <c r="E19" i="2"/>
  <c r="H19" i="2" a="1"/>
  <c r="H19" i="2"/>
  <c r="I19" i="2"/>
  <c r="J19" i="2"/>
  <c r="B20" i="2"/>
  <c r="F20" i="2"/>
  <c r="E20" i="2"/>
  <c r="H20" i="2" a="1"/>
  <c r="H20" i="2"/>
  <c r="I20" i="2"/>
  <c r="J20" i="2"/>
  <c r="B21" i="2"/>
  <c r="F21" i="2"/>
  <c r="E21" i="2"/>
  <c r="H21" i="2" a="1"/>
  <c r="H21" i="2"/>
  <c r="I21" i="2"/>
  <c r="J21" i="2"/>
  <c r="B22" i="2"/>
  <c r="F22" i="2"/>
  <c r="E22" i="2"/>
  <c r="H22" i="2" a="1"/>
  <c r="H22" i="2"/>
  <c r="I22" i="2"/>
  <c r="J22" i="2"/>
  <c r="B23" i="2"/>
  <c r="F23" i="2"/>
  <c r="E23" i="2"/>
  <c r="H23" i="2" a="1"/>
  <c r="H23" i="2"/>
  <c r="I23" i="2"/>
  <c r="J23" i="2"/>
  <c r="B24" i="2"/>
  <c r="F24" i="2"/>
  <c r="E24" i="2"/>
  <c r="H24" i="2" a="1"/>
  <c r="H24" i="2"/>
  <c r="I24" i="2"/>
  <c r="J24" i="2"/>
  <c r="B25" i="2"/>
  <c r="F25" i="2"/>
  <c r="E25" i="2"/>
  <c r="H25" i="2" a="1"/>
  <c r="H25" i="2"/>
  <c r="I25" i="2"/>
  <c r="J25" i="2"/>
  <c r="B26" i="2"/>
  <c r="F26" i="2"/>
  <c r="E26" i="2"/>
  <c r="H26" i="2" a="1"/>
  <c r="H26" i="2"/>
  <c r="I26" i="2"/>
  <c r="J26" i="2"/>
  <c r="B27" i="2"/>
  <c r="F27" i="2"/>
  <c r="E27" i="2"/>
  <c r="H27" i="2" a="1"/>
  <c r="H27" i="2"/>
  <c r="I27" i="2"/>
  <c r="J27" i="2"/>
  <c r="B28" i="2"/>
  <c r="F28" i="2"/>
  <c r="E28" i="2"/>
  <c r="H28" i="2" a="1"/>
  <c r="H28" i="2"/>
  <c r="I28" i="2"/>
  <c r="J28" i="2"/>
  <c r="B29" i="2"/>
  <c r="F29" i="2"/>
  <c r="E29" i="2"/>
  <c r="H29" i="2" a="1"/>
  <c r="H29" i="2"/>
  <c r="I29" i="2"/>
  <c r="J29" i="2"/>
  <c r="B30" i="2"/>
  <c r="F30" i="2"/>
  <c r="E30" i="2"/>
  <c r="H30" i="2" a="1"/>
  <c r="H30" i="2"/>
  <c r="I30" i="2"/>
  <c r="J30" i="2"/>
  <c r="B31" i="2"/>
  <c r="F31" i="2"/>
  <c r="E31" i="2"/>
  <c r="H31" i="2" a="1"/>
  <c r="H31" i="2"/>
  <c r="I31" i="2"/>
  <c r="J31" i="2"/>
  <c r="B32" i="2"/>
  <c r="F32" i="2"/>
  <c r="E32" i="2"/>
  <c r="H32" i="2" a="1"/>
  <c r="H32" i="2"/>
  <c r="I32" i="2"/>
  <c r="J32" i="2"/>
  <c r="B33" i="2"/>
  <c r="F33" i="2"/>
  <c r="E33" i="2"/>
  <c r="H33" i="2" a="1"/>
  <c r="H33" i="2"/>
  <c r="I33" i="2"/>
  <c r="J33" i="2"/>
  <c r="B34" i="2"/>
  <c r="F34" i="2"/>
  <c r="E34" i="2"/>
  <c r="H34" i="2" a="1"/>
  <c r="H34" i="2"/>
  <c r="I34" i="2"/>
  <c r="J34" i="2"/>
  <c r="B35" i="2"/>
  <c r="F35" i="2"/>
  <c r="E35" i="2"/>
  <c r="H35" i="2" a="1"/>
  <c r="H35" i="2"/>
  <c r="I35" i="2"/>
  <c r="J35" i="2"/>
  <c r="B36" i="2"/>
  <c r="F36" i="2"/>
  <c r="E36" i="2"/>
  <c r="H36" i="2" a="1"/>
  <c r="H36" i="2"/>
  <c r="I36" i="2"/>
  <c r="J36" i="2"/>
  <c r="B37" i="2"/>
  <c r="F37" i="2"/>
  <c r="E37" i="2"/>
  <c r="H37" i="2" a="1"/>
  <c r="H37" i="2"/>
  <c r="I37" i="2"/>
  <c r="J37" i="2"/>
  <c r="B38" i="2"/>
  <c r="F38" i="2"/>
  <c r="E38" i="2"/>
  <c r="H38" i="2" a="1"/>
  <c r="H38" i="2"/>
  <c r="I38" i="2"/>
  <c r="J38" i="2"/>
  <c r="B39" i="2"/>
  <c r="F39" i="2"/>
  <c r="E39" i="2"/>
  <c r="H39" i="2" a="1"/>
  <c r="H39" i="2"/>
  <c r="I39" i="2"/>
  <c r="J39" i="2"/>
  <c r="B40" i="2"/>
  <c r="F40" i="2"/>
  <c r="E40" i="2"/>
  <c r="H40" i="2" a="1"/>
  <c r="H40" i="2"/>
  <c r="I40" i="2"/>
  <c r="J40" i="2"/>
  <c r="B41" i="2"/>
  <c r="F41" i="2"/>
  <c r="E41" i="2"/>
  <c r="H41" i="2" a="1"/>
  <c r="H41" i="2"/>
  <c r="I41" i="2"/>
  <c r="J41" i="2"/>
  <c r="B42" i="2"/>
  <c r="F42" i="2"/>
  <c r="E42" i="2"/>
  <c r="H42" i="2" a="1"/>
  <c r="H42" i="2"/>
  <c r="I42" i="2"/>
  <c r="J42" i="2"/>
  <c r="B43" i="2"/>
  <c r="F43" i="2"/>
  <c r="E43" i="2"/>
  <c r="H43" i="2" a="1"/>
  <c r="H43" i="2"/>
  <c r="I43" i="2"/>
  <c r="J43" i="2"/>
  <c r="B44" i="2"/>
  <c r="F44" i="2"/>
  <c r="E44" i="2"/>
  <c r="H44" i="2" a="1"/>
  <c r="H44" i="2"/>
  <c r="I44" i="2"/>
  <c r="J44" i="2"/>
  <c r="B45" i="2"/>
  <c r="F45" i="2"/>
  <c r="E45" i="2"/>
  <c r="H45" i="2" a="1"/>
  <c r="H45" i="2"/>
  <c r="I45" i="2"/>
  <c r="J45" i="2"/>
  <c r="B46" i="2"/>
  <c r="F46" i="2"/>
  <c r="E46" i="2"/>
  <c r="H46" i="2" a="1"/>
  <c r="H46" i="2"/>
  <c r="I46" i="2"/>
  <c r="J46" i="2"/>
  <c r="B47" i="2"/>
  <c r="F47" i="2"/>
  <c r="E47" i="2"/>
  <c r="H47" i="2" a="1"/>
  <c r="H47" i="2"/>
  <c r="I47" i="2"/>
  <c r="J47" i="2"/>
  <c r="B48" i="2"/>
  <c r="F48" i="2"/>
  <c r="E48" i="2"/>
  <c r="H48" i="2" a="1"/>
  <c r="H48" i="2"/>
  <c r="I48" i="2"/>
  <c r="J48" i="2"/>
  <c r="B49" i="2"/>
  <c r="F49" i="2"/>
  <c r="E49" i="2"/>
  <c r="H49" i="2" a="1"/>
  <c r="H49" i="2"/>
  <c r="I49" i="2"/>
  <c r="J49" i="2"/>
  <c r="B50" i="2"/>
  <c r="F50" i="2"/>
  <c r="E50" i="2"/>
  <c r="H50" i="2" a="1"/>
  <c r="H50" i="2"/>
  <c r="I50" i="2"/>
  <c r="J50" i="2"/>
  <c r="B51" i="2"/>
  <c r="F51" i="2"/>
  <c r="E51" i="2"/>
  <c r="H51" i="2" a="1"/>
  <c r="H51" i="2"/>
  <c r="I51" i="2"/>
  <c r="J51" i="2"/>
  <c r="B52" i="2"/>
  <c r="F52" i="2"/>
  <c r="E52" i="2"/>
  <c r="H52" i="2" a="1"/>
  <c r="H52" i="2"/>
  <c r="I52" i="2"/>
  <c r="J52" i="2"/>
  <c r="B53" i="2"/>
  <c r="F53" i="2"/>
  <c r="E53" i="2"/>
  <c r="H53" i="2" a="1"/>
  <c r="H53" i="2"/>
  <c r="I53" i="2"/>
  <c r="J53" i="2"/>
  <c r="B54" i="2"/>
  <c r="F54" i="2"/>
  <c r="E54" i="2"/>
  <c r="H54" i="2" a="1"/>
  <c r="H54" i="2"/>
  <c r="I54" i="2"/>
  <c r="J54" i="2"/>
  <c r="B55" i="2"/>
  <c r="F55" i="2"/>
  <c r="E55" i="2"/>
  <c r="H55" i="2" a="1"/>
  <c r="H55" i="2"/>
  <c r="I55" i="2"/>
  <c r="J55" i="2"/>
  <c r="B56" i="2"/>
  <c r="F56" i="2"/>
  <c r="E56" i="2"/>
  <c r="H56" i="2" a="1"/>
  <c r="H56" i="2"/>
  <c r="I56" i="2"/>
  <c r="J56" i="2"/>
  <c r="B57" i="2"/>
  <c r="F57" i="2"/>
  <c r="E57" i="2"/>
  <c r="H57" i="2" a="1"/>
  <c r="H57" i="2"/>
  <c r="I57" i="2"/>
  <c r="J57" i="2"/>
  <c r="B58" i="2"/>
  <c r="F58" i="2"/>
  <c r="E58" i="2"/>
  <c r="H58" i="2" a="1"/>
  <c r="H58" i="2"/>
  <c r="I58" i="2"/>
  <c r="J58" i="2"/>
  <c r="B59" i="2"/>
  <c r="F59" i="2"/>
  <c r="E59" i="2"/>
  <c r="H59" i="2" a="1"/>
  <c r="H59" i="2"/>
  <c r="I59" i="2"/>
  <c r="J59" i="2"/>
  <c r="B60" i="2"/>
  <c r="F60" i="2"/>
  <c r="E60" i="2"/>
  <c r="H60" i="2" a="1"/>
  <c r="H60" i="2"/>
  <c r="I60" i="2"/>
  <c r="J60" i="2"/>
  <c r="B61" i="2"/>
  <c r="F61" i="2"/>
  <c r="E61" i="2"/>
  <c r="H61" i="2" a="1"/>
  <c r="H61" i="2"/>
  <c r="I61" i="2"/>
  <c r="J61" i="2"/>
  <c r="B62" i="2"/>
  <c r="F62" i="2"/>
  <c r="E62" i="2"/>
  <c r="H62" i="2" a="1"/>
  <c r="H62" i="2"/>
  <c r="I62" i="2"/>
  <c r="J62" i="2"/>
  <c r="B63" i="2"/>
  <c r="F63" i="2"/>
  <c r="E63" i="2"/>
  <c r="H63" i="2" a="1"/>
  <c r="H63" i="2"/>
  <c r="I63" i="2"/>
  <c r="J63" i="2"/>
  <c r="B64" i="2"/>
  <c r="F64" i="2"/>
  <c r="E64" i="2"/>
  <c r="H64" i="2" a="1"/>
  <c r="H64" i="2"/>
  <c r="I64" i="2"/>
  <c r="J64" i="2"/>
  <c r="B65" i="2"/>
  <c r="F65" i="2"/>
  <c r="E65" i="2"/>
  <c r="H65" i="2" a="1"/>
  <c r="H65" i="2"/>
  <c r="I65" i="2"/>
  <c r="J65" i="2"/>
  <c r="B66" i="2"/>
  <c r="F66" i="2"/>
  <c r="E66" i="2"/>
  <c r="H66" i="2" a="1"/>
  <c r="H66" i="2"/>
  <c r="I66" i="2"/>
  <c r="J66" i="2"/>
  <c r="B67" i="2"/>
  <c r="F67" i="2"/>
  <c r="E67" i="2"/>
  <c r="H67" i="2" a="1"/>
  <c r="H67" i="2"/>
  <c r="I67" i="2"/>
  <c r="J67" i="2"/>
  <c r="B68" i="2"/>
  <c r="F68" i="2"/>
  <c r="E68" i="2"/>
  <c r="H68" i="2" a="1"/>
  <c r="H68" i="2"/>
  <c r="I68" i="2"/>
  <c r="J68" i="2"/>
  <c r="B69" i="2"/>
  <c r="F69" i="2"/>
  <c r="E69" i="2"/>
  <c r="H69" i="2" a="1"/>
  <c r="H69" i="2"/>
  <c r="I69" i="2"/>
  <c r="J69" i="2"/>
  <c r="B70" i="2"/>
  <c r="F70" i="2"/>
  <c r="E70" i="2"/>
  <c r="H70" i="2" a="1"/>
  <c r="H70" i="2"/>
  <c r="I70" i="2"/>
  <c r="J70" i="2"/>
  <c r="B71" i="2"/>
  <c r="F71" i="2"/>
  <c r="E71" i="2"/>
  <c r="H71" i="2" a="1"/>
  <c r="H71" i="2"/>
  <c r="I71" i="2"/>
  <c r="J71" i="2"/>
  <c r="B72" i="2"/>
  <c r="F72" i="2"/>
  <c r="E72" i="2"/>
  <c r="H72" i="2" a="1"/>
  <c r="H72" i="2"/>
  <c r="I72" i="2"/>
  <c r="J72" i="2"/>
  <c r="B73" i="2"/>
  <c r="F73" i="2"/>
  <c r="E73" i="2"/>
  <c r="H73" i="2" a="1"/>
  <c r="H73" i="2"/>
  <c r="I73" i="2"/>
  <c r="J73" i="2"/>
  <c r="B74" i="2"/>
  <c r="F74" i="2"/>
  <c r="E74" i="2"/>
  <c r="H74" i="2" a="1"/>
  <c r="H74" i="2"/>
  <c r="I74" i="2"/>
  <c r="J74" i="2"/>
  <c r="B75" i="2"/>
  <c r="F75" i="2"/>
  <c r="E75" i="2"/>
  <c r="H75" i="2" a="1"/>
  <c r="H75" i="2"/>
  <c r="I75" i="2"/>
  <c r="J75" i="2"/>
  <c r="B76" i="2"/>
  <c r="F76" i="2"/>
  <c r="E76" i="2"/>
  <c r="H76" i="2" a="1"/>
  <c r="H76" i="2"/>
  <c r="I76" i="2"/>
  <c r="J76" i="2"/>
  <c r="B77" i="2"/>
  <c r="F77" i="2"/>
  <c r="E77" i="2"/>
  <c r="H77" i="2" a="1"/>
  <c r="H77" i="2"/>
  <c r="I77" i="2"/>
  <c r="J77" i="2"/>
  <c r="B78" i="2"/>
  <c r="F78" i="2"/>
  <c r="E78" i="2"/>
  <c r="H78" i="2" a="1"/>
  <c r="H78" i="2"/>
  <c r="I78" i="2"/>
  <c r="J78" i="2"/>
  <c r="B79" i="2"/>
  <c r="F79" i="2"/>
  <c r="E79" i="2"/>
  <c r="H79" i="2" a="1"/>
  <c r="H79" i="2"/>
  <c r="I79" i="2"/>
  <c r="J79" i="2"/>
  <c r="B80" i="2"/>
  <c r="F80" i="2"/>
  <c r="E80" i="2"/>
  <c r="H80" i="2" a="1"/>
  <c r="H80" i="2"/>
  <c r="I80" i="2"/>
  <c r="J80" i="2"/>
  <c r="B81" i="2"/>
  <c r="F81" i="2"/>
  <c r="E81" i="2"/>
  <c r="H81" i="2" a="1"/>
  <c r="H81" i="2"/>
  <c r="I81" i="2"/>
  <c r="J81" i="2"/>
  <c r="B82" i="2"/>
  <c r="F82" i="2"/>
  <c r="E82" i="2"/>
  <c r="H82" i="2" a="1"/>
  <c r="H82" i="2"/>
  <c r="I82" i="2"/>
  <c r="J82" i="2"/>
  <c r="B83" i="2"/>
  <c r="F83" i="2"/>
  <c r="E83" i="2"/>
  <c r="H83" i="2" a="1"/>
  <c r="H83" i="2"/>
  <c r="I83" i="2"/>
  <c r="J83" i="2"/>
  <c r="B84" i="2"/>
  <c r="F84" i="2"/>
  <c r="E84" i="2"/>
  <c r="H84" i="2" a="1"/>
  <c r="H84" i="2"/>
  <c r="I84" i="2"/>
  <c r="J84" i="2"/>
  <c r="B85" i="2"/>
  <c r="F85" i="2"/>
  <c r="E85" i="2"/>
  <c r="H85" i="2" a="1"/>
  <c r="H85" i="2"/>
  <c r="I85" i="2"/>
  <c r="J85" i="2"/>
  <c r="B86" i="2"/>
  <c r="F86" i="2"/>
  <c r="E86" i="2"/>
  <c r="H86" i="2" a="1"/>
  <c r="H86" i="2"/>
  <c r="I86" i="2"/>
  <c r="J86" i="2"/>
  <c r="B87" i="2"/>
  <c r="F87" i="2"/>
  <c r="E87" i="2"/>
  <c r="H87" i="2" a="1"/>
  <c r="H87" i="2"/>
  <c r="I87" i="2"/>
  <c r="J87" i="2"/>
  <c r="B88" i="2"/>
  <c r="F88" i="2"/>
  <c r="E88" i="2"/>
  <c r="H88" i="2" a="1"/>
  <c r="H88" i="2"/>
  <c r="I88" i="2"/>
  <c r="J88" i="2"/>
  <c r="B89" i="2"/>
  <c r="F89" i="2"/>
  <c r="E89" i="2"/>
  <c r="H89" i="2" a="1"/>
  <c r="H89" i="2"/>
  <c r="I89" i="2"/>
  <c r="J89" i="2"/>
  <c r="B90" i="2"/>
  <c r="F90" i="2"/>
  <c r="E90" i="2"/>
  <c r="H90" i="2" a="1"/>
  <c r="H90" i="2"/>
  <c r="I90" i="2"/>
  <c r="J90" i="2"/>
  <c r="B91" i="2"/>
  <c r="F91" i="2"/>
  <c r="E91" i="2"/>
  <c r="H91" i="2" a="1"/>
  <c r="H91" i="2"/>
  <c r="I91" i="2"/>
  <c r="J91" i="2"/>
  <c r="B92" i="2"/>
  <c r="F92" i="2"/>
  <c r="E92" i="2"/>
  <c r="H92" i="2" a="1"/>
  <c r="H92" i="2"/>
  <c r="I92" i="2"/>
  <c r="J92" i="2"/>
  <c r="B93" i="2"/>
  <c r="F93" i="2"/>
  <c r="E93" i="2"/>
  <c r="H93" i="2" a="1"/>
  <c r="H93" i="2"/>
  <c r="I93" i="2"/>
  <c r="J93" i="2"/>
  <c r="B94" i="2"/>
  <c r="F94" i="2"/>
  <c r="E94" i="2"/>
  <c r="H94" i="2" a="1"/>
  <c r="H94" i="2"/>
  <c r="I94" i="2"/>
  <c r="J94" i="2"/>
  <c r="B95" i="2"/>
  <c r="F95" i="2"/>
  <c r="E95" i="2"/>
  <c r="H95" i="2" a="1"/>
  <c r="H95" i="2"/>
  <c r="I95" i="2"/>
  <c r="J95" i="2"/>
  <c r="B96" i="2"/>
  <c r="F96" i="2"/>
  <c r="E96" i="2"/>
  <c r="H96" i="2" a="1"/>
  <c r="H96" i="2"/>
  <c r="I96" i="2"/>
  <c r="J96" i="2"/>
  <c r="B97" i="2"/>
  <c r="F97" i="2"/>
  <c r="E97" i="2"/>
  <c r="H97" i="2" a="1"/>
  <c r="H97" i="2"/>
  <c r="I97" i="2"/>
  <c r="J97" i="2"/>
  <c r="B98" i="2"/>
  <c r="F98" i="2"/>
  <c r="E98" i="2"/>
  <c r="H98" i="2" a="1"/>
  <c r="H98" i="2"/>
  <c r="I98" i="2"/>
  <c r="J98" i="2"/>
  <c r="B99" i="2"/>
  <c r="F99" i="2"/>
  <c r="E99" i="2"/>
  <c r="H99" i="2" a="1"/>
  <c r="H99" i="2"/>
  <c r="I99" i="2"/>
  <c r="J99" i="2"/>
  <c r="B100" i="2"/>
  <c r="F100" i="2"/>
  <c r="E100" i="2"/>
  <c r="H100" i="2" a="1"/>
  <c r="H100" i="2"/>
  <c r="I100" i="2"/>
  <c r="J100" i="2"/>
  <c r="B101" i="2"/>
  <c r="F101" i="2"/>
  <c r="E101" i="2"/>
  <c r="H101" i="2" a="1"/>
  <c r="H101" i="2"/>
  <c r="I101" i="2"/>
  <c r="J101" i="2"/>
  <c r="B102" i="2"/>
  <c r="F102" i="2"/>
  <c r="E102" i="2"/>
  <c r="H102" i="2" a="1"/>
  <c r="H102" i="2"/>
  <c r="I102" i="2"/>
  <c r="J102" i="2"/>
  <c r="B103" i="2"/>
  <c r="F103" i="2"/>
  <c r="E103" i="2"/>
  <c r="H103" i="2" a="1"/>
  <c r="H103" i="2"/>
  <c r="I103" i="2"/>
  <c r="J103" i="2"/>
  <c r="B104" i="2"/>
  <c r="F104" i="2"/>
  <c r="E104" i="2"/>
  <c r="H104" i="2" a="1"/>
  <c r="H104" i="2"/>
  <c r="I104" i="2"/>
  <c r="J104" i="2"/>
  <c r="B105" i="2"/>
  <c r="F105" i="2"/>
  <c r="E105" i="2"/>
  <c r="H105" i="2" a="1"/>
  <c r="H105" i="2"/>
  <c r="I105" i="2"/>
  <c r="J105" i="2"/>
  <c r="B106" i="2"/>
  <c r="F106" i="2"/>
  <c r="E106" i="2"/>
  <c r="H106" i="2" a="1"/>
  <c r="H106" i="2"/>
  <c r="I106" i="2"/>
  <c r="J106" i="2"/>
  <c r="B107" i="2"/>
  <c r="F107" i="2"/>
  <c r="E107" i="2"/>
  <c r="H107" i="2" a="1"/>
  <c r="H107" i="2"/>
  <c r="I107" i="2"/>
  <c r="J107" i="2"/>
  <c r="B108" i="2"/>
  <c r="F108" i="2"/>
  <c r="E108" i="2"/>
  <c r="H108" i="2" a="1"/>
  <c r="H108" i="2"/>
  <c r="I108" i="2"/>
  <c r="J108" i="2"/>
  <c r="B109" i="2"/>
  <c r="F109" i="2"/>
  <c r="E109" i="2"/>
  <c r="H109" i="2" a="1"/>
  <c r="H109" i="2"/>
  <c r="I109" i="2"/>
  <c r="J109" i="2"/>
  <c r="B110" i="2"/>
  <c r="F110" i="2"/>
  <c r="E110" i="2"/>
  <c r="H110" i="2" a="1"/>
  <c r="H110" i="2"/>
  <c r="I110" i="2"/>
  <c r="J110" i="2"/>
  <c r="B111" i="2"/>
  <c r="F111" i="2"/>
  <c r="E111" i="2"/>
  <c r="H111" i="2" a="1"/>
  <c r="H111" i="2"/>
  <c r="I111" i="2"/>
  <c r="J111" i="2"/>
  <c r="B112" i="2"/>
  <c r="F112" i="2"/>
  <c r="E112" i="2"/>
  <c r="H112" i="2" a="1"/>
  <c r="H112" i="2"/>
  <c r="I112" i="2"/>
  <c r="J112" i="2"/>
  <c r="B113" i="2"/>
  <c r="F113" i="2"/>
  <c r="E113" i="2"/>
  <c r="H113" i="2" a="1"/>
  <c r="H113" i="2"/>
  <c r="I113" i="2"/>
  <c r="J113" i="2"/>
  <c r="B114" i="2"/>
  <c r="F114" i="2"/>
  <c r="E114" i="2"/>
  <c r="H114" i="2" a="1"/>
  <c r="H114" i="2"/>
  <c r="I114" i="2"/>
  <c r="J114" i="2"/>
  <c r="B115" i="2"/>
  <c r="F115" i="2"/>
  <c r="E115" i="2"/>
  <c r="H115" i="2" a="1"/>
  <c r="H115" i="2"/>
  <c r="I115" i="2"/>
  <c r="J115" i="2"/>
  <c r="B116" i="2"/>
  <c r="F116" i="2"/>
  <c r="E116" i="2"/>
  <c r="H116" i="2" a="1"/>
  <c r="H116" i="2"/>
  <c r="I116" i="2"/>
  <c r="J116" i="2"/>
  <c r="B117" i="2"/>
  <c r="F117" i="2"/>
  <c r="E117" i="2"/>
  <c r="H117" i="2" a="1"/>
  <c r="H117" i="2"/>
  <c r="I117" i="2"/>
  <c r="J117" i="2"/>
  <c r="B118" i="2"/>
  <c r="F118" i="2"/>
  <c r="E118" i="2"/>
  <c r="H118" i="2" a="1"/>
  <c r="H118" i="2"/>
  <c r="I118" i="2"/>
  <c r="J118" i="2"/>
  <c r="B119" i="2"/>
  <c r="F119" i="2"/>
  <c r="E119" i="2"/>
  <c r="H119" i="2" a="1"/>
  <c r="H119" i="2"/>
  <c r="I119" i="2"/>
  <c r="J119" i="2"/>
  <c r="B120" i="2"/>
  <c r="F120" i="2"/>
  <c r="E120" i="2"/>
  <c r="H120" i="2" a="1"/>
  <c r="H120" i="2"/>
  <c r="I120" i="2"/>
  <c r="J120" i="2"/>
  <c r="B121" i="2"/>
  <c r="F121" i="2"/>
  <c r="E121" i="2"/>
  <c r="H121" i="2" a="1"/>
  <c r="H121" i="2"/>
  <c r="I121" i="2"/>
  <c r="J121" i="2"/>
  <c r="B122" i="2"/>
  <c r="F122" i="2"/>
  <c r="E122" i="2"/>
  <c r="H122" i="2" a="1"/>
  <c r="H122" i="2"/>
  <c r="I122" i="2"/>
  <c r="J122" i="2"/>
  <c r="B123" i="2"/>
  <c r="F123" i="2"/>
  <c r="E123" i="2"/>
  <c r="H123" i="2" a="1"/>
  <c r="H123" i="2"/>
  <c r="I123" i="2"/>
  <c r="J123" i="2"/>
  <c r="B124" i="2"/>
  <c r="F124" i="2"/>
  <c r="E124" i="2"/>
  <c r="H124" i="2" a="1"/>
  <c r="H124" i="2"/>
  <c r="I124" i="2"/>
  <c r="J124" i="2"/>
  <c r="B125" i="2"/>
  <c r="F125" i="2"/>
  <c r="E125" i="2"/>
  <c r="H125" i="2" a="1"/>
  <c r="H125" i="2"/>
  <c r="I125" i="2"/>
  <c r="J125" i="2"/>
  <c r="B126" i="2"/>
  <c r="F126" i="2"/>
  <c r="E126" i="2"/>
  <c r="H126" i="2" a="1"/>
  <c r="H126" i="2"/>
  <c r="I126" i="2"/>
  <c r="J126" i="2"/>
  <c r="B127" i="2"/>
  <c r="F127" i="2"/>
  <c r="E127" i="2"/>
  <c r="H127" i="2" a="1"/>
  <c r="H127" i="2"/>
  <c r="I127" i="2"/>
  <c r="J127" i="2"/>
  <c r="B128" i="2"/>
  <c r="F128" i="2"/>
  <c r="E128" i="2"/>
  <c r="H128" i="2" a="1"/>
  <c r="H128" i="2"/>
  <c r="I128" i="2"/>
  <c r="J128" i="2"/>
  <c r="B129" i="2"/>
  <c r="F129" i="2"/>
  <c r="E129" i="2"/>
  <c r="H129" i="2" a="1"/>
  <c r="H129" i="2"/>
  <c r="I129" i="2"/>
  <c r="J129" i="2"/>
  <c r="B13" i="2"/>
  <c r="F13" i="2"/>
  <c r="E13" i="2"/>
  <c r="H13" i="2" a="1"/>
  <c r="H13" i="2"/>
  <c r="I13" i="2"/>
  <c r="J13" i="2"/>
  <c r="H7" i="2" a="1"/>
  <c r="H7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  <c r="G73" i="2"/>
  <c r="G74" i="2"/>
  <c r="G75" i="2"/>
  <c r="G76" i="2"/>
  <c r="G77" i="2"/>
  <c r="G78" i="2"/>
  <c r="G79" i="2"/>
  <c r="G80" i="2"/>
  <c r="G81" i="2"/>
  <c r="G82" i="2"/>
  <c r="G83" i="2"/>
  <c r="G84" i="2"/>
  <c r="G85" i="2"/>
  <c r="G86" i="2"/>
  <c r="G87" i="2"/>
  <c r="G88" i="2"/>
  <c r="G89" i="2"/>
  <c r="G90" i="2"/>
  <c r="G91" i="2"/>
  <c r="G92" i="2"/>
  <c r="G93" i="2"/>
  <c r="G94" i="2"/>
  <c r="G95" i="2"/>
  <c r="G96" i="2"/>
  <c r="G97" i="2"/>
  <c r="G98" i="2"/>
  <c r="G99" i="2"/>
  <c r="G100" i="2"/>
  <c r="G101" i="2"/>
  <c r="G102" i="2"/>
  <c r="G103" i="2"/>
  <c r="G104" i="2"/>
  <c r="G105" i="2"/>
  <c r="G106" i="2"/>
  <c r="G107" i="2"/>
  <c r="G108" i="2"/>
  <c r="G109" i="2"/>
  <c r="G110" i="2"/>
  <c r="G111" i="2"/>
  <c r="G112" i="2"/>
  <c r="G113" i="2"/>
  <c r="G114" i="2"/>
  <c r="G115" i="2"/>
  <c r="G116" i="2"/>
  <c r="G117" i="2"/>
  <c r="G118" i="2"/>
  <c r="G119" i="2"/>
  <c r="G120" i="2"/>
  <c r="G121" i="2"/>
  <c r="G122" i="2"/>
  <c r="G123" i="2"/>
  <c r="G124" i="2"/>
  <c r="G125" i="2"/>
  <c r="G126" i="2"/>
  <c r="G127" i="2"/>
  <c r="G128" i="2"/>
  <c r="G129" i="2"/>
  <c r="B12" i="2"/>
  <c r="G12" i="2"/>
  <c r="F12" i="2"/>
  <c r="E12" i="2"/>
  <c r="D7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D79" i="2"/>
  <c r="A80" i="2"/>
  <c r="D80" i="2"/>
  <c r="A81" i="2"/>
  <c r="D81" i="2"/>
  <c r="A82" i="2"/>
  <c r="D82" i="2"/>
  <c r="A83" i="2"/>
  <c r="D83" i="2"/>
  <c r="A84" i="2"/>
  <c r="D84" i="2"/>
  <c r="A85" i="2"/>
  <c r="D85" i="2"/>
  <c r="A86" i="2"/>
  <c r="D86" i="2"/>
  <c r="A87" i="2"/>
  <c r="D87" i="2"/>
  <c r="A88" i="2"/>
  <c r="D88" i="2"/>
  <c r="A89" i="2"/>
  <c r="D89" i="2"/>
  <c r="A90" i="2"/>
  <c r="D90" i="2"/>
  <c r="A91" i="2"/>
  <c r="D91" i="2"/>
  <c r="A92" i="2"/>
  <c r="D92" i="2"/>
  <c r="A93" i="2"/>
  <c r="D93" i="2"/>
  <c r="A94" i="2"/>
  <c r="D94" i="2"/>
  <c r="A95" i="2"/>
  <c r="D95" i="2"/>
  <c r="A96" i="2"/>
  <c r="D96" i="2"/>
  <c r="A97" i="2"/>
  <c r="D97" i="2"/>
  <c r="A98" i="2"/>
  <c r="D98" i="2"/>
  <c r="A99" i="2"/>
  <c r="D99" i="2"/>
  <c r="A100" i="2"/>
  <c r="D100" i="2"/>
  <c r="A101" i="2"/>
  <c r="D101" i="2"/>
  <c r="A102" i="2"/>
  <c r="D102" i="2"/>
  <c r="A103" i="2"/>
  <c r="D103" i="2"/>
  <c r="A104" i="2"/>
  <c r="D104" i="2"/>
  <c r="A105" i="2"/>
  <c r="D105" i="2"/>
  <c r="A106" i="2"/>
  <c r="D106" i="2"/>
  <c r="A107" i="2"/>
  <c r="D107" i="2"/>
  <c r="A108" i="2"/>
  <c r="D108" i="2"/>
  <c r="A109" i="2"/>
  <c r="D109" i="2"/>
  <c r="A110" i="2"/>
  <c r="D110" i="2"/>
  <c r="A111" i="2"/>
  <c r="D111" i="2"/>
  <c r="A112" i="2"/>
  <c r="D112" i="2"/>
  <c r="A113" i="2"/>
  <c r="D113" i="2"/>
  <c r="A114" i="2"/>
  <c r="D114" i="2"/>
  <c r="A115" i="2"/>
  <c r="D115" i="2"/>
  <c r="A116" i="2"/>
  <c r="D116" i="2"/>
  <c r="A117" i="2"/>
  <c r="D117" i="2"/>
  <c r="A118" i="2"/>
  <c r="D118" i="2"/>
  <c r="A119" i="2"/>
  <c r="D119" i="2"/>
  <c r="A120" i="2"/>
  <c r="D120" i="2"/>
  <c r="A121" i="2"/>
  <c r="D121" i="2"/>
  <c r="A122" i="2"/>
  <c r="D122" i="2"/>
  <c r="A123" i="2"/>
  <c r="D123" i="2"/>
  <c r="A124" i="2"/>
  <c r="D124" i="2"/>
  <c r="A125" i="2"/>
  <c r="D125" i="2"/>
  <c r="A126" i="2"/>
  <c r="D126" i="2"/>
  <c r="A127" i="2"/>
  <c r="D127" i="2"/>
  <c r="A128" i="2"/>
  <c r="D128" i="2"/>
  <c r="A129" i="2"/>
  <c r="D129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I11" i="2"/>
  <c r="J11" i="2"/>
  <c r="A3" i="3"/>
  <c r="A4" i="3"/>
  <c r="A5" i="3"/>
  <c r="A6" i="3"/>
  <c r="A7" i="3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13" i="2"/>
  <c r="I10" i="2"/>
  <c r="J10" i="2"/>
  <c r="K10" i="2"/>
  <c r="L10" i="2"/>
  <c r="M10" i="2"/>
  <c r="N10" i="2"/>
  <c r="O10" i="2"/>
  <c r="P10" i="2"/>
  <c r="Q10" i="2"/>
  <c r="R10" i="2"/>
  <c r="S10" i="2"/>
  <c r="K11" i="2"/>
  <c r="L11" i="2"/>
  <c r="M11" i="2"/>
  <c r="N11" i="2"/>
  <c r="O11" i="2"/>
  <c r="P11" i="2"/>
  <c r="Q11" i="2"/>
  <c r="R11" i="2"/>
  <c r="S11" i="2"/>
  <c r="H2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1" i="1"/>
</calcChain>
</file>

<file path=xl/sharedStrings.xml><?xml version="1.0" encoding="utf-8"?>
<sst xmlns="http://schemas.openxmlformats.org/spreadsheetml/2006/main" count="1732" uniqueCount="60">
  <si>
    <t>bid</t>
  </si>
  <si>
    <t>price</t>
  </si>
  <si>
    <t>production</t>
  </si>
  <si>
    <t>quantity</t>
  </si>
  <si>
    <t>storage</t>
  </si>
  <si>
    <t>volume</t>
  </si>
  <si>
    <t>b</t>
  </si>
  <si>
    <t>v</t>
  </si>
  <si>
    <t>p</t>
  </si>
  <si>
    <t>c</t>
  </si>
  <si>
    <t>pi</t>
  </si>
  <si>
    <t>Inflow</t>
  </si>
  <si>
    <t>X</t>
  </si>
  <si>
    <t>0,000000</t>
  </si>
  <si>
    <t>10,0</t>
  </si>
  <si>
    <t>15,0</t>
  </si>
  <si>
    <t>20,0</t>
  </si>
  <si>
    <t>Controls</t>
  </si>
  <si>
    <t>Delivery products</t>
  </si>
  <si>
    <t>Scenarios</t>
  </si>
  <si>
    <t>Stages</t>
  </si>
  <si>
    <t>Delivery product</t>
  </si>
  <si>
    <t>Bid volume</t>
  </si>
  <si>
    <t>Transaction volume</t>
  </si>
  <si>
    <t>Lookup table length</t>
  </si>
  <si>
    <t>What</t>
  </si>
  <si>
    <t>Total volume</t>
  </si>
  <si>
    <t>List organization</t>
  </si>
  <si>
    <t>Input abbreviations</t>
  </si>
  <si>
    <t>Production quantity</t>
  </si>
  <si>
    <t>Scenario</t>
  </si>
  <si>
    <t>Status</t>
  </si>
  <si>
    <t>DP</t>
  </si>
  <si>
    <t>Column number of variable value</t>
  </si>
  <si>
    <t xml:space="preserve">Status: </t>
  </si>
  <si>
    <t>Må hente ut verdier fra Input</t>
  </si>
  <si>
    <t>Forsøkt:</t>
  </si>
  <si>
    <t>Satte opp index-match, men denne mangler DP og Scenario</t>
  </si>
  <si>
    <t>H</t>
  </si>
  <si>
    <t>A</t>
  </si>
  <si>
    <t>B</t>
  </si>
  <si>
    <t>C</t>
  </si>
  <si>
    <t>D</t>
  </si>
  <si>
    <t>F</t>
  </si>
  <si>
    <t>G</t>
  </si>
  <si>
    <t>E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</si>
  <si>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</si>
  <si>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</si>
  <si>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</si>
  <si>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</si>
  <si>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</si>
  <si>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</si>
  <si>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</si>
  <si>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</si>
  <si>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</si>
  <si>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</si>
  <si>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</si>
  <si>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</si>
  <si>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Stage/production unit</t>
  </si>
  <si>
    <t>Column description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</si>
</sst>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 tint="-0.1499984740745262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n">
        <color auto="1"/>
      </bottom>
      <diagonal/>
    </border>
  </borders>
  <cellStyleXfs count="1">
    <xf numFmtId="0" fontId="0" fillId="0" borderId="0"/>
  </cellStyleXfs>
  <cellXfs count="6">
    <xf numFmtId="0" fontId="0" fillId="0" borderId="0" xfId="0"/>
    <xf numFmtId="2" fontId="0" fillId="0" borderId="0" xfId="0" applyNumberFormat="1"/>
    <xf numFmtId="0" fontId="1" fillId="0" borderId="1" xfId="0" applyFont="1" applyBorder="1"/>
    <xf numFmtId="0" fontId="0" fillId="0" borderId="1" xfId="0" applyBorder="1"/>
    <xf numFmtId="0" fontId="2" fillId="0" borderId="0" xfId="0" applyFont="1"/>
    <xf numFmtId="0" fontId="1" fillId="0" borderId="0" xfId="0" applyFont="1" applyBorder="1"/>
  </cellXfs>
  <cellStyles count="1">
    <cellStyle name="Normal" xfId="0" builtinId="0"/>
  </cellStyles>
  <dxfs count="6">
    <dxf>
      <font>
        <color theme="1"/>
      </font>
      <fill>
        <patternFill>
          <bgColor theme="9" tint="0.59996337778862885"/>
        </patternFill>
      </fill>
      <border>
        <top/>
        <bottom style="thin">
          <color auto="1"/>
        </bottom>
      </border>
    </dxf>
    <dxf>
      <font>
        <color theme="1"/>
      </font>
      <fill>
        <patternFill>
          <bgColor theme="9" tint="0.59996337778862885"/>
        </patternFill>
      </fill>
      <border>
        <top/>
        <bottom style="thin">
          <color auto="1"/>
        </bottom>
      </border>
    </dxf>
    <dxf>
      <font>
        <color theme="1"/>
      </font>
      <fill>
        <patternFill>
          <bgColor theme="9" tint="0.59996337778862885"/>
        </patternFill>
      </fill>
      <border>
        <top/>
        <bottom style="thin">
          <color auto="1"/>
        </bottom>
      </border>
    </dxf>
    <dxf>
      <font>
        <color theme="1"/>
      </font>
      <fill>
        <patternFill>
          <bgColor theme="9" tint="0.59996337778862885"/>
        </patternFill>
      </fill>
      <border>
        <top/>
        <bottom style="thin">
          <color auto="1"/>
        </bottom>
      </border>
    </dxf>
    <dxf>
      <font>
        <color theme="1"/>
      </font>
      <fill>
        <patternFill>
          <bgColor theme="9" tint="0.59996337778862885"/>
        </patternFill>
      </fill>
      <border>
        <top/>
        <bottom style="thin">
          <color auto="1"/>
        </bottom>
      </border>
    </dxf>
    <dxf>
      <font>
        <color theme="1"/>
      </font>
      <fill>
        <patternFill>
          <bgColor theme="9" tint="0.59996337778862885"/>
        </patternFill>
      </fill>
      <border>
        <top/>
        <bottom style="thin">
          <color auto="1"/>
        </bottom>
      </border>
    </dxf>
  </dxfs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theme" Target="theme/theme1.xml"/><Relationship Id="rId5" Type="http://schemas.openxmlformats.org/officeDocument/2006/relationships/styles" Target="styles.xml"/><Relationship Id="rId6" Type="http://schemas.openxmlformats.org/officeDocument/2006/relationships/sharedStrings" Target="sharedStrings.xml"/><Relationship Id="rId7" Type="http://schemas.openxmlformats.org/officeDocument/2006/relationships/calcChain" Target="calcChain.xml"/><Relationship Id="rId8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H567"/>
  <sheetViews>
    <sheetView topLeftCell="A152" workbookViewId="0">
      <selection activeCell="I163" sqref="I163"/>
    </sheetView>
  </sheetViews>
  <sheetFormatPr baseColWidth="10" defaultRowHeight="16" x14ac:dyDescent="0.2"/>
  <cols>
    <col min="7" max="7" width="13.6640625" bestFit="1" customWidth="1"/>
  </cols>
  <sheetData>
    <row r="1" spans="1:8" x14ac:dyDescent="0.2">
      <c r="A1" t="s">
        <v>0</v>
      </c>
      <c r="B1" t="s">
        <v>1</v>
      </c>
      <c r="C1" t="s">
        <v>12</v>
      </c>
      <c r="D1">
        <v>0</v>
      </c>
      <c r="E1">
        <v>0</v>
      </c>
      <c r="F1">
        <v>0</v>
      </c>
      <c r="G1" s="1" t="s">
        <v>13</v>
      </c>
      <c r="H1">
        <f>_xlfn.NUMBERVALUE(G1)</f>
        <v>0</v>
      </c>
    </row>
    <row r="2" spans="1:8" x14ac:dyDescent="0.2">
      <c r="A2" t="s">
        <v>0</v>
      </c>
      <c r="B2" t="s">
        <v>1</v>
      </c>
      <c r="C2" t="s">
        <v>12</v>
      </c>
      <c r="D2">
        <v>0</v>
      </c>
      <c r="E2">
        <v>0</v>
      </c>
      <c r="F2">
        <v>1</v>
      </c>
      <c r="G2" s="1" t="s">
        <v>13</v>
      </c>
      <c r="H2">
        <f t="shared" ref="H2:H65" si="0">_xlfn.NUMBERVALUE(G2)</f>
        <v>0</v>
      </c>
    </row>
    <row r="3" spans="1:8" x14ac:dyDescent="0.2">
      <c r="A3" t="s">
        <v>0</v>
      </c>
      <c r="B3" t="s">
        <v>1</v>
      </c>
      <c r="C3" t="s">
        <v>12</v>
      </c>
      <c r="D3">
        <v>0</v>
      </c>
      <c r="E3">
        <v>1</v>
      </c>
      <c r="F3">
        <v>0</v>
      </c>
      <c r="G3" s="1" t="s">
        <v>13</v>
      </c>
      <c r="H3">
        <f t="shared" si="0"/>
        <v>0</v>
      </c>
    </row>
    <row r="4" spans="1:8" x14ac:dyDescent="0.2">
      <c r="A4" t="s">
        <v>0</v>
      </c>
      <c r="B4" t="s">
        <v>1</v>
      </c>
      <c r="C4" t="s">
        <v>12</v>
      </c>
      <c r="D4">
        <v>0</v>
      </c>
      <c r="E4">
        <v>1</v>
      </c>
      <c r="F4">
        <v>1</v>
      </c>
      <c r="G4" s="1" t="s">
        <v>13</v>
      </c>
      <c r="H4">
        <f t="shared" si="0"/>
        <v>0</v>
      </c>
    </row>
    <row r="5" spans="1:8" x14ac:dyDescent="0.2">
      <c r="A5" t="s">
        <v>0</v>
      </c>
      <c r="B5" t="s">
        <v>1</v>
      </c>
      <c r="C5" t="s">
        <v>12</v>
      </c>
      <c r="D5">
        <v>0</v>
      </c>
      <c r="E5">
        <v>2</v>
      </c>
      <c r="F5">
        <v>0</v>
      </c>
      <c r="G5" s="1" t="s">
        <v>13</v>
      </c>
      <c r="H5">
        <f t="shared" si="0"/>
        <v>0</v>
      </c>
    </row>
    <row r="6" spans="1:8" x14ac:dyDescent="0.2">
      <c r="A6" t="s">
        <v>0</v>
      </c>
      <c r="B6" t="s">
        <v>1</v>
      </c>
      <c r="C6" t="s">
        <v>12</v>
      </c>
      <c r="D6">
        <v>0</v>
      </c>
      <c r="E6">
        <v>2</v>
      </c>
      <c r="F6">
        <v>1</v>
      </c>
      <c r="G6" s="1" t="s">
        <v>13</v>
      </c>
      <c r="H6">
        <f t="shared" si="0"/>
        <v>0</v>
      </c>
    </row>
    <row r="7" spans="1:8" x14ac:dyDescent="0.2">
      <c r="A7" t="s">
        <v>0</v>
      </c>
      <c r="B7" t="s">
        <v>1</v>
      </c>
      <c r="C7" t="s">
        <v>12</v>
      </c>
      <c r="D7">
        <v>0</v>
      </c>
      <c r="E7">
        <v>3</v>
      </c>
      <c r="F7">
        <v>0</v>
      </c>
      <c r="G7" s="1" t="s">
        <v>13</v>
      </c>
      <c r="H7">
        <f t="shared" si="0"/>
        <v>0</v>
      </c>
    </row>
    <row r="8" spans="1:8" x14ac:dyDescent="0.2">
      <c r="A8" t="s">
        <v>0</v>
      </c>
      <c r="B8" t="s">
        <v>1</v>
      </c>
      <c r="C8" t="s">
        <v>12</v>
      </c>
      <c r="D8">
        <v>0</v>
      </c>
      <c r="E8">
        <v>3</v>
      </c>
      <c r="F8">
        <v>1</v>
      </c>
      <c r="G8" s="1" t="s">
        <v>13</v>
      </c>
      <c r="H8">
        <f t="shared" si="0"/>
        <v>0</v>
      </c>
    </row>
    <row r="9" spans="1:8" x14ac:dyDescent="0.2">
      <c r="A9" t="s">
        <v>0</v>
      </c>
      <c r="B9" t="s">
        <v>1</v>
      </c>
      <c r="C9" t="s">
        <v>12</v>
      </c>
      <c r="D9">
        <v>0</v>
      </c>
      <c r="E9">
        <v>4</v>
      </c>
      <c r="F9">
        <v>0</v>
      </c>
      <c r="G9" s="1" t="s">
        <v>13</v>
      </c>
      <c r="H9">
        <f t="shared" si="0"/>
        <v>0</v>
      </c>
    </row>
    <row r="10" spans="1:8" x14ac:dyDescent="0.2">
      <c r="A10" t="s">
        <v>0</v>
      </c>
      <c r="B10" t="s">
        <v>1</v>
      </c>
      <c r="C10" t="s">
        <v>12</v>
      </c>
      <c r="D10">
        <v>0</v>
      </c>
      <c r="E10">
        <v>4</v>
      </c>
      <c r="F10">
        <v>1</v>
      </c>
      <c r="G10" s="1" t="s">
        <v>13</v>
      </c>
      <c r="H10">
        <f t="shared" si="0"/>
        <v>0</v>
      </c>
    </row>
    <row r="11" spans="1:8" x14ac:dyDescent="0.2">
      <c r="A11" t="s">
        <v>0</v>
      </c>
      <c r="B11" t="s">
        <v>1</v>
      </c>
      <c r="C11" t="s">
        <v>12</v>
      </c>
      <c r="D11">
        <v>0</v>
      </c>
      <c r="E11">
        <v>5</v>
      </c>
      <c r="F11">
        <v>0</v>
      </c>
      <c r="G11" s="1" t="s">
        <v>13</v>
      </c>
      <c r="H11">
        <f t="shared" si="0"/>
        <v>0</v>
      </c>
    </row>
    <row r="12" spans="1:8" x14ac:dyDescent="0.2">
      <c r="A12" t="s">
        <v>0</v>
      </c>
      <c r="B12" t="s">
        <v>1</v>
      </c>
      <c r="C12" t="s">
        <v>12</v>
      </c>
      <c r="D12">
        <v>0</v>
      </c>
      <c r="E12">
        <v>5</v>
      </c>
      <c r="F12">
        <v>1</v>
      </c>
      <c r="G12" s="1" t="s">
        <v>13</v>
      </c>
      <c r="H12">
        <f t="shared" si="0"/>
        <v>0</v>
      </c>
    </row>
    <row r="13" spans="1:8" x14ac:dyDescent="0.2">
      <c r="A13" t="s">
        <v>0</v>
      </c>
      <c r="B13" t="s">
        <v>1</v>
      </c>
      <c r="C13" t="s">
        <v>12</v>
      </c>
      <c r="D13">
        <v>0</v>
      </c>
      <c r="E13">
        <v>6</v>
      </c>
      <c r="F13">
        <v>0</v>
      </c>
      <c r="G13" s="1" t="s">
        <v>13</v>
      </c>
      <c r="H13">
        <f t="shared" si="0"/>
        <v>0</v>
      </c>
    </row>
    <row r="14" spans="1:8" x14ac:dyDescent="0.2">
      <c r="A14" t="s">
        <v>0</v>
      </c>
      <c r="B14" t="s">
        <v>1</v>
      </c>
      <c r="C14" t="s">
        <v>12</v>
      </c>
      <c r="D14">
        <v>0</v>
      </c>
      <c r="E14">
        <v>6</v>
      </c>
      <c r="F14">
        <v>1</v>
      </c>
      <c r="G14" s="1" t="s">
        <v>13</v>
      </c>
      <c r="H14">
        <f t="shared" si="0"/>
        <v>0</v>
      </c>
    </row>
    <row r="15" spans="1:8" x14ac:dyDescent="0.2">
      <c r="A15" t="s">
        <v>0</v>
      </c>
      <c r="B15" t="s">
        <v>1</v>
      </c>
      <c r="C15" t="s">
        <v>12</v>
      </c>
      <c r="D15">
        <v>0</v>
      </c>
      <c r="E15">
        <v>7</v>
      </c>
      <c r="F15">
        <v>0</v>
      </c>
      <c r="G15" s="1" t="s">
        <v>13</v>
      </c>
      <c r="H15">
        <f t="shared" si="0"/>
        <v>0</v>
      </c>
    </row>
    <row r="16" spans="1:8" x14ac:dyDescent="0.2">
      <c r="A16" t="s">
        <v>0</v>
      </c>
      <c r="B16" t="s">
        <v>1</v>
      </c>
      <c r="C16" t="s">
        <v>12</v>
      </c>
      <c r="D16">
        <v>0</v>
      </c>
      <c r="E16">
        <v>7</v>
      </c>
      <c r="F16">
        <v>1</v>
      </c>
      <c r="G16" s="1" t="s">
        <v>13</v>
      </c>
      <c r="H16">
        <f t="shared" si="0"/>
        <v>0</v>
      </c>
    </row>
    <row r="17" spans="1:8" x14ac:dyDescent="0.2">
      <c r="A17" t="s">
        <v>0</v>
      </c>
      <c r="B17" t="s">
        <v>1</v>
      </c>
      <c r="C17" t="s">
        <v>12</v>
      </c>
      <c r="D17">
        <v>0</v>
      </c>
      <c r="E17">
        <v>8</v>
      </c>
      <c r="F17">
        <v>0</v>
      </c>
      <c r="G17" s="1" t="s">
        <v>13</v>
      </c>
      <c r="H17">
        <f t="shared" si="0"/>
        <v>0</v>
      </c>
    </row>
    <row r="18" spans="1:8" x14ac:dyDescent="0.2">
      <c r="A18" t="s">
        <v>0</v>
      </c>
      <c r="B18" t="s">
        <v>1</v>
      </c>
      <c r="C18" t="s">
        <v>12</v>
      </c>
      <c r="D18">
        <v>0</v>
      </c>
      <c r="E18">
        <v>8</v>
      </c>
      <c r="F18">
        <v>1</v>
      </c>
      <c r="G18" s="1" t="s">
        <v>13</v>
      </c>
      <c r="H18">
        <f t="shared" si="0"/>
        <v>0</v>
      </c>
    </row>
    <row r="19" spans="1:8" x14ac:dyDescent="0.2">
      <c r="A19" t="s">
        <v>0</v>
      </c>
      <c r="B19" t="s">
        <v>1</v>
      </c>
      <c r="C19" t="s">
        <v>12</v>
      </c>
      <c r="D19">
        <v>1</v>
      </c>
      <c r="E19">
        <v>0</v>
      </c>
      <c r="F19">
        <v>0</v>
      </c>
      <c r="G19" s="1" t="s">
        <v>13</v>
      </c>
      <c r="H19">
        <f t="shared" si="0"/>
        <v>0</v>
      </c>
    </row>
    <row r="20" spans="1:8" x14ac:dyDescent="0.2">
      <c r="A20" t="s">
        <v>0</v>
      </c>
      <c r="B20" t="s">
        <v>1</v>
      </c>
      <c r="C20" t="s">
        <v>12</v>
      </c>
      <c r="D20">
        <v>1</v>
      </c>
      <c r="E20">
        <v>0</v>
      </c>
      <c r="F20">
        <v>1</v>
      </c>
      <c r="G20" s="1" t="s">
        <v>13</v>
      </c>
      <c r="H20">
        <f t="shared" si="0"/>
        <v>0</v>
      </c>
    </row>
    <row r="21" spans="1:8" x14ac:dyDescent="0.2">
      <c r="A21" t="s">
        <v>0</v>
      </c>
      <c r="B21" t="s">
        <v>1</v>
      </c>
      <c r="C21" t="s">
        <v>12</v>
      </c>
      <c r="D21">
        <v>1</v>
      </c>
      <c r="E21">
        <v>1</v>
      </c>
      <c r="F21">
        <v>0</v>
      </c>
      <c r="G21" s="1" t="s">
        <v>13</v>
      </c>
      <c r="H21">
        <f t="shared" si="0"/>
        <v>0</v>
      </c>
    </row>
    <row r="22" spans="1:8" x14ac:dyDescent="0.2">
      <c r="A22" t="s">
        <v>0</v>
      </c>
      <c r="B22" t="s">
        <v>1</v>
      </c>
      <c r="C22" t="s">
        <v>12</v>
      </c>
      <c r="D22">
        <v>1</v>
      </c>
      <c r="E22">
        <v>1</v>
      </c>
      <c r="F22">
        <v>1</v>
      </c>
      <c r="G22" s="1" t="s">
        <v>13</v>
      </c>
      <c r="H22">
        <f t="shared" si="0"/>
        <v>0</v>
      </c>
    </row>
    <row r="23" spans="1:8" x14ac:dyDescent="0.2">
      <c r="A23" t="s">
        <v>0</v>
      </c>
      <c r="B23" t="s">
        <v>1</v>
      </c>
      <c r="C23" t="s">
        <v>12</v>
      </c>
      <c r="D23">
        <v>1</v>
      </c>
      <c r="E23">
        <v>2</v>
      </c>
      <c r="F23">
        <v>0</v>
      </c>
      <c r="G23" s="1" t="s">
        <v>13</v>
      </c>
      <c r="H23">
        <f t="shared" si="0"/>
        <v>0</v>
      </c>
    </row>
    <row r="24" spans="1:8" x14ac:dyDescent="0.2">
      <c r="A24" t="s">
        <v>0</v>
      </c>
      <c r="B24" t="s">
        <v>1</v>
      </c>
      <c r="C24" t="s">
        <v>12</v>
      </c>
      <c r="D24">
        <v>1</v>
      </c>
      <c r="E24">
        <v>2</v>
      </c>
      <c r="F24">
        <v>1</v>
      </c>
      <c r="G24" s="1" t="s">
        <v>13</v>
      </c>
      <c r="H24">
        <f t="shared" si="0"/>
        <v>0</v>
      </c>
    </row>
    <row r="25" spans="1:8" x14ac:dyDescent="0.2">
      <c r="A25" t="s">
        <v>0</v>
      </c>
      <c r="B25" t="s">
        <v>1</v>
      </c>
      <c r="C25" t="s">
        <v>12</v>
      </c>
      <c r="D25">
        <v>1</v>
      </c>
      <c r="E25">
        <v>3</v>
      </c>
      <c r="F25">
        <v>0</v>
      </c>
      <c r="G25" s="1" t="s">
        <v>13</v>
      </c>
      <c r="H25">
        <f t="shared" si="0"/>
        <v>0</v>
      </c>
    </row>
    <row r="26" spans="1:8" x14ac:dyDescent="0.2">
      <c r="A26" t="s">
        <v>0</v>
      </c>
      <c r="B26" t="s">
        <v>1</v>
      </c>
      <c r="C26" t="s">
        <v>12</v>
      </c>
      <c r="D26">
        <v>1</v>
      </c>
      <c r="E26">
        <v>3</v>
      </c>
      <c r="F26">
        <v>1</v>
      </c>
      <c r="G26" s="1" t="s">
        <v>13</v>
      </c>
      <c r="H26">
        <f t="shared" si="0"/>
        <v>0</v>
      </c>
    </row>
    <row r="27" spans="1:8" x14ac:dyDescent="0.2">
      <c r="A27" t="s">
        <v>0</v>
      </c>
      <c r="B27" t="s">
        <v>1</v>
      </c>
      <c r="C27" t="s">
        <v>12</v>
      </c>
      <c r="D27">
        <v>1</v>
      </c>
      <c r="E27">
        <v>4</v>
      </c>
      <c r="F27">
        <v>0</v>
      </c>
      <c r="G27" s="1" t="s">
        <v>13</v>
      </c>
      <c r="H27">
        <f t="shared" si="0"/>
        <v>0</v>
      </c>
    </row>
    <row r="28" spans="1:8" x14ac:dyDescent="0.2">
      <c r="A28" t="s">
        <v>0</v>
      </c>
      <c r="B28" t="s">
        <v>1</v>
      </c>
      <c r="C28" t="s">
        <v>12</v>
      </c>
      <c r="D28">
        <v>1</v>
      </c>
      <c r="E28">
        <v>4</v>
      </c>
      <c r="F28">
        <v>1</v>
      </c>
      <c r="G28" s="1" t="s">
        <v>13</v>
      </c>
      <c r="H28">
        <f t="shared" si="0"/>
        <v>0</v>
      </c>
    </row>
    <row r="29" spans="1:8" x14ac:dyDescent="0.2">
      <c r="A29" t="s">
        <v>0</v>
      </c>
      <c r="B29" t="s">
        <v>1</v>
      </c>
      <c r="C29" t="s">
        <v>12</v>
      </c>
      <c r="D29">
        <v>1</v>
      </c>
      <c r="E29">
        <v>5</v>
      </c>
      <c r="F29">
        <v>0</v>
      </c>
      <c r="G29" s="1" t="s">
        <v>13</v>
      </c>
      <c r="H29">
        <f t="shared" si="0"/>
        <v>0</v>
      </c>
    </row>
    <row r="30" spans="1:8" x14ac:dyDescent="0.2">
      <c r="A30" t="s">
        <v>0</v>
      </c>
      <c r="B30" t="s">
        <v>1</v>
      </c>
      <c r="C30" t="s">
        <v>12</v>
      </c>
      <c r="D30">
        <v>1</v>
      </c>
      <c r="E30">
        <v>5</v>
      </c>
      <c r="F30">
        <v>1</v>
      </c>
      <c r="G30" s="1" t="s">
        <v>13</v>
      </c>
      <c r="H30">
        <f t="shared" si="0"/>
        <v>0</v>
      </c>
    </row>
    <row r="31" spans="1:8" x14ac:dyDescent="0.2">
      <c r="A31" t="s">
        <v>0</v>
      </c>
      <c r="B31" t="s">
        <v>1</v>
      </c>
      <c r="C31" t="s">
        <v>12</v>
      </c>
      <c r="D31">
        <v>1</v>
      </c>
      <c r="E31">
        <v>6</v>
      </c>
      <c r="F31">
        <v>0</v>
      </c>
      <c r="G31" s="1" t="s">
        <v>13</v>
      </c>
      <c r="H31">
        <f t="shared" si="0"/>
        <v>0</v>
      </c>
    </row>
    <row r="32" spans="1:8" x14ac:dyDescent="0.2">
      <c r="A32" t="s">
        <v>0</v>
      </c>
      <c r="B32" t="s">
        <v>1</v>
      </c>
      <c r="C32" t="s">
        <v>12</v>
      </c>
      <c r="D32">
        <v>1</v>
      </c>
      <c r="E32">
        <v>6</v>
      </c>
      <c r="F32">
        <v>1</v>
      </c>
      <c r="G32" s="1" t="s">
        <v>13</v>
      </c>
      <c r="H32">
        <f t="shared" si="0"/>
        <v>0</v>
      </c>
    </row>
    <row r="33" spans="1:8" x14ac:dyDescent="0.2">
      <c r="A33" t="s">
        <v>0</v>
      </c>
      <c r="B33" t="s">
        <v>1</v>
      </c>
      <c r="C33" t="s">
        <v>12</v>
      </c>
      <c r="D33">
        <v>1</v>
      </c>
      <c r="E33">
        <v>7</v>
      </c>
      <c r="F33">
        <v>0</v>
      </c>
      <c r="G33" s="1" t="s">
        <v>13</v>
      </c>
      <c r="H33">
        <f t="shared" si="0"/>
        <v>0</v>
      </c>
    </row>
    <row r="34" spans="1:8" x14ac:dyDescent="0.2">
      <c r="A34" t="s">
        <v>0</v>
      </c>
      <c r="B34" t="s">
        <v>1</v>
      </c>
      <c r="C34" t="s">
        <v>12</v>
      </c>
      <c r="D34">
        <v>1</v>
      </c>
      <c r="E34">
        <v>7</v>
      </c>
      <c r="F34">
        <v>1</v>
      </c>
      <c r="G34" s="1" t="s">
        <v>13</v>
      </c>
      <c r="H34">
        <f t="shared" si="0"/>
        <v>0</v>
      </c>
    </row>
    <row r="35" spans="1:8" x14ac:dyDescent="0.2">
      <c r="A35" t="s">
        <v>0</v>
      </c>
      <c r="B35" t="s">
        <v>1</v>
      </c>
      <c r="C35" t="s">
        <v>12</v>
      </c>
      <c r="D35">
        <v>1</v>
      </c>
      <c r="E35">
        <v>8</v>
      </c>
      <c r="F35">
        <v>0</v>
      </c>
      <c r="G35" s="1" t="s">
        <v>13</v>
      </c>
      <c r="H35">
        <f t="shared" si="0"/>
        <v>0</v>
      </c>
    </row>
    <row r="36" spans="1:8" x14ac:dyDescent="0.2">
      <c r="A36" t="s">
        <v>0</v>
      </c>
      <c r="B36" t="s">
        <v>1</v>
      </c>
      <c r="C36" t="s">
        <v>12</v>
      </c>
      <c r="D36">
        <v>1</v>
      </c>
      <c r="E36">
        <v>8</v>
      </c>
      <c r="F36">
        <v>1</v>
      </c>
      <c r="G36" s="1" t="s">
        <v>13</v>
      </c>
      <c r="H36">
        <f t="shared" si="0"/>
        <v>0</v>
      </c>
    </row>
    <row r="37" spans="1:8" x14ac:dyDescent="0.2">
      <c r="A37" t="s">
        <v>0</v>
      </c>
      <c r="B37" t="s">
        <v>1</v>
      </c>
      <c r="C37" t="s">
        <v>12</v>
      </c>
      <c r="D37">
        <v>2</v>
      </c>
      <c r="E37">
        <v>0</v>
      </c>
      <c r="F37">
        <v>0</v>
      </c>
      <c r="G37" s="1" t="s">
        <v>13</v>
      </c>
      <c r="H37">
        <f t="shared" si="0"/>
        <v>0</v>
      </c>
    </row>
    <row r="38" spans="1:8" x14ac:dyDescent="0.2">
      <c r="A38" t="s">
        <v>0</v>
      </c>
      <c r="B38" t="s">
        <v>1</v>
      </c>
      <c r="C38" t="s">
        <v>12</v>
      </c>
      <c r="D38">
        <v>2</v>
      </c>
      <c r="E38">
        <v>0</v>
      </c>
      <c r="F38">
        <v>1</v>
      </c>
      <c r="G38" s="1" t="s">
        <v>13</v>
      </c>
      <c r="H38">
        <f t="shared" si="0"/>
        <v>0</v>
      </c>
    </row>
    <row r="39" spans="1:8" x14ac:dyDescent="0.2">
      <c r="A39" t="s">
        <v>0</v>
      </c>
      <c r="B39" t="s">
        <v>1</v>
      </c>
      <c r="C39" t="s">
        <v>12</v>
      </c>
      <c r="D39">
        <v>2</v>
      </c>
      <c r="E39">
        <v>1</v>
      </c>
      <c r="F39">
        <v>0</v>
      </c>
      <c r="G39" s="1" t="s">
        <v>13</v>
      </c>
      <c r="H39">
        <f t="shared" si="0"/>
        <v>0</v>
      </c>
    </row>
    <row r="40" spans="1:8" x14ac:dyDescent="0.2">
      <c r="A40" t="s">
        <v>0</v>
      </c>
      <c r="B40" t="s">
        <v>1</v>
      </c>
      <c r="C40" t="s">
        <v>12</v>
      </c>
      <c r="D40">
        <v>2</v>
      </c>
      <c r="E40">
        <v>1</v>
      </c>
      <c r="F40">
        <v>1</v>
      </c>
      <c r="G40" s="1" t="s">
        <v>13</v>
      </c>
      <c r="H40">
        <f t="shared" si="0"/>
        <v>0</v>
      </c>
    </row>
    <row r="41" spans="1:8" x14ac:dyDescent="0.2">
      <c r="A41" t="s">
        <v>0</v>
      </c>
      <c r="B41" t="s">
        <v>1</v>
      </c>
      <c r="C41" t="s">
        <v>12</v>
      </c>
      <c r="D41">
        <v>2</v>
      </c>
      <c r="E41">
        <v>2</v>
      </c>
      <c r="F41">
        <v>0</v>
      </c>
      <c r="G41" s="1" t="s">
        <v>13</v>
      </c>
      <c r="H41">
        <f t="shared" si="0"/>
        <v>0</v>
      </c>
    </row>
    <row r="42" spans="1:8" x14ac:dyDescent="0.2">
      <c r="A42" t="s">
        <v>0</v>
      </c>
      <c r="B42" t="s">
        <v>1</v>
      </c>
      <c r="C42" t="s">
        <v>12</v>
      </c>
      <c r="D42">
        <v>2</v>
      </c>
      <c r="E42">
        <v>2</v>
      </c>
      <c r="F42">
        <v>1</v>
      </c>
      <c r="G42" s="1" t="s">
        <v>13</v>
      </c>
      <c r="H42">
        <f t="shared" si="0"/>
        <v>0</v>
      </c>
    </row>
    <row r="43" spans="1:8" x14ac:dyDescent="0.2">
      <c r="A43" t="s">
        <v>0</v>
      </c>
      <c r="B43" t="s">
        <v>1</v>
      </c>
      <c r="C43" t="s">
        <v>12</v>
      </c>
      <c r="D43">
        <v>2</v>
      </c>
      <c r="E43">
        <v>3</v>
      </c>
      <c r="F43">
        <v>0</v>
      </c>
      <c r="G43" s="1" t="s">
        <v>13</v>
      </c>
      <c r="H43">
        <f t="shared" si="0"/>
        <v>0</v>
      </c>
    </row>
    <row r="44" spans="1:8" x14ac:dyDescent="0.2">
      <c r="A44" t="s">
        <v>0</v>
      </c>
      <c r="B44" t="s">
        <v>1</v>
      </c>
      <c r="C44" t="s">
        <v>12</v>
      </c>
      <c r="D44">
        <v>2</v>
      </c>
      <c r="E44">
        <v>3</v>
      </c>
      <c r="F44">
        <v>1</v>
      </c>
      <c r="G44" s="1" t="s">
        <v>13</v>
      </c>
      <c r="H44">
        <f t="shared" si="0"/>
        <v>0</v>
      </c>
    </row>
    <row r="45" spans="1:8" x14ac:dyDescent="0.2">
      <c r="A45" t="s">
        <v>0</v>
      </c>
      <c r="B45" t="s">
        <v>1</v>
      </c>
      <c r="C45" t="s">
        <v>12</v>
      </c>
      <c r="D45">
        <v>2</v>
      </c>
      <c r="E45">
        <v>4</v>
      </c>
      <c r="F45">
        <v>0</v>
      </c>
      <c r="G45" s="1" t="s">
        <v>13</v>
      </c>
      <c r="H45">
        <f t="shared" si="0"/>
        <v>0</v>
      </c>
    </row>
    <row r="46" spans="1:8" x14ac:dyDescent="0.2">
      <c r="A46" t="s">
        <v>0</v>
      </c>
      <c r="B46" t="s">
        <v>1</v>
      </c>
      <c r="C46" t="s">
        <v>12</v>
      </c>
      <c r="D46">
        <v>2</v>
      </c>
      <c r="E46">
        <v>4</v>
      </c>
      <c r="F46">
        <v>1</v>
      </c>
      <c r="G46" s="1" t="s">
        <v>13</v>
      </c>
      <c r="H46">
        <f t="shared" si="0"/>
        <v>0</v>
      </c>
    </row>
    <row r="47" spans="1:8" x14ac:dyDescent="0.2">
      <c r="A47" t="s">
        <v>0</v>
      </c>
      <c r="B47" t="s">
        <v>1</v>
      </c>
      <c r="C47" t="s">
        <v>12</v>
      </c>
      <c r="D47">
        <v>2</v>
      </c>
      <c r="E47">
        <v>5</v>
      </c>
      <c r="F47">
        <v>0</v>
      </c>
      <c r="G47" s="1" t="s">
        <v>13</v>
      </c>
      <c r="H47">
        <f t="shared" si="0"/>
        <v>0</v>
      </c>
    </row>
    <row r="48" spans="1:8" x14ac:dyDescent="0.2">
      <c r="A48" t="s">
        <v>0</v>
      </c>
      <c r="B48" t="s">
        <v>1</v>
      </c>
      <c r="C48" t="s">
        <v>12</v>
      </c>
      <c r="D48">
        <v>2</v>
      </c>
      <c r="E48">
        <v>5</v>
      </c>
      <c r="F48">
        <v>1</v>
      </c>
      <c r="G48" s="1" t="s">
        <v>13</v>
      </c>
      <c r="H48">
        <f t="shared" si="0"/>
        <v>0</v>
      </c>
    </row>
    <row r="49" spans="1:8" x14ac:dyDescent="0.2">
      <c r="A49" t="s">
        <v>0</v>
      </c>
      <c r="B49" t="s">
        <v>1</v>
      </c>
      <c r="C49" t="s">
        <v>12</v>
      </c>
      <c r="D49">
        <v>2</v>
      </c>
      <c r="E49">
        <v>6</v>
      </c>
      <c r="F49">
        <v>0</v>
      </c>
      <c r="G49" s="1" t="s">
        <v>13</v>
      </c>
      <c r="H49">
        <f t="shared" si="0"/>
        <v>0</v>
      </c>
    </row>
    <row r="50" spans="1:8" x14ac:dyDescent="0.2">
      <c r="A50" t="s">
        <v>0</v>
      </c>
      <c r="B50" t="s">
        <v>1</v>
      </c>
      <c r="C50" t="s">
        <v>12</v>
      </c>
      <c r="D50">
        <v>2</v>
      </c>
      <c r="E50">
        <v>6</v>
      </c>
      <c r="F50">
        <v>1</v>
      </c>
      <c r="G50" s="1" t="s">
        <v>13</v>
      </c>
      <c r="H50">
        <f t="shared" si="0"/>
        <v>0</v>
      </c>
    </row>
    <row r="51" spans="1:8" x14ac:dyDescent="0.2">
      <c r="A51" t="s">
        <v>0</v>
      </c>
      <c r="B51" t="s">
        <v>1</v>
      </c>
      <c r="C51" t="s">
        <v>12</v>
      </c>
      <c r="D51">
        <v>2</v>
      </c>
      <c r="E51">
        <v>7</v>
      </c>
      <c r="F51">
        <v>0</v>
      </c>
      <c r="G51" s="1" t="s">
        <v>13</v>
      </c>
      <c r="H51">
        <f t="shared" si="0"/>
        <v>0</v>
      </c>
    </row>
    <row r="52" spans="1:8" x14ac:dyDescent="0.2">
      <c r="A52" t="s">
        <v>0</v>
      </c>
      <c r="B52" t="s">
        <v>1</v>
      </c>
      <c r="C52" t="s">
        <v>12</v>
      </c>
      <c r="D52">
        <v>2</v>
      </c>
      <c r="E52">
        <v>7</v>
      </c>
      <c r="F52">
        <v>1</v>
      </c>
      <c r="G52" s="1" t="s">
        <v>13</v>
      </c>
      <c r="H52">
        <f t="shared" si="0"/>
        <v>0</v>
      </c>
    </row>
    <row r="53" spans="1:8" x14ac:dyDescent="0.2">
      <c r="A53" t="s">
        <v>0</v>
      </c>
      <c r="B53" t="s">
        <v>1</v>
      </c>
      <c r="C53" t="s">
        <v>12</v>
      </c>
      <c r="D53">
        <v>2</v>
      </c>
      <c r="E53">
        <v>8</v>
      </c>
      <c r="F53">
        <v>0</v>
      </c>
      <c r="G53" s="1" t="s">
        <v>13</v>
      </c>
      <c r="H53">
        <f t="shared" si="0"/>
        <v>0</v>
      </c>
    </row>
    <row r="54" spans="1:8" x14ac:dyDescent="0.2">
      <c r="A54" t="s">
        <v>0</v>
      </c>
      <c r="B54" t="s">
        <v>1</v>
      </c>
      <c r="C54" t="s">
        <v>12</v>
      </c>
      <c r="D54">
        <v>2</v>
      </c>
      <c r="E54">
        <v>8</v>
      </c>
      <c r="F54">
        <v>1</v>
      </c>
      <c r="G54" s="1" t="s">
        <v>13</v>
      </c>
      <c r="H54">
        <f t="shared" si="0"/>
        <v>0</v>
      </c>
    </row>
    <row r="55" spans="1:8" x14ac:dyDescent="0.2">
      <c r="A55" t="s">
        <v>2</v>
      </c>
      <c r="B55" t="s">
        <v>3</v>
      </c>
      <c r="C55" t="s">
        <v>12</v>
      </c>
      <c r="D55">
        <v>0</v>
      </c>
      <c r="E55">
        <v>0</v>
      </c>
      <c r="F55">
        <v>0</v>
      </c>
      <c r="G55" s="1">
        <v>20000000</v>
      </c>
      <c r="H55">
        <f t="shared" si="0"/>
        <v>20000000</v>
      </c>
    </row>
    <row r="56" spans="1:8" x14ac:dyDescent="0.2">
      <c r="A56" t="s">
        <v>2</v>
      </c>
      <c r="B56" t="s">
        <v>3</v>
      </c>
      <c r="C56" t="s">
        <v>12</v>
      </c>
      <c r="D56">
        <v>0</v>
      </c>
      <c r="E56">
        <v>0</v>
      </c>
      <c r="F56">
        <v>1</v>
      </c>
      <c r="G56" s="1">
        <v>45000000</v>
      </c>
      <c r="H56">
        <f t="shared" si="0"/>
        <v>45000000</v>
      </c>
    </row>
    <row r="57" spans="1:8" x14ac:dyDescent="0.2">
      <c r="A57" t="s">
        <v>2</v>
      </c>
      <c r="B57" t="s">
        <v>3</v>
      </c>
      <c r="C57" t="s">
        <v>12</v>
      </c>
      <c r="D57">
        <v>0</v>
      </c>
      <c r="E57">
        <v>0</v>
      </c>
      <c r="F57">
        <v>2</v>
      </c>
      <c r="G57" s="1">
        <v>33000000</v>
      </c>
      <c r="H57">
        <f t="shared" si="0"/>
        <v>33000000</v>
      </c>
    </row>
    <row r="58" spans="1:8" x14ac:dyDescent="0.2">
      <c r="A58" t="s">
        <v>2</v>
      </c>
      <c r="B58" t="s">
        <v>3</v>
      </c>
      <c r="C58" t="s">
        <v>12</v>
      </c>
      <c r="D58">
        <v>0</v>
      </c>
      <c r="E58">
        <v>1</v>
      </c>
      <c r="F58">
        <v>0</v>
      </c>
      <c r="G58" s="1">
        <v>20000000</v>
      </c>
      <c r="H58">
        <f t="shared" si="0"/>
        <v>20000000</v>
      </c>
    </row>
    <row r="59" spans="1:8" x14ac:dyDescent="0.2">
      <c r="A59" t="s">
        <v>2</v>
      </c>
      <c r="B59" t="s">
        <v>3</v>
      </c>
      <c r="C59" t="s">
        <v>12</v>
      </c>
      <c r="D59">
        <v>0</v>
      </c>
      <c r="E59">
        <v>1</v>
      </c>
      <c r="F59">
        <v>1</v>
      </c>
      <c r="G59" s="1">
        <v>45000000</v>
      </c>
      <c r="H59">
        <f t="shared" si="0"/>
        <v>45000000</v>
      </c>
    </row>
    <row r="60" spans="1:8" x14ac:dyDescent="0.2">
      <c r="A60" t="s">
        <v>2</v>
      </c>
      <c r="B60" t="s">
        <v>3</v>
      </c>
      <c r="C60" t="s">
        <v>12</v>
      </c>
      <c r="D60">
        <v>0</v>
      </c>
      <c r="E60">
        <v>1</v>
      </c>
      <c r="F60">
        <v>2</v>
      </c>
      <c r="G60" s="1">
        <v>33000000</v>
      </c>
      <c r="H60">
        <f t="shared" si="0"/>
        <v>33000000</v>
      </c>
    </row>
    <row r="61" spans="1:8" x14ac:dyDescent="0.2">
      <c r="A61" t="s">
        <v>2</v>
      </c>
      <c r="B61" t="s">
        <v>3</v>
      </c>
      <c r="C61" t="s">
        <v>12</v>
      </c>
      <c r="D61">
        <v>0</v>
      </c>
      <c r="E61">
        <v>2</v>
      </c>
      <c r="F61">
        <v>0</v>
      </c>
      <c r="G61" s="1">
        <v>20000000</v>
      </c>
      <c r="H61">
        <f t="shared" si="0"/>
        <v>20000000</v>
      </c>
    </row>
    <row r="62" spans="1:8" x14ac:dyDescent="0.2">
      <c r="A62" t="s">
        <v>2</v>
      </c>
      <c r="B62" t="s">
        <v>3</v>
      </c>
      <c r="C62" t="s">
        <v>12</v>
      </c>
      <c r="D62">
        <v>0</v>
      </c>
      <c r="E62">
        <v>2</v>
      </c>
      <c r="F62">
        <v>1</v>
      </c>
      <c r="G62" s="1">
        <v>45000000</v>
      </c>
      <c r="H62">
        <f t="shared" si="0"/>
        <v>45000000</v>
      </c>
    </row>
    <row r="63" spans="1:8" x14ac:dyDescent="0.2">
      <c r="A63" t="s">
        <v>2</v>
      </c>
      <c r="B63" t="s">
        <v>3</v>
      </c>
      <c r="C63" t="s">
        <v>12</v>
      </c>
      <c r="D63">
        <v>0</v>
      </c>
      <c r="E63">
        <v>2</v>
      </c>
      <c r="F63">
        <v>2</v>
      </c>
      <c r="G63" s="1">
        <v>33000000</v>
      </c>
      <c r="H63">
        <f t="shared" si="0"/>
        <v>33000000</v>
      </c>
    </row>
    <row r="64" spans="1:8" x14ac:dyDescent="0.2">
      <c r="A64" t="s">
        <v>2</v>
      </c>
      <c r="B64" t="s">
        <v>3</v>
      </c>
      <c r="C64" t="s">
        <v>12</v>
      </c>
      <c r="D64">
        <v>0</v>
      </c>
      <c r="E64">
        <v>3</v>
      </c>
      <c r="F64">
        <v>0</v>
      </c>
      <c r="G64" s="1">
        <v>20000000</v>
      </c>
      <c r="H64">
        <f t="shared" si="0"/>
        <v>20000000</v>
      </c>
    </row>
    <row r="65" spans="1:8" x14ac:dyDescent="0.2">
      <c r="A65" t="s">
        <v>2</v>
      </c>
      <c r="B65" t="s">
        <v>3</v>
      </c>
      <c r="C65" t="s">
        <v>12</v>
      </c>
      <c r="D65">
        <v>0</v>
      </c>
      <c r="E65">
        <v>3</v>
      </c>
      <c r="F65">
        <v>1</v>
      </c>
      <c r="G65" s="1">
        <v>45000000</v>
      </c>
      <c r="H65">
        <f t="shared" si="0"/>
        <v>45000000</v>
      </c>
    </row>
    <row r="66" spans="1:8" x14ac:dyDescent="0.2">
      <c r="A66" t="s">
        <v>2</v>
      </c>
      <c r="B66" t="s">
        <v>3</v>
      </c>
      <c r="C66" t="s">
        <v>12</v>
      </c>
      <c r="D66">
        <v>0</v>
      </c>
      <c r="E66">
        <v>3</v>
      </c>
      <c r="F66">
        <v>2</v>
      </c>
      <c r="G66" s="1">
        <v>33000000</v>
      </c>
      <c r="H66">
        <f t="shared" ref="H66:H129" si="1">_xlfn.NUMBERVALUE(G66)</f>
        <v>33000000</v>
      </c>
    </row>
    <row r="67" spans="1:8" x14ac:dyDescent="0.2">
      <c r="A67" t="s">
        <v>2</v>
      </c>
      <c r="B67" t="s">
        <v>3</v>
      </c>
      <c r="C67" t="s">
        <v>12</v>
      </c>
      <c r="D67">
        <v>0</v>
      </c>
      <c r="E67">
        <v>4</v>
      </c>
      <c r="F67">
        <v>0</v>
      </c>
      <c r="G67" s="1">
        <v>20000000</v>
      </c>
      <c r="H67">
        <f t="shared" si="1"/>
        <v>20000000</v>
      </c>
    </row>
    <row r="68" spans="1:8" x14ac:dyDescent="0.2">
      <c r="A68" t="s">
        <v>2</v>
      </c>
      <c r="B68" t="s">
        <v>3</v>
      </c>
      <c r="C68" t="s">
        <v>12</v>
      </c>
      <c r="D68">
        <v>0</v>
      </c>
      <c r="E68">
        <v>4</v>
      </c>
      <c r="F68">
        <v>1</v>
      </c>
      <c r="G68" s="1">
        <v>45000000</v>
      </c>
      <c r="H68">
        <f t="shared" si="1"/>
        <v>45000000</v>
      </c>
    </row>
    <row r="69" spans="1:8" x14ac:dyDescent="0.2">
      <c r="A69" t="s">
        <v>2</v>
      </c>
      <c r="B69" t="s">
        <v>3</v>
      </c>
      <c r="C69" t="s">
        <v>12</v>
      </c>
      <c r="D69">
        <v>0</v>
      </c>
      <c r="E69">
        <v>4</v>
      </c>
      <c r="F69">
        <v>2</v>
      </c>
      <c r="G69" s="1">
        <v>33000000</v>
      </c>
      <c r="H69">
        <f t="shared" si="1"/>
        <v>33000000</v>
      </c>
    </row>
    <row r="70" spans="1:8" x14ac:dyDescent="0.2">
      <c r="A70" t="s">
        <v>2</v>
      </c>
      <c r="B70" t="s">
        <v>3</v>
      </c>
      <c r="C70" t="s">
        <v>12</v>
      </c>
      <c r="D70">
        <v>0</v>
      </c>
      <c r="E70">
        <v>5</v>
      </c>
      <c r="F70">
        <v>0</v>
      </c>
      <c r="G70" s="1">
        <v>20000000</v>
      </c>
      <c r="H70">
        <f t="shared" si="1"/>
        <v>20000000</v>
      </c>
    </row>
    <row r="71" spans="1:8" x14ac:dyDescent="0.2">
      <c r="A71" t="s">
        <v>2</v>
      </c>
      <c r="B71" t="s">
        <v>3</v>
      </c>
      <c r="C71" t="s">
        <v>12</v>
      </c>
      <c r="D71">
        <v>0</v>
      </c>
      <c r="E71">
        <v>5</v>
      </c>
      <c r="F71">
        <v>1</v>
      </c>
      <c r="G71" s="1">
        <v>45000000</v>
      </c>
      <c r="H71">
        <f t="shared" si="1"/>
        <v>45000000</v>
      </c>
    </row>
    <row r="72" spans="1:8" x14ac:dyDescent="0.2">
      <c r="A72" t="s">
        <v>2</v>
      </c>
      <c r="B72" t="s">
        <v>3</v>
      </c>
      <c r="C72" t="s">
        <v>12</v>
      </c>
      <c r="D72">
        <v>0</v>
      </c>
      <c r="E72">
        <v>5</v>
      </c>
      <c r="F72">
        <v>2</v>
      </c>
      <c r="G72" s="1">
        <v>33000000</v>
      </c>
      <c r="H72">
        <f t="shared" si="1"/>
        <v>33000000</v>
      </c>
    </row>
    <row r="73" spans="1:8" x14ac:dyDescent="0.2">
      <c r="A73" t="s">
        <v>2</v>
      </c>
      <c r="B73" t="s">
        <v>3</v>
      </c>
      <c r="C73" t="s">
        <v>12</v>
      </c>
      <c r="D73">
        <v>0</v>
      </c>
      <c r="E73">
        <v>6</v>
      </c>
      <c r="F73">
        <v>0</v>
      </c>
      <c r="G73" s="1">
        <v>20000000</v>
      </c>
      <c r="H73">
        <f t="shared" si="1"/>
        <v>20000000</v>
      </c>
    </row>
    <row r="74" spans="1:8" x14ac:dyDescent="0.2">
      <c r="A74" t="s">
        <v>2</v>
      </c>
      <c r="B74" t="s">
        <v>3</v>
      </c>
      <c r="C74" t="s">
        <v>12</v>
      </c>
      <c r="D74">
        <v>0</v>
      </c>
      <c r="E74">
        <v>6</v>
      </c>
      <c r="F74">
        <v>1</v>
      </c>
      <c r="G74" s="1">
        <v>45000000</v>
      </c>
      <c r="H74">
        <f t="shared" si="1"/>
        <v>45000000</v>
      </c>
    </row>
    <row r="75" spans="1:8" x14ac:dyDescent="0.2">
      <c r="A75" t="s">
        <v>2</v>
      </c>
      <c r="B75" t="s">
        <v>3</v>
      </c>
      <c r="C75" t="s">
        <v>12</v>
      </c>
      <c r="D75">
        <v>0</v>
      </c>
      <c r="E75">
        <v>6</v>
      </c>
      <c r="F75">
        <v>2</v>
      </c>
      <c r="G75" s="1">
        <v>33000000</v>
      </c>
      <c r="H75">
        <f t="shared" si="1"/>
        <v>33000000</v>
      </c>
    </row>
    <row r="76" spans="1:8" x14ac:dyDescent="0.2">
      <c r="A76" t="s">
        <v>2</v>
      </c>
      <c r="B76" t="s">
        <v>3</v>
      </c>
      <c r="C76" t="s">
        <v>12</v>
      </c>
      <c r="D76">
        <v>0</v>
      </c>
      <c r="E76">
        <v>7</v>
      </c>
      <c r="F76">
        <v>0</v>
      </c>
      <c r="G76" s="1">
        <v>20000000</v>
      </c>
      <c r="H76">
        <f t="shared" si="1"/>
        <v>20000000</v>
      </c>
    </row>
    <row r="77" spans="1:8" x14ac:dyDescent="0.2">
      <c r="A77" t="s">
        <v>2</v>
      </c>
      <c r="B77" t="s">
        <v>3</v>
      </c>
      <c r="C77" t="s">
        <v>12</v>
      </c>
      <c r="D77">
        <v>0</v>
      </c>
      <c r="E77">
        <v>7</v>
      </c>
      <c r="F77">
        <v>1</v>
      </c>
      <c r="G77" s="1">
        <v>45000000</v>
      </c>
      <c r="H77">
        <f t="shared" si="1"/>
        <v>45000000</v>
      </c>
    </row>
    <row r="78" spans="1:8" x14ac:dyDescent="0.2">
      <c r="A78" t="s">
        <v>2</v>
      </c>
      <c r="B78" t="s">
        <v>3</v>
      </c>
      <c r="C78" t="s">
        <v>12</v>
      </c>
      <c r="D78">
        <v>0</v>
      </c>
      <c r="E78">
        <v>7</v>
      </c>
      <c r="F78">
        <v>2</v>
      </c>
      <c r="G78" s="1">
        <v>33000000</v>
      </c>
      <c r="H78">
        <f t="shared" si="1"/>
        <v>33000000</v>
      </c>
    </row>
    <row r="79" spans="1:8" x14ac:dyDescent="0.2">
      <c r="A79" t="s">
        <v>2</v>
      </c>
      <c r="B79" t="s">
        <v>3</v>
      </c>
      <c r="C79" t="s">
        <v>12</v>
      </c>
      <c r="D79">
        <v>0</v>
      </c>
      <c r="E79">
        <v>8</v>
      </c>
      <c r="F79">
        <v>0</v>
      </c>
      <c r="G79" s="1">
        <v>20000000</v>
      </c>
      <c r="H79">
        <f t="shared" si="1"/>
        <v>20000000</v>
      </c>
    </row>
    <row r="80" spans="1:8" x14ac:dyDescent="0.2">
      <c r="A80" t="s">
        <v>2</v>
      </c>
      <c r="B80" t="s">
        <v>3</v>
      </c>
      <c r="C80" t="s">
        <v>12</v>
      </c>
      <c r="D80">
        <v>0</v>
      </c>
      <c r="E80">
        <v>8</v>
      </c>
      <c r="F80">
        <v>1</v>
      </c>
      <c r="G80" s="1">
        <v>45000000</v>
      </c>
      <c r="H80">
        <f t="shared" si="1"/>
        <v>45000000</v>
      </c>
    </row>
    <row r="81" spans="1:8" x14ac:dyDescent="0.2">
      <c r="A81" t="s">
        <v>2</v>
      </c>
      <c r="B81" t="s">
        <v>3</v>
      </c>
      <c r="C81" t="s">
        <v>12</v>
      </c>
      <c r="D81">
        <v>0</v>
      </c>
      <c r="E81">
        <v>8</v>
      </c>
      <c r="F81">
        <v>2</v>
      </c>
      <c r="G81" s="1">
        <v>33000000</v>
      </c>
      <c r="H81">
        <f t="shared" si="1"/>
        <v>33000000</v>
      </c>
    </row>
    <row r="82" spans="1:8" x14ac:dyDescent="0.2">
      <c r="A82" t="s">
        <v>2</v>
      </c>
      <c r="B82" t="s">
        <v>3</v>
      </c>
      <c r="C82" t="s">
        <v>12</v>
      </c>
      <c r="D82">
        <v>1</v>
      </c>
      <c r="E82">
        <v>0</v>
      </c>
      <c r="F82">
        <v>0</v>
      </c>
      <c r="G82" s="1">
        <v>20000000</v>
      </c>
      <c r="H82">
        <f t="shared" si="1"/>
        <v>20000000</v>
      </c>
    </row>
    <row r="83" spans="1:8" x14ac:dyDescent="0.2">
      <c r="A83" t="s">
        <v>2</v>
      </c>
      <c r="B83" t="s">
        <v>3</v>
      </c>
      <c r="C83" t="s">
        <v>12</v>
      </c>
      <c r="D83">
        <v>1</v>
      </c>
      <c r="E83">
        <v>0</v>
      </c>
      <c r="F83">
        <v>1</v>
      </c>
      <c r="G83" s="1">
        <v>45000000</v>
      </c>
      <c r="H83">
        <f t="shared" si="1"/>
        <v>45000000</v>
      </c>
    </row>
    <row r="84" spans="1:8" x14ac:dyDescent="0.2">
      <c r="A84" t="s">
        <v>2</v>
      </c>
      <c r="B84" t="s">
        <v>3</v>
      </c>
      <c r="C84" t="s">
        <v>12</v>
      </c>
      <c r="D84">
        <v>1</v>
      </c>
      <c r="E84">
        <v>0</v>
      </c>
      <c r="F84">
        <v>2</v>
      </c>
      <c r="G84" s="1" t="s">
        <v>13</v>
      </c>
      <c r="H84">
        <f t="shared" si="1"/>
        <v>0</v>
      </c>
    </row>
    <row r="85" spans="1:8" x14ac:dyDescent="0.2">
      <c r="A85" t="s">
        <v>2</v>
      </c>
      <c r="B85" t="s">
        <v>3</v>
      </c>
      <c r="C85" t="s">
        <v>12</v>
      </c>
      <c r="D85">
        <v>1</v>
      </c>
      <c r="E85">
        <v>1</v>
      </c>
      <c r="F85">
        <v>0</v>
      </c>
      <c r="G85" s="1">
        <v>20000000</v>
      </c>
      <c r="H85">
        <f t="shared" si="1"/>
        <v>20000000</v>
      </c>
    </row>
    <row r="86" spans="1:8" x14ac:dyDescent="0.2">
      <c r="A86" t="s">
        <v>2</v>
      </c>
      <c r="B86" t="s">
        <v>3</v>
      </c>
      <c r="C86" t="s">
        <v>12</v>
      </c>
      <c r="D86">
        <v>1</v>
      </c>
      <c r="E86">
        <v>1</v>
      </c>
      <c r="F86">
        <v>1</v>
      </c>
      <c r="G86" s="1">
        <v>45000000</v>
      </c>
      <c r="H86">
        <f t="shared" si="1"/>
        <v>45000000</v>
      </c>
    </row>
    <row r="87" spans="1:8" x14ac:dyDescent="0.2">
      <c r="A87" t="s">
        <v>2</v>
      </c>
      <c r="B87" t="s">
        <v>3</v>
      </c>
      <c r="C87" t="s">
        <v>12</v>
      </c>
      <c r="D87">
        <v>1</v>
      </c>
      <c r="E87">
        <v>1</v>
      </c>
      <c r="F87">
        <v>2</v>
      </c>
      <c r="G87" s="1" t="s">
        <v>13</v>
      </c>
      <c r="H87">
        <f t="shared" si="1"/>
        <v>0</v>
      </c>
    </row>
    <row r="88" spans="1:8" x14ac:dyDescent="0.2">
      <c r="A88" t="s">
        <v>2</v>
      </c>
      <c r="B88" t="s">
        <v>3</v>
      </c>
      <c r="C88" t="s">
        <v>12</v>
      </c>
      <c r="D88">
        <v>1</v>
      </c>
      <c r="E88">
        <v>2</v>
      </c>
      <c r="F88">
        <v>0</v>
      </c>
      <c r="G88" s="1">
        <v>20000000</v>
      </c>
      <c r="H88">
        <f t="shared" si="1"/>
        <v>20000000</v>
      </c>
    </row>
    <row r="89" spans="1:8" x14ac:dyDescent="0.2">
      <c r="A89" t="s">
        <v>2</v>
      </c>
      <c r="B89" t="s">
        <v>3</v>
      </c>
      <c r="C89" t="s">
        <v>12</v>
      </c>
      <c r="D89">
        <v>1</v>
      </c>
      <c r="E89">
        <v>2</v>
      </c>
      <c r="F89">
        <v>1</v>
      </c>
      <c r="G89" s="1">
        <v>45000000</v>
      </c>
      <c r="H89">
        <f t="shared" si="1"/>
        <v>45000000</v>
      </c>
    </row>
    <row r="90" spans="1:8" x14ac:dyDescent="0.2">
      <c r="A90" t="s">
        <v>2</v>
      </c>
      <c r="B90" t="s">
        <v>3</v>
      </c>
      <c r="C90" t="s">
        <v>12</v>
      </c>
      <c r="D90">
        <v>1</v>
      </c>
      <c r="E90">
        <v>2</v>
      </c>
      <c r="F90">
        <v>2</v>
      </c>
      <c r="G90" s="1">
        <v>33000000</v>
      </c>
      <c r="H90">
        <f t="shared" si="1"/>
        <v>33000000</v>
      </c>
    </row>
    <row r="91" spans="1:8" x14ac:dyDescent="0.2">
      <c r="A91" t="s">
        <v>2</v>
      </c>
      <c r="B91" t="s">
        <v>3</v>
      </c>
      <c r="C91" t="s">
        <v>12</v>
      </c>
      <c r="D91">
        <v>1</v>
      </c>
      <c r="E91">
        <v>3</v>
      </c>
      <c r="F91">
        <v>0</v>
      </c>
      <c r="G91" s="1">
        <v>20000000</v>
      </c>
      <c r="H91">
        <f t="shared" si="1"/>
        <v>20000000</v>
      </c>
    </row>
    <row r="92" spans="1:8" x14ac:dyDescent="0.2">
      <c r="A92" t="s">
        <v>2</v>
      </c>
      <c r="B92" t="s">
        <v>3</v>
      </c>
      <c r="C92" t="s">
        <v>12</v>
      </c>
      <c r="D92">
        <v>1</v>
      </c>
      <c r="E92">
        <v>3</v>
      </c>
      <c r="F92">
        <v>1</v>
      </c>
      <c r="G92" s="1">
        <v>45000000</v>
      </c>
      <c r="H92">
        <f t="shared" si="1"/>
        <v>45000000</v>
      </c>
    </row>
    <row r="93" spans="1:8" x14ac:dyDescent="0.2">
      <c r="A93" t="s">
        <v>2</v>
      </c>
      <c r="B93" t="s">
        <v>3</v>
      </c>
      <c r="C93" t="s">
        <v>12</v>
      </c>
      <c r="D93">
        <v>1</v>
      </c>
      <c r="E93">
        <v>3</v>
      </c>
      <c r="F93">
        <v>2</v>
      </c>
      <c r="G93" s="1" t="s">
        <v>13</v>
      </c>
      <c r="H93">
        <f t="shared" si="1"/>
        <v>0</v>
      </c>
    </row>
    <row r="94" spans="1:8" x14ac:dyDescent="0.2">
      <c r="A94" t="s">
        <v>2</v>
      </c>
      <c r="B94" t="s">
        <v>3</v>
      </c>
      <c r="C94" t="s">
        <v>12</v>
      </c>
      <c r="D94">
        <v>1</v>
      </c>
      <c r="E94">
        <v>4</v>
      </c>
      <c r="F94">
        <v>0</v>
      </c>
      <c r="G94" s="1">
        <v>20000000</v>
      </c>
      <c r="H94">
        <f t="shared" si="1"/>
        <v>20000000</v>
      </c>
    </row>
    <row r="95" spans="1:8" x14ac:dyDescent="0.2">
      <c r="A95" t="s">
        <v>2</v>
      </c>
      <c r="B95" t="s">
        <v>3</v>
      </c>
      <c r="C95" t="s">
        <v>12</v>
      </c>
      <c r="D95">
        <v>1</v>
      </c>
      <c r="E95">
        <v>4</v>
      </c>
      <c r="F95">
        <v>1</v>
      </c>
      <c r="G95" s="1">
        <v>45000000</v>
      </c>
      <c r="H95">
        <f t="shared" si="1"/>
        <v>45000000</v>
      </c>
    </row>
    <row r="96" spans="1:8" x14ac:dyDescent="0.2">
      <c r="A96" t="s">
        <v>2</v>
      </c>
      <c r="B96" t="s">
        <v>3</v>
      </c>
      <c r="C96" t="s">
        <v>12</v>
      </c>
      <c r="D96">
        <v>1</v>
      </c>
      <c r="E96">
        <v>4</v>
      </c>
      <c r="F96">
        <v>2</v>
      </c>
      <c r="G96" s="1" t="s">
        <v>13</v>
      </c>
      <c r="H96">
        <f t="shared" si="1"/>
        <v>0</v>
      </c>
    </row>
    <row r="97" spans="1:8" x14ac:dyDescent="0.2">
      <c r="A97" t="s">
        <v>2</v>
      </c>
      <c r="B97" t="s">
        <v>3</v>
      </c>
      <c r="C97" t="s">
        <v>12</v>
      </c>
      <c r="D97">
        <v>1</v>
      </c>
      <c r="E97">
        <v>5</v>
      </c>
      <c r="F97">
        <v>0</v>
      </c>
      <c r="G97" s="1">
        <v>20000000</v>
      </c>
      <c r="H97">
        <f t="shared" si="1"/>
        <v>20000000</v>
      </c>
    </row>
    <row r="98" spans="1:8" x14ac:dyDescent="0.2">
      <c r="A98" t="s">
        <v>2</v>
      </c>
      <c r="B98" t="s">
        <v>3</v>
      </c>
      <c r="C98" t="s">
        <v>12</v>
      </c>
      <c r="D98">
        <v>1</v>
      </c>
      <c r="E98">
        <v>5</v>
      </c>
      <c r="F98">
        <v>1</v>
      </c>
      <c r="G98" s="1">
        <v>45000000</v>
      </c>
      <c r="H98">
        <f t="shared" si="1"/>
        <v>45000000</v>
      </c>
    </row>
    <row r="99" spans="1:8" x14ac:dyDescent="0.2">
      <c r="A99" t="s">
        <v>2</v>
      </c>
      <c r="B99" t="s">
        <v>3</v>
      </c>
      <c r="C99" t="s">
        <v>12</v>
      </c>
      <c r="D99">
        <v>1</v>
      </c>
      <c r="E99">
        <v>5</v>
      </c>
      <c r="F99">
        <v>2</v>
      </c>
      <c r="G99" s="1">
        <v>33000000</v>
      </c>
      <c r="H99">
        <f t="shared" si="1"/>
        <v>33000000</v>
      </c>
    </row>
    <row r="100" spans="1:8" x14ac:dyDescent="0.2">
      <c r="A100" t="s">
        <v>2</v>
      </c>
      <c r="B100" t="s">
        <v>3</v>
      </c>
      <c r="C100" t="s">
        <v>12</v>
      </c>
      <c r="D100">
        <v>1</v>
      </c>
      <c r="E100">
        <v>6</v>
      </c>
      <c r="F100">
        <v>0</v>
      </c>
      <c r="G100" s="1">
        <v>20000000</v>
      </c>
      <c r="H100">
        <f t="shared" si="1"/>
        <v>20000000</v>
      </c>
    </row>
    <row r="101" spans="1:8" x14ac:dyDescent="0.2">
      <c r="A101" t="s">
        <v>2</v>
      </c>
      <c r="B101" t="s">
        <v>3</v>
      </c>
      <c r="C101" t="s">
        <v>12</v>
      </c>
      <c r="D101">
        <v>1</v>
      </c>
      <c r="E101">
        <v>6</v>
      </c>
      <c r="F101">
        <v>1</v>
      </c>
      <c r="G101" s="1">
        <v>45000000</v>
      </c>
      <c r="H101">
        <f t="shared" si="1"/>
        <v>45000000</v>
      </c>
    </row>
    <row r="102" spans="1:8" x14ac:dyDescent="0.2">
      <c r="A102" t="s">
        <v>2</v>
      </c>
      <c r="B102" t="s">
        <v>3</v>
      </c>
      <c r="C102" t="s">
        <v>12</v>
      </c>
      <c r="D102">
        <v>1</v>
      </c>
      <c r="E102">
        <v>6</v>
      </c>
      <c r="F102">
        <v>2</v>
      </c>
      <c r="G102" s="1" t="s">
        <v>13</v>
      </c>
      <c r="H102">
        <f t="shared" si="1"/>
        <v>0</v>
      </c>
    </row>
    <row r="103" spans="1:8" x14ac:dyDescent="0.2">
      <c r="A103" t="s">
        <v>2</v>
      </c>
      <c r="B103" t="s">
        <v>3</v>
      </c>
      <c r="C103" t="s">
        <v>12</v>
      </c>
      <c r="D103">
        <v>1</v>
      </c>
      <c r="E103">
        <v>7</v>
      </c>
      <c r="F103">
        <v>0</v>
      </c>
      <c r="G103" s="1">
        <v>20000000</v>
      </c>
      <c r="H103">
        <f t="shared" si="1"/>
        <v>20000000</v>
      </c>
    </row>
    <row r="104" spans="1:8" x14ac:dyDescent="0.2">
      <c r="A104" t="s">
        <v>2</v>
      </c>
      <c r="B104" t="s">
        <v>3</v>
      </c>
      <c r="C104" t="s">
        <v>12</v>
      </c>
      <c r="D104">
        <v>1</v>
      </c>
      <c r="E104">
        <v>7</v>
      </c>
      <c r="F104">
        <v>1</v>
      </c>
      <c r="G104" s="1">
        <v>45000000</v>
      </c>
      <c r="H104">
        <f t="shared" si="1"/>
        <v>45000000</v>
      </c>
    </row>
    <row r="105" spans="1:8" x14ac:dyDescent="0.2">
      <c r="A105" t="s">
        <v>2</v>
      </c>
      <c r="B105" t="s">
        <v>3</v>
      </c>
      <c r="C105" t="s">
        <v>12</v>
      </c>
      <c r="D105">
        <v>1</v>
      </c>
      <c r="E105">
        <v>7</v>
      </c>
      <c r="F105">
        <v>2</v>
      </c>
      <c r="G105" s="1" t="s">
        <v>13</v>
      </c>
      <c r="H105">
        <f t="shared" si="1"/>
        <v>0</v>
      </c>
    </row>
    <row r="106" spans="1:8" x14ac:dyDescent="0.2">
      <c r="A106" t="s">
        <v>2</v>
      </c>
      <c r="B106" t="s">
        <v>3</v>
      </c>
      <c r="C106" t="s">
        <v>12</v>
      </c>
      <c r="D106">
        <v>1</v>
      </c>
      <c r="E106">
        <v>8</v>
      </c>
      <c r="F106">
        <v>0</v>
      </c>
      <c r="G106" s="1">
        <v>20000000</v>
      </c>
      <c r="H106">
        <f t="shared" si="1"/>
        <v>20000000</v>
      </c>
    </row>
    <row r="107" spans="1:8" x14ac:dyDescent="0.2">
      <c r="A107" t="s">
        <v>2</v>
      </c>
      <c r="B107" t="s">
        <v>3</v>
      </c>
      <c r="C107" t="s">
        <v>12</v>
      </c>
      <c r="D107">
        <v>1</v>
      </c>
      <c r="E107">
        <v>8</v>
      </c>
      <c r="F107">
        <v>1</v>
      </c>
      <c r="G107" s="1">
        <v>45000000</v>
      </c>
      <c r="H107">
        <f t="shared" si="1"/>
        <v>45000000</v>
      </c>
    </row>
    <row r="108" spans="1:8" x14ac:dyDescent="0.2">
      <c r="A108" t="s">
        <v>2</v>
      </c>
      <c r="B108" t="s">
        <v>3</v>
      </c>
      <c r="C108" t="s">
        <v>12</v>
      </c>
      <c r="D108">
        <v>1</v>
      </c>
      <c r="E108">
        <v>8</v>
      </c>
      <c r="F108">
        <v>2</v>
      </c>
      <c r="G108" s="1">
        <v>33000000</v>
      </c>
      <c r="H108">
        <f t="shared" si="1"/>
        <v>33000000</v>
      </c>
    </row>
    <row r="109" spans="1:8" x14ac:dyDescent="0.2">
      <c r="A109" t="s">
        <v>2</v>
      </c>
      <c r="B109" t="s">
        <v>3</v>
      </c>
      <c r="C109" t="s">
        <v>12</v>
      </c>
      <c r="D109">
        <v>2</v>
      </c>
      <c r="E109">
        <v>0</v>
      </c>
      <c r="F109">
        <v>0</v>
      </c>
      <c r="G109" s="1">
        <v>20000000</v>
      </c>
      <c r="H109">
        <f t="shared" si="1"/>
        <v>20000000</v>
      </c>
    </row>
    <row r="110" spans="1:8" x14ac:dyDescent="0.2">
      <c r="A110" t="s">
        <v>2</v>
      </c>
      <c r="B110" t="s">
        <v>3</v>
      </c>
      <c r="C110" t="s">
        <v>12</v>
      </c>
      <c r="D110">
        <v>2</v>
      </c>
      <c r="E110">
        <v>0</v>
      </c>
      <c r="F110">
        <v>1</v>
      </c>
      <c r="G110" s="1" t="s">
        <v>13</v>
      </c>
      <c r="H110">
        <f t="shared" si="1"/>
        <v>0</v>
      </c>
    </row>
    <row r="111" spans="1:8" x14ac:dyDescent="0.2">
      <c r="A111" t="s">
        <v>2</v>
      </c>
      <c r="B111" t="s">
        <v>3</v>
      </c>
      <c r="C111" t="s">
        <v>12</v>
      </c>
      <c r="D111">
        <v>2</v>
      </c>
      <c r="E111">
        <v>0</v>
      </c>
      <c r="F111">
        <v>2</v>
      </c>
      <c r="G111" s="1" t="s">
        <v>13</v>
      </c>
      <c r="H111">
        <f t="shared" si="1"/>
        <v>0</v>
      </c>
    </row>
    <row r="112" spans="1:8" x14ac:dyDescent="0.2">
      <c r="A112" t="s">
        <v>2</v>
      </c>
      <c r="B112" t="s">
        <v>3</v>
      </c>
      <c r="C112" t="s">
        <v>12</v>
      </c>
      <c r="D112">
        <v>2</v>
      </c>
      <c r="E112">
        <v>1</v>
      </c>
      <c r="F112">
        <v>0</v>
      </c>
      <c r="G112" s="1">
        <v>20000000</v>
      </c>
      <c r="H112">
        <f t="shared" si="1"/>
        <v>20000000</v>
      </c>
    </row>
    <row r="113" spans="1:8" x14ac:dyDescent="0.2">
      <c r="A113" t="s">
        <v>2</v>
      </c>
      <c r="B113" t="s">
        <v>3</v>
      </c>
      <c r="C113" t="s">
        <v>12</v>
      </c>
      <c r="D113">
        <v>2</v>
      </c>
      <c r="E113">
        <v>1</v>
      </c>
      <c r="F113">
        <v>1</v>
      </c>
      <c r="G113" s="1">
        <v>45000000</v>
      </c>
      <c r="H113">
        <f t="shared" si="1"/>
        <v>45000000</v>
      </c>
    </row>
    <row r="114" spans="1:8" x14ac:dyDescent="0.2">
      <c r="A114" t="s">
        <v>2</v>
      </c>
      <c r="B114" t="s">
        <v>3</v>
      </c>
      <c r="C114" t="s">
        <v>12</v>
      </c>
      <c r="D114">
        <v>2</v>
      </c>
      <c r="E114">
        <v>1</v>
      </c>
      <c r="F114">
        <v>2</v>
      </c>
      <c r="G114" s="1" t="s">
        <v>13</v>
      </c>
      <c r="H114">
        <f t="shared" si="1"/>
        <v>0</v>
      </c>
    </row>
    <row r="115" spans="1:8" x14ac:dyDescent="0.2">
      <c r="A115" t="s">
        <v>2</v>
      </c>
      <c r="B115" t="s">
        <v>3</v>
      </c>
      <c r="C115" t="s">
        <v>12</v>
      </c>
      <c r="D115">
        <v>2</v>
      </c>
      <c r="E115">
        <v>2</v>
      </c>
      <c r="F115">
        <v>0</v>
      </c>
      <c r="G115" s="1">
        <v>20000000</v>
      </c>
      <c r="H115">
        <f t="shared" si="1"/>
        <v>20000000</v>
      </c>
    </row>
    <row r="116" spans="1:8" x14ac:dyDescent="0.2">
      <c r="A116" t="s">
        <v>2</v>
      </c>
      <c r="B116" t="s">
        <v>3</v>
      </c>
      <c r="C116" t="s">
        <v>12</v>
      </c>
      <c r="D116">
        <v>2</v>
      </c>
      <c r="E116">
        <v>2</v>
      </c>
      <c r="F116">
        <v>1</v>
      </c>
      <c r="G116" s="1">
        <v>45000000</v>
      </c>
      <c r="H116">
        <f t="shared" si="1"/>
        <v>45000000</v>
      </c>
    </row>
    <row r="117" spans="1:8" x14ac:dyDescent="0.2">
      <c r="A117" t="s">
        <v>2</v>
      </c>
      <c r="B117" t="s">
        <v>3</v>
      </c>
      <c r="C117" t="s">
        <v>12</v>
      </c>
      <c r="D117">
        <v>2</v>
      </c>
      <c r="E117">
        <v>2</v>
      </c>
      <c r="F117">
        <v>2</v>
      </c>
      <c r="G117" s="1">
        <v>33000000</v>
      </c>
      <c r="H117">
        <f t="shared" si="1"/>
        <v>33000000</v>
      </c>
    </row>
    <row r="118" spans="1:8" x14ac:dyDescent="0.2">
      <c r="A118" t="s">
        <v>2</v>
      </c>
      <c r="B118" t="s">
        <v>3</v>
      </c>
      <c r="C118" t="s">
        <v>12</v>
      </c>
      <c r="D118">
        <v>2</v>
      </c>
      <c r="E118">
        <v>3</v>
      </c>
      <c r="F118">
        <v>0</v>
      </c>
      <c r="G118" s="1">
        <v>20000000</v>
      </c>
      <c r="H118">
        <f t="shared" si="1"/>
        <v>20000000</v>
      </c>
    </row>
    <row r="119" spans="1:8" x14ac:dyDescent="0.2">
      <c r="A119" t="s">
        <v>2</v>
      </c>
      <c r="B119" t="s">
        <v>3</v>
      </c>
      <c r="C119" t="s">
        <v>12</v>
      </c>
      <c r="D119">
        <v>2</v>
      </c>
      <c r="E119">
        <v>3</v>
      </c>
      <c r="F119">
        <v>1</v>
      </c>
      <c r="G119" s="1" t="s">
        <v>13</v>
      </c>
      <c r="H119">
        <f t="shared" si="1"/>
        <v>0</v>
      </c>
    </row>
    <row r="120" spans="1:8" x14ac:dyDescent="0.2">
      <c r="A120" t="s">
        <v>2</v>
      </c>
      <c r="B120" t="s">
        <v>3</v>
      </c>
      <c r="C120" t="s">
        <v>12</v>
      </c>
      <c r="D120">
        <v>2</v>
      </c>
      <c r="E120">
        <v>3</v>
      </c>
      <c r="F120">
        <v>2</v>
      </c>
      <c r="G120" s="1" t="s">
        <v>13</v>
      </c>
      <c r="H120">
        <f t="shared" si="1"/>
        <v>0</v>
      </c>
    </row>
    <row r="121" spans="1:8" x14ac:dyDescent="0.2">
      <c r="A121" t="s">
        <v>2</v>
      </c>
      <c r="B121" t="s">
        <v>3</v>
      </c>
      <c r="C121" t="s">
        <v>12</v>
      </c>
      <c r="D121">
        <v>2</v>
      </c>
      <c r="E121">
        <v>4</v>
      </c>
      <c r="F121">
        <v>0</v>
      </c>
      <c r="G121" s="1">
        <v>20000000</v>
      </c>
      <c r="H121">
        <f t="shared" si="1"/>
        <v>20000000</v>
      </c>
    </row>
    <row r="122" spans="1:8" x14ac:dyDescent="0.2">
      <c r="A122" t="s">
        <v>2</v>
      </c>
      <c r="B122" t="s">
        <v>3</v>
      </c>
      <c r="C122" t="s">
        <v>12</v>
      </c>
      <c r="D122">
        <v>2</v>
      </c>
      <c r="E122">
        <v>4</v>
      </c>
      <c r="F122">
        <v>1</v>
      </c>
      <c r="G122" s="1">
        <v>45000000</v>
      </c>
      <c r="H122">
        <f t="shared" si="1"/>
        <v>45000000</v>
      </c>
    </row>
    <row r="123" spans="1:8" x14ac:dyDescent="0.2">
      <c r="A123" t="s">
        <v>2</v>
      </c>
      <c r="B123" t="s">
        <v>3</v>
      </c>
      <c r="C123" t="s">
        <v>12</v>
      </c>
      <c r="D123">
        <v>2</v>
      </c>
      <c r="E123">
        <v>4</v>
      </c>
      <c r="F123">
        <v>2</v>
      </c>
      <c r="G123" s="1" t="s">
        <v>13</v>
      </c>
      <c r="H123">
        <f t="shared" si="1"/>
        <v>0</v>
      </c>
    </row>
    <row r="124" spans="1:8" x14ac:dyDescent="0.2">
      <c r="A124" t="s">
        <v>2</v>
      </c>
      <c r="B124" t="s">
        <v>3</v>
      </c>
      <c r="C124" t="s">
        <v>12</v>
      </c>
      <c r="D124">
        <v>2</v>
      </c>
      <c r="E124">
        <v>5</v>
      </c>
      <c r="F124">
        <v>0</v>
      </c>
      <c r="G124" s="1">
        <v>20000000</v>
      </c>
      <c r="H124">
        <f t="shared" si="1"/>
        <v>20000000</v>
      </c>
    </row>
    <row r="125" spans="1:8" x14ac:dyDescent="0.2">
      <c r="A125" t="s">
        <v>2</v>
      </c>
      <c r="B125" t="s">
        <v>3</v>
      </c>
      <c r="C125" t="s">
        <v>12</v>
      </c>
      <c r="D125">
        <v>2</v>
      </c>
      <c r="E125">
        <v>5</v>
      </c>
      <c r="F125">
        <v>1</v>
      </c>
      <c r="G125" s="1">
        <v>45000000</v>
      </c>
      <c r="H125">
        <f t="shared" si="1"/>
        <v>45000000</v>
      </c>
    </row>
    <row r="126" spans="1:8" x14ac:dyDescent="0.2">
      <c r="A126" t="s">
        <v>2</v>
      </c>
      <c r="B126" t="s">
        <v>3</v>
      </c>
      <c r="C126" t="s">
        <v>12</v>
      </c>
      <c r="D126">
        <v>2</v>
      </c>
      <c r="E126">
        <v>5</v>
      </c>
      <c r="F126">
        <v>2</v>
      </c>
      <c r="G126" s="1">
        <v>33000000</v>
      </c>
      <c r="H126">
        <f t="shared" si="1"/>
        <v>33000000</v>
      </c>
    </row>
    <row r="127" spans="1:8" x14ac:dyDescent="0.2">
      <c r="A127" t="s">
        <v>2</v>
      </c>
      <c r="B127" t="s">
        <v>3</v>
      </c>
      <c r="C127" t="s">
        <v>12</v>
      </c>
      <c r="D127">
        <v>2</v>
      </c>
      <c r="E127">
        <v>6</v>
      </c>
      <c r="F127">
        <v>0</v>
      </c>
      <c r="G127" s="1">
        <v>20000000</v>
      </c>
      <c r="H127">
        <f t="shared" si="1"/>
        <v>20000000</v>
      </c>
    </row>
    <row r="128" spans="1:8" x14ac:dyDescent="0.2">
      <c r="A128" t="s">
        <v>2</v>
      </c>
      <c r="B128" t="s">
        <v>3</v>
      </c>
      <c r="C128" t="s">
        <v>12</v>
      </c>
      <c r="D128">
        <v>2</v>
      </c>
      <c r="E128">
        <v>6</v>
      </c>
      <c r="F128">
        <v>1</v>
      </c>
      <c r="G128" s="1" t="s">
        <v>13</v>
      </c>
      <c r="H128">
        <f t="shared" si="1"/>
        <v>0</v>
      </c>
    </row>
    <row r="129" spans="1:8" x14ac:dyDescent="0.2">
      <c r="A129" t="s">
        <v>2</v>
      </c>
      <c r="B129" t="s">
        <v>3</v>
      </c>
      <c r="C129" t="s">
        <v>12</v>
      </c>
      <c r="D129">
        <v>2</v>
      </c>
      <c r="E129">
        <v>6</v>
      </c>
      <c r="F129">
        <v>2</v>
      </c>
      <c r="G129" s="1" t="s">
        <v>13</v>
      </c>
      <c r="H129">
        <f t="shared" si="1"/>
        <v>0</v>
      </c>
    </row>
    <row r="130" spans="1:8" x14ac:dyDescent="0.2">
      <c r="A130" t="s">
        <v>2</v>
      </c>
      <c r="B130" t="s">
        <v>3</v>
      </c>
      <c r="C130" t="s">
        <v>12</v>
      </c>
      <c r="D130">
        <v>2</v>
      </c>
      <c r="E130">
        <v>7</v>
      </c>
      <c r="F130">
        <v>0</v>
      </c>
      <c r="G130" s="1">
        <v>20000000</v>
      </c>
      <c r="H130">
        <f t="shared" ref="H130:H193" si="2">_xlfn.NUMBERVALUE(G130)</f>
        <v>20000000</v>
      </c>
    </row>
    <row r="131" spans="1:8" x14ac:dyDescent="0.2">
      <c r="A131" t="s">
        <v>2</v>
      </c>
      <c r="B131" t="s">
        <v>3</v>
      </c>
      <c r="C131" t="s">
        <v>12</v>
      </c>
      <c r="D131">
        <v>2</v>
      </c>
      <c r="E131">
        <v>7</v>
      </c>
      <c r="F131">
        <v>1</v>
      </c>
      <c r="G131" s="1">
        <v>45000000</v>
      </c>
      <c r="H131">
        <f t="shared" si="2"/>
        <v>45000000</v>
      </c>
    </row>
    <row r="132" spans="1:8" x14ac:dyDescent="0.2">
      <c r="A132" t="s">
        <v>2</v>
      </c>
      <c r="B132" t="s">
        <v>3</v>
      </c>
      <c r="C132" t="s">
        <v>12</v>
      </c>
      <c r="D132">
        <v>2</v>
      </c>
      <c r="E132">
        <v>7</v>
      </c>
      <c r="F132">
        <v>2</v>
      </c>
      <c r="G132" s="1" t="s">
        <v>13</v>
      </c>
      <c r="H132">
        <f t="shared" si="2"/>
        <v>0</v>
      </c>
    </row>
    <row r="133" spans="1:8" x14ac:dyDescent="0.2">
      <c r="A133" t="s">
        <v>2</v>
      </c>
      <c r="B133" t="s">
        <v>3</v>
      </c>
      <c r="C133" t="s">
        <v>12</v>
      </c>
      <c r="D133">
        <v>2</v>
      </c>
      <c r="E133">
        <v>8</v>
      </c>
      <c r="F133">
        <v>0</v>
      </c>
      <c r="G133" s="1">
        <v>20000000</v>
      </c>
      <c r="H133">
        <f t="shared" si="2"/>
        <v>20000000</v>
      </c>
    </row>
    <row r="134" spans="1:8" x14ac:dyDescent="0.2">
      <c r="A134" t="s">
        <v>2</v>
      </c>
      <c r="B134" t="s">
        <v>3</v>
      </c>
      <c r="C134" t="s">
        <v>12</v>
      </c>
      <c r="D134">
        <v>2</v>
      </c>
      <c r="E134">
        <v>8</v>
      </c>
      <c r="F134">
        <v>1</v>
      </c>
      <c r="G134" s="1">
        <v>45000000</v>
      </c>
      <c r="H134">
        <f t="shared" si="2"/>
        <v>45000000</v>
      </c>
    </row>
    <row r="135" spans="1:8" x14ac:dyDescent="0.2">
      <c r="A135" t="s">
        <v>2</v>
      </c>
      <c r="B135" t="s">
        <v>3</v>
      </c>
      <c r="C135" t="s">
        <v>12</v>
      </c>
      <c r="D135">
        <v>2</v>
      </c>
      <c r="E135">
        <v>8</v>
      </c>
      <c r="F135">
        <v>2</v>
      </c>
      <c r="G135" s="1">
        <v>33000000</v>
      </c>
      <c r="H135">
        <f t="shared" si="2"/>
        <v>33000000</v>
      </c>
    </row>
    <row r="136" spans="1:8" x14ac:dyDescent="0.2">
      <c r="A136" t="s">
        <v>4</v>
      </c>
      <c r="B136" t="s">
        <v>5</v>
      </c>
      <c r="C136" t="s">
        <v>12</v>
      </c>
      <c r="D136" t="s">
        <v>12</v>
      </c>
      <c r="E136">
        <v>0</v>
      </c>
      <c r="F136">
        <v>0</v>
      </c>
      <c r="G136" s="1">
        <v>2412000000</v>
      </c>
      <c r="H136">
        <f t="shared" si="2"/>
        <v>2412000000</v>
      </c>
    </row>
    <row r="137" spans="1:8" x14ac:dyDescent="0.2">
      <c r="A137" t="s">
        <v>4</v>
      </c>
      <c r="B137" t="s">
        <v>5</v>
      </c>
      <c r="C137" t="s">
        <v>12</v>
      </c>
      <c r="D137" t="s">
        <v>12</v>
      </c>
      <c r="E137">
        <v>0</v>
      </c>
      <c r="F137">
        <v>1</v>
      </c>
      <c r="G137" s="1">
        <v>2412000000</v>
      </c>
      <c r="H137">
        <f t="shared" si="2"/>
        <v>2412000000</v>
      </c>
    </row>
    <row r="138" spans="1:8" x14ac:dyDescent="0.2">
      <c r="A138" t="s">
        <v>4</v>
      </c>
      <c r="B138" t="s">
        <v>5</v>
      </c>
      <c r="C138" t="s">
        <v>12</v>
      </c>
      <c r="D138" t="s">
        <v>12</v>
      </c>
      <c r="E138">
        <v>0</v>
      </c>
      <c r="F138">
        <v>2</v>
      </c>
      <c r="G138" s="1">
        <v>2412000000</v>
      </c>
      <c r="H138">
        <f t="shared" si="2"/>
        <v>2412000000</v>
      </c>
    </row>
    <row r="139" spans="1:8" x14ac:dyDescent="0.2">
      <c r="A139" t="s">
        <v>4</v>
      </c>
      <c r="B139" t="s">
        <v>5</v>
      </c>
      <c r="C139" t="s">
        <v>12</v>
      </c>
      <c r="D139" t="s">
        <v>12</v>
      </c>
      <c r="E139">
        <v>0</v>
      </c>
      <c r="F139">
        <v>3</v>
      </c>
      <c r="G139" s="1">
        <v>2417000000</v>
      </c>
      <c r="H139">
        <f t="shared" si="2"/>
        <v>2417000000</v>
      </c>
    </row>
    <row r="140" spans="1:8" x14ac:dyDescent="0.2">
      <c r="A140" t="s">
        <v>4</v>
      </c>
      <c r="B140" t="s">
        <v>5</v>
      </c>
      <c r="C140" t="s">
        <v>12</v>
      </c>
      <c r="D140" t="s">
        <v>12</v>
      </c>
      <c r="E140">
        <v>0</v>
      </c>
      <c r="F140">
        <v>4</v>
      </c>
      <c r="G140" s="1">
        <v>2417000000</v>
      </c>
      <c r="H140">
        <f t="shared" si="2"/>
        <v>2417000000</v>
      </c>
    </row>
    <row r="141" spans="1:8" x14ac:dyDescent="0.2">
      <c r="A141" t="s">
        <v>4</v>
      </c>
      <c r="B141" t="s">
        <v>5</v>
      </c>
      <c r="C141" t="s">
        <v>12</v>
      </c>
      <c r="D141" t="s">
        <v>12</v>
      </c>
      <c r="E141">
        <v>0</v>
      </c>
      <c r="F141">
        <v>5</v>
      </c>
      <c r="G141" s="1">
        <v>2417000000</v>
      </c>
      <c r="H141">
        <f t="shared" si="2"/>
        <v>2417000000</v>
      </c>
    </row>
    <row r="142" spans="1:8" x14ac:dyDescent="0.2">
      <c r="A142" t="s">
        <v>4</v>
      </c>
      <c r="B142" t="s">
        <v>5</v>
      </c>
      <c r="C142" t="s">
        <v>12</v>
      </c>
      <c r="D142" t="s">
        <v>12</v>
      </c>
      <c r="E142">
        <v>0</v>
      </c>
      <c r="F142">
        <v>6</v>
      </c>
      <c r="G142" s="1">
        <v>2422000000</v>
      </c>
      <c r="H142">
        <f t="shared" si="2"/>
        <v>2422000000</v>
      </c>
    </row>
    <row r="143" spans="1:8" x14ac:dyDescent="0.2">
      <c r="A143" t="s">
        <v>4</v>
      </c>
      <c r="B143" t="s">
        <v>5</v>
      </c>
      <c r="C143" t="s">
        <v>12</v>
      </c>
      <c r="D143" t="s">
        <v>12</v>
      </c>
      <c r="E143">
        <v>0</v>
      </c>
      <c r="F143">
        <v>7</v>
      </c>
      <c r="G143" s="1">
        <v>2422000000</v>
      </c>
      <c r="H143">
        <f t="shared" si="2"/>
        <v>2422000000</v>
      </c>
    </row>
    <row r="144" spans="1:8" x14ac:dyDescent="0.2">
      <c r="A144" t="s">
        <v>4</v>
      </c>
      <c r="B144" t="s">
        <v>5</v>
      </c>
      <c r="C144" t="s">
        <v>12</v>
      </c>
      <c r="D144" t="s">
        <v>12</v>
      </c>
      <c r="E144">
        <v>0</v>
      </c>
      <c r="F144">
        <v>8</v>
      </c>
      <c r="G144" s="1">
        <v>2422000000</v>
      </c>
      <c r="H144">
        <f t="shared" si="2"/>
        <v>2422000000</v>
      </c>
    </row>
    <row r="145" spans="1:8" x14ac:dyDescent="0.2">
      <c r="A145" t="s">
        <v>4</v>
      </c>
      <c r="B145" t="s">
        <v>5</v>
      </c>
      <c r="C145" t="s">
        <v>12</v>
      </c>
      <c r="D145" t="s">
        <v>12</v>
      </c>
      <c r="E145">
        <v>1</v>
      </c>
      <c r="F145">
        <v>0</v>
      </c>
      <c r="G145" s="1">
        <v>2357000000</v>
      </c>
      <c r="H145">
        <f t="shared" si="2"/>
        <v>2357000000</v>
      </c>
    </row>
    <row r="146" spans="1:8" x14ac:dyDescent="0.2">
      <c r="A146" t="s">
        <v>4</v>
      </c>
      <c r="B146" t="s">
        <v>5</v>
      </c>
      <c r="C146" t="s">
        <v>12</v>
      </c>
      <c r="D146" t="s">
        <v>12</v>
      </c>
      <c r="E146">
        <v>1</v>
      </c>
      <c r="F146">
        <v>1</v>
      </c>
      <c r="G146" s="1">
        <v>2357000000</v>
      </c>
      <c r="H146">
        <f t="shared" si="2"/>
        <v>2357000000</v>
      </c>
    </row>
    <row r="147" spans="1:8" x14ac:dyDescent="0.2">
      <c r="A147" t="s">
        <v>4</v>
      </c>
      <c r="B147" t="s">
        <v>5</v>
      </c>
      <c r="C147" t="s">
        <v>12</v>
      </c>
      <c r="D147" t="s">
        <v>12</v>
      </c>
      <c r="E147">
        <v>1</v>
      </c>
      <c r="F147">
        <v>2</v>
      </c>
      <c r="G147" s="1">
        <v>2324000000</v>
      </c>
      <c r="H147">
        <f t="shared" si="2"/>
        <v>2324000000</v>
      </c>
    </row>
    <row r="148" spans="1:8" x14ac:dyDescent="0.2">
      <c r="A148" t="s">
        <v>4</v>
      </c>
      <c r="B148" t="s">
        <v>5</v>
      </c>
      <c r="C148" t="s">
        <v>12</v>
      </c>
      <c r="D148" t="s">
        <v>12</v>
      </c>
      <c r="E148">
        <v>1</v>
      </c>
      <c r="F148">
        <v>3</v>
      </c>
      <c r="G148" s="1">
        <v>2367000000</v>
      </c>
      <c r="H148">
        <f t="shared" si="2"/>
        <v>2367000000</v>
      </c>
    </row>
    <row r="149" spans="1:8" x14ac:dyDescent="0.2">
      <c r="A149" t="s">
        <v>4</v>
      </c>
      <c r="B149" t="s">
        <v>5</v>
      </c>
      <c r="C149" t="s">
        <v>12</v>
      </c>
      <c r="D149" t="s">
        <v>12</v>
      </c>
      <c r="E149">
        <v>1</v>
      </c>
      <c r="F149">
        <v>4</v>
      </c>
      <c r="G149" s="1">
        <v>2367000000</v>
      </c>
      <c r="H149">
        <f t="shared" si="2"/>
        <v>2367000000</v>
      </c>
    </row>
    <row r="150" spans="1:8" x14ac:dyDescent="0.2">
      <c r="A150" t="s">
        <v>4</v>
      </c>
      <c r="B150" t="s">
        <v>5</v>
      </c>
      <c r="C150" t="s">
        <v>12</v>
      </c>
      <c r="D150" t="s">
        <v>12</v>
      </c>
      <c r="E150">
        <v>1</v>
      </c>
      <c r="F150">
        <v>5</v>
      </c>
      <c r="G150" s="1">
        <v>2334000000</v>
      </c>
      <c r="H150">
        <f t="shared" si="2"/>
        <v>2334000000</v>
      </c>
    </row>
    <row r="151" spans="1:8" x14ac:dyDescent="0.2">
      <c r="A151" t="s">
        <v>4</v>
      </c>
      <c r="B151" t="s">
        <v>5</v>
      </c>
      <c r="C151" t="s">
        <v>12</v>
      </c>
      <c r="D151" t="s">
        <v>12</v>
      </c>
      <c r="E151">
        <v>1</v>
      </c>
      <c r="F151">
        <v>6</v>
      </c>
      <c r="G151" s="1">
        <v>2377000000</v>
      </c>
      <c r="H151">
        <f t="shared" si="2"/>
        <v>2377000000</v>
      </c>
    </row>
    <row r="152" spans="1:8" x14ac:dyDescent="0.2">
      <c r="A152" t="s">
        <v>4</v>
      </c>
      <c r="B152" t="s">
        <v>5</v>
      </c>
      <c r="C152" t="s">
        <v>12</v>
      </c>
      <c r="D152" t="s">
        <v>12</v>
      </c>
      <c r="E152">
        <v>1</v>
      </c>
      <c r="F152">
        <v>7</v>
      </c>
      <c r="G152" s="1">
        <v>2377000000</v>
      </c>
      <c r="H152">
        <f t="shared" si="2"/>
        <v>2377000000</v>
      </c>
    </row>
    <row r="153" spans="1:8" x14ac:dyDescent="0.2">
      <c r="A153" t="s">
        <v>4</v>
      </c>
      <c r="B153" t="s">
        <v>5</v>
      </c>
      <c r="C153" t="s">
        <v>12</v>
      </c>
      <c r="D153" t="s">
        <v>12</v>
      </c>
      <c r="E153">
        <v>1</v>
      </c>
      <c r="F153">
        <v>8</v>
      </c>
      <c r="G153" s="1">
        <v>2344000000</v>
      </c>
      <c r="H153">
        <f t="shared" si="2"/>
        <v>2344000000</v>
      </c>
    </row>
    <row r="154" spans="1:8" x14ac:dyDescent="0.2">
      <c r="A154" t="s">
        <v>4</v>
      </c>
      <c r="B154" t="s">
        <v>5</v>
      </c>
      <c r="C154" t="s">
        <v>12</v>
      </c>
      <c r="D154" t="s">
        <v>12</v>
      </c>
      <c r="E154">
        <v>2</v>
      </c>
      <c r="F154">
        <v>0</v>
      </c>
      <c r="G154" s="1">
        <v>2347000000</v>
      </c>
      <c r="H154">
        <f t="shared" si="2"/>
        <v>2347000000</v>
      </c>
    </row>
    <row r="155" spans="1:8" x14ac:dyDescent="0.2">
      <c r="A155" t="s">
        <v>4</v>
      </c>
      <c r="B155" t="s">
        <v>5</v>
      </c>
      <c r="C155" t="s">
        <v>12</v>
      </c>
      <c r="D155" t="s">
        <v>12</v>
      </c>
      <c r="E155">
        <v>2</v>
      </c>
      <c r="F155">
        <v>1</v>
      </c>
      <c r="G155" s="1">
        <v>2302000000</v>
      </c>
      <c r="H155">
        <f t="shared" si="2"/>
        <v>2302000000</v>
      </c>
    </row>
    <row r="156" spans="1:8" x14ac:dyDescent="0.2">
      <c r="A156" t="s">
        <v>4</v>
      </c>
      <c r="B156" t="s">
        <v>5</v>
      </c>
      <c r="C156" t="s">
        <v>12</v>
      </c>
      <c r="D156" t="s">
        <v>12</v>
      </c>
      <c r="E156">
        <v>2</v>
      </c>
      <c r="F156">
        <v>2</v>
      </c>
      <c r="G156" s="1">
        <v>2236000000</v>
      </c>
      <c r="H156">
        <f t="shared" si="2"/>
        <v>2236000000</v>
      </c>
    </row>
    <row r="157" spans="1:8" x14ac:dyDescent="0.2">
      <c r="A157" t="s">
        <v>4</v>
      </c>
      <c r="B157" t="s">
        <v>5</v>
      </c>
      <c r="C157" t="s">
        <v>12</v>
      </c>
      <c r="D157" t="s">
        <v>12</v>
      </c>
      <c r="E157">
        <v>2</v>
      </c>
      <c r="F157">
        <v>3</v>
      </c>
      <c r="G157" s="1">
        <v>2362000000</v>
      </c>
      <c r="H157">
        <f t="shared" si="2"/>
        <v>2362000000</v>
      </c>
    </row>
    <row r="158" spans="1:8" x14ac:dyDescent="0.2">
      <c r="A158" t="s">
        <v>4</v>
      </c>
      <c r="B158" t="s">
        <v>5</v>
      </c>
      <c r="C158" t="s">
        <v>12</v>
      </c>
      <c r="D158" t="s">
        <v>12</v>
      </c>
      <c r="E158">
        <v>2</v>
      </c>
      <c r="F158">
        <v>4</v>
      </c>
      <c r="G158" s="1">
        <v>2317000000</v>
      </c>
      <c r="H158">
        <f t="shared" si="2"/>
        <v>2317000000</v>
      </c>
    </row>
    <row r="159" spans="1:8" x14ac:dyDescent="0.2">
      <c r="A159" t="s">
        <v>4</v>
      </c>
      <c r="B159" t="s">
        <v>5</v>
      </c>
      <c r="C159" t="s">
        <v>12</v>
      </c>
      <c r="D159" t="s">
        <v>12</v>
      </c>
      <c r="E159">
        <v>2</v>
      </c>
      <c r="F159">
        <v>5</v>
      </c>
      <c r="G159" s="1">
        <v>2251000000</v>
      </c>
      <c r="H159">
        <f t="shared" si="2"/>
        <v>2251000000</v>
      </c>
    </row>
    <row r="160" spans="1:8" x14ac:dyDescent="0.2">
      <c r="A160" t="s">
        <v>4</v>
      </c>
      <c r="B160" t="s">
        <v>5</v>
      </c>
      <c r="C160" t="s">
        <v>12</v>
      </c>
      <c r="D160" t="s">
        <v>12</v>
      </c>
      <c r="E160">
        <v>2</v>
      </c>
      <c r="F160">
        <v>6</v>
      </c>
      <c r="G160" s="1">
        <v>2377000000</v>
      </c>
      <c r="H160">
        <f t="shared" si="2"/>
        <v>2377000000</v>
      </c>
    </row>
    <row r="161" spans="1:8" x14ac:dyDescent="0.2">
      <c r="A161" t="s">
        <v>4</v>
      </c>
      <c r="B161" t="s">
        <v>5</v>
      </c>
      <c r="C161" t="s">
        <v>12</v>
      </c>
      <c r="D161" t="s">
        <v>12</v>
      </c>
      <c r="E161">
        <v>2</v>
      </c>
      <c r="F161">
        <v>7</v>
      </c>
      <c r="G161" s="1">
        <v>2332000000</v>
      </c>
      <c r="H161">
        <f t="shared" si="2"/>
        <v>2332000000</v>
      </c>
    </row>
    <row r="162" spans="1:8" x14ac:dyDescent="0.2">
      <c r="A162" t="s">
        <v>4</v>
      </c>
      <c r="B162" t="s">
        <v>5</v>
      </c>
      <c r="C162" t="s">
        <v>12</v>
      </c>
      <c r="D162" t="s">
        <v>12</v>
      </c>
      <c r="E162">
        <v>2</v>
      </c>
      <c r="F162">
        <v>8</v>
      </c>
      <c r="G162" s="1">
        <v>2266000000</v>
      </c>
      <c r="H162">
        <f t="shared" si="2"/>
        <v>2266000000</v>
      </c>
    </row>
    <row r="163" spans="1:8" x14ac:dyDescent="0.2">
      <c r="A163" t="s">
        <v>6</v>
      </c>
      <c r="B163" t="s">
        <v>7</v>
      </c>
      <c r="C163" t="s">
        <v>12</v>
      </c>
      <c r="D163">
        <v>0</v>
      </c>
      <c r="E163">
        <v>0</v>
      </c>
      <c r="F163">
        <v>0</v>
      </c>
      <c r="G163" s="1" t="s">
        <v>13</v>
      </c>
      <c r="H163">
        <v>2</v>
      </c>
    </row>
    <row r="164" spans="1:8" x14ac:dyDescent="0.2">
      <c r="A164" t="s">
        <v>6</v>
      </c>
      <c r="B164" t="s">
        <v>7</v>
      </c>
      <c r="C164" t="s">
        <v>12</v>
      </c>
      <c r="D164">
        <v>0</v>
      </c>
      <c r="E164">
        <v>0</v>
      </c>
      <c r="F164">
        <v>1</v>
      </c>
      <c r="G164" s="1">
        <v>98000000</v>
      </c>
      <c r="H164">
        <f t="shared" si="2"/>
        <v>98000000</v>
      </c>
    </row>
    <row r="165" spans="1:8" x14ac:dyDescent="0.2">
      <c r="A165" t="s">
        <v>6</v>
      </c>
      <c r="B165" t="s">
        <v>7</v>
      </c>
      <c r="C165" t="s">
        <v>12</v>
      </c>
      <c r="D165">
        <v>0</v>
      </c>
      <c r="E165">
        <v>1</v>
      </c>
      <c r="F165">
        <v>0</v>
      </c>
      <c r="G165" s="1" t="s">
        <v>13</v>
      </c>
      <c r="H165">
        <f t="shared" si="2"/>
        <v>0</v>
      </c>
    </row>
    <row r="166" spans="1:8" x14ac:dyDescent="0.2">
      <c r="A166" t="s">
        <v>6</v>
      </c>
      <c r="B166" t="s">
        <v>7</v>
      </c>
      <c r="C166" t="s">
        <v>12</v>
      </c>
      <c r="D166">
        <v>0</v>
      </c>
      <c r="E166">
        <v>1</v>
      </c>
      <c r="F166">
        <v>1</v>
      </c>
      <c r="G166" s="1">
        <v>98000000</v>
      </c>
      <c r="H166">
        <f t="shared" si="2"/>
        <v>98000000</v>
      </c>
    </row>
    <row r="167" spans="1:8" x14ac:dyDescent="0.2">
      <c r="A167" t="s">
        <v>6</v>
      </c>
      <c r="B167" t="s">
        <v>7</v>
      </c>
      <c r="C167" t="s">
        <v>12</v>
      </c>
      <c r="D167">
        <v>0</v>
      </c>
      <c r="E167">
        <v>2</v>
      </c>
      <c r="F167">
        <v>0</v>
      </c>
      <c r="G167" s="1" t="s">
        <v>13</v>
      </c>
      <c r="H167">
        <f t="shared" si="2"/>
        <v>0</v>
      </c>
    </row>
    <row r="168" spans="1:8" x14ac:dyDescent="0.2">
      <c r="A168" t="s">
        <v>6</v>
      </c>
      <c r="B168" t="s">
        <v>7</v>
      </c>
      <c r="C168" t="s">
        <v>12</v>
      </c>
      <c r="D168">
        <v>0</v>
      </c>
      <c r="E168">
        <v>2</v>
      </c>
      <c r="F168">
        <v>1</v>
      </c>
      <c r="G168" s="1">
        <v>98000000</v>
      </c>
      <c r="H168">
        <f t="shared" si="2"/>
        <v>98000000</v>
      </c>
    </row>
    <row r="169" spans="1:8" x14ac:dyDescent="0.2">
      <c r="A169" t="s">
        <v>6</v>
      </c>
      <c r="B169" t="s">
        <v>7</v>
      </c>
      <c r="C169" t="s">
        <v>12</v>
      </c>
      <c r="D169">
        <v>0</v>
      </c>
      <c r="E169">
        <v>3</v>
      </c>
      <c r="F169">
        <v>0</v>
      </c>
      <c r="G169" s="1" t="s">
        <v>13</v>
      </c>
      <c r="H169">
        <f t="shared" si="2"/>
        <v>0</v>
      </c>
    </row>
    <row r="170" spans="1:8" x14ac:dyDescent="0.2">
      <c r="A170" t="s">
        <v>6</v>
      </c>
      <c r="B170" t="s">
        <v>7</v>
      </c>
      <c r="C170" t="s">
        <v>12</v>
      </c>
      <c r="D170">
        <v>0</v>
      </c>
      <c r="E170">
        <v>3</v>
      </c>
      <c r="F170">
        <v>1</v>
      </c>
      <c r="G170" s="1">
        <v>98000000</v>
      </c>
      <c r="H170">
        <f t="shared" si="2"/>
        <v>98000000</v>
      </c>
    </row>
    <row r="171" spans="1:8" x14ac:dyDescent="0.2">
      <c r="A171" t="s">
        <v>6</v>
      </c>
      <c r="B171" t="s">
        <v>7</v>
      </c>
      <c r="C171" t="s">
        <v>12</v>
      </c>
      <c r="D171">
        <v>0</v>
      </c>
      <c r="E171">
        <v>4</v>
      </c>
      <c r="F171">
        <v>0</v>
      </c>
      <c r="G171" s="1" t="s">
        <v>13</v>
      </c>
      <c r="H171">
        <f t="shared" si="2"/>
        <v>0</v>
      </c>
    </row>
    <row r="172" spans="1:8" x14ac:dyDescent="0.2">
      <c r="A172" t="s">
        <v>6</v>
      </c>
      <c r="B172" t="s">
        <v>7</v>
      </c>
      <c r="C172" t="s">
        <v>12</v>
      </c>
      <c r="D172">
        <v>0</v>
      </c>
      <c r="E172">
        <v>4</v>
      </c>
      <c r="F172">
        <v>1</v>
      </c>
      <c r="G172" s="1">
        <v>98000000</v>
      </c>
      <c r="H172">
        <f t="shared" si="2"/>
        <v>98000000</v>
      </c>
    </row>
    <row r="173" spans="1:8" x14ac:dyDescent="0.2">
      <c r="A173" t="s">
        <v>6</v>
      </c>
      <c r="B173" t="s">
        <v>7</v>
      </c>
      <c r="C173" t="s">
        <v>12</v>
      </c>
      <c r="D173">
        <v>0</v>
      </c>
      <c r="E173">
        <v>5</v>
      </c>
      <c r="F173">
        <v>0</v>
      </c>
      <c r="G173" s="1" t="s">
        <v>13</v>
      </c>
      <c r="H173">
        <f t="shared" si="2"/>
        <v>0</v>
      </c>
    </row>
    <row r="174" spans="1:8" x14ac:dyDescent="0.2">
      <c r="A174" t="s">
        <v>6</v>
      </c>
      <c r="B174" t="s">
        <v>7</v>
      </c>
      <c r="C174" t="s">
        <v>12</v>
      </c>
      <c r="D174">
        <v>0</v>
      </c>
      <c r="E174">
        <v>5</v>
      </c>
      <c r="F174">
        <v>1</v>
      </c>
      <c r="G174" s="1">
        <v>98000000</v>
      </c>
      <c r="H174">
        <f t="shared" si="2"/>
        <v>98000000</v>
      </c>
    </row>
    <row r="175" spans="1:8" x14ac:dyDescent="0.2">
      <c r="A175" t="s">
        <v>6</v>
      </c>
      <c r="B175" t="s">
        <v>7</v>
      </c>
      <c r="C175" t="s">
        <v>12</v>
      </c>
      <c r="D175">
        <v>0</v>
      </c>
      <c r="E175">
        <v>6</v>
      </c>
      <c r="F175">
        <v>0</v>
      </c>
      <c r="G175" s="1" t="s">
        <v>13</v>
      </c>
      <c r="H175">
        <f t="shared" si="2"/>
        <v>0</v>
      </c>
    </row>
    <row r="176" spans="1:8" x14ac:dyDescent="0.2">
      <c r="A176" t="s">
        <v>6</v>
      </c>
      <c r="B176" t="s">
        <v>7</v>
      </c>
      <c r="C176" t="s">
        <v>12</v>
      </c>
      <c r="D176">
        <v>0</v>
      </c>
      <c r="E176">
        <v>6</v>
      </c>
      <c r="F176">
        <v>1</v>
      </c>
      <c r="G176" s="1">
        <v>98000000</v>
      </c>
      <c r="H176">
        <f t="shared" si="2"/>
        <v>98000000</v>
      </c>
    </row>
    <row r="177" spans="1:8" x14ac:dyDescent="0.2">
      <c r="A177" t="s">
        <v>6</v>
      </c>
      <c r="B177" t="s">
        <v>7</v>
      </c>
      <c r="C177" t="s">
        <v>12</v>
      </c>
      <c r="D177">
        <v>0</v>
      </c>
      <c r="E177">
        <v>7</v>
      </c>
      <c r="F177">
        <v>0</v>
      </c>
      <c r="G177" s="1" t="s">
        <v>13</v>
      </c>
      <c r="H177">
        <f t="shared" si="2"/>
        <v>0</v>
      </c>
    </row>
    <row r="178" spans="1:8" x14ac:dyDescent="0.2">
      <c r="A178" t="s">
        <v>6</v>
      </c>
      <c r="B178" t="s">
        <v>7</v>
      </c>
      <c r="C178" t="s">
        <v>12</v>
      </c>
      <c r="D178">
        <v>0</v>
      </c>
      <c r="E178">
        <v>7</v>
      </c>
      <c r="F178">
        <v>1</v>
      </c>
      <c r="G178" s="1">
        <v>98000000</v>
      </c>
      <c r="H178">
        <f t="shared" si="2"/>
        <v>98000000</v>
      </c>
    </row>
    <row r="179" spans="1:8" x14ac:dyDescent="0.2">
      <c r="A179" t="s">
        <v>6</v>
      </c>
      <c r="B179" t="s">
        <v>7</v>
      </c>
      <c r="C179" t="s">
        <v>12</v>
      </c>
      <c r="D179">
        <v>0</v>
      </c>
      <c r="E179">
        <v>8</v>
      </c>
      <c r="F179">
        <v>0</v>
      </c>
      <c r="G179" s="1" t="s">
        <v>13</v>
      </c>
      <c r="H179">
        <f t="shared" si="2"/>
        <v>0</v>
      </c>
    </row>
    <row r="180" spans="1:8" x14ac:dyDescent="0.2">
      <c r="A180" t="s">
        <v>6</v>
      </c>
      <c r="B180" t="s">
        <v>7</v>
      </c>
      <c r="C180" t="s">
        <v>12</v>
      </c>
      <c r="D180">
        <v>0</v>
      </c>
      <c r="E180">
        <v>8</v>
      </c>
      <c r="F180">
        <v>1</v>
      </c>
      <c r="G180" s="1">
        <v>98000000</v>
      </c>
      <c r="H180">
        <f t="shared" si="2"/>
        <v>98000000</v>
      </c>
    </row>
    <row r="181" spans="1:8" x14ac:dyDescent="0.2">
      <c r="A181" t="s">
        <v>6</v>
      </c>
      <c r="B181" t="s">
        <v>7</v>
      </c>
      <c r="C181" t="s">
        <v>12</v>
      </c>
      <c r="D181">
        <v>1</v>
      </c>
      <c r="E181">
        <v>0</v>
      </c>
      <c r="F181">
        <v>0</v>
      </c>
      <c r="G181" s="1">
        <v>65000000</v>
      </c>
      <c r="H181">
        <f t="shared" si="2"/>
        <v>65000000</v>
      </c>
    </row>
    <row r="182" spans="1:8" x14ac:dyDescent="0.2">
      <c r="A182" t="s">
        <v>6</v>
      </c>
      <c r="B182" t="s">
        <v>7</v>
      </c>
      <c r="C182" t="s">
        <v>12</v>
      </c>
      <c r="D182">
        <v>1</v>
      </c>
      <c r="E182">
        <v>0</v>
      </c>
      <c r="F182">
        <v>1</v>
      </c>
      <c r="G182" s="1" t="s">
        <v>13</v>
      </c>
      <c r="H182">
        <f t="shared" si="2"/>
        <v>0</v>
      </c>
    </row>
    <row r="183" spans="1:8" x14ac:dyDescent="0.2">
      <c r="A183" t="s">
        <v>6</v>
      </c>
      <c r="B183" t="s">
        <v>7</v>
      </c>
      <c r="C183" t="s">
        <v>12</v>
      </c>
      <c r="D183">
        <v>1</v>
      </c>
      <c r="E183">
        <v>1</v>
      </c>
      <c r="F183">
        <v>0</v>
      </c>
      <c r="G183" s="1">
        <v>65000000</v>
      </c>
      <c r="H183">
        <f t="shared" si="2"/>
        <v>65000000</v>
      </c>
    </row>
    <row r="184" spans="1:8" x14ac:dyDescent="0.2">
      <c r="A184" t="s">
        <v>6</v>
      </c>
      <c r="B184" t="s">
        <v>7</v>
      </c>
      <c r="C184" t="s">
        <v>12</v>
      </c>
      <c r="D184">
        <v>1</v>
      </c>
      <c r="E184">
        <v>1</v>
      </c>
      <c r="F184">
        <v>1</v>
      </c>
      <c r="G184" s="1" t="s">
        <v>13</v>
      </c>
      <c r="H184">
        <f t="shared" si="2"/>
        <v>0</v>
      </c>
    </row>
    <row r="185" spans="1:8" x14ac:dyDescent="0.2">
      <c r="A185" t="s">
        <v>6</v>
      </c>
      <c r="B185" t="s">
        <v>7</v>
      </c>
      <c r="C185" t="s">
        <v>12</v>
      </c>
      <c r="D185">
        <v>1</v>
      </c>
      <c r="E185">
        <v>2</v>
      </c>
      <c r="F185">
        <v>0</v>
      </c>
      <c r="G185" s="1">
        <v>65000000</v>
      </c>
      <c r="H185">
        <f t="shared" si="2"/>
        <v>65000000</v>
      </c>
    </row>
    <row r="186" spans="1:8" x14ac:dyDescent="0.2">
      <c r="A186" t="s">
        <v>6</v>
      </c>
      <c r="B186" t="s">
        <v>7</v>
      </c>
      <c r="C186" t="s">
        <v>12</v>
      </c>
      <c r="D186">
        <v>1</v>
      </c>
      <c r="E186">
        <v>2</v>
      </c>
      <c r="F186">
        <v>1</v>
      </c>
      <c r="G186" s="1">
        <v>33000000</v>
      </c>
      <c r="H186">
        <f t="shared" si="2"/>
        <v>33000000</v>
      </c>
    </row>
    <row r="187" spans="1:8" x14ac:dyDescent="0.2">
      <c r="A187" t="s">
        <v>6</v>
      </c>
      <c r="B187" t="s">
        <v>7</v>
      </c>
      <c r="C187" t="s">
        <v>12</v>
      </c>
      <c r="D187">
        <v>1</v>
      </c>
      <c r="E187">
        <v>3</v>
      </c>
      <c r="F187">
        <v>0</v>
      </c>
      <c r="G187" s="1">
        <v>65000000</v>
      </c>
      <c r="H187">
        <f t="shared" si="2"/>
        <v>65000000</v>
      </c>
    </row>
    <row r="188" spans="1:8" x14ac:dyDescent="0.2">
      <c r="A188" t="s">
        <v>6</v>
      </c>
      <c r="B188" t="s">
        <v>7</v>
      </c>
      <c r="C188" t="s">
        <v>12</v>
      </c>
      <c r="D188">
        <v>1</v>
      </c>
      <c r="E188">
        <v>3</v>
      </c>
      <c r="F188">
        <v>1</v>
      </c>
      <c r="G188" s="1" t="s">
        <v>13</v>
      </c>
      <c r="H188">
        <f t="shared" si="2"/>
        <v>0</v>
      </c>
    </row>
    <row r="189" spans="1:8" x14ac:dyDescent="0.2">
      <c r="A189" t="s">
        <v>6</v>
      </c>
      <c r="B189" t="s">
        <v>7</v>
      </c>
      <c r="C189" t="s">
        <v>12</v>
      </c>
      <c r="D189">
        <v>1</v>
      </c>
      <c r="E189">
        <v>4</v>
      </c>
      <c r="F189">
        <v>0</v>
      </c>
      <c r="G189" s="1">
        <v>65000000</v>
      </c>
      <c r="H189">
        <f t="shared" si="2"/>
        <v>65000000</v>
      </c>
    </row>
    <row r="190" spans="1:8" x14ac:dyDescent="0.2">
      <c r="A190" t="s">
        <v>6</v>
      </c>
      <c r="B190" t="s">
        <v>7</v>
      </c>
      <c r="C190" t="s">
        <v>12</v>
      </c>
      <c r="D190">
        <v>1</v>
      </c>
      <c r="E190">
        <v>4</v>
      </c>
      <c r="F190">
        <v>1</v>
      </c>
      <c r="G190" s="1" t="s">
        <v>13</v>
      </c>
      <c r="H190">
        <f t="shared" si="2"/>
        <v>0</v>
      </c>
    </row>
    <row r="191" spans="1:8" x14ac:dyDescent="0.2">
      <c r="A191" t="s">
        <v>6</v>
      </c>
      <c r="B191" t="s">
        <v>7</v>
      </c>
      <c r="C191" t="s">
        <v>12</v>
      </c>
      <c r="D191">
        <v>1</v>
      </c>
      <c r="E191">
        <v>5</v>
      </c>
      <c r="F191">
        <v>0</v>
      </c>
      <c r="G191" s="1">
        <v>65000000</v>
      </c>
      <c r="H191">
        <f t="shared" si="2"/>
        <v>65000000</v>
      </c>
    </row>
    <row r="192" spans="1:8" x14ac:dyDescent="0.2">
      <c r="A192" t="s">
        <v>6</v>
      </c>
      <c r="B192" t="s">
        <v>7</v>
      </c>
      <c r="C192" t="s">
        <v>12</v>
      </c>
      <c r="D192">
        <v>1</v>
      </c>
      <c r="E192">
        <v>5</v>
      </c>
      <c r="F192">
        <v>1</v>
      </c>
      <c r="G192" s="1">
        <v>33000000</v>
      </c>
      <c r="H192">
        <f t="shared" si="2"/>
        <v>33000000</v>
      </c>
    </row>
    <row r="193" spans="1:8" x14ac:dyDescent="0.2">
      <c r="A193" t="s">
        <v>6</v>
      </c>
      <c r="B193" t="s">
        <v>7</v>
      </c>
      <c r="C193" t="s">
        <v>12</v>
      </c>
      <c r="D193">
        <v>1</v>
      </c>
      <c r="E193">
        <v>6</v>
      </c>
      <c r="F193">
        <v>0</v>
      </c>
      <c r="G193" s="1">
        <v>65000000</v>
      </c>
      <c r="H193">
        <f t="shared" si="2"/>
        <v>65000000</v>
      </c>
    </row>
    <row r="194" spans="1:8" x14ac:dyDescent="0.2">
      <c r="A194" t="s">
        <v>6</v>
      </c>
      <c r="B194" t="s">
        <v>7</v>
      </c>
      <c r="C194" t="s">
        <v>12</v>
      </c>
      <c r="D194">
        <v>1</v>
      </c>
      <c r="E194">
        <v>6</v>
      </c>
      <c r="F194">
        <v>1</v>
      </c>
      <c r="G194" s="1" t="s">
        <v>13</v>
      </c>
      <c r="H194">
        <f t="shared" ref="H194:H257" si="3">_xlfn.NUMBERVALUE(G194)</f>
        <v>0</v>
      </c>
    </row>
    <row r="195" spans="1:8" x14ac:dyDescent="0.2">
      <c r="A195" t="s">
        <v>6</v>
      </c>
      <c r="B195" t="s">
        <v>7</v>
      </c>
      <c r="C195" t="s">
        <v>12</v>
      </c>
      <c r="D195">
        <v>1</v>
      </c>
      <c r="E195">
        <v>7</v>
      </c>
      <c r="F195">
        <v>0</v>
      </c>
      <c r="G195" s="1">
        <v>65000000</v>
      </c>
      <c r="H195">
        <f t="shared" si="3"/>
        <v>65000000</v>
      </c>
    </row>
    <row r="196" spans="1:8" x14ac:dyDescent="0.2">
      <c r="A196" t="s">
        <v>6</v>
      </c>
      <c r="B196" t="s">
        <v>7</v>
      </c>
      <c r="C196" t="s">
        <v>12</v>
      </c>
      <c r="D196">
        <v>1</v>
      </c>
      <c r="E196">
        <v>7</v>
      </c>
      <c r="F196">
        <v>1</v>
      </c>
      <c r="G196" s="1" t="s">
        <v>13</v>
      </c>
      <c r="H196">
        <f t="shared" si="3"/>
        <v>0</v>
      </c>
    </row>
    <row r="197" spans="1:8" x14ac:dyDescent="0.2">
      <c r="A197" t="s">
        <v>6</v>
      </c>
      <c r="B197" t="s">
        <v>7</v>
      </c>
      <c r="C197" t="s">
        <v>12</v>
      </c>
      <c r="D197">
        <v>1</v>
      </c>
      <c r="E197">
        <v>8</v>
      </c>
      <c r="F197">
        <v>0</v>
      </c>
      <c r="G197" s="1">
        <v>65000000</v>
      </c>
      <c r="H197">
        <f t="shared" si="3"/>
        <v>65000000</v>
      </c>
    </row>
    <row r="198" spans="1:8" x14ac:dyDescent="0.2">
      <c r="A198" t="s">
        <v>6</v>
      </c>
      <c r="B198" t="s">
        <v>7</v>
      </c>
      <c r="C198" t="s">
        <v>12</v>
      </c>
      <c r="D198">
        <v>1</v>
      </c>
      <c r="E198">
        <v>8</v>
      </c>
      <c r="F198">
        <v>1</v>
      </c>
      <c r="G198" s="1">
        <v>33000000</v>
      </c>
      <c r="H198">
        <f t="shared" si="3"/>
        <v>33000000</v>
      </c>
    </row>
    <row r="199" spans="1:8" x14ac:dyDescent="0.2">
      <c r="A199" t="s">
        <v>6</v>
      </c>
      <c r="B199" t="s">
        <v>7</v>
      </c>
      <c r="C199" t="s">
        <v>12</v>
      </c>
      <c r="D199">
        <v>2</v>
      </c>
      <c r="E199">
        <v>0</v>
      </c>
      <c r="F199">
        <v>0</v>
      </c>
      <c r="G199" s="1">
        <v>16157676</v>
      </c>
      <c r="H199">
        <f t="shared" si="3"/>
        <v>16157676</v>
      </c>
    </row>
    <row r="200" spans="1:8" x14ac:dyDescent="0.2">
      <c r="A200" t="s">
        <v>6</v>
      </c>
      <c r="B200" t="s">
        <v>7</v>
      </c>
      <c r="C200" t="s">
        <v>12</v>
      </c>
      <c r="D200">
        <v>2</v>
      </c>
      <c r="E200">
        <v>0</v>
      </c>
      <c r="F200">
        <v>1</v>
      </c>
      <c r="G200" s="1">
        <v>3842324</v>
      </c>
      <c r="H200">
        <f t="shared" si="3"/>
        <v>3842324</v>
      </c>
    </row>
    <row r="201" spans="1:8" x14ac:dyDescent="0.2">
      <c r="A201" t="s">
        <v>6</v>
      </c>
      <c r="B201" t="s">
        <v>7</v>
      </c>
      <c r="C201" t="s">
        <v>12</v>
      </c>
      <c r="D201">
        <v>2</v>
      </c>
      <c r="E201">
        <v>1</v>
      </c>
      <c r="F201">
        <v>0</v>
      </c>
      <c r="G201" s="1">
        <v>16157676</v>
      </c>
      <c r="H201">
        <f t="shared" si="3"/>
        <v>16157676</v>
      </c>
    </row>
    <row r="202" spans="1:8" x14ac:dyDescent="0.2">
      <c r="A202" t="s">
        <v>6</v>
      </c>
      <c r="B202" t="s">
        <v>7</v>
      </c>
      <c r="C202" t="s">
        <v>12</v>
      </c>
      <c r="D202">
        <v>2</v>
      </c>
      <c r="E202">
        <v>1</v>
      </c>
      <c r="F202">
        <v>1</v>
      </c>
      <c r="G202" s="1">
        <v>48842324</v>
      </c>
      <c r="H202">
        <f t="shared" si="3"/>
        <v>48842324</v>
      </c>
    </row>
    <row r="203" spans="1:8" x14ac:dyDescent="0.2">
      <c r="A203" t="s">
        <v>6</v>
      </c>
      <c r="B203" t="s">
        <v>7</v>
      </c>
      <c r="C203" t="s">
        <v>12</v>
      </c>
      <c r="D203">
        <v>2</v>
      </c>
      <c r="E203">
        <v>2</v>
      </c>
      <c r="F203">
        <v>0</v>
      </c>
      <c r="G203" s="1">
        <v>16157676</v>
      </c>
      <c r="H203">
        <f t="shared" si="3"/>
        <v>16157676</v>
      </c>
    </row>
    <row r="204" spans="1:8" x14ac:dyDescent="0.2">
      <c r="A204" t="s">
        <v>6</v>
      </c>
      <c r="B204" t="s">
        <v>7</v>
      </c>
      <c r="C204" t="s">
        <v>12</v>
      </c>
      <c r="D204">
        <v>2</v>
      </c>
      <c r="E204">
        <v>2</v>
      </c>
      <c r="F204">
        <v>1</v>
      </c>
      <c r="G204" s="1">
        <v>81842324</v>
      </c>
      <c r="H204">
        <f t="shared" si="3"/>
        <v>81842324</v>
      </c>
    </row>
    <row r="205" spans="1:8" x14ac:dyDescent="0.2">
      <c r="A205" t="s">
        <v>6</v>
      </c>
      <c r="B205" t="s">
        <v>7</v>
      </c>
      <c r="C205" t="s">
        <v>12</v>
      </c>
      <c r="D205">
        <v>2</v>
      </c>
      <c r="E205">
        <v>3</v>
      </c>
      <c r="F205">
        <v>0</v>
      </c>
      <c r="G205" s="1">
        <v>16157676</v>
      </c>
      <c r="H205">
        <f t="shared" si="3"/>
        <v>16157676</v>
      </c>
    </row>
    <row r="206" spans="1:8" x14ac:dyDescent="0.2">
      <c r="A206" t="s">
        <v>6</v>
      </c>
      <c r="B206" t="s">
        <v>7</v>
      </c>
      <c r="C206" t="s">
        <v>12</v>
      </c>
      <c r="D206">
        <v>2</v>
      </c>
      <c r="E206">
        <v>3</v>
      </c>
      <c r="F206">
        <v>1</v>
      </c>
      <c r="G206" s="1">
        <v>3842324</v>
      </c>
      <c r="H206">
        <f t="shared" si="3"/>
        <v>3842324</v>
      </c>
    </row>
    <row r="207" spans="1:8" x14ac:dyDescent="0.2">
      <c r="A207" t="s">
        <v>6</v>
      </c>
      <c r="B207" t="s">
        <v>7</v>
      </c>
      <c r="C207" t="s">
        <v>12</v>
      </c>
      <c r="D207">
        <v>2</v>
      </c>
      <c r="E207">
        <v>4</v>
      </c>
      <c r="F207">
        <v>0</v>
      </c>
      <c r="G207" s="1">
        <v>16157676</v>
      </c>
      <c r="H207">
        <f t="shared" si="3"/>
        <v>16157676</v>
      </c>
    </row>
    <row r="208" spans="1:8" x14ac:dyDescent="0.2">
      <c r="A208" t="s">
        <v>6</v>
      </c>
      <c r="B208" t="s">
        <v>7</v>
      </c>
      <c r="C208" t="s">
        <v>12</v>
      </c>
      <c r="D208">
        <v>2</v>
      </c>
      <c r="E208">
        <v>4</v>
      </c>
      <c r="F208">
        <v>1</v>
      </c>
      <c r="G208" s="1">
        <v>48842324</v>
      </c>
      <c r="H208">
        <f t="shared" si="3"/>
        <v>48842324</v>
      </c>
    </row>
    <row r="209" spans="1:8" x14ac:dyDescent="0.2">
      <c r="A209" t="s">
        <v>6</v>
      </c>
      <c r="B209" t="s">
        <v>7</v>
      </c>
      <c r="C209" t="s">
        <v>12</v>
      </c>
      <c r="D209">
        <v>2</v>
      </c>
      <c r="E209">
        <v>5</v>
      </c>
      <c r="F209">
        <v>0</v>
      </c>
      <c r="G209" s="1">
        <v>16157676</v>
      </c>
      <c r="H209">
        <f t="shared" si="3"/>
        <v>16157676</v>
      </c>
    </row>
    <row r="210" spans="1:8" x14ac:dyDescent="0.2">
      <c r="A210" t="s">
        <v>6</v>
      </c>
      <c r="B210" t="s">
        <v>7</v>
      </c>
      <c r="C210" t="s">
        <v>12</v>
      </c>
      <c r="D210">
        <v>2</v>
      </c>
      <c r="E210">
        <v>5</v>
      </c>
      <c r="F210">
        <v>1</v>
      </c>
      <c r="G210" s="1">
        <v>81842324</v>
      </c>
      <c r="H210">
        <f t="shared" si="3"/>
        <v>81842324</v>
      </c>
    </row>
    <row r="211" spans="1:8" x14ac:dyDescent="0.2">
      <c r="A211" t="s">
        <v>6</v>
      </c>
      <c r="B211" t="s">
        <v>7</v>
      </c>
      <c r="C211" t="s">
        <v>12</v>
      </c>
      <c r="D211">
        <v>2</v>
      </c>
      <c r="E211">
        <v>6</v>
      </c>
      <c r="F211">
        <v>0</v>
      </c>
      <c r="G211" s="1">
        <v>16157676</v>
      </c>
      <c r="H211">
        <f t="shared" si="3"/>
        <v>16157676</v>
      </c>
    </row>
    <row r="212" spans="1:8" x14ac:dyDescent="0.2">
      <c r="A212" t="s">
        <v>6</v>
      </c>
      <c r="B212" t="s">
        <v>7</v>
      </c>
      <c r="C212" t="s">
        <v>12</v>
      </c>
      <c r="D212">
        <v>2</v>
      </c>
      <c r="E212">
        <v>6</v>
      </c>
      <c r="F212">
        <v>1</v>
      </c>
      <c r="G212" s="1">
        <v>3842324</v>
      </c>
      <c r="H212">
        <f t="shared" si="3"/>
        <v>3842324</v>
      </c>
    </row>
    <row r="213" spans="1:8" x14ac:dyDescent="0.2">
      <c r="A213" t="s">
        <v>6</v>
      </c>
      <c r="B213" t="s">
        <v>7</v>
      </c>
      <c r="C213" t="s">
        <v>12</v>
      </c>
      <c r="D213">
        <v>2</v>
      </c>
      <c r="E213">
        <v>7</v>
      </c>
      <c r="F213">
        <v>0</v>
      </c>
      <c r="G213" s="1">
        <v>16157676</v>
      </c>
      <c r="H213">
        <f t="shared" si="3"/>
        <v>16157676</v>
      </c>
    </row>
    <row r="214" spans="1:8" x14ac:dyDescent="0.2">
      <c r="A214" t="s">
        <v>6</v>
      </c>
      <c r="B214" t="s">
        <v>7</v>
      </c>
      <c r="C214" t="s">
        <v>12</v>
      </c>
      <c r="D214">
        <v>2</v>
      </c>
      <c r="E214">
        <v>7</v>
      </c>
      <c r="F214">
        <v>1</v>
      </c>
      <c r="G214" s="1">
        <v>48842324</v>
      </c>
      <c r="H214">
        <f t="shared" si="3"/>
        <v>48842324</v>
      </c>
    </row>
    <row r="215" spans="1:8" x14ac:dyDescent="0.2">
      <c r="A215" t="s">
        <v>6</v>
      </c>
      <c r="B215" t="s">
        <v>7</v>
      </c>
      <c r="C215" t="s">
        <v>12</v>
      </c>
      <c r="D215">
        <v>2</v>
      </c>
      <c r="E215">
        <v>8</v>
      </c>
      <c r="F215">
        <v>0</v>
      </c>
      <c r="G215" s="1">
        <v>16157676</v>
      </c>
      <c r="H215">
        <f t="shared" si="3"/>
        <v>16157676</v>
      </c>
    </row>
    <row r="216" spans="1:8" x14ac:dyDescent="0.2">
      <c r="A216" t="s">
        <v>6</v>
      </c>
      <c r="B216" t="s">
        <v>7</v>
      </c>
      <c r="C216" t="s">
        <v>12</v>
      </c>
      <c r="D216">
        <v>2</v>
      </c>
      <c r="E216">
        <v>8</v>
      </c>
      <c r="F216">
        <v>1</v>
      </c>
      <c r="G216" s="1">
        <v>81842324</v>
      </c>
      <c r="H216">
        <f t="shared" si="3"/>
        <v>81842324</v>
      </c>
    </row>
    <row r="217" spans="1:8" x14ac:dyDescent="0.2">
      <c r="A217" t="s">
        <v>8</v>
      </c>
      <c r="B217" t="s">
        <v>9</v>
      </c>
      <c r="C217">
        <v>0</v>
      </c>
      <c r="D217">
        <v>0</v>
      </c>
      <c r="E217">
        <v>0</v>
      </c>
      <c r="F217">
        <v>0</v>
      </c>
      <c r="G217" s="1">
        <v>48000000</v>
      </c>
      <c r="H217">
        <f t="shared" si="3"/>
        <v>48000000</v>
      </c>
    </row>
    <row r="218" spans="1:8" x14ac:dyDescent="0.2">
      <c r="A218" t="s">
        <v>8</v>
      </c>
      <c r="B218" t="s">
        <v>9</v>
      </c>
      <c r="C218">
        <v>0</v>
      </c>
      <c r="D218">
        <v>0</v>
      </c>
      <c r="E218">
        <v>0</v>
      </c>
      <c r="F218">
        <v>1</v>
      </c>
      <c r="G218" s="1">
        <v>48000000</v>
      </c>
      <c r="H218">
        <f t="shared" si="3"/>
        <v>48000000</v>
      </c>
    </row>
    <row r="219" spans="1:8" x14ac:dyDescent="0.2">
      <c r="A219" t="s">
        <v>8</v>
      </c>
      <c r="B219" t="s">
        <v>9</v>
      </c>
      <c r="C219">
        <v>0</v>
      </c>
      <c r="D219">
        <v>0</v>
      </c>
      <c r="E219">
        <v>1</v>
      </c>
      <c r="F219">
        <v>0</v>
      </c>
      <c r="G219" s="1">
        <v>51000000</v>
      </c>
      <c r="H219">
        <f t="shared" si="3"/>
        <v>51000000</v>
      </c>
    </row>
    <row r="220" spans="1:8" x14ac:dyDescent="0.2">
      <c r="A220" t="s">
        <v>8</v>
      </c>
      <c r="B220" t="s">
        <v>9</v>
      </c>
      <c r="C220">
        <v>0</v>
      </c>
      <c r="D220">
        <v>0</v>
      </c>
      <c r="E220">
        <v>1</v>
      </c>
      <c r="F220">
        <v>1</v>
      </c>
      <c r="G220" s="1">
        <v>51000000</v>
      </c>
      <c r="H220">
        <f t="shared" si="3"/>
        <v>51000000</v>
      </c>
    </row>
    <row r="221" spans="1:8" x14ac:dyDescent="0.2">
      <c r="A221" t="s">
        <v>8</v>
      </c>
      <c r="B221" t="s">
        <v>9</v>
      </c>
      <c r="C221">
        <v>0</v>
      </c>
      <c r="D221">
        <v>1</v>
      </c>
      <c r="E221">
        <v>0</v>
      </c>
      <c r="F221">
        <v>0</v>
      </c>
      <c r="G221" s="1">
        <v>48000000</v>
      </c>
      <c r="H221">
        <f t="shared" si="3"/>
        <v>48000000</v>
      </c>
    </row>
    <row r="222" spans="1:8" x14ac:dyDescent="0.2">
      <c r="A222" t="s">
        <v>8</v>
      </c>
      <c r="B222" t="s">
        <v>9</v>
      </c>
      <c r="C222">
        <v>0</v>
      </c>
      <c r="D222">
        <v>1</v>
      </c>
      <c r="E222">
        <v>0</v>
      </c>
      <c r="F222">
        <v>1</v>
      </c>
      <c r="G222" s="1">
        <v>48000000</v>
      </c>
      <c r="H222">
        <f t="shared" si="3"/>
        <v>48000000</v>
      </c>
    </row>
    <row r="223" spans="1:8" x14ac:dyDescent="0.2">
      <c r="A223" t="s">
        <v>8</v>
      </c>
      <c r="B223" t="s">
        <v>9</v>
      </c>
      <c r="C223">
        <v>0</v>
      </c>
      <c r="D223">
        <v>1</v>
      </c>
      <c r="E223">
        <v>1</v>
      </c>
      <c r="F223">
        <v>0</v>
      </c>
      <c r="G223" s="1">
        <v>51000000</v>
      </c>
      <c r="H223">
        <f t="shared" si="3"/>
        <v>51000000</v>
      </c>
    </row>
    <row r="224" spans="1:8" x14ac:dyDescent="0.2">
      <c r="A224" t="s">
        <v>8</v>
      </c>
      <c r="B224" t="s">
        <v>9</v>
      </c>
      <c r="C224">
        <v>0</v>
      </c>
      <c r="D224">
        <v>1</v>
      </c>
      <c r="E224">
        <v>1</v>
      </c>
      <c r="F224">
        <v>1</v>
      </c>
      <c r="G224" s="1">
        <v>51000000</v>
      </c>
      <c r="H224">
        <f t="shared" si="3"/>
        <v>51000000</v>
      </c>
    </row>
    <row r="225" spans="1:8" x14ac:dyDescent="0.2">
      <c r="A225" t="s">
        <v>8</v>
      </c>
      <c r="B225" t="s">
        <v>9</v>
      </c>
      <c r="C225">
        <v>0</v>
      </c>
      <c r="D225">
        <v>2</v>
      </c>
      <c r="E225">
        <v>0</v>
      </c>
      <c r="F225">
        <v>0</v>
      </c>
      <c r="G225" s="1">
        <v>48000000</v>
      </c>
      <c r="H225">
        <f t="shared" si="3"/>
        <v>48000000</v>
      </c>
    </row>
    <row r="226" spans="1:8" x14ac:dyDescent="0.2">
      <c r="A226" t="s">
        <v>8</v>
      </c>
      <c r="B226" t="s">
        <v>9</v>
      </c>
      <c r="C226">
        <v>0</v>
      </c>
      <c r="D226">
        <v>2</v>
      </c>
      <c r="E226">
        <v>0</v>
      </c>
      <c r="F226">
        <v>1</v>
      </c>
      <c r="G226" s="1">
        <v>48000000</v>
      </c>
      <c r="H226">
        <f t="shared" si="3"/>
        <v>48000000</v>
      </c>
    </row>
    <row r="227" spans="1:8" x14ac:dyDescent="0.2">
      <c r="A227" t="s">
        <v>8</v>
      </c>
      <c r="B227" t="s">
        <v>9</v>
      </c>
      <c r="C227">
        <v>0</v>
      </c>
      <c r="D227">
        <v>2</v>
      </c>
      <c r="E227">
        <v>1</v>
      </c>
      <c r="F227">
        <v>0</v>
      </c>
      <c r="G227" s="1">
        <v>51000000</v>
      </c>
      <c r="H227">
        <f t="shared" si="3"/>
        <v>51000000</v>
      </c>
    </row>
    <row r="228" spans="1:8" x14ac:dyDescent="0.2">
      <c r="A228" t="s">
        <v>8</v>
      </c>
      <c r="B228" t="s">
        <v>9</v>
      </c>
      <c r="C228">
        <v>0</v>
      </c>
      <c r="D228">
        <v>2</v>
      </c>
      <c r="E228">
        <v>1</v>
      </c>
      <c r="F228">
        <v>1</v>
      </c>
      <c r="G228" s="1">
        <v>51000000</v>
      </c>
      <c r="H228">
        <f t="shared" si="3"/>
        <v>51000000</v>
      </c>
    </row>
    <row r="229" spans="1:8" x14ac:dyDescent="0.2">
      <c r="A229" t="s">
        <v>8</v>
      </c>
      <c r="B229" t="s">
        <v>9</v>
      </c>
      <c r="C229">
        <v>0</v>
      </c>
      <c r="D229">
        <v>3</v>
      </c>
      <c r="E229">
        <v>0</v>
      </c>
      <c r="F229">
        <v>0</v>
      </c>
      <c r="G229" s="1">
        <v>48000000</v>
      </c>
      <c r="H229">
        <f t="shared" si="3"/>
        <v>48000000</v>
      </c>
    </row>
    <row r="230" spans="1:8" x14ac:dyDescent="0.2">
      <c r="A230" t="s">
        <v>8</v>
      </c>
      <c r="B230" t="s">
        <v>9</v>
      </c>
      <c r="C230">
        <v>0</v>
      </c>
      <c r="D230">
        <v>3</v>
      </c>
      <c r="E230">
        <v>0</v>
      </c>
      <c r="F230">
        <v>1</v>
      </c>
      <c r="G230" s="1">
        <v>48000000</v>
      </c>
      <c r="H230">
        <f t="shared" si="3"/>
        <v>48000000</v>
      </c>
    </row>
    <row r="231" spans="1:8" x14ac:dyDescent="0.2">
      <c r="A231" t="s">
        <v>8</v>
      </c>
      <c r="B231" t="s">
        <v>9</v>
      </c>
      <c r="C231">
        <v>0</v>
      </c>
      <c r="D231">
        <v>3</v>
      </c>
      <c r="E231">
        <v>1</v>
      </c>
      <c r="F231">
        <v>0</v>
      </c>
      <c r="G231" s="1">
        <v>51000000</v>
      </c>
      <c r="H231">
        <f t="shared" si="3"/>
        <v>51000000</v>
      </c>
    </row>
    <row r="232" spans="1:8" x14ac:dyDescent="0.2">
      <c r="A232" t="s">
        <v>8</v>
      </c>
      <c r="B232" t="s">
        <v>9</v>
      </c>
      <c r="C232">
        <v>0</v>
      </c>
      <c r="D232">
        <v>3</v>
      </c>
      <c r="E232">
        <v>1</v>
      </c>
      <c r="F232">
        <v>1</v>
      </c>
      <c r="G232" s="1">
        <v>51000000</v>
      </c>
      <c r="H232">
        <f t="shared" si="3"/>
        <v>51000000</v>
      </c>
    </row>
    <row r="233" spans="1:8" x14ac:dyDescent="0.2">
      <c r="A233" t="s">
        <v>8</v>
      </c>
      <c r="B233" t="s">
        <v>9</v>
      </c>
      <c r="C233">
        <v>0</v>
      </c>
      <c r="D233">
        <v>4</v>
      </c>
      <c r="E233">
        <v>0</v>
      </c>
      <c r="F233">
        <v>0</v>
      </c>
      <c r="G233" s="1">
        <v>48000000</v>
      </c>
      <c r="H233">
        <f t="shared" si="3"/>
        <v>48000000</v>
      </c>
    </row>
    <row r="234" spans="1:8" x14ac:dyDescent="0.2">
      <c r="A234" t="s">
        <v>8</v>
      </c>
      <c r="B234" t="s">
        <v>9</v>
      </c>
      <c r="C234">
        <v>0</v>
      </c>
      <c r="D234">
        <v>4</v>
      </c>
      <c r="E234">
        <v>0</v>
      </c>
      <c r="F234">
        <v>1</v>
      </c>
      <c r="G234" s="1">
        <v>48000000</v>
      </c>
      <c r="H234">
        <f t="shared" si="3"/>
        <v>48000000</v>
      </c>
    </row>
    <row r="235" spans="1:8" x14ac:dyDescent="0.2">
      <c r="A235" t="s">
        <v>8</v>
      </c>
      <c r="B235" t="s">
        <v>9</v>
      </c>
      <c r="C235">
        <v>0</v>
      </c>
      <c r="D235">
        <v>4</v>
      </c>
      <c r="E235">
        <v>1</v>
      </c>
      <c r="F235">
        <v>0</v>
      </c>
      <c r="G235" s="1">
        <v>51000000</v>
      </c>
      <c r="H235">
        <f t="shared" si="3"/>
        <v>51000000</v>
      </c>
    </row>
    <row r="236" spans="1:8" x14ac:dyDescent="0.2">
      <c r="A236" t="s">
        <v>8</v>
      </c>
      <c r="B236" t="s">
        <v>9</v>
      </c>
      <c r="C236">
        <v>0</v>
      </c>
      <c r="D236">
        <v>4</v>
      </c>
      <c r="E236">
        <v>1</v>
      </c>
      <c r="F236">
        <v>1</v>
      </c>
      <c r="G236" s="1">
        <v>51000000</v>
      </c>
      <c r="H236">
        <f t="shared" si="3"/>
        <v>51000000</v>
      </c>
    </row>
    <row r="237" spans="1:8" x14ac:dyDescent="0.2">
      <c r="A237" t="s">
        <v>8</v>
      </c>
      <c r="B237" t="s">
        <v>9</v>
      </c>
      <c r="C237">
        <v>0</v>
      </c>
      <c r="D237">
        <v>5</v>
      </c>
      <c r="E237">
        <v>0</v>
      </c>
      <c r="F237">
        <v>0</v>
      </c>
      <c r="G237" s="1">
        <v>48000000</v>
      </c>
      <c r="H237">
        <f t="shared" si="3"/>
        <v>48000000</v>
      </c>
    </row>
    <row r="238" spans="1:8" x14ac:dyDescent="0.2">
      <c r="A238" t="s">
        <v>8</v>
      </c>
      <c r="B238" t="s">
        <v>9</v>
      </c>
      <c r="C238">
        <v>0</v>
      </c>
      <c r="D238">
        <v>5</v>
      </c>
      <c r="E238">
        <v>0</v>
      </c>
      <c r="F238">
        <v>1</v>
      </c>
      <c r="G238" s="1">
        <v>48000000</v>
      </c>
      <c r="H238">
        <f t="shared" si="3"/>
        <v>48000000</v>
      </c>
    </row>
    <row r="239" spans="1:8" x14ac:dyDescent="0.2">
      <c r="A239" t="s">
        <v>8</v>
      </c>
      <c r="B239" t="s">
        <v>9</v>
      </c>
      <c r="C239">
        <v>0</v>
      </c>
      <c r="D239">
        <v>5</v>
      </c>
      <c r="E239">
        <v>1</v>
      </c>
      <c r="F239">
        <v>0</v>
      </c>
      <c r="G239" s="1">
        <v>51000000</v>
      </c>
      <c r="H239">
        <f t="shared" si="3"/>
        <v>51000000</v>
      </c>
    </row>
    <row r="240" spans="1:8" x14ac:dyDescent="0.2">
      <c r="A240" t="s">
        <v>8</v>
      </c>
      <c r="B240" t="s">
        <v>9</v>
      </c>
      <c r="C240">
        <v>0</v>
      </c>
      <c r="D240">
        <v>5</v>
      </c>
      <c r="E240">
        <v>1</v>
      </c>
      <c r="F240">
        <v>1</v>
      </c>
      <c r="G240" s="1">
        <v>51000000</v>
      </c>
      <c r="H240">
        <f t="shared" si="3"/>
        <v>51000000</v>
      </c>
    </row>
    <row r="241" spans="1:8" x14ac:dyDescent="0.2">
      <c r="A241" t="s">
        <v>8</v>
      </c>
      <c r="B241" t="s">
        <v>9</v>
      </c>
      <c r="C241">
        <v>0</v>
      </c>
      <c r="D241">
        <v>6</v>
      </c>
      <c r="E241">
        <v>0</v>
      </c>
      <c r="F241">
        <v>0</v>
      </c>
      <c r="G241" s="1">
        <v>48000000</v>
      </c>
      <c r="H241">
        <f t="shared" si="3"/>
        <v>48000000</v>
      </c>
    </row>
    <row r="242" spans="1:8" x14ac:dyDescent="0.2">
      <c r="A242" t="s">
        <v>8</v>
      </c>
      <c r="B242" t="s">
        <v>9</v>
      </c>
      <c r="C242">
        <v>0</v>
      </c>
      <c r="D242">
        <v>6</v>
      </c>
      <c r="E242">
        <v>0</v>
      </c>
      <c r="F242">
        <v>1</v>
      </c>
      <c r="G242" s="1">
        <v>48000000</v>
      </c>
      <c r="H242">
        <f t="shared" si="3"/>
        <v>48000000</v>
      </c>
    </row>
    <row r="243" spans="1:8" x14ac:dyDescent="0.2">
      <c r="A243" t="s">
        <v>8</v>
      </c>
      <c r="B243" t="s">
        <v>9</v>
      </c>
      <c r="C243">
        <v>0</v>
      </c>
      <c r="D243">
        <v>6</v>
      </c>
      <c r="E243">
        <v>1</v>
      </c>
      <c r="F243">
        <v>0</v>
      </c>
      <c r="G243" s="1">
        <v>51000000</v>
      </c>
      <c r="H243">
        <f t="shared" si="3"/>
        <v>51000000</v>
      </c>
    </row>
    <row r="244" spans="1:8" x14ac:dyDescent="0.2">
      <c r="A244" t="s">
        <v>8</v>
      </c>
      <c r="B244" t="s">
        <v>9</v>
      </c>
      <c r="C244">
        <v>0</v>
      </c>
      <c r="D244">
        <v>6</v>
      </c>
      <c r="E244">
        <v>1</v>
      </c>
      <c r="F244">
        <v>1</v>
      </c>
      <c r="G244" s="1">
        <v>51000000</v>
      </c>
      <c r="H244">
        <f t="shared" si="3"/>
        <v>51000000</v>
      </c>
    </row>
    <row r="245" spans="1:8" x14ac:dyDescent="0.2">
      <c r="A245" t="s">
        <v>8</v>
      </c>
      <c r="B245" t="s">
        <v>9</v>
      </c>
      <c r="C245">
        <v>0</v>
      </c>
      <c r="D245">
        <v>7</v>
      </c>
      <c r="E245">
        <v>0</v>
      </c>
      <c r="F245">
        <v>0</v>
      </c>
      <c r="G245" s="1">
        <v>48000000</v>
      </c>
      <c r="H245">
        <f t="shared" si="3"/>
        <v>48000000</v>
      </c>
    </row>
    <row r="246" spans="1:8" x14ac:dyDescent="0.2">
      <c r="A246" t="s">
        <v>8</v>
      </c>
      <c r="B246" t="s">
        <v>9</v>
      </c>
      <c r="C246">
        <v>0</v>
      </c>
      <c r="D246">
        <v>7</v>
      </c>
      <c r="E246">
        <v>0</v>
      </c>
      <c r="F246">
        <v>1</v>
      </c>
      <c r="G246" s="1">
        <v>48000000</v>
      </c>
      <c r="H246">
        <f t="shared" si="3"/>
        <v>48000000</v>
      </c>
    </row>
    <row r="247" spans="1:8" x14ac:dyDescent="0.2">
      <c r="A247" t="s">
        <v>8</v>
      </c>
      <c r="B247" t="s">
        <v>9</v>
      </c>
      <c r="C247">
        <v>0</v>
      </c>
      <c r="D247">
        <v>7</v>
      </c>
      <c r="E247">
        <v>1</v>
      </c>
      <c r="F247">
        <v>0</v>
      </c>
      <c r="G247" s="1">
        <v>51000000</v>
      </c>
      <c r="H247">
        <f t="shared" si="3"/>
        <v>51000000</v>
      </c>
    </row>
    <row r="248" spans="1:8" x14ac:dyDescent="0.2">
      <c r="A248" t="s">
        <v>8</v>
      </c>
      <c r="B248" t="s">
        <v>9</v>
      </c>
      <c r="C248">
        <v>0</v>
      </c>
      <c r="D248">
        <v>7</v>
      </c>
      <c r="E248">
        <v>1</v>
      </c>
      <c r="F248">
        <v>1</v>
      </c>
      <c r="G248" s="1">
        <v>51000000</v>
      </c>
      <c r="H248">
        <f t="shared" si="3"/>
        <v>51000000</v>
      </c>
    </row>
    <row r="249" spans="1:8" x14ac:dyDescent="0.2">
      <c r="A249" t="s">
        <v>8</v>
      </c>
      <c r="B249" t="s">
        <v>9</v>
      </c>
      <c r="C249">
        <v>0</v>
      </c>
      <c r="D249">
        <v>8</v>
      </c>
      <c r="E249">
        <v>0</v>
      </c>
      <c r="F249">
        <v>0</v>
      </c>
      <c r="G249" s="1">
        <v>48000000</v>
      </c>
      <c r="H249">
        <f t="shared" si="3"/>
        <v>48000000</v>
      </c>
    </row>
    <row r="250" spans="1:8" x14ac:dyDescent="0.2">
      <c r="A250" t="s">
        <v>8</v>
      </c>
      <c r="B250" t="s">
        <v>9</v>
      </c>
      <c r="C250">
        <v>0</v>
      </c>
      <c r="D250">
        <v>8</v>
      </c>
      <c r="E250">
        <v>0</v>
      </c>
      <c r="F250">
        <v>1</v>
      </c>
      <c r="G250" s="1">
        <v>48000000</v>
      </c>
      <c r="H250">
        <f t="shared" si="3"/>
        <v>48000000</v>
      </c>
    </row>
    <row r="251" spans="1:8" x14ac:dyDescent="0.2">
      <c r="A251" t="s">
        <v>8</v>
      </c>
      <c r="B251" t="s">
        <v>9</v>
      </c>
      <c r="C251">
        <v>0</v>
      </c>
      <c r="D251">
        <v>8</v>
      </c>
      <c r="E251">
        <v>1</v>
      </c>
      <c r="F251">
        <v>0</v>
      </c>
      <c r="G251" s="1">
        <v>51000000</v>
      </c>
      <c r="H251">
        <f t="shared" si="3"/>
        <v>51000000</v>
      </c>
    </row>
    <row r="252" spans="1:8" x14ac:dyDescent="0.2">
      <c r="A252" t="s">
        <v>8</v>
      </c>
      <c r="B252" t="s">
        <v>9</v>
      </c>
      <c r="C252">
        <v>0</v>
      </c>
      <c r="D252">
        <v>8</v>
      </c>
      <c r="E252">
        <v>1</v>
      </c>
      <c r="F252">
        <v>1</v>
      </c>
      <c r="G252" s="1">
        <v>51000000</v>
      </c>
      <c r="H252">
        <f t="shared" si="3"/>
        <v>51000000</v>
      </c>
    </row>
    <row r="253" spans="1:8" x14ac:dyDescent="0.2">
      <c r="A253" t="s">
        <v>8</v>
      </c>
      <c r="B253" t="s">
        <v>9</v>
      </c>
      <c r="C253">
        <v>1</v>
      </c>
      <c r="D253">
        <v>0</v>
      </c>
      <c r="E253">
        <v>0</v>
      </c>
      <c r="F253">
        <v>0</v>
      </c>
      <c r="G253" s="1">
        <v>51000000</v>
      </c>
      <c r="H253">
        <f t="shared" si="3"/>
        <v>51000000</v>
      </c>
    </row>
    <row r="254" spans="1:8" x14ac:dyDescent="0.2">
      <c r="A254" t="s">
        <v>8</v>
      </c>
      <c r="B254" t="s">
        <v>9</v>
      </c>
      <c r="C254">
        <v>1</v>
      </c>
      <c r="D254">
        <v>0</v>
      </c>
      <c r="E254">
        <v>0</v>
      </c>
      <c r="F254">
        <v>1</v>
      </c>
      <c r="G254" s="1">
        <v>51000000</v>
      </c>
      <c r="H254">
        <f t="shared" si="3"/>
        <v>51000000</v>
      </c>
    </row>
    <row r="255" spans="1:8" x14ac:dyDescent="0.2">
      <c r="A255" t="s">
        <v>8</v>
      </c>
      <c r="B255" t="s">
        <v>9</v>
      </c>
      <c r="C255">
        <v>1</v>
      </c>
      <c r="D255">
        <v>0</v>
      </c>
      <c r="E255">
        <v>1</v>
      </c>
      <c r="F255">
        <v>0</v>
      </c>
      <c r="G255" s="1">
        <v>35000000</v>
      </c>
      <c r="H255">
        <f t="shared" si="3"/>
        <v>35000000</v>
      </c>
    </row>
    <row r="256" spans="1:8" x14ac:dyDescent="0.2">
      <c r="A256" t="s">
        <v>8</v>
      </c>
      <c r="B256" t="s">
        <v>9</v>
      </c>
      <c r="C256">
        <v>1</v>
      </c>
      <c r="D256">
        <v>0</v>
      </c>
      <c r="E256">
        <v>1</v>
      </c>
      <c r="F256">
        <v>1</v>
      </c>
      <c r="G256" s="1">
        <v>35000000</v>
      </c>
      <c r="H256">
        <f t="shared" si="3"/>
        <v>35000000</v>
      </c>
    </row>
    <row r="257" spans="1:8" x14ac:dyDescent="0.2">
      <c r="A257" t="s">
        <v>8</v>
      </c>
      <c r="B257" t="s">
        <v>9</v>
      </c>
      <c r="C257">
        <v>1</v>
      </c>
      <c r="D257">
        <v>1</v>
      </c>
      <c r="E257">
        <v>0</v>
      </c>
      <c r="F257">
        <v>0</v>
      </c>
      <c r="G257" s="1">
        <v>51000000</v>
      </c>
      <c r="H257">
        <f t="shared" si="3"/>
        <v>51000000</v>
      </c>
    </row>
    <row r="258" spans="1:8" x14ac:dyDescent="0.2">
      <c r="A258" t="s">
        <v>8</v>
      </c>
      <c r="B258" t="s">
        <v>9</v>
      </c>
      <c r="C258">
        <v>1</v>
      </c>
      <c r="D258">
        <v>1</v>
      </c>
      <c r="E258">
        <v>0</v>
      </c>
      <c r="F258">
        <v>1</v>
      </c>
      <c r="G258" s="1">
        <v>51000000</v>
      </c>
      <c r="H258">
        <f t="shared" ref="H258:H321" si="4">_xlfn.NUMBERVALUE(G258)</f>
        <v>51000000</v>
      </c>
    </row>
    <row r="259" spans="1:8" x14ac:dyDescent="0.2">
      <c r="A259" t="s">
        <v>8</v>
      </c>
      <c r="B259" t="s">
        <v>9</v>
      </c>
      <c r="C259">
        <v>1</v>
      </c>
      <c r="D259">
        <v>1</v>
      </c>
      <c r="E259">
        <v>1</v>
      </c>
      <c r="F259">
        <v>0</v>
      </c>
      <c r="G259" s="1">
        <v>47000000</v>
      </c>
      <c r="H259">
        <f t="shared" si="4"/>
        <v>47000000</v>
      </c>
    </row>
    <row r="260" spans="1:8" x14ac:dyDescent="0.2">
      <c r="A260" t="s">
        <v>8</v>
      </c>
      <c r="B260" t="s">
        <v>9</v>
      </c>
      <c r="C260">
        <v>1</v>
      </c>
      <c r="D260">
        <v>1</v>
      </c>
      <c r="E260">
        <v>1</v>
      </c>
      <c r="F260">
        <v>1</v>
      </c>
      <c r="G260" s="1">
        <v>47000000</v>
      </c>
      <c r="H260">
        <f t="shared" si="4"/>
        <v>47000000</v>
      </c>
    </row>
    <row r="261" spans="1:8" x14ac:dyDescent="0.2">
      <c r="A261" t="s">
        <v>8</v>
      </c>
      <c r="B261" t="s">
        <v>9</v>
      </c>
      <c r="C261">
        <v>1</v>
      </c>
      <c r="D261">
        <v>2</v>
      </c>
      <c r="E261">
        <v>0</v>
      </c>
      <c r="F261">
        <v>0</v>
      </c>
      <c r="G261" s="1">
        <v>51000000</v>
      </c>
      <c r="H261">
        <f t="shared" si="4"/>
        <v>51000000</v>
      </c>
    </row>
    <row r="262" spans="1:8" x14ac:dyDescent="0.2">
      <c r="A262" t="s">
        <v>8</v>
      </c>
      <c r="B262" t="s">
        <v>9</v>
      </c>
      <c r="C262">
        <v>1</v>
      </c>
      <c r="D262">
        <v>2</v>
      </c>
      <c r="E262">
        <v>0</v>
      </c>
      <c r="F262">
        <v>1</v>
      </c>
      <c r="G262" s="1">
        <v>51000000</v>
      </c>
      <c r="H262">
        <f t="shared" si="4"/>
        <v>51000000</v>
      </c>
    </row>
    <row r="263" spans="1:8" x14ac:dyDescent="0.2">
      <c r="A263" t="s">
        <v>8</v>
      </c>
      <c r="B263" t="s">
        <v>9</v>
      </c>
      <c r="C263">
        <v>1</v>
      </c>
      <c r="D263">
        <v>2</v>
      </c>
      <c r="E263">
        <v>1</v>
      </c>
      <c r="F263">
        <v>0</v>
      </c>
      <c r="G263" s="1">
        <v>56000000</v>
      </c>
      <c r="H263">
        <f t="shared" si="4"/>
        <v>56000000</v>
      </c>
    </row>
    <row r="264" spans="1:8" x14ac:dyDescent="0.2">
      <c r="A264" t="s">
        <v>8</v>
      </c>
      <c r="B264" t="s">
        <v>9</v>
      </c>
      <c r="C264">
        <v>1</v>
      </c>
      <c r="D264">
        <v>2</v>
      </c>
      <c r="E264">
        <v>1</v>
      </c>
      <c r="F264">
        <v>1</v>
      </c>
      <c r="G264" s="1">
        <v>56000000</v>
      </c>
      <c r="H264">
        <f t="shared" si="4"/>
        <v>56000000</v>
      </c>
    </row>
    <row r="265" spans="1:8" x14ac:dyDescent="0.2">
      <c r="A265" t="s">
        <v>8</v>
      </c>
      <c r="B265" t="s">
        <v>9</v>
      </c>
      <c r="C265">
        <v>1</v>
      </c>
      <c r="D265">
        <v>3</v>
      </c>
      <c r="E265">
        <v>0</v>
      </c>
      <c r="F265">
        <v>0</v>
      </c>
      <c r="G265" s="1">
        <v>51000000</v>
      </c>
      <c r="H265">
        <f t="shared" si="4"/>
        <v>51000000</v>
      </c>
    </row>
    <row r="266" spans="1:8" x14ac:dyDescent="0.2">
      <c r="A266" t="s">
        <v>8</v>
      </c>
      <c r="B266" t="s">
        <v>9</v>
      </c>
      <c r="C266">
        <v>1</v>
      </c>
      <c r="D266">
        <v>3</v>
      </c>
      <c r="E266">
        <v>0</v>
      </c>
      <c r="F266">
        <v>1</v>
      </c>
      <c r="G266" s="1">
        <v>51000000</v>
      </c>
      <c r="H266">
        <f t="shared" si="4"/>
        <v>51000000</v>
      </c>
    </row>
    <row r="267" spans="1:8" x14ac:dyDescent="0.2">
      <c r="A267" t="s">
        <v>8</v>
      </c>
      <c r="B267" t="s">
        <v>9</v>
      </c>
      <c r="C267">
        <v>1</v>
      </c>
      <c r="D267">
        <v>3</v>
      </c>
      <c r="E267">
        <v>1</v>
      </c>
      <c r="F267">
        <v>0</v>
      </c>
      <c r="G267" s="1">
        <v>35000000</v>
      </c>
      <c r="H267">
        <f t="shared" si="4"/>
        <v>35000000</v>
      </c>
    </row>
    <row r="268" spans="1:8" x14ac:dyDescent="0.2">
      <c r="A268" t="s">
        <v>8</v>
      </c>
      <c r="B268" t="s">
        <v>9</v>
      </c>
      <c r="C268">
        <v>1</v>
      </c>
      <c r="D268">
        <v>3</v>
      </c>
      <c r="E268">
        <v>1</v>
      </c>
      <c r="F268">
        <v>1</v>
      </c>
      <c r="G268" s="1">
        <v>35000000</v>
      </c>
      <c r="H268">
        <f t="shared" si="4"/>
        <v>35000000</v>
      </c>
    </row>
    <row r="269" spans="1:8" x14ac:dyDescent="0.2">
      <c r="A269" t="s">
        <v>8</v>
      </c>
      <c r="B269" t="s">
        <v>9</v>
      </c>
      <c r="C269">
        <v>1</v>
      </c>
      <c r="D269">
        <v>4</v>
      </c>
      <c r="E269">
        <v>0</v>
      </c>
      <c r="F269">
        <v>0</v>
      </c>
      <c r="G269" s="1">
        <v>51000000</v>
      </c>
      <c r="H269">
        <f t="shared" si="4"/>
        <v>51000000</v>
      </c>
    </row>
    <row r="270" spans="1:8" x14ac:dyDescent="0.2">
      <c r="A270" t="s">
        <v>8</v>
      </c>
      <c r="B270" t="s">
        <v>9</v>
      </c>
      <c r="C270">
        <v>1</v>
      </c>
      <c r="D270">
        <v>4</v>
      </c>
      <c r="E270">
        <v>0</v>
      </c>
      <c r="F270">
        <v>1</v>
      </c>
      <c r="G270" s="1">
        <v>51000000</v>
      </c>
      <c r="H270">
        <f t="shared" si="4"/>
        <v>51000000</v>
      </c>
    </row>
    <row r="271" spans="1:8" x14ac:dyDescent="0.2">
      <c r="A271" t="s">
        <v>8</v>
      </c>
      <c r="B271" t="s">
        <v>9</v>
      </c>
      <c r="C271">
        <v>1</v>
      </c>
      <c r="D271">
        <v>4</v>
      </c>
      <c r="E271">
        <v>1</v>
      </c>
      <c r="F271">
        <v>0</v>
      </c>
      <c r="G271" s="1">
        <v>47000000</v>
      </c>
      <c r="H271">
        <f t="shared" si="4"/>
        <v>47000000</v>
      </c>
    </row>
    <row r="272" spans="1:8" x14ac:dyDescent="0.2">
      <c r="A272" t="s">
        <v>8</v>
      </c>
      <c r="B272" t="s">
        <v>9</v>
      </c>
      <c r="C272">
        <v>1</v>
      </c>
      <c r="D272">
        <v>4</v>
      </c>
      <c r="E272">
        <v>1</v>
      </c>
      <c r="F272">
        <v>1</v>
      </c>
      <c r="G272" s="1">
        <v>47000000</v>
      </c>
      <c r="H272">
        <f t="shared" si="4"/>
        <v>47000000</v>
      </c>
    </row>
    <row r="273" spans="1:8" x14ac:dyDescent="0.2">
      <c r="A273" t="s">
        <v>8</v>
      </c>
      <c r="B273" t="s">
        <v>9</v>
      </c>
      <c r="C273">
        <v>1</v>
      </c>
      <c r="D273">
        <v>5</v>
      </c>
      <c r="E273">
        <v>0</v>
      </c>
      <c r="F273">
        <v>0</v>
      </c>
      <c r="G273" s="1">
        <v>51000000</v>
      </c>
      <c r="H273">
        <f t="shared" si="4"/>
        <v>51000000</v>
      </c>
    </row>
    <row r="274" spans="1:8" x14ac:dyDescent="0.2">
      <c r="A274" t="s">
        <v>8</v>
      </c>
      <c r="B274" t="s">
        <v>9</v>
      </c>
      <c r="C274">
        <v>1</v>
      </c>
      <c r="D274">
        <v>5</v>
      </c>
      <c r="E274">
        <v>0</v>
      </c>
      <c r="F274">
        <v>1</v>
      </c>
      <c r="G274" s="1">
        <v>51000000</v>
      </c>
      <c r="H274">
        <f t="shared" si="4"/>
        <v>51000000</v>
      </c>
    </row>
    <row r="275" spans="1:8" x14ac:dyDescent="0.2">
      <c r="A275" t="s">
        <v>8</v>
      </c>
      <c r="B275" t="s">
        <v>9</v>
      </c>
      <c r="C275">
        <v>1</v>
      </c>
      <c r="D275">
        <v>5</v>
      </c>
      <c r="E275">
        <v>1</v>
      </c>
      <c r="F275">
        <v>0</v>
      </c>
      <c r="G275" s="1">
        <v>56000000</v>
      </c>
      <c r="H275">
        <f t="shared" si="4"/>
        <v>56000000</v>
      </c>
    </row>
    <row r="276" spans="1:8" x14ac:dyDescent="0.2">
      <c r="A276" t="s">
        <v>8</v>
      </c>
      <c r="B276" t="s">
        <v>9</v>
      </c>
      <c r="C276">
        <v>1</v>
      </c>
      <c r="D276">
        <v>5</v>
      </c>
      <c r="E276">
        <v>1</v>
      </c>
      <c r="F276">
        <v>1</v>
      </c>
      <c r="G276" s="1">
        <v>56000000</v>
      </c>
      <c r="H276">
        <f t="shared" si="4"/>
        <v>56000000</v>
      </c>
    </row>
    <row r="277" spans="1:8" x14ac:dyDescent="0.2">
      <c r="A277" t="s">
        <v>8</v>
      </c>
      <c r="B277" t="s">
        <v>9</v>
      </c>
      <c r="C277">
        <v>1</v>
      </c>
      <c r="D277">
        <v>6</v>
      </c>
      <c r="E277">
        <v>0</v>
      </c>
      <c r="F277">
        <v>0</v>
      </c>
      <c r="G277" s="1">
        <v>51000000</v>
      </c>
      <c r="H277">
        <f t="shared" si="4"/>
        <v>51000000</v>
      </c>
    </row>
    <row r="278" spans="1:8" x14ac:dyDescent="0.2">
      <c r="A278" t="s">
        <v>8</v>
      </c>
      <c r="B278" t="s">
        <v>9</v>
      </c>
      <c r="C278">
        <v>1</v>
      </c>
      <c r="D278">
        <v>6</v>
      </c>
      <c r="E278">
        <v>0</v>
      </c>
      <c r="F278">
        <v>1</v>
      </c>
      <c r="G278" s="1">
        <v>51000000</v>
      </c>
      <c r="H278">
        <f t="shared" si="4"/>
        <v>51000000</v>
      </c>
    </row>
    <row r="279" spans="1:8" x14ac:dyDescent="0.2">
      <c r="A279" t="s">
        <v>8</v>
      </c>
      <c r="B279" t="s">
        <v>9</v>
      </c>
      <c r="C279">
        <v>1</v>
      </c>
      <c r="D279">
        <v>6</v>
      </c>
      <c r="E279">
        <v>1</v>
      </c>
      <c r="F279">
        <v>0</v>
      </c>
      <c r="G279" s="1">
        <v>35000000</v>
      </c>
      <c r="H279">
        <f t="shared" si="4"/>
        <v>35000000</v>
      </c>
    </row>
    <row r="280" spans="1:8" x14ac:dyDescent="0.2">
      <c r="A280" t="s">
        <v>8</v>
      </c>
      <c r="B280" t="s">
        <v>9</v>
      </c>
      <c r="C280">
        <v>1</v>
      </c>
      <c r="D280">
        <v>6</v>
      </c>
      <c r="E280">
        <v>1</v>
      </c>
      <c r="F280">
        <v>1</v>
      </c>
      <c r="G280" s="1">
        <v>35000000</v>
      </c>
      <c r="H280">
        <f t="shared" si="4"/>
        <v>35000000</v>
      </c>
    </row>
    <row r="281" spans="1:8" x14ac:dyDescent="0.2">
      <c r="A281" t="s">
        <v>8</v>
      </c>
      <c r="B281" t="s">
        <v>9</v>
      </c>
      <c r="C281">
        <v>1</v>
      </c>
      <c r="D281">
        <v>7</v>
      </c>
      <c r="E281">
        <v>0</v>
      </c>
      <c r="F281">
        <v>0</v>
      </c>
      <c r="G281" s="1">
        <v>51000000</v>
      </c>
      <c r="H281">
        <f t="shared" si="4"/>
        <v>51000000</v>
      </c>
    </row>
    <row r="282" spans="1:8" x14ac:dyDescent="0.2">
      <c r="A282" t="s">
        <v>8</v>
      </c>
      <c r="B282" t="s">
        <v>9</v>
      </c>
      <c r="C282">
        <v>1</v>
      </c>
      <c r="D282">
        <v>7</v>
      </c>
      <c r="E282">
        <v>0</v>
      </c>
      <c r="F282">
        <v>1</v>
      </c>
      <c r="G282" s="1">
        <v>51000000</v>
      </c>
      <c r="H282">
        <f t="shared" si="4"/>
        <v>51000000</v>
      </c>
    </row>
    <row r="283" spans="1:8" x14ac:dyDescent="0.2">
      <c r="A283" t="s">
        <v>8</v>
      </c>
      <c r="B283" t="s">
        <v>9</v>
      </c>
      <c r="C283">
        <v>1</v>
      </c>
      <c r="D283">
        <v>7</v>
      </c>
      <c r="E283">
        <v>1</v>
      </c>
      <c r="F283">
        <v>0</v>
      </c>
      <c r="G283" s="1">
        <v>47000000</v>
      </c>
      <c r="H283">
        <f t="shared" si="4"/>
        <v>47000000</v>
      </c>
    </row>
    <row r="284" spans="1:8" x14ac:dyDescent="0.2">
      <c r="A284" t="s">
        <v>8</v>
      </c>
      <c r="B284" t="s">
        <v>9</v>
      </c>
      <c r="C284">
        <v>1</v>
      </c>
      <c r="D284">
        <v>7</v>
      </c>
      <c r="E284">
        <v>1</v>
      </c>
      <c r="F284">
        <v>1</v>
      </c>
      <c r="G284" s="1">
        <v>47000000</v>
      </c>
      <c r="H284">
        <f t="shared" si="4"/>
        <v>47000000</v>
      </c>
    </row>
    <row r="285" spans="1:8" x14ac:dyDescent="0.2">
      <c r="A285" t="s">
        <v>8</v>
      </c>
      <c r="B285" t="s">
        <v>9</v>
      </c>
      <c r="C285">
        <v>1</v>
      </c>
      <c r="D285">
        <v>8</v>
      </c>
      <c r="E285">
        <v>0</v>
      </c>
      <c r="F285">
        <v>0</v>
      </c>
      <c r="G285" s="1">
        <v>51000000</v>
      </c>
      <c r="H285">
        <f t="shared" si="4"/>
        <v>51000000</v>
      </c>
    </row>
    <row r="286" spans="1:8" x14ac:dyDescent="0.2">
      <c r="A286" t="s">
        <v>8</v>
      </c>
      <c r="B286" t="s">
        <v>9</v>
      </c>
      <c r="C286">
        <v>1</v>
      </c>
      <c r="D286">
        <v>8</v>
      </c>
      <c r="E286">
        <v>0</v>
      </c>
      <c r="F286">
        <v>1</v>
      </c>
      <c r="G286" s="1">
        <v>51000000</v>
      </c>
      <c r="H286">
        <f t="shared" si="4"/>
        <v>51000000</v>
      </c>
    </row>
    <row r="287" spans="1:8" x14ac:dyDescent="0.2">
      <c r="A287" t="s">
        <v>8</v>
      </c>
      <c r="B287" t="s">
        <v>9</v>
      </c>
      <c r="C287">
        <v>1</v>
      </c>
      <c r="D287">
        <v>8</v>
      </c>
      <c r="E287">
        <v>1</v>
      </c>
      <c r="F287">
        <v>0</v>
      </c>
      <c r="G287" s="1">
        <v>56000000</v>
      </c>
      <c r="H287">
        <f t="shared" si="4"/>
        <v>56000000</v>
      </c>
    </row>
    <row r="288" spans="1:8" x14ac:dyDescent="0.2">
      <c r="A288" t="s">
        <v>8</v>
      </c>
      <c r="B288" t="s">
        <v>9</v>
      </c>
      <c r="C288">
        <v>1</v>
      </c>
      <c r="D288">
        <v>8</v>
      </c>
      <c r="E288">
        <v>1</v>
      </c>
      <c r="F288">
        <v>1</v>
      </c>
      <c r="G288" s="1">
        <v>56000000</v>
      </c>
      <c r="H288">
        <f t="shared" si="4"/>
        <v>56000000</v>
      </c>
    </row>
    <row r="289" spans="1:8" x14ac:dyDescent="0.2">
      <c r="A289" t="s">
        <v>8</v>
      </c>
      <c r="B289" t="s">
        <v>9</v>
      </c>
      <c r="C289">
        <v>2</v>
      </c>
      <c r="D289">
        <v>0</v>
      </c>
      <c r="E289">
        <v>0</v>
      </c>
      <c r="F289">
        <v>0</v>
      </c>
      <c r="G289" s="1">
        <v>35000000</v>
      </c>
      <c r="H289">
        <f t="shared" si="4"/>
        <v>35000000</v>
      </c>
    </row>
    <row r="290" spans="1:8" x14ac:dyDescent="0.2">
      <c r="A290" t="s">
        <v>8</v>
      </c>
      <c r="B290" t="s">
        <v>9</v>
      </c>
      <c r="C290">
        <v>2</v>
      </c>
      <c r="D290">
        <v>0</v>
      </c>
      <c r="E290">
        <v>0</v>
      </c>
      <c r="F290">
        <v>1</v>
      </c>
      <c r="G290" s="1">
        <v>35000000</v>
      </c>
      <c r="H290">
        <f t="shared" si="4"/>
        <v>35000000</v>
      </c>
    </row>
    <row r="291" spans="1:8" x14ac:dyDescent="0.2">
      <c r="A291" t="s">
        <v>8</v>
      </c>
      <c r="B291" t="s">
        <v>9</v>
      </c>
      <c r="C291">
        <v>2</v>
      </c>
      <c r="D291">
        <v>0</v>
      </c>
      <c r="E291">
        <v>1</v>
      </c>
      <c r="F291">
        <v>0</v>
      </c>
      <c r="G291" s="1">
        <v>35000000</v>
      </c>
      <c r="H291">
        <f t="shared" si="4"/>
        <v>35000000</v>
      </c>
    </row>
    <row r="292" spans="1:8" x14ac:dyDescent="0.2">
      <c r="A292" t="s">
        <v>8</v>
      </c>
      <c r="B292" t="s">
        <v>9</v>
      </c>
      <c r="C292">
        <v>2</v>
      </c>
      <c r="D292">
        <v>0</v>
      </c>
      <c r="E292">
        <v>1</v>
      </c>
      <c r="F292">
        <v>1</v>
      </c>
      <c r="G292" s="1">
        <v>35000000</v>
      </c>
      <c r="H292">
        <f t="shared" si="4"/>
        <v>35000000</v>
      </c>
    </row>
    <row r="293" spans="1:8" x14ac:dyDescent="0.2">
      <c r="A293" t="s">
        <v>8</v>
      </c>
      <c r="B293" t="s">
        <v>9</v>
      </c>
      <c r="C293">
        <v>2</v>
      </c>
      <c r="D293">
        <v>1</v>
      </c>
      <c r="E293">
        <v>0</v>
      </c>
      <c r="F293">
        <v>0</v>
      </c>
      <c r="G293" s="1">
        <v>47000000</v>
      </c>
      <c r="H293">
        <f t="shared" si="4"/>
        <v>47000000</v>
      </c>
    </row>
    <row r="294" spans="1:8" x14ac:dyDescent="0.2">
      <c r="A294" t="s">
        <v>8</v>
      </c>
      <c r="B294" t="s">
        <v>9</v>
      </c>
      <c r="C294">
        <v>2</v>
      </c>
      <c r="D294">
        <v>1</v>
      </c>
      <c r="E294">
        <v>0</v>
      </c>
      <c r="F294">
        <v>1</v>
      </c>
      <c r="G294" s="1">
        <v>47000000</v>
      </c>
      <c r="H294">
        <f t="shared" si="4"/>
        <v>47000000</v>
      </c>
    </row>
    <row r="295" spans="1:8" x14ac:dyDescent="0.2">
      <c r="A295" t="s">
        <v>8</v>
      </c>
      <c r="B295" t="s">
        <v>9</v>
      </c>
      <c r="C295">
        <v>2</v>
      </c>
      <c r="D295">
        <v>1</v>
      </c>
      <c r="E295">
        <v>1</v>
      </c>
      <c r="F295">
        <v>0</v>
      </c>
      <c r="G295" s="1">
        <v>47000000</v>
      </c>
      <c r="H295">
        <f t="shared" si="4"/>
        <v>47000000</v>
      </c>
    </row>
    <row r="296" spans="1:8" x14ac:dyDescent="0.2">
      <c r="A296" t="s">
        <v>8</v>
      </c>
      <c r="B296" t="s">
        <v>9</v>
      </c>
      <c r="C296">
        <v>2</v>
      </c>
      <c r="D296">
        <v>1</v>
      </c>
      <c r="E296">
        <v>1</v>
      </c>
      <c r="F296">
        <v>1</v>
      </c>
      <c r="G296" s="1">
        <v>47000000</v>
      </c>
      <c r="H296">
        <f t="shared" si="4"/>
        <v>47000000</v>
      </c>
    </row>
    <row r="297" spans="1:8" x14ac:dyDescent="0.2">
      <c r="A297" t="s">
        <v>8</v>
      </c>
      <c r="B297" t="s">
        <v>9</v>
      </c>
      <c r="C297">
        <v>2</v>
      </c>
      <c r="D297">
        <v>2</v>
      </c>
      <c r="E297">
        <v>0</v>
      </c>
      <c r="F297">
        <v>0</v>
      </c>
      <c r="G297" s="1">
        <v>56000000</v>
      </c>
      <c r="H297">
        <f t="shared" si="4"/>
        <v>56000000</v>
      </c>
    </row>
    <row r="298" spans="1:8" x14ac:dyDescent="0.2">
      <c r="A298" t="s">
        <v>8</v>
      </c>
      <c r="B298" t="s">
        <v>9</v>
      </c>
      <c r="C298">
        <v>2</v>
      </c>
      <c r="D298">
        <v>2</v>
      </c>
      <c r="E298">
        <v>0</v>
      </c>
      <c r="F298">
        <v>1</v>
      </c>
      <c r="G298" s="1">
        <v>56000000</v>
      </c>
      <c r="H298">
        <f t="shared" si="4"/>
        <v>56000000</v>
      </c>
    </row>
    <row r="299" spans="1:8" x14ac:dyDescent="0.2">
      <c r="A299" t="s">
        <v>8</v>
      </c>
      <c r="B299" t="s">
        <v>9</v>
      </c>
      <c r="C299">
        <v>2</v>
      </c>
      <c r="D299">
        <v>2</v>
      </c>
      <c r="E299">
        <v>1</v>
      </c>
      <c r="F299">
        <v>0</v>
      </c>
      <c r="G299" s="1">
        <v>56000000</v>
      </c>
      <c r="H299">
        <f t="shared" si="4"/>
        <v>56000000</v>
      </c>
    </row>
    <row r="300" spans="1:8" x14ac:dyDescent="0.2">
      <c r="A300" t="s">
        <v>8</v>
      </c>
      <c r="B300" t="s">
        <v>9</v>
      </c>
      <c r="C300">
        <v>2</v>
      </c>
      <c r="D300">
        <v>2</v>
      </c>
      <c r="E300">
        <v>1</v>
      </c>
      <c r="F300">
        <v>1</v>
      </c>
      <c r="G300" s="1">
        <v>56000000</v>
      </c>
      <c r="H300">
        <f t="shared" si="4"/>
        <v>56000000</v>
      </c>
    </row>
    <row r="301" spans="1:8" x14ac:dyDescent="0.2">
      <c r="A301" t="s">
        <v>8</v>
      </c>
      <c r="B301" t="s">
        <v>9</v>
      </c>
      <c r="C301">
        <v>2</v>
      </c>
      <c r="D301">
        <v>3</v>
      </c>
      <c r="E301">
        <v>0</v>
      </c>
      <c r="F301">
        <v>0</v>
      </c>
      <c r="G301" s="1">
        <v>35000000</v>
      </c>
      <c r="H301">
        <f t="shared" si="4"/>
        <v>35000000</v>
      </c>
    </row>
    <row r="302" spans="1:8" x14ac:dyDescent="0.2">
      <c r="A302" t="s">
        <v>8</v>
      </c>
      <c r="B302" t="s">
        <v>9</v>
      </c>
      <c r="C302">
        <v>2</v>
      </c>
      <c r="D302">
        <v>3</v>
      </c>
      <c r="E302">
        <v>0</v>
      </c>
      <c r="F302">
        <v>1</v>
      </c>
      <c r="G302" s="1">
        <v>35000000</v>
      </c>
      <c r="H302">
        <f t="shared" si="4"/>
        <v>35000000</v>
      </c>
    </row>
    <row r="303" spans="1:8" x14ac:dyDescent="0.2">
      <c r="A303" t="s">
        <v>8</v>
      </c>
      <c r="B303" t="s">
        <v>9</v>
      </c>
      <c r="C303">
        <v>2</v>
      </c>
      <c r="D303">
        <v>3</v>
      </c>
      <c r="E303">
        <v>1</v>
      </c>
      <c r="F303">
        <v>0</v>
      </c>
      <c r="G303" s="1">
        <v>35000000</v>
      </c>
      <c r="H303">
        <f t="shared" si="4"/>
        <v>35000000</v>
      </c>
    </row>
    <row r="304" spans="1:8" x14ac:dyDescent="0.2">
      <c r="A304" t="s">
        <v>8</v>
      </c>
      <c r="B304" t="s">
        <v>9</v>
      </c>
      <c r="C304">
        <v>2</v>
      </c>
      <c r="D304">
        <v>3</v>
      </c>
      <c r="E304">
        <v>1</v>
      </c>
      <c r="F304">
        <v>1</v>
      </c>
      <c r="G304" s="1">
        <v>35000000</v>
      </c>
      <c r="H304">
        <f t="shared" si="4"/>
        <v>35000000</v>
      </c>
    </row>
    <row r="305" spans="1:8" x14ac:dyDescent="0.2">
      <c r="A305" t="s">
        <v>8</v>
      </c>
      <c r="B305" t="s">
        <v>9</v>
      </c>
      <c r="C305">
        <v>2</v>
      </c>
      <c r="D305">
        <v>4</v>
      </c>
      <c r="E305">
        <v>0</v>
      </c>
      <c r="F305">
        <v>0</v>
      </c>
      <c r="G305" s="1">
        <v>47000000</v>
      </c>
      <c r="H305">
        <f t="shared" si="4"/>
        <v>47000000</v>
      </c>
    </row>
    <row r="306" spans="1:8" x14ac:dyDescent="0.2">
      <c r="A306" t="s">
        <v>8</v>
      </c>
      <c r="B306" t="s">
        <v>9</v>
      </c>
      <c r="C306">
        <v>2</v>
      </c>
      <c r="D306">
        <v>4</v>
      </c>
      <c r="E306">
        <v>0</v>
      </c>
      <c r="F306">
        <v>1</v>
      </c>
      <c r="G306" s="1">
        <v>47000000</v>
      </c>
      <c r="H306">
        <f t="shared" si="4"/>
        <v>47000000</v>
      </c>
    </row>
    <row r="307" spans="1:8" x14ac:dyDescent="0.2">
      <c r="A307" t="s">
        <v>8</v>
      </c>
      <c r="B307" t="s">
        <v>9</v>
      </c>
      <c r="C307">
        <v>2</v>
      </c>
      <c r="D307">
        <v>4</v>
      </c>
      <c r="E307">
        <v>1</v>
      </c>
      <c r="F307">
        <v>0</v>
      </c>
      <c r="G307" s="1">
        <v>47000000</v>
      </c>
      <c r="H307">
        <f t="shared" si="4"/>
        <v>47000000</v>
      </c>
    </row>
    <row r="308" spans="1:8" x14ac:dyDescent="0.2">
      <c r="A308" t="s">
        <v>8</v>
      </c>
      <c r="B308" t="s">
        <v>9</v>
      </c>
      <c r="C308">
        <v>2</v>
      </c>
      <c r="D308">
        <v>4</v>
      </c>
      <c r="E308">
        <v>1</v>
      </c>
      <c r="F308">
        <v>1</v>
      </c>
      <c r="G308" s="1">
        <v>47000000</v>
      </c>
      <c r="H308">
        <f t="shared" si="4"/>
        <v>47000000</v>
      </c>
    </row>
    <row r="309" spans="1:8" x14ac:dyDescent="0.2">
      <c r="A309" t="s">
        <v>8</v>
      </c>
      <c r="B309" t="s">
        <v>9</v>
      </c>
      <c r="C309">
        <v>2</v>
      </c>
      <c r="D309">
        <v>5</v>
      </c>
      <c r="E309">
        <v>0</v>
      </c>
      <c r="F309">
        <v>0</v>
      </c>
      <c r="G309" s="1">
        <v>56000000</v>
      </c>
      <c r="H309">
        <f t="shared" si="4"/>
        <v>56000000</v>
      </c>
    </row>
    <row r="310" spans="1:8" x14ac:dyDescent="0.2">
      <c r="A310" t="s">
        <v>8</v>
      </c>
      <c r="B310" t="s">
        <v>9</v>
      </c>
      <c r="C310">
        <v>2</v>
      </c>
      <c r="D310">
        <v>5</v>
      </c>
      <c r="E310">
        <v>0</v>
      </c>
      <c r="F310">
        <v>1</v>
      </c>
      <c r="G310" s="1">
        <v>56000000</v>
      </c>
      <c r="H310">
        <f t="shared" si="4"/>
        <v>56000000</v>
      </c>
    </row>
    <row r="311" spans="1:8" x14ac:dyDescent="0.2">
      <c r="A311" t="s">
        <v>8</v>
      </c>
      <c r="B311" t="s">
        <v>9</v>
      </c>
      <c r="C311">
        <v>2</v>
      </c>
      <c r="D311">
        <v>5</v>
      </c>
      <c r="E311">
        <v>1</v>
      </c>
      <c r="F311">
        <v>0</v>
      </c>
      <c r="G311" s="1">
        <v>56000000</v>
      </c>
      <c r="H311">
        <f t="shared" si="4"/>
        <v>56000000</v>
      </c>
    </row>
    <row r="312" spans="1:8" x14ac:dyDescent="0.2">
      <c r="A312" t="s">
        <v>8</v>
      </c>
      <c r="B312" t="s">
        <v>9</v>
      </c>
      <c r="C312">
        <v>2</v>
      </c>
      <c r="D312">
        <v>5</v>
      </c>
      <c r="E312">
        <v>1</v>
      </c>
      <c r="F312">
        <v>1</v>
      </c>
      <c r="G312" s="1">
        <v>56000000</v>
      </c>
      <c r="H312">
        <f t="shared" si="4"/>
        <v>56000000</v>
      </c>
    </row>
    <row r="313" spans="1:8" x14ac:dyDescent="0.2">
      <c r="A313" t="s">
        <v>8</v>
      </c>
      <c r="B313" t="s">
        <v>9</v>
      </c>
      <c r="C313">
        <v>2</v>
      </c>
      <c r="D313">
        <v>6</v>
      </c>
      <c r="E313">
        <v>0</v>
      </c>
      <c r="F313">
        <v>0</v>
      </c>
      <c r="G313" s="1">
        <v>35000000</v>
      </c>
      <c r="H313">
        <f t="shared" si="4"/>
        <v>35000000</v>
      </c>
    </row>
    <row r="314" spans="1:8" x14ac:dyDescent="0.2">
      <c r="A314" t="s">
        <v>8</v>
      </c>
      <c r="B314" t="s">
        <v>9</v>
      </c>
      <c r="C314">
        <v>2</v>
      </c>
      <c r="D314">
        <v>6</v>
      </c>
      <c r="E314">
        <v>0</v>
      </c>
      <c r="F314">
        <v>1</v>
      </c>
      <c r="G314" s="1">
        <v>35000000</v>
      </c>
      <c r="H314">
        <f t="shared" si="4"/>
        <v>35000000</v>
      </c>
    </row>
    <row r="315" spans="1:8" x14ac:dyDescent="0.2">
      <c r="A315" t="s">
        <v>8</v>
      </c>
      <c r="B315" t="s">
        <v>9</v>
      </c>
      <c r="C315">
        <v>2</v>
      </c>
      <c r="D315">
        <v>6</v>
      </c>
      <c r="E315">
        <v>1</v>
      </c>
      <c r="F315">
        <v>0</v>
      </c>
      <c r="G315" s="1">
        <v>35000000</v>
      </c>
      <c r="H315">
        <f t="shared" si="4"/>
        <v>35000000</v>
      </c>
    </row>
    <row r="316" spans="1:8" x14ac:dyDescent="0.2">
      <c r="A316" t="s">
        <v>8</v>
      </c>
      <c r="B316" t="s">
        <v>9</v>
      </c>
      <c r="C316">
        <v>2</v>
      </c>
      <c r="D316">
        <v>6</v>
      </c>
      <c r="E316">
        <v>1</v>
      </c>
      <c r="F316">
        <v>1</v>
      </c>
      <c r="G316" s="1">
        <v>35000000</v>
      </c>
      <c r="H316">
        <f t="shared" si="4"/>
        <v>35000000</v>
      </c>
    </row>
    <row r="317" spans="1:8" x14ac:dyDescent="0.2">
      <c r="A317" t="s">
        <v>8</v>
      </c>
      <c r="B317" t="s">
        <v>9</v>
      </c>
      <c r="C317">
        <v>2</v>
      </c>
      <c r="D317">
        <v>7</v>
      </c>
      <c r="E317">
        <v>0</v>
      </c>
      <c r="F317">
        <v>0</v>
      </c>
      <c r="G317" s="1">
        <v>47000000</v>
      </c>
      <c r="H317">
        <f t="shared" si="4"/>
        <v>47000000</v>
      </c>
    </row>
    <row r="318" spans="1:8" x14ac:dyDescent="0.2">
      <c r="A318" t="s">
        <v>8</v>
      </c>
      <c r="B318" t="s">
        <v>9</v>
      </c>
      <c r="C318">
        <v>2</v>
      </c>
      <c r="D318">
        <v>7</v>
      </c>
      <c r="E318">
        <v>0</v>
      </c>
      <c r="F318">
        <v>1</v>
      </c>
      <c r="G318" s="1">
        <v>47000000</v>
      </c>
      <c r="H318">
        <f t="shared" si="4"/>
        <v>47000000</v>
      </c>
    </row>
    <row r="319" spans="1:8" x14ac:dyDescent="0.2">
      <c r="A319" t="s">
        <v>8</v>
      </c>
      <c r="B319" t="s">
        <v>9</v>
      </c>
      <c r="C319">
        <v>2</v>
      </c>
      <c r="D319">
        <v>7</v>
      </c>
      <c r="E319">
        <v>1</v>
      </c>
      <c r="F319">
        <v>0</v>
      </c>
      <c r="G319" s="1">
        <v>47000000</v>
      </c>
      <c r="H319">
        <f t="shared" si="4"/>
        <v>47000000</v>
      </c>
    </row>
    <row r="320" spans="1:8" x14ac:dyDescent="0.2">
      <c r="A320" t="s">
        <v>8</v>
      </c>
      <c r="B320" t="s">
        <v>9</v>
      </c>
      <c r="C320">
        <v>2</v>
      </c>
      <c r="D320">
        <v>7</v>
      </c>
      <c r="E320">
        <v>1</v>
      </c>
      <c r="F320">
        <v>1</v>
      </c>
      <c r="G320" s="1">
        <v>47000000</v>
      </c>
      <c r="H320">
        <f t="shared" si="4"/>
        <v>47000000</v>
      </c>
    </row>
    <row r="321" spans="1:8" x14ac:dyDescent="0.2">
      <c r="A321" t="s">
        <v>8</v>
      </c>
      <c r="B321" t="s">
        <v>9</v>
      </c>
      <c r="C321">
        <v>2</v>
      </c>
      <c r="D321">
        <v>8</v>
      </c>
      <c r="E321">
        <v>0</v>
      </c>
      <c r="F321">
        <v>0</v>
      </c>
      <c r="G321" s="1">
        <v>56000000</v>
      </c>
      <c r="H321">
        <f t="shared" si="4"/>
        <v>56000000</v>
      </c>
    </row>
    <row r="322" spans="1:8" x14ac:dyDescent="0.2">
      <c r="A322" t="s">
        <v>8</v>
      </c>
      <c r="B322" t="s">
        <v>9</v>
      </c>
      <c r="C322">
        <v>2</v>
      </c>
      <c r="D322">
        <v>8</v>
      </c>
      <c r="E322">
        <v>0</v>
      </c>
      <c r="F322">
        <v>1</v>
      </c>
      <c r="G322" s="1">
        <v>56000000</v>
      </c>
      <c r="H322">
        <f t="shared" ref="H322:H385" si="5">_xlfn.NUMBERVALUE(G322)</f>
        <v>56000000</v>
      </c>
    </row>
    <row r="323" spans="1:8" x14ac:dyDescent="0.2">
      <c r="A323" t="s">
        <v>8</v>
      </c>
      <c r="B323" t="s">
        <v>9</v>
      </c>
      <c r="C323">
        <v>2</v>
      </c>
      <c r="D323">
        <v>8</v>
      </c>
      <c r="E323">
        <v>1</v>
      </c>
      <c r="F323">
        <v>0</v>
      </c>
      <c r="G323" s="1">
        <v>56000000</v>
      </c>
      <c r="H323">
        <f t="shared" si="5"/>
        <v>56000000</v>
      </c>
    </row>
    <row r="324" spans="1:8" x14ac:dyDescent="0.2">
      <c r="A324" t="s">
        <v>8</v>
      </c>
      <c r="B324" t="s">
        <v>9</v>
      </c>
      <c r="C324">
        <v>2</v>
      </c>
      <c r="D324">
        <v>8</v>
      </c>
      <c r="E324">
        <v>1</v>
      </c>
      <c r="F324">
        <v>1</v>
      </c>
      <c r="G324" s="1">
        <v>56000000</v>
      </c>
      <c r="H324">
        <f t="shared" si="5"/>
        <v>56000000</v>
      </c>
    </row>
    <row r="325" spans="1:8" x14ac:dyDescent="0.2">
      <c r="A325" t="s">
        <v>7</v>
      </c>
      <c r="B325" t="s">
        <v>9</v>
      </c>
      <c r="C325">
        <v>0</v>
      </c>
      <c r="D325">
        <v>0</v>
      </c>
      <c r="E325">
        <v>0</v>
      </c>
      <c r="F325">
        <v>0</v>
      </c>
      <c r="G325" s="1" t="s">
        <v>13</v>
      </c>
      <c r="H325">
        <f t="shared" si="5"/>
        <v>0</v>
      </c>
    </row>
    <row r="326" spans="1:8" x14ac:dyDescent="0.2">
      <c r="A326" t="s">
        <v>7</v>
      </c>
      <c r="B326" t="s">
        <v>9</v>
      </c>
      <c r="C326">
        <v>0</v>
      </c>
      <c r="D326">
        <v>0</v>
      </c>
      <c r="E326">
        <v>0</v>
      </c>
      <c r="F326">
        <v>1</v>
      </c>
      <c r="G326" s="1" t="s">
        <v>13</v>
      </c>
      <c r="H326">
        <f t="shared" si="5"/>
        <v>0</v>
      </c>
    </row>
    <row r="327" spans="1:8" x14ac:dyDescent="0.2">
      <c r="A327" t="s">
        <v>7</v>
      </c>
      <c r="B327" t="s">
        <v>9</v>
      </c>
      <c r="C327">
        <v>0</v>
      </c>
      <c r="D327">
        <v>0</v>
      </c>
      <c r="E327">
        <v>1</v>
      </c>
      <c r="F327">
        <v>0</v>
      </c>
      <c r="G327" s="1" t="s">
        <v>13</v>
      </c>
      <c r="H327">
        <f t="shared" si="5"/>
        <v>0</v>
      </c>
    </row>
    <row r="328" spans="1:8" x14ac:dyDescent="0.2">
      <c r="A328" t="s">
        <v>7</v>
      </c>
      <c r="B328" t="s">
        <v>9</v>
      </c>
      <c r="C328">
        <v>0</v>
      </c>
      <c r="D328">
        <v>0</v>
      </c>
      <c r="E328">
        <v>1</v>
      </c>
      <c r="F328">
        <v>1</v>
      </c>
      <c r="G328" s="1">
        <v>98000000</v>
      </c>
      <c r="H328">
        <f t="shared" si="5"/>
        <v>98000000</v>
      </c>
    </row>
    <row r="329" spans="1:8" x14ac:dyDescent="0.2">
      <c r="A329" t="s">
        <v>7</v>
      </c>
      <c r="B329" t="s">
        <v>9</v>
      </c>
      <c r="C329">
        <v>0</v>
      </c>
      <c r="D329">
        <v>1</v>
      </c>
      <c r="E329">
        <v>0</v>
      </c>
      <c r="F329">
        <v>0</v>
      </c>
      <c r="G329" s="1" t="s">
        <v>13</v>
      </c>
      <c r="H329">
        <f t="shared" si="5"/>
        <v>0</v>
      </c>
    </row>
    <row r="330" spans="1:8" x14ac:dyDescent="0.2">
      <c r="A330" t="s">
        <v>7</v>
      </c>
      <c r="B330" t="s">
        <v>9</v>
      </c>
      <c r="C330">
        <v>0</v>
      </c>
      <c r="D330">
        <v>1</v>
      </c>
      <c r="E330">
        <v>0</v>
      </c>
      <c r="F330">
        <v>1</v>
      </c>
      <c r="G330" s="1" t="s">
        <v>13</v>
      </c>
      <c r="H330">
        <f t="shared" si="5"/>
        <v>0</v>
      </c>
    </row>
    <row r="331" spans="1:8" x14ac:dyDescent="0.2">
      <c r="A331" t="s">
        <v>7</v>
      </c>
      <c r="B331" t="s">
        <v>9</v>
      </c>
      <c r="C331">
        <v>0</v>
      </c>
      <c r="D331">
        <v>1</v>
      </c>
      <c r="E331">
        <v>1</v>
      </c>
      <c r="F331">
        <v>0</v>
      </c>
      <c r="G331" s="1" t="s">
        <v>13</v>
      </c>
      <c r="H331">
        <f t="shared" si="5"/>
        <v>0</v>
      </c>
    </row>
    <row r="332" spans="1:8" x14ac:dyDescent="0.2">
      <c r="A332" t="s">
        <v>7</v>
      </c>
      <c r="B332" t="s">
        <v>9</v>
      </c>
      <c r="C332">
        <v>0</v>
      </c>
      <c r="D332">
        <v>1</v>
      </c>
      <c r="E332">
        <v>1</v>
      </c>
      <c r="F332">
        <v>1</v>
      </c>
      <c r="G332" s="1">
        <v>98000000</v>
      </c>
      <c r="H332">
        <f t="shared" si="5"/>
        <v>98000000</v>
      </c>
    </row>
    <row r="333" spans="1:8" x14ac:dyDescent="0.2">
      <c r="A333" t="s">
        <v>7</v>
      </c>
      <c r="B333" t="s">
        <v>9</v>
      </c>
      <c r="C333">
        <v>0</v>
      </c>
      <c r="D333">
        <v>2</v>
      </c>
      <c r="E333">
        <v>0</v>
      </c>
      <c r="F333">
        <v>0</v>
      </c>
      <c r="G333" s="1" t="s">
        <v>13</v>
      </c>
      <c r="H333">
        <f t="shared" si="5"/>
        <v>0</v>
      </c>
    </row>
    <row r="334" spans="1:8" x14ac:dyDescent="0.2">
      <c r="A334" t="s">
        <v>7</v>
      </c>
      <c r="B334" t="s">
        <v>9</v>
      </c>
      <c r="C334">
        <v>0</v>
      </c>
      <c r="D334">
        <v>2</v>
      </c>
      <c r="E334">
        <v>0</v>
      </c>
      <c r="F334">
        <v>1</v>
      </c>
      <c r="G334" s="1" t="s">
        <v>13</v>
      </c>
      <c r="H334">
        <f t="shared" si="5"/>
        <v>0</v>
      </c>
    </row>
    <row r="335" spans="1:8" x14ac:dyDescent="0.2">
      <c r="A335" t="s">
        <v>7</v>
      </c>
      <c r="B335" t="s">
        <v>9</v>
      </c>
      <c r="C335">
        <v>0</v>
      </c>
      <c r="D335">
        <v>2</v>
      </c>
      <c r="E335">
        <v>1</v>
      </c>
      <c r="F335">
        <v>0</v>
      </c>
      <c r="G335" s="1" t="s">
        <v>13</v>
      </c>
      <c r="H335">
        <f t="shared" si="5"/>
        <v>0</v>
      </c>
    </row>
    <row r="336" spans="1:8" x14ac:dyDescent="0.2">
      <c r="A336" t="s">
        <v>7</v>
      </c>
      <c r="B336" t="s">
        <v>9</v>
      </c>
      <c r="C336">
        <v>0</v>
      </c>
      <c r="D336">
        <v>2</v>
      </c>
      <c r="E336">
        <v>1</v>
      </c>
      <c r="F336">
        <v>1</v>
      </c>
      <c r="G336" s="1">
        <v>98000000</v>
      </c>
      <c r="H336">
        <f t="shared" si="5"/>
        <v>98000000</v>
      </c>
    </row>
    <row r="337" spans="1:8" x14ac:dyDescent="0.2">
      <c r="A337" t="s">
        <v>7</v>
      </c>
      <c r="B337" t="s">
        <v>9</v>
      </c>
      <c r="C337">
        <v>0</v>
      </c>
      <c r="D337">
        <v>3</v>
      </c>
      <c r="E337">
        <v>0</v>
      </c>
      <c r="F337">
        <v>0</v>
      </c>
      <c r="G337" s="1" t="s">
        <v>13</v>
      </c>
      <c r="H337">
        <f t="shared" si="5"/>
        <v>0</v>
      </c>
    </row>
    <row r="338" spans="1:8" x14ac:dyDescent="0.2">
      <c r="A338" t="s">
        <v>7</v>
      </c>
      <c r="B338" t="s">
        <v>9</v>
      </c>
      <c r="C338">
        <v>0</v>
      </c>
      <c r="D338">
        <v>3</v>
      </c>
      <c r="E338">
        <v>0</v>
      </c>
      <c r="F338">
        <v>1</v>
      </c>
      <c r="G338" s="1" t="s">
        <v>13</v>
      </c>
      <c r="H338">
        <f t="shared" si="5"/>
        <v>0</v>
      </c>
    </row>
    <row r="339" spans="1:8" x14ac:dyDescent="0.2">
      <c r="A339" t="s">
        <v>7</v>
      </c>
      <c r="B339" t="s">
        <v>9</v>
      </c>
      <c r="C339">
        <v>0</v>
      </c>
      <c r="D339">
        <v>3</v>
      </c>
      <c r="E339">
        <v>1</v>
      </c>
      <c r="F339">
        <v>0</v>
      </c>
      <c r="G339" s="1" t="s">
        <v>13</v>
      </c>
      <c r="H339">
        <f t="shared" si="5"/>
        <v>0</v>
      </c>
    </row>
    <row r="340" spans="1:8" x14ac:dyDescent="0.2">
      <c r="A340" t="s">
        <v>7</v>
      </c>
      <c r="B340" t="s">
        <v>9</v>
      </c>
      <c r="C340">
        <v>0</v>
      </c>
      <c r="D340">
        <v>3</v>
      </c>
      <c r="E340">
        <v>1</v>
      </c>
      <c r="F340">
        <v>1</v>
      </c>
      <c r="G340" s="1">
        <v>98000000</v>
      </c>
      <c r="H340">
        <f t="shared" si="5"/>
        <v>98000000</v>
      </c>
    </row>
    <row r="341" spans="1:8" x14ac:dyDescent="0.2">
      <c r="A341" t="s">
        <v>7</v>
      </c>
      <c r="B341" t="s">
        <v>9</v>
      </c>
      <c r="C341">
        <v>0</v>
      </c>
      <c r="D341">
        <v>4</v>
      </c>
      <c r="E341">
        <v>0</v>
      </c>
      <c r="F341">
        <v>0</v>
      </c>
      <c r="G341" s="1" t="s">
        <v>13</v>
      </c>
      <c r="H341">
        <f t="shared" si="5"/>
        <v>0</v>
      </c>
    </row>
    <row r="342" spans="1:8" x14ac:dyDescent="0.2">
      <c r="A342" t="s">
        <v>7</v>
      </c>
      <c r="B342" t="s">
        <v>9</v>
      </c>
      <c r="C342">
        <v>0</v>
      </c>
      <c r="D342">
        <v>4</v>
      </c>
      <c r="E342">
        <v>0</v>
      </c>
      <c r="F342">
        <v>1</v>
      </c>
      <c r="G342" s="1" t="s">
        <v>13</v>
      </c>
      <c r="H342">
        <f t="shared" si="5"/>
        <v>0</v>
      </c>
    </row>
    <row r="343" spans="1:8" x14ac:dyDescent="0.2">
      <c r="A343" t="s">
        <v>7</v>
      </c>
      <c r="B343" t="s">
        <v>9</v>
      </c>
      <c r="C343">
        <v>0</v>
      </c>
      <c r="D343">
        <v>4</v>
      </c>
      <c r="E343">
        <v>1</v>
      </c>
      <c r="F343">
        <v>0</v>
      </c>
      <c r="G343" s="1" t="s">
        <v>13</v>
      </c>
      <c r="H343">
        <f t="shared" si="5"/>
        <v>0</v>
      </c>
    </row>
    <row r="344" spans="1:8" x14ac:dyDescent="0.2">
      <c r="A344" t="s">
        <v>7</v>
      </c>
      <c r="B344" t="s">
        <v>9</v>
      </c>
      <c r="C344">
        <v>0</v>
      </c>
      <c r="D344">
        <v>4</v>
      </c>
      <c r="E344">
        <v>1</v>
      </c>
      <c r="F344">
        <v>1</v>
      </c>
      <c r="G344" s="1">
        <v>98000000</v>
      </c>
      <c r="H344">
        <f t="shared" si="5"/>
        <v>98000000</v>
      </c>
    </row>
    <row r="345" spans="1:8" x14ac:dyDescent="0.2">
      <c r="A345" t="s">
        <v>7</v>
      </c>
      <c r="B345" t="s">
        <v>9</v>
      </c>
      <c r="C345">
        <v>0</v>
      </c>
      <c r="D345">
        <v>5</v>
      </c>
      <c r="E345">
        <v>0</v>
      </c>
      <c r="F345">
        <v>0</v>
      </c>
      <c r="G345" s="1" t="s">
        <v>13</v>
      </c>
      <c r="H345">
        <f t="shared" si="5"/>
        <v>0</v>
      </c>
    </row>
    <row r="346" spans="1:8" x14ac:dyDescent="0.2">
      <c r="A346" t="s">
        <v>7</v>
      </c>
      <c r="B346" t="s">
        <v>9</v>
      </c>
      <c r="C346">
        <v>0</v>
      </c>
      <c r="D346">
        <v>5</v>
      </c>
      <c r="E346">
        <v>0</v>
      </c>
      <c r="F346">
        <v>1</v>
      </c>
      <c r="G346" s="1" t="s">
        <v>13</v>
      </c>
      <c r="H346">
        <f t="shared" si="5"/>
        <v>0</v>
      </c>
    </row>
    <row r="347" spans="1:8" x14ac:dyDescent="0.2">
      <c r="A347" t="s">
        <v>7</v>
      </c>
      <c r="B347" t="s">
        <v>9</v>
      </c>
      <c r="C347">
        <v>0</v>
      </c>
      <c r="D347">
        <v>5</v>
      </c>
      <c r="E347">
        <v>1</v>
      </c>
      <c r="F347">
        <v>0</v>
      </c>
      <c r="G347" s="1" t="s">
        <v>13</v>
      </c>
      <c r="H347">
        <f t="shared" si="5"/>
        <v>0</v>
      </c>
    </row>
    <row r="348" spans="1:8" x14ac:dyDescent="0.2">
      <c r="A348" t="s">
        <v>7</v>
      </c>
      <c r="B348" t="s">
        <v>9</v>
      </c>
      <c r="C348">
        <v>0</v>
      </c>
      <c r="D348">
        <v>5</v>
      </c>
      <c r="E348">
        <v>1</v>
      </c>
      <c r="F348">
        <v>1</v>
      </c>
      <c r="G348" s="1">
        <v>98000000</v>
      </c>
      <c r="H348">
        <f t="shared" si="5"/>
        <v>98000000</v>
      </c>
    </row>
    <row r="349" spans="1:8" x14ac:dyDescent="0.2">
      <c r="A349" t="s">
        <v>7</v>
      </c>
      <c r="B349" t="s">
        <v>9</v>
      </c>
      <c r="C349">
        <v>0</v>
      </c>
      <c r="D349">
        <v>6</v>
      </c>
      <c r="E349">
        <v>0</v>
      </c>
      <c r="F349">
        <v>0</v>
      </c>
      <c r="G349" s="1" t="s">
        <v>13</v>
      </c>
      <c r="H349">
        <f t="shared" si="5"/>
        <v>0</v>
      </c>
    </row>
    <row r="350" spans="1:8" x14ac:dyDescent="0.2">
      <c r="A350" t="s">
        <v>7</v>
      </c>
      <c r="B350" t="s">
        <v>9</v>
      </c>
      <c r="C350">
        <v>0</v>
      </c>
      <c r="D350">
        <v>6</v>
      </c>
      <c r="E350">
        <v>0</v>
      </c>
      <c r="F350">
        <v>1</v>
      </c>
      <c r="G350" s="1" t="s">
        <v>13</v>
      </c>
      <c r="H350">
        <f t="shared" si="5"/>
        <v>0</v>
      </c>
    </row>
    <row r="351" spans="1:8" x14ac:dyDescent="0.2">
      <c r="A351" t="s">
        <v>7</v>
      </c>
      <c r="B351" t="s">
        <v>9</v>
      </c>
      <c r="C351">
        <v>0</v>
      </c>
      <c r="D351">
        <v>6</v>
      </c>
      <c r="E351">
        <v>1</v>
      </c>
      <c r="F351">
        <v>0</v>
      </c>
      <c r="G351" s="1" t="s">
        <v>13</v>
      </c>
      <c r="H351">
        <f t="shared" si="5"/>
        <v>0</v>
      </c>
    </row>
    <row r="352" spans="1:8" x14ac:dyDescent="0.2">
      <c r="A352" t="s">
        <v>7</v>
      </c>
      <c r="B352" t="s">
        <v>9</v>
      </c>
      <c r="C352">
        <v>0</v>
      </c>
      <c r="D352">
        <v>6</v>
      </c>
      <c r="E352">
        <v>1</v>
      </c>
      <c r="F352">
        <v>1</v>
      </c>
      <c r="G352" s="1">
        <v>98000000</v>
      </c>
      <c r="H352">
        <f t="shared" si="5"/>
        <v>98000000</v>
      </c>
    </row>
    <row r="353" spans="1:8" x14ac:dyDescent="0.2">
      <c r="A353" t="s">
        <v>7</v>
      </c>
      <c r="B353" t="s">
        <v>9</v>
      </c>
      <c r="C353">
        <v>0</v>
      </c>
      <c r="D353">
        <v>7</v>
      </c>
      <c r="E353">
        <v>0</v>
      </c>
      <c r="F353">
        <v>0</v>
      </c>
      <c r="G353" s="1" t="s">
        <v>13</v>
      </c>
      <c r="H353">
        <f t="shared" si="5"/>
        <v>0</v>
      </c>
    </row>
    <row r="354" spans="1:8" x14ac:dyDescent="0.2">
      <c r="A354" t="s">
        <v>7</v>
      </c>
      <c r="B354" t="s">
        <v>9</v>
      </c>
      <c r="C354">
        <v>0</v>
      </c>
      <c r="D354">
        <v>7</v>
      </c>
      <c r="E354">
        <v>0</v>
      </c>
      <c r="F354">
        <v>1</v>
      </c>
      <c r="G354" s="1" t="s">
        <v>13</v>
      </c>
      <c r="H354">
        <f t="shared" si="5"/>
        <v>0</v>
      </c>
    </row>
    <row r="355" spans="1:8" x14ac:dyDescent="0.2">
      <c r="A355" t="s">
        <v>7</v>
      </c>
      <c r="B355" t="s">
        <v>9</v>
      </c>
      <c r="C355">
        <v>0</v>
      </c>
      <c r="D355">
        <v>7</v>
      </c>
      <c r="E355">
        <v>1</v>
      </c>
      <c r="F355">
        <v>0</v>
      </c>
      <c r="G355" s="1" t="s">
        <v>13</v>
      </c>
      <c r="H355">
        <f t="shared" si="5"/>
        <v>0</v>
      </c>
    </row>
    <row r="356" spans="1:8" x14ac:dyDescent="0.2">
      <c r="A356" t="s">
        <v>7</v>
      </c>
      <c r="B356" t="s">
        <v>9</v>
      </c>
      <c r="C356">
        <v>0</v>
      </c>
      <c r="D356">
        <v>7</v>
      </c>
      <c r="E356">
        <v>1</v>
      </c>
      <c r="F356">
        <v>1</v>
      </c>
      <c r="G356" s="1">
        <v>98000000</v>
      </c>
      <c r="H356">
        <f t="shared" si="5"/>
        <v>98000000</v>
      </c>
    </row>
    <row r="357" spans="1:8" x14ac:dyDescent="0.2">
      <c r="A357" t="s">
        <v>7</v>
      </c>
      <c r="B357" t="s">
        <v>9</v>
      </c>
      <c r="C357">
        <v>0</v>
      </c>
      <c r="D357">
        <v>8</v>
      </c>
      <c r="E357">
        <v>0</v>
      </c>
      <c r="F357">
        <v>0</v>
      </c>
      <c r="G357" s="1" t="s">
        <v>13</v>
      </c>
      <c r="H357">
        <f t="shared" si="5"/>
        <v>0</v>
      </c>
    </row>
    <row r="358" spans="1:8" x14ac:dyDescent="0.2">
      <c r="A358" t="s">
        <v>7</v>
      </c>
      <c r="B358" t="s">
        <v>9</v>
      </c>
      <c r="C358">
        <v>0</v>
      </c>
      <c r="D358">
        <v>8</v>
      </c>
      <c r="E358">
        <v>0</v>
      </c>
      <c r="F358">
        <v>1</v>
      </c>
      <c r="G358" s="1" t="s">
        <v>13</v>
      </c>
      <c r="H358">
        <f t="shared" si="5"/>
        <v>0</v>
      </c>
    </row>
    <row r="359" spans="1:8" x14ac:dyDescent="0.2">
      <c r="A359" t="s">
        <v>7</v>
      </c>
      <c r="B359" t="s">
        <v>9</v>
      </c>
      <c r="C359">
        <v>0</v>
      </c>
      <c r="D359">
        <v>8</v>
      </c>
      <c r="E359">
        <v>1</v>
      </c>
      <c r="F359">
        <v>0</v>
      </c>
      <c r="G359" s="1" t="s">
        <v>13</v>
      </c>
      <c r="H359">
        <f t="shared" si="5"/>
        <v>0</v>
      </c>
    </row>
    <row r="360" spans="1:8" x14ac:dyDescent="0.2">
      <c r="A360" t="s">
        <v>7</v>
      </c>
      <c r="B360" t="s">
        <v>9</v>
      </c>
      <c r="C360">
        <v>0</v>
      </c>
      <c r="D360">
        <v>8</v>
      </c>
      <c r="E360">
        <v>1</v>
      </c>
      <c r="F360">
        <v>1</v>
      </c>
      <c r="G360" s="1">
        <v>98000000</v>
      </c>
      <c r="H360">
        <f t="shared" si="5"/>
        <v>98000000</v>
      </c>
    </row>
    <row r="361" spans="1:8" x14ac:dyDescent="0.2">
      <c r="A361" t="s">
        <v>7</v>
      </c>
      <c r="B361" t="s">
        <v>9</v>
      </c>
      <c r="C361">
        <v>1</v>
      </c>
      <c r="D361">
        <v>0</v>
      </c>
      <c r="E361">
        <v>0</v>
      </c>
      <c r="F361">
        <v>0</v>
      </c>
      <c r="G361" s="1">
        <v>65000000</v>
      </c>
      <c r="H361">
        <f t="shared" si="5"/>
        <v>65000000</v>
      </c>
    </row>
    <row r="362" spans="1:8" x14ac:dyDescent="0.2">
      <c r="A362" t="s">
        <v>7</v>
      </c>
      <c r="B362" t="s">
        <v>9</v>
      </c>
      <c r="C362">
        <v>1</v>
      </c>
      <c r="D362">
        <v>0</v>
      </c>
      <c r="E362">
        <v>0</v>
      </c>
      <c r="F362">
        <v>1</v>
      </c>
      <c r="G362" s="1" t="s">
        <v>13</v>
      </c>
      <c r="H362">
        <f t="shared" si="5"/>
        <v>0</v>
      </c>
    </row>
    <row r="363" spans="1:8" x14ac:dyDescent="0.2">
      <c r="A363" t="s">
        <v>7</v>
      </c>
      <c r="B363" t="s">
        <v>9</v>
      </c>
      <c r="C363">
        <v>1</v>
      </c>
      <c r="D363">
        <v>0</v>
      </c>
      <c r="E363">
        <v>1</v>
      </c>
      <c r="F363">
        <v>0</v>
      </c>
      <c r="G363" s="1" t="s">
        <v>13</v>
      </c>
      <c r="H363">
        <f t="shared" si="5"/>
        <v>0</v>
      </c>
    </row>
    <row r="364" spans="1:8" x14ac:dyDescent="0.2">
      <c r="A364" t="s">
        <v>7</v>
      </c>
      <c r="B364" t="s">
        <v>9</v>
      </c>
      <c r="C364">
        <v>1</v>
      </c>
      <c r="D364">
        <v>0</v>
      </c>
      <c r="E364">
        <v>1</v>
      </c>
      <c r="F364">
        <v>1</v>
      </c>
      <c r="G364" s="1" t="s">
        <v>13</v>
      </c>
      <c r="H364">
        <f t="shared" si="5"/>
        <v>0</v>
      </c>
    </row>
    <row r="365" spans="1:8" x14ac:dyDescent="0.2">
      <c r="A365" t="s">
        <v>7</v>
      </c>
      <c r="B365" t="s">
        <v>9</v>
      </c>
      <c r="C365">
        <v>1</v>
      </c>
      <c r="D365">
        <v>1</v>
      </c>
      <c r="E365">
        <v>0</v>
      </c>
      <c r="F365">
        <v>0</v>
      </c>
      <c r="G365" s="1">
        <v>65000000</v>
      </c>
      <c r="H365">
        <f t="shared" si="5"/>
        <v>65000000</v>
      </c>
    </row>
    <row r="366" spans="1:8" x14ac:dyDescent="0.2">
      <c r="A366" t="s">
        <v>7</v>
      </c>
      <c r="B366" t="s">
        <v>9</v>
      </c>
      <c r="C366">
        <v>1</v>
      </c>
      <c r="D366">
        <v>1</v>
      </c>
      <c r="E366">
        <v>0</v>
      </c>
      <c r="F366">
        <v>1</v>
      </c>
      <c r="G366" s="1" t="s">
        <v>13</v>
      </c>
      <c r="H366">
        <f t="shared" si="5"/>
        <v>0</v>
      </c>
    </row>
    <row r="367" spans="1:8" x14ac:dyDescent="0.2">
      <c r="A367" t="s">
        <v>7</v>
      </c>
      <c r="B367" t="s">
        <v>9</v>
      </c>
      <c r="C367">
        <v>1</v>
      </c>
      <c r="D367">
        <v>1</v>
      </c>
      <c r="E367">
        <v>1</v>
      </c>
      <c r="F367">
        <v>0</v>
      </c>
      <c r="G367" s="1" t="s">
        <v>13</v>
      </c>
      <c r="H367">
        <f t="shared" si="5"/>
        <v>0</v>
      </c>
    </row>
    <row r="368" spans="1:8" x14ac:dyDescent="0.2">
      <c r="A368" t="s">
        <v>7</v>
      </c>
      <c r="B368" t="s">
        <v>9</v>
      </c>
      <c r="C368">
        <v>1</v>
      </c>
      <c r="D368">
        <v>1</v>
      </c>
      <c r="E368">
        <v>1</v>
      </c>
      <c r="F368">
        <v>1</v>
      </c>
      <c r="G368" s="1" t="s">
        <v>13</v>
      </c>
      <c r="H368">
        <f t="shared" si="5"/>
        <v>0</v>
      </c>
    </row>
    <row r="369" spans="1:8" x14ac:dyDescent="0.2">
      <c r="A369" t="s">
        <v>7</v>
      </c>
      <c r="B369" t="s">
        <v>9</v>
      </c>
      <c r="C369">
        <v>1</v>
      </c>
      <c r="D369">
        <v>2</v>
      </c>
      <c r="E369">
        <v>0</v>
      </c>
      <c r="F369">
        <v>0</v>
      </c>
      <c r="G369" s="1">
        <v>65000000</v>
      </c>
      <c r="H369">
        <f t="shared" si="5"/>
        <v>65000000</v>
      </c>
    </row>
    <row r="370" spans="1:8" x14ac:dyDescent="0.2">
      <c r="A370" t="s">
        <v>7</v>
      </c>
      <c r="B370" t="s">
        <v>9</v>
      </c>
      <c r="C370">
        <v>1</v>
      </c>
      <c r="D370">
        <v>2</v>
      </c>
      <c r="E370">
        <v>0</v>
      </c>
      <c r="F370">
        <v>1</v>
      </c>
      <c r="G370" s="1" t="s">
        <v>13</v>
      </c>
      <c r="H370">
        <f t="shared" si="5"/>
        <v>0</v>
      </c>
    </row>
    <row r="371" spans="1:8" x14ac:dyDescent="0.2">
      <c r="A371" t="s">
        <v>7</v>
      </c>
      <c r="B371" t="s">
        <v>9</v>
      </c>
      <c r="C371">
        <v>1</v>
      </c>
      <c r="D371">
        <v>2</v>
      </c>
      <c r="E371">
        <v>1</v>
      </c>
      <c r="F371">
        <v>0</v>
      </c>
      <c r="G371" s="1" t="s">
        <v>13</v>
      </c>
      <c r="H371">
        <f t="shared" si="5"/>
        <v>0</v>
      </c>
    </row>
    <row r="372" spans="1:8" x14ac:dyDescent="0.2">
      <c r="A372" t="s">
        <v>7</v>
      </c>
      <c r="B372" t="s">
        <v>9</v>
      </c>
      <c r="C372">
        <v>1</v>
      </c>
      <c r="D372">
        <v>2</v>
      </c>
      <c r="E372">
        <v>1</v>
      </c>
      <c r="F372">
        <v>1</v>
      </c>
      <c r="G372" s="1">
        <v>33000000</v>
      </c>
      <c r="H372">
        <f t="shared" si="5"/>
        <v>33000000</v>
      </c>
    </row>
    <row r="373" spans="1:8" x14ac:dyDescent="0.2">
      <c r="A373" t="s">
        <v>7</v>
      </c>
      <c r="B373" t="s">
        <v>9</v>
      </c>
      <c r="C373">
        <v>1</v>
      </c>
      <c r="D373">
        <v>3</v>
      </c>
      <c r="E373">
        <v>0</v>
      </c>
      <c r="F373">
        <v>0</v>
      </c>
      <c r="G373" s="1">
        <v>65000000</v>
      </c>
      <c r="H373">
        <f t="shared" si="5"/>
        <v>65000000</v>
      </c>
    </row>
    <row r="374" spans="1:8" x14ac:dyDescent="0.2">
      <c r="A374" t="s">
        <v>7</v>
      </c>
      <c r="B374" t="s">
        <v>9</v>
      </c>
      <c r="C374">
        <v>1</v>
      </c>
      <c r="D374">
        <v>3</v>
      </c>
      <c r="E374">
        <v>0</v>
      </c>
      <c r="F374">
        <v>1</v>
      </c>
      <c r="G374" s="1" t="s">
        <v>13</v>
      </c>
      <c r="H374">
        <f t="shared" si="5"/>
        <v>0</v>
      </c>
    </row>
    <row r="375" spans="1:8" x14ac:dyDescent="0.2">
      <c r="A375" t="s">
        <v>7</v>
      </c>
      <c r="B375" t="s">
        <v>9</v>
      </c>
      <c r="C375">
        <v>1</v>
      </c>
      <c r="D375">
        <v>3</v>
      </c>
      <c r="E375">
        <v>1</v>
      </c>
      <c r="F375">
        <v>0</v>
      </c>
      <c r="G375" s="1" t="s">
        <v>13</v>
      </c>
      <c r="H375">
        <f t="shared" si="5"/>
        <v>0</v>
      </c>
    </row>
    <row r="376" spans="1:8" x14ac:dyDescent="0.2">
      <c r="A376" t="s">
        <v>7</v>
      </c>
      <c r="B376" t="s">
        <v>9</v>
      </c>
      <c r="C376">
        <v>1</v>
      </c>
      <c r="D376">
        <v>3</v>
      </c>
      <c r="E376">
        <v>1</v>
      </c>
      <c r="F376">
        <v>1</v>
      </c>
      <c r="G376" s="1" t="s">
        <v>13</v>
      </c>
      <c r="H376">
        <f t="shared" si="5"/>
        <v>0</v>
      </c>
    </row>
    <row r="377" spans="1:8" x14ac:dyDescent="0.2">
      <c r="A377" t="s">
        <v>7</v>
      </c>
      <c r="B377" t="s">
        <v>9</v>
      </c>
      <c r="C377">
        <v>1</v>
      </c>
      <c r="D377">
        <v>4</v>
      </c>
      <c r="E377">
        <v>0</v>
      </c>
      <c r="F377">
        <v>0</v>
      </c>
      <c r="G377" s="1">
        <v>65000000</v>
      </c>
      <c r="H377">
        <f t="shared" si="5"/>
        <v>65000000</v>
      </c>
    </row>
    <row r="378" spans="1:8" x14ac:dyDescent="0.2">
      <c r="A378" t="s">
        <v>7</v>
      </c>
      <c r="B378" t="s">
        <v>9</v>
      </c>
      <c r="C378">
        <v>1</v>
      </c>
      <c r="D378">
        <v>4</v>
      </c>
      <c r="E378">
        <v>0</v>
      </c>
      <c r="F378">
        <v>1</v>
      </c>
      <c r="G378" s="1" t="s">
        <v>13</v>
      </c>
      <c r="H378">
        <f t="shared" si="5"/>
        <v>0</v>
      </c>
    </row>
    <row r="379" spans="1:8" x14ac:dyDescent="0.2">
      <c r="A379" t="s">
        <v>7</v>
      </c>
      <c r="B379" t="s">
        <v>9</v>
      </c>
      <c r="C379">
        <v>1</v>
      </c>
      <c r="D379">
        <v>4</v>
      </c>
      <c r="E379">
        <v>1</v>
      </c>
      <c r="F379">
        <v>0</v>
      </c>
      <c r="G379" s="1" t="s">
        <v>13</v>
      </c>
      <c r="H379">
        <f t="shared" si="5"/>
        <v>0</v>
      </c>
    </row>
    <row r="380" spans="1:8" x14ac:dyDescent="0.2">
      <c r="A380" t="s">
        <v>7</v>
      </c>
      <c r="B380" t="s">
        <v>9</v>
      </c>
      <c r="C380">
        <v>1</v>
      </c>
      <c r="D380">
        <v>4</v>
      </c>
      <c r="E380">
        <v>1</v>
      </c>
      <c r="F380">
        <v>1</v>
      </c>
      <c r="G380" s="1" t="s">
        <v>13</v>
      </c>
      <c r="H380">
        <f t="shared" si="5"/>
        <v>0</v>
      </c>
    </row>
    <row r="381" spans="1:8" x14ac:dyDescent="0.2">
      <c r="A381" t="s">
        <v>7</v>
      </c>
      <c r="B381" t="s">
        <v>9</v>
      </c>
      <c r="C381">
        <v>1</v>
      </c>
      <c r="D381">
        <v>5</v>
      </c>
      <c r="E381">
        <v>0</v>
      </c>
      <c r="F381">
        <v>0</v>
      </c>
      <c r="G381" s="1">
        <v>65000000</v>
      </c>
      <c r="H381">
        <f t="shared" si="5"/>
        <v>65000000</v>
      </c>
    </row>
    <row r="382" spans="1:8" x14ac:dyDescent="0.2">
      <c r="A382" t="s">
        <v>7</v>
      </c>
      <c r="B382" t="s">
        <v>9</v>
      </c>
      <c r="C382">
        <v>1</v>
      </c>
      <c r="D382">
        <v>5</v>
      </c>
      <c r="E382">
        <v>0</v>
      </c>
      <c r="F382">
        <v>1</v>
      </c>
      <c r="G382" s="1" t="s">
        <v>13</v>
      </c>
      <c r="H382">
        <f t="shared" si="5"/>
        <v>0</v>
      </c>
    </row>
    <row r="383" spans="1:8" x14ac:dyDescent="0.2">
      <c r="A383" t="s">
        <v>7</v>
      </c>
      <c r="B383" t="s">
        <v>9</v>
      </c>
      <c r="C383">
        <v>1</v>
      </c>
      <c r="D383">
        <v>5</v>
      </c>
      <c r="E383">
        <v>1</v>
      </c>
      <c r="F383">
        <v>0</v>
      </c>
      <c r="G383" s="1" t="s">
        <v>13</v>
      </c>
      <c r="H383">
        <f t="shared" si="5"/>
        <v>0</v>
      </c>
    </row>
    <row r="384" spans="1:8" x14ac:dyDescent="0.2">
      <c r="A384" t="s">
        <v>7</v>
      </c>
      <c r="B384" t="s">
        <v>9</v>
      </c>
      <c r="C384">
        <v>1</v>
      </c>
      <c r="D384">
        <v>5</v>
      </c>
      <c r="E384">
        <v>1</v>
      </c>
      <c r="F384">
        <v>1</v>
      </c>
      <c r="G384" s="1">
        <v>33000000</v>
      </c>
      <c r="H384">
        <f t="shared" si="5"/>
        <v>33000000</v>
      </c>
    </row>
    <row r="385" spans="1:8" x14ac:dyDescent="0.2">
      <c r="A385" t="s">
        <v>7</v>
      </c>
      <c r="B385" t="s">
        <v>9</v>
      </c>
      <c r="C385">
        <v>1</v>
      </c>
      <c r="D385">
        <v>6</v>
      </c>
      <c r="E385">
        <v>0</v>
      </c>
      <c r="F385">
        <v>0</v>
      </c>
      <c r="G385" s="1">
        <v>65000000</v>
      </c>
      <c r="H385">
        <f t="shared" si="5"/>
        <v>65000000</v>
      </c>
    </row>
    <row r="386" spans="1:8" x14ac:dyDescent="0.2">
      <c r="A386" t="s">
        <v>7</v>
      </c>
      <c r="B386" t="s">
        <v>9</v>
      </c>
      <c r="C386">
        <v>1</v>
      </c>
      <c r="D386">
        <v>6</v>
      </c>
      <c r="E386">
        <v>0</v>
      </c>
      <c r="F386">
        <v>1</v>
      </c>
      <c r="G386" s="1" t="s">
        <v>13</v>
      </c>
      <c r="H386">
        <f t="shared" ref="H386:H449" si="6">_xlfn.NUMBERVALUE(G386)</f>
        <v>0</v>
      </c>
    </row>
    <row r="387" spans="1:8" x14ac:dyDescent="0.2">
      <c r="A387" t="s">
        <v>7</v>
      </c>
      <c r="B387" t="s">
        <v>9</v>
      </c>
      <c r="C387">
        <v>1</v>
      </c>
      <c r="D387">
        <v>6</v>
      </c>
      <c r="E387">
        <v>1</v>
      </c>
      <c r="F387">
        <v>0</v>
      </c>
      <c r="G387" s="1" t="s">
        <v>13</v>
      </c>
      <c r="H387">
        <f t="shared" si="6"/>
        <v>0</v>
      </c>
    </row>
    <row r="388" spans="1:8" x14ac:dyDescent="0.2">
      <c r="A388" t="s">
        <v>7</v>
      </c>
      <c r="B388" t="s">
        <v>9</v>
      </c>
      <c r="C388">
        <v>1</v>
      </c>
      <c r="D388">
        <v>6</v>
      </c>
      <c r="E388">
        <v>1</v>
      </c>
      <c r="F388">
        <v>1</v>
      </c>
      <c r="G388" s="1" t="s">
        <v>13</v>
      </c>
      <c r="H388">
        <f t="shared" si="6"/>
        <v>0</v>
      </c>
    </row>
    <row r="389" spans="1:8" x14ac:dyDescent="0.2">
      <c r="A389" t="s">
        <v>7</v>
      </c>
      <c r="B389" t="s">
        <v>9</v>
      </c>
      <c r="C389">
        <v>1</v>
      </c>
      <c r="D389">
        <v>7</v>
      </c>
      <c r="E389">
        <v>0</v>
      </c>
      <c r="F389">
        <v>0</v>
      </c>
      <c r="G389" s="1">
        <v>65000000</v>
      </c>
      <c r="H389">
        <f t="shared" si="6"/>
        <v>65000000</v>
      </c>
    </row>
    <row r="390" spans="1:8" x14ac:dyDescent="0.2">
      <c r="A390" t="s">
        <v>7</v>
      </c>
      <c r="B390" t="s">
        <v>9</v>
      </c>
      <c r="C390">
        <v>1</v>
      </c>
      <c r="D390">
        <v>7</v>
      </c>
      <c r="E390">
        <v>0</v>
      </c>
      <c r="F390">
        <v>1</v>
      </c>
      <c r="G390" s="1" t="s">
        <v>13</v>
      </c>
      <c r="H390">
        <f t="shared" si="6"/>
        <v>0</v>
      </c>
    </row>
    <row r="391" spans="1:8" x14ac:dyDescent="0.2">
      <c r="A391" t="s">
        <v>7</v>
      </c>
      <c r="B391" t="s">
        <v>9</v>
      </c>
      <c r="C391">
        <v>1</v>
      </c>
      <c r="D391">
        <v>7</v>
      </c>
      <c r="E391">
        <v>1</v>
      </c>
      <c r="F391">
        <v>0</v>
      </c>
      <c r="G391" s="1" t="s">
        <v>13</v>
      </c>
      <c r="H391">
        <f t="shared" si="6"/>
        <v>0</v>
      </c>
    </row>
    <row r="392" spans="1:8" x14ac:dyDescent="0.2">
      <c r="A392" t="s">
        <v>7</v>
      </c>
      <c r="B392" t="s">
        <v>9</v>
      </c>
      <c r="C392">
        <v>1</v>
      </c>
      <c r="D392">
        <v>7</v>
      </c>
      <c r="E392">
        <v>1</v>
      </c>
      <c r="F392">
        <v>1</v>
      </c>
      <c r="G392" s="1" t="s">
        <v>13</v>
      </c>
      <c r="H392">
        <f t="shared" si="6"/>
        <v>0</v>
      </c>
    </row>
    <row r="393" spans="1:8" x14ac:dyDescent="0.2">
      <c r="A393" t="s">
        <v>7</v>
      </c>
      <c r="B393" t="s">
        <v>9</v>
      </c>
      <c r="C393">
        <v>1</v>
      </c>
      <c r="D393">
        <v>8</v>
      </c>
      <c r="E393">
        <v>0</v>
      </c>
      <c r="F393">
        <v>0</v>
      </c>
      <c r="G393" s="1">
        <v>65000000</v>
      </c>
      <c r="H393">
        <f t="shared" si="6"/>
        <v>65000000</v>
      </c>
    </row>
    <row r="394" spans="1:8" x14ac:dyDescent="0.2">
      <c r="A394" t="s">
        <v>7</v>
      </c>
      <c r="B394" t="s">
        <v>9</v>
      </c>
      <c r="C394">
        <v>1</v>
      </c>
      <c r="D394">
        <v>8</v>
      </c>
      <c r="E394">
        <v>0</v>
      </c>
      <c r="F394">
        <v>1</v>
      </c>
      <c r="G394" s="1" t="s">
        <v>13</v>
      </c>
      <c r="H394">
        <f t="shared" si="6"/>
        <v>0</v>
      </c>
    </row>
    <row r="395" spans="1:8" x14ac:dyDescent="0.2">
      <c r="A395" t="s">
        <v>7</v>
      </c>
      <c r="B395" t="s">
        <v>9</v>
      </c>
      <c r="C395">
        <v>1</v>
      </c>
      <c r="D395">
        <v>8</v>
      </c>
      <c r="E395">
        <v>1</v>
      </c>
      <c r="F395">
        <v>0</v>
      </c>
      <c r="G395" s="1" t="s">
        <v>13</v>
      </c>
      <c r="H395">
        <f t="shared" si="6"/>
        <v>0</v>
      </c>
    </row>
    <row r="396" spans="1:8" x14ac:dyDescent="0.2">
      <c r="A396" t="s">
        <v>7</v>
      </c>
      <c r="B396" t="s">
        <v>9</v>
      </c>
      <c r="C396">
        <v>1</v>
      </c>
      <c r="D396">
        <v>8</v>
      </c>
      <c r="E396">
        <v>1</v>
      </c>
      <c r="F396">
        <v>1</v>
      </c>
      <c r="G396" s="1">
        <v>33000000</v>
      </c>
      <c r="H396">
        <f t="shared" si="6"/>
        <v>33000000</v>
      </c>
    </row>
    <row r="397" spans="1:8" x14ac:dyDescent="0.2">
      <c r="A397" t="s">
        <v>7</v>
      </c>
      <c r="B397" t="s">
        <v>9</v>
      </c>
      <c r="C397">
        <v>2</v>
      </c>
      <c r="D397">
        <v>0</v>
      </c>
      <c r="E397">
        <v>0</v>
      </c>
      <c r="F397">
        <v>0</v>
      </c>
      <c r="G397" s="1">
        <v>16157676</v>
      </c>
      <c r="H397">
        <f t="shared" si="6"/>
        <v>16157676</v>
      </c>
    </row>
    <row r="398" spans="1:8" x14ac:dyDescent="0.2">
      <c r="A398" t="s">
        <v>7</v>
      </c>
      <c r="B398" t="s">
        <v>9</v>
      </c>
      <c r="C398">
        <v>2</v>
      </c>
      <c r="D398">
        <v>0</v>
      </c>
      <c r="E398">
        <v>0</v>
      </c>
      <c r="F398">
        <v>1</v>
      </c>
      <c r="G398" s="1" t="s">
        <v>13</v>
      </c>
      <c r="H398">
        <f t="shared" si="6"/>
        <v>0</v>
      </c>
    </row>
    <row r="399" spans="1:8" x14ac:dyDescent="0.2">
      <c r="A399" t="s">
        <v>7</v>
      </c>
      <c r="B399" t="s">
        <v>9</v>
      </c>
      <c r="C399">
        <v>2</v>
      </c>
      <c r="D399">
        <v>0</v>
      </c>
      <c r="E399">
        <v>1</v>
      </c>
      <c r="F399">
        <v>0</v>
      </c>
      <c r="G399" s="1" t="s">
        <v>13</v>
      </c>
      <c r="H399">
        <f t="shared" si="6"/>
        <v>0</v>
      </c>
    </row>
    <row r="400" spans="1:8" x14ac:dyDescent="0.2">
      <c r="A400" t="s">
        <v>7</v>
      </c>
      <c r="B400" t="s">
        <v>9</v>
      </c>
      <c r="C400">
        <v>2</v>
      </c>
      <c r="D400">
        <v>0</v>
      </c>
      <c r="E400">
        <v>1</v>
      </c>
      <c r="F400">
        <v>1</v>
      </c>
      <c r="G400" s="1">
        <v>3842324</v>
      </c>
      <c r="H400">
        <f t="shared" si="6"/>
        <v>3842324</v>
      </c>
    </row>
    <row r="401" spans="1:8" x14ac:dyDescent="0.2">
      <c r="A401" t="s">
        <v>7</v>
      </c>
      <c r="B401" t="s">
        <v>9</v>
      </c>
      <c r="C401">
        <v>2</v>
      </c>
      <c r="D401">
        <v>1</v>
      </c>
      <c r="E401">
        <v>0</v>
      </c>
      <c r="F401">
        <v>0</v>
      </c>
      <c r="G401" s="1">
        <v>16157676</v>
      </c>
      <c r="H401">
        <f t="shared" si="6"/>
        <v>16157676</v>
      </c>
    </row>
    <row r="402" spans="1:8" x14ac:dyDescent="0.2">
      <c r="A402" t="s">
        <v>7</v>
      </c>
      <c r="B402" t="s">
        <v>9</v>
      </c>
      <c r="C402">
        <v>2</v>
      </c>
      <c r="D402">
        <v>1</v>
      </c>
      <c r="E402">
        <v>0</v>
      </c>
      <c r="F402">
        <v>1</v>
      </c>
      <c r="G402" s="1" t="s">
        <v>13</v>
      </c>
      <c r="H402">
        <f t="shared" si="6"/>
        <v>0</v>
      </c>
    </row>
    <row r="403" spans="1:8" x14ac:dyDescent="0.2">
      <c r="A403" t="s">
        <v>7</v>
      </c>
      <c r="B403" t="s">
        <v>9</v>
      </c>
      <c r="C403">
        <v>2</v>
      </c>
      <c r="D403">
        <v>1</v>
      </c>
      <c r="E403">
        <v>1</v>
      </c>
      <c r="F403">
        <v>0</v>
      </c>
      <c r="G403" s="1" t="s">
        <v>13</v>
      </c>
      <c r="H403">
        <f t="shared" si="6"/>
        <v>0</v>
      </c>
    </row>
    <row r="404" spans="1:8" x14ac:dyDescent="0.2">
      <c r="A404" t="s">
        <v>7</v>
      </c>
      <c r="B404" t="s">
        <v>9</v>
      </c>
      <c r="C404">
        <v>2</v>
      </c>
      <c r="D404">
        <v>1</v>
      </c>
      <c r="E404">
        <v>1</v>
      </c>
      <c r="F404">
        <v>1</v>
      </c>
      <c r="G404" s="1">
        <v>48842324</v>
      </c>
      <c r="H404">
        <f t="shared" si="6"/>
        <v>48842324</v>
      </c>
    </row>
    <row r="405" spans="1:8" x14ac:dyDescent="0.2">
      <c r="A405" t="s">
        <v>7</v>
      </c>
      <c r="B405" t="s">
        <v>9</v>
      </c>
      <c r="C405">
        <v>2</v>
      </c>
      <c r="D405">
        <v>2</v>
      </c>
      <c r="E405">
        <v>0</v>
      </c>
      <c r="F405">
        <v>0</v>
      </c>
      <c r="G405" s="1">
        <v>16157676</v>
      </c>
      <c r="H405">
        <f t="shared" si="6"/>
        <v>16157676</v>
      </c>
    </row>
    <row r="406" spans="1:8" x14ac:dyDescent="0.2">
      <c r="A406" t="s">
        <v>7</v>
      </c>
      <c r="B406" t="s">
        <v>9</v>
      </c>
      <c r="C406">
        <v>2</v>
      </c>
      <c r="D406">
        <v>2</v>
      </c>
      <c r="E406">
        <v>0</v>
      </c>
      <c r="F406">
        <v>1</v>
      </c>
      <c r="G406" s="1" t="s">
        <v>13</v>
      </c>
      <c r="H406">
        <f t="shared" si="6"/>
        <v>0</v>
      </c>
    </row>
    <row r="407" spans="1:8" x14ac:dyDescent="0.2">
      <c r="A407" t="s">
        <v>7</v>
      </c>
      <c r="B407" t="s">
        <v>9</v>
      </c>
      <c r="C407">
        <v>2</v>
      </c>
      <c r="D407">
        <v>2</v>
      </c>
      <c r="E407">
        <v>1</v>
      </c>
      <c r="F407">
        <v>0</v>
      </c>
      <c r="G407" s="1" t="s">
        <v>13</v>
      </c>
      <c r="H407">
        <f t="shared" si="6"/>
        <v>0</v>
      </c>
    </row>
    <row r="408" spans="1:8" x14ac:dyDescent="0.2">
      <c r="A408" t="s">
        <v>7</v>
      </c>
      <c r="B408" t="s">
        <v>9</v>
      </c>
      <c r="C408">
        <v>2</v>
      </c>
      <c r="D408">
        <v>2</v>
      </c>
      <c r="E408">
        <v>1</v>
      </c>
      <c r="F408">
        <v>1</v>
      </c>
      <c r="G408" s="1">
        <v>81842324</v>
      </c>
      <c r="H408">
        <f t="shared" si="6"/>
        <v>81842324</v>
      </c>
    </row>
    <row r="409" spans="1:8" x14ac:dyDescent="0.2">
      <c r="A409" t="s">
        <v>7</v>
      </c>
      <c r="B409" t="s">
        <v>9</v>
      </c>
      <c r="C409">
        <v>2</v>
      </c>
      <c r="D409">
        <v>3</v>
      </c>
      <c r="E409">
        <v>0</v>
      </c>
      <c r="F409">
        <v>0</v>
      </c>
      <c r="G409" s="1">
        <v>16157676</v>
      </c>
      <c r="H409">
        <f t="shared" si="6"/>
        <v>16157676</v>
      </c>
    </row>
    <row r="410" spans="1:8" x14ac:dyDescent="0.2">
      <c r="A410" t="s">
        <v>7</v>
      </c>
      <c r="B410" t="s">
        <v>9</v>
      </c>
      <c r="C410">
        <v>2</v>
      </c>
      <c r="D410">
        <v>3</v>
      </c>
      <c r="E410">
        <v>0</v>
      </c>
      <c r="F410">
        <v>1</v>
      </c>
      <c r="G410" s="1" t="s">
        <v>13</v>
      </c>
      <c r="H410">
        <f t="shared" si="6"/>
        <v>0</v>
      </c>
    </row>
    <row r="411" spans="1:8" x14ac:dyDescent="0.2">
      <c r="A411" t="s">
        <v>7</v>
      </c>
      <c r="B411" t="s">
        <v>9</v>
      </c>
      <c r="C411">
        <v>2</v>
      </c>
      <c r="D411">
        <v>3</v>
      </c>
      <c r="E411">
        <v>1</v>
      </c>
      <c r="F411">
        <v>0</v>
      </c>
      <c r="G411" s="1" t="s">
        <v>13</v>
      </c>
      <c r="H411">
        <f t="shared" si="6"/>
        <v>0</v>
      </c>
    </row>
    <row r="412" spans="1:8" x14ac:dyDescent="0.2">
      <c r="A412" t="s">
        <v>7</v>
      </c>
      <c r="B412" t="s">
        <v>9</v>
      </c>
      <c r="C412">
        <v>2</v>
      </c>
      <c r="D412">
        <v>3</v>
      </c>
      <c r="E412">
        <v>1</v>
      </c>
      <c r="F412">
        <v>1</v>
      </c>
      <c r="G412" s="1">
        <v>3842324</v>
      </c>
      <c r="H412">
        <f t="shared" si="6"/>
        <v>3842324</v>
      </c>
    </row>
    <row r="413" spans="1:8" x14ac:dyDescent="0.2">
      <c r="A413" t="s">
        <v>7</v>
      </c>
      <c r="B413" t="s">
        <v>9</v>
      </c>
      <c r="C413">
        <v>2</v>
      </c>
      <c r="D413">
        <v>4</v>
      </c>
      <c r="E413">
        <v>0</v>
      </c>
      <c r="F413">
        <v>0</v>
      </c>
      <c r="G413" s="1">
        <v>16157676</v>
      </c>
      <c r="H413">
        <f t="shared" si="6"/>
        <v>16157676</v>
      </c>
    </row>
    <row r="414" spans="1:8" x14ac:dyDescent="0.2">
      <c r="A414" t="s">
        <v>7</v>
      </c>
      <c r="B414" t="s">
        <v>9</v>
      </c>
      <c r="C414">
        <v>2</v>
      </c>
      <c r="D414">
        <v>4</v>
      </c>
      <c r="E414">
        <v>0</v>
      </c>
      <c r="F414">
        <v>1</v>
      </c>
      <c r="G414" s="1" t="s">
        <v>13</v>
      </c>
      <c r="H414">
        <f t="shared" si="6"/>
        <v>0</v>
      </c>
    </row>
    <row r="415" spans="1:8" x14ac:dyDescent="0.2">
      <c r="A415" t="s">
        <v>7</v>
      </c>
      <c r="B415" t="s">
        <v>9</v>
      </c>
      <c r="C415">
        <v>2</v>
      </c>
      <c r="D415">
        <v>4</v>
      </c>
      <c r="E415">
        <v>1</v>
      </c>
      <c r="F415">
        <v>0</v>
      </c>
      <c r="G415" s="1" t="s">
        <v>13</v>
      </c>
      <c r="H415">
        <f t="shared" si="6"/>
        <v>0</v>
      </c>
    </row>
    <row r="416" spans="1:8" x14ac:dyDescent="0.2">
      <c r="A416" t="s">
        <v>7</v>
      </c>
      <c r="B416" t="s">
        <v>9</v>
      </c>
      <c r="C416">
        <v>2</v>
      </c>
      <c r="D416">
        <v>4</v>
      </c>
      <c r="E416">
        <v>1</v>
      </c>
      <c r="F416">
        <v>1</v>
      </c>
      <c r="G416" s="1">
        <v>48842324</v>
      </c>
      <c r="H416">
        <f t="shared" si="6"/>
        <v>48842324</v>
      </c>
    </row>
    <row r="417" spans="1:8" x14ac:dyDescent="0.2">
      <c r="A417" t="s">
        <v>7</v>
      </c>
      <c r="B417" t="s">
        <v>9</v>
      </c>
      <c r="C417">
        <v>2</v>
      </c>
      <c r="D417">
        <v>5</v>
      </c>
      <c r="E417">
        <v>0</v>
      </c>
      <c r="F417">
        <v>0</v>
      </c>
      <c r="G417" s="1">
        <v>16157676</v>
      </c>
      <c r="H417">
        <f t="shared" si="6"/>
        <v>16157676</v>
      </c>
    </row>
    <row r="418" spans="1:8" x14ac:dyDescent="0.2">
      <c r="A418" t="s">
        <v>7</v>
      </c>
      <c r="B418" t="s">
        <v>9</v>
      </c>
      <c r="C418">
        <v>2</v>
      </c>
      <c r="D418">
        <v>5</v>
      </c>
      <c r="E418">
        <v>0</v>
      </c>
      <c r="F418">
        <v>1</v>
      </c>
      <c r="G418" s="1" t="s">
        <v>13</v>
      </c>
      <c r="H418">
        <f t="shared" si="6"/>
        <v>0</v>
      </c>
    </row>
    <row r="419" spans="1:8" x14ac:dyDescent="0.2">
      <c r="A419" t="s">
        <v>7</v>
      </c>
      <c r="B419" t="s">
        <v>9</v>
      </c>
      <c r="C419">
        <v>2</v>
      </c>
      <c r="D419">
        <v>5</v>
      </c>
      <c r="E419">
        <v>1</v>
      </c>
      <c r="F419">
        <v>0</v>
      </c>
      <c r="G419" s="1" t="s">
        <v>13</v>
      </c>
      <c r="H419">
        <f t="shared" si="6"/>
        <v>0</v>
      </c>
    </row>
    <row r="420" spans="1:8" x14ac:dyDescent="0.2">
      <c r="A420" t="s">
        <v>7</v>
      </c>
      <c r="B420" t="s">
        <v>9</v>
      </c>
      <c r="C420">
        <v>2</v>
      </c>
      <c r="D420">
        <v>5</v>
      </c>
      <c r="E420">
        <v>1</v>
      </c>
      <c r="F420">
        <v>1</v>
      </c>
      <c r="G420" s="1">
        <v>81842324</v>
      </c>
      <c r="H420">
        <f t="shared" si="6"/>
        <v>81842324</v>
      </c>
    </row>
    <row r="421" spans="1:8" x14ac:dyDescent="0.2">
      <c r="A421" t="s">
        <v>7</v>
      </c>
      <c r="B421" t="s">
        <v>9</v>
      </c>
      <c r="C421">
        <v>2</v>
      </c>
      <c r="D421">
        <v>6</v>
      </c>
      <c r="E421">
        <v>0</v>
      </c>
      <c r="F421">
        <v>0</v>
      </c>
      <c r="G421" s="1">
        <v>16157676</v>
      </c>
      <c r="H421">
        <f t="shared" si="6"/>
        <v>16157676</v>
      </c>
    </row>
    <row r="422" spans="1:8" x14ac:dyDescent="0.2">
      <c r="A422" t="s">
        <v>7</v>
      </c>
      <c r="B422" t="s">
        <v>9</v>
      </c>
      <c r="C422">
        <v>2</v>
      </c>
      <c r="D422">
        <v>6</v>
      </c>
      <c r="E422">
        <v>0</v>
      </c>
      <c r="F422">
        <v>1</v>
      </c>
      <c r="G422" s="1" t="s">
        <v>13</v>
      </c>
      <c r="H422">
        <f t="shared" si="6"/>
        <v>0</v>
      </c>
    </row>
    <row r="423" spans="1:8" x14ac:dyDescent="0.2">
      <c r="A423" t="s">
        <v>7</v>
      </c>
      <c r="B423" t="s">
        <v>9</v>
      </c>
      <c r="C423">
        <v>2</v>
      </c>
      <c r="D423">
        <v>6</v>
      </c>
      <c r="E423">
        <v>1</v>
      </c>
      <c r="F423">
        <v>0</v>
      </c>
      <c r="G423" s="1" t="s">
        <v>13</v>
      </c>
      <c r="H423">
        <f t="shared" si="6"/>
        <v>0</v>
      </c>
    </row>
    <row r="424" spans="1:8" x14ac:dyDescent="0.2">
      <c r="A424" t="s">
        <v>7</v>
      </c>
      <c r="B424" t="s">
        <v>9</v>
      </c>
      <c r="C424">
        <v>2</v>
      </c>
      <c r="D424">
        <v>6</v>
      </c>
      <c r="E424">
        <v>1</v>
      </c>
      <c r="F424">
        <v>1</v>
      </c>
      <c r="G424" s="1">
        <v>3842324</v>
      </c>
      <c r="H424">
        <f t="shared" si="6"/>
        <v>3842324</v>
      </c>
    </row>
    <row r="425" spans="1:8" x14ac:dyDescent="0.2">
      <c r="A425" t="s">
        <v>7</v>
      </c>
      <c r="B425" t="s">
        <v>9</v>
      </c>
      <c r="C425">
        <v>2</v>
      </c>
      <c r="D425">
        <v>7</v>
      </c>
      <c r="E425">
        <v>0</v>
      </c>
      <c r="F425">
        <v>0</v>
      </c>
      <c r="G425" s="1">
        <v>16157676</v>
      </c>
      <c r="H425">
        <f t="shared" si="6"/>
        <v>16157676</v>
      </c>
    </row>
    <row r="426" spans="1:8" x14ac:dyDescent="0.2">
      <c r="A426" t="s">
        <v>7</v>
      </c>
      <c r="B426" t="s">
        <v>9</v>
      </c>
      <c r="C426">
        <v>2</v>
      </c>
      <c r="D426">
        <v>7</v>
      </c>
      <c r="E426">
        <v>0</v>
      </c>
      <c r="F426">
        <v>1</v>
      </c>
      <c r="G426" s="1" t="s">
        <v>13</v>
      </c>
      <c r="H426">
        <f t="shared" si="6"/>
        <v>0</v>
      </c>
    </row>
    <row r="427" spans="1:8" x14ac:dyDescent="0.2">
      <c r="A427" t="s">
        <v>7</v>
      </c>
      <c r="B427" t="s">
        <v>9</v>
      </c>
      <c r="C427">
        <v>2</v>
      </c>
      <c r="D427">
        <v>7</v>
      </c>
      <c r="E427">
        <v>1</v>
      </c>
      <c r="F427">
        <v>0</v>
      </c>
      <c r="G427" s="1" t="s">
        <v>13</v>
      </c>
      <c r="H427">
        <f t="shared" si="6"/>
        <v>0</v>
      </c>
    </row>
    <row r="428" spans="1:8" x14ac:dyDescent="0.2">
      <c r="A428" t="s">
        <v>7</v>
      </c>
      <c r="B428" t="s">
        <v>9</v>
      </c>
      <c r="C428">
        <v>2</v>
      </c>
      <c r="D428">
        <v>7</v>
      </c>
      <c r="E428">
        <v>1</v>
      </c>
      <c r="F428">
        <v>1</v>
      </c>
      <c r="G428" s="1">
        <v>48842324</v>
      </c>
      <c r="H428">
        <f t="shared" si="6"/>
        <v>48842324</v>
      </c>
    </row>
    <row r="429" spans="1:8" x14ac:dyDescent="0.2">
      <c r="A429" t="s">
        <v>7</v>
      </c>
      <c r="B429" t="s">
        <v>9</v>
      </c>
      <c r="C429">
        <v>2</v>
      </c>
      <c r="D429">
        <v>8</v>
      </c>
      <c r="E429">
        <v>0</v>
      </c>
      <c r="F429">
        <v>0</v>
      </c>
      <c r="G429" s="1">
        <v>16157676</v>
      </c>
      <c r="H429">
        <f t="shared" si="6"/>
        <v>16157676</v>
      </c>
    </row>
    <row r="430" spans="1:8" x14ac:dyDescent="0.2">
      <c r="A430" t="s">
        <v>7</v>
      </c>
      <c r="B430" t="s">
        <v>9</v>
      </c>
      <c r="C430">
        <v>2</v>
      </c>
      <c r="D430">
        <v>8</v>
      </c>
      <c r="E430">
        <v>0</v>
      </c>
      <c r="F430">
        <v>1</v>
      </c>
      <c r="G430" s="1" t="s">
        <v>13</v>
      </c>
      <c r="H430">
        <f t="shared" si="6"/>
        <v>0</v>
      </c>
    </row>
    <row r="431" spans="1:8" x14ac:dyDescent="0.2">
      <c r="A431" t="s">
        <v>7</v>
      </c>
      <c r="B431" t="s">
        <v>9</v>
      </c>
      <c r="C431">
        <v>2</v>
      </c>
      <c r="D431">
        <v>8</v>
      </c>
      <c r="E431">
        <v>1</v>
      </c>
      <c r="F431">
        <v>0</v>
      </c>
      <c r="G431" s="1" t="s">
        <v>13</v>
      </c>
      <c r="H431">
        <f t="shared" si="6"/>
        <v>0</v>
      </c>
    </row>
    <row r="432" spans="1:8" x14ac:dyDescent="0.2">
      <c r="A432" t="s">
        <v>7</v>
      </c>
      <c r="B432" t="s">
        <v>9</v>
      </c>
      <c r="C432">
        <v>2</v>
      </c>
      <c r="D432">
        <v>8</v>
      </c>
      <c r="E432">
        <v>1</v>
      </c>
      <c r="F432">
        <v>1</v>
      </c>
      <c r="G432" s="1">
        <v>81842324</v>
      </c>
      <c r="H432">
        <f t="shared" si="6"/>
        <v>81842324</v>
      </c>
    </row>
    <row r="433" spans="1:8" x14ac:dyDescent="0.2">
      <c r="A433" t="s">
        <v>10</v>
      </c>
      <c r="B433" t="s">
        <v>9</v>
      </c>
      <c r="C433">
        <v>0</v>
      </c>
      <c r="D433">
        <v>0</v>
      </c>
      <c r="E433">
        <v>0</v>
      </c>
      <c r="F433">
        <v>0</v>
      </c>
      <c r="G433" s="1" t="s">
        <v>13</v>
      </c>
      <c r="H433">
        <f t="shared" si="6"/>
        <v>0</v>
      </c>
    </row>
    <row r="434" spans="1:8" x14ac:dyDescent="0.2">
      <c r="A434" t="s">
        <v>10</v>
      </c>
      <c r="B434" t="s">
        <v>9</v>
      </c>
      <c r="C434">
        <v>0</v>
      </c>
      <c r="D434">
        <v>0</v>
      </c>
      <c r="E434">
        <v>0</v>
      </c>
      <c r="F434">
        <v>1</v>
      </c>
      <c r="G434" s="1" t="s">
        <v>13</v>
      </c>
      <c r="H434">
        <f t="shared" si="6"/>
        <v>0</v>
      </c>
    </row>
    <row r="435" spans="1:8" x14ac:dyDescent="0.2">
      <c r="A435" t="s">
        <v>10</v>
      </c>
      <c r="B435" t="s">
        <v>9</v>
      </c>
      <c r="C435">
        <v>0</v>
      </c>
      <c r="D435">
        <v>0</v>
      </c>
      <c r="E435">
        <v>1</v>
      </c>
      <c r="F435">
        <v>0</v>
      </c>
      <c r="G435" s="1" t="s">
        <v>13</v>
      </c>
      <c r="H435">
        <f t="shared" si="6"/>
        <v>0</v>
      </c>
    </row>
    <row r="436" spans="1:8" x14ac:dyDescent="0.2">
      <c r="A436" t="s">
        <v>10</v>
      </c>
      <c r="B436" t="s">
        <v>9</v>
      </c>
      <c r="C436">
        <v>0</v>
      </c>
      <c r="D436">
        <v>0</v>
      </c>
      <c r="E436">
        <v>1</v>
      </c>
      <c r="F436">
        <v>1</v>
      </c>
      <c r="G436" s="1">
        <v>4998000000</v>
      </c>
      <c r="H436">
        <f t="shared" si="6"/>
        <v>4998000000</v>
      </c>
    </row>
    <row r="437" spans="1:8" x14ac:dyDescent="0.2">
      <c r="A437" t="s">
        <v>10</v>
      </c>
      <c r="B437" t="s">
        <v>9</v>
      </c>
      <c r="C437">
        <v>0</v>
      </c>
      <c r="D437">
        <v>1</v>
      </c>
      <c r="E437">
        <v>0</v>
      </c>
      <c r="F437">
        <v>0</v>
      </c>
      <c r="G437" s="1" t="s">
        <v>13</v>
      </c>
      <c r="H437">
        <f t="shared" si="6"/>
        <v>0</v>
      </c>
    </row>
    <row r="438" spans="1:8" x14ac:dyDescent="0.2">
      <c r="A438" t="s">
        <v>10</v>
      </c>
      <c r="B438" t="s">
        <v>9</v>
      </c>
      <c r="C438">
        <v>0</v>
      </c>
      <c r="D438">
        <v>1</v>
      </c>
      <c r="E438">
        <v>0</v>
      </c>
      <c r="F438">
        <v>1</v>
      </c>
      <c r="G438" s="1" t="s">
        <v>13</v>
      </c>
      <c r="H438">
        <f t="shared" si="6"/>
        <v>0</v>
      </c>
    </row>
    <row r="439" spans="1:8" x14ac:dyDescent="0.2">
      <c r="A439" t="s">
        <v>10</v>
      </c>
      <c r="B439" t="s">
        <v>9</v>
      </c>
      <c r="C439">
        <v>0</v>
      </c>
      <c r="D439">
        <v>1</v>
      </c>
      <c r="E439">
        <v>1</v>
      </c>
      <c r="F439">
        <v>0</v>
      </c>
      <c r="G439" s="1" t="s">
        <v>13</v>
      </c>
      <c r="H439">
        <f t="shared" si="6"/>
        <v>0</v>
      </c>
    </row>
    <row r="440" spans="1:8" x14ac:dyDescent="0.2">
      <c r="A440" t="s">
        <v>10</v>
      </c>
      <c r="B440" t="s">
        <v>9</v>
      </c>
      <c r="C440">
        <v>0</v>
      </c>
      <c r="D440">
        <v>1</v>
      </c>
      <c r="E440">
        <v>1</v>
      </c>
      <c r="F440">
        <v>1</v>
      </c>
      <c r="G440" s="1">
        <v>4998000000</v>
      </c>
      <c r="H440">
        <f t="shared" si="6"/>
        <v>4998000000</v>
      </c>
    </row>
    <row r="441" spans="1:8" x14ac:dyDescent="0.2">
      <c r="A441" t="s">
        <v>10</v>
      </c>
      <c r="B441" t="s">
        <v>9</v>
      </c>
      <c r="C441">
        <v>0</v>
      </c>
      <c r="D441">
        <v>2</v>
      </c>
      <c r="E441">
        <v>0</v>
      </c>
      <c r="F441">
        <v>0</v>
      </c>
      <c r="G441" s="1" t="s">
        <v>13</v>
      </c>
      <c r="H441">
        <f t="shared" si="6"/>
        <v>0</v>
      </c>
    </row>
    <row r="442" spans="1:8" x14ac:dyDescent="0.2">
      <c r="A442" t="s">
        <v>10</v>
      </c>
      <c r="B442" t="s">
        <v>9</v>
      </c>
      <c r="C442">
        <v>0</v>
      </c>
      <c r="D442">
        <v>2</v>
      </c>
      <c r="E442">
        <v>0</v>
      </c>
      <c r="F442">
        <v>1</v>
      </c>
      <c r="G442" s="1" t="s">
        <v>13</v>
      </c>
      <c r="H442">
        <f t="shared" si="6"/>
        <v>0</v>
      </c>
    </row>
    <row r="443" spans="1:8" x14ac:dyDescent="0.2">
      <c r="A443" t="s">
        <v>10</v>
      </c>
      <c r="B443" t="s">
        <v>9</v>
      </c>
      <c r="C443">
        <v>0</v>
      </c>
      <c r="D443">
        <v>2</v>
      </c>
      <c r="E443">
        <v>1</v>
      </c>
      <c r="F443">
        <v>0</v>
      </c>
      <c r="G443" s="1" t="s">
        <v>13</v>
      </c>
      <c r="H443">
        <f t="shared" si="6"/>
        <v>0</v>
      </c>
    </row>
    <row r="444" spans="1:8" x14ac:dyDescent="0.2">
      <c r="A444" t="s">
        <v>10</v>
      </c>
      <c r="B444" t="s">
        <v>9</v>
      </c>
      <c r="C444">
        <v>0</v>
      </c>
      <c r="D444">
        <v>2</v>
      </c>
      <c r="E444">
        <v>1</v>
      </c>
      <c r="F444">
        <v>1</v>
      </c>
      <c r="G444" s="1">
        <v>4998000000</v>
      </c>
      <c r="H444">
        <f t="shared" si="6"/>
        <v>4998000000</v>
      </c>
    </row>
    <row r="445" spans="1:8" x14ac:dyDescent="0.2">
      <c r="A445" t="s">
        <v>10</v>
      </c>
      <c r="B445" t="s">
        <v>9</v>
      </c>
      <c r="C445">
        <v>0</v>
      </c>
      <c r="D445">
        <v>3</v>
      </c>
      <c r="E445">
        <v>0</v>
      </c>
      <c r="F445">
        <v>0</v>
      </c>
      <c r="G445" s="1" t="s">
        <v>13</v>
      </c>
      <c r="H445">
        <f t="shared" si="6"/>
        <v>0</v>
      </c>
    </row>
    <row r="446" spans="1:8" x14ac:dyDescent="0.2">
      <c r="A446" t="s">
        <v>10</v>
      </c>
      <c r="B446" t="s">
        <v>9</v>
      </c>
      <c r="C446">
        <v>0</v>
      </c>
      <c r="D446">
        <v>3</v>
      </c>
      <c r="E446">
        <v>0</v>
      </c>
      <c r="F446">
        <v>1</v>
      </c>
      <c r="G446" s="1" t="s">
        <v>13</v>
      </c>
      <c r="H446">
        <f t="shared" si="6"/>
        <v>0</v>
      </c>
    </row>
    <row r="447" spans="1:8" x14ac:dyDescent="0.2">
      <c r="A447" t="s">
        <v>10</v>
      </c>
      <c r="B447" t="s">
        <v>9</v>
      </c>
      <c r="C447">
        <v>0</v>
      </c>
      <c r="D447">
        <v>3</v>
      </c>
      <c r="E447">
        <v>1</v>
      </c>
      <c r="F447">
        <v>0</v>
      </c>
      <c r="G447" s="1" t="s">
        <v>13</v>
      </c>
      <c r="H447">
        <f t="shared" si="6"/>
        <v>0</v>
      </c>
    </row>
    <row r="448" spans="1:8" x14ac:dyDescent="0.2">
      <c r="A448" t="s">
        <v>10</v>
      </c>
      <c r="B448" t="s">
        <v>9</v>
      </c>
      <c r="C448">
        <v>0</v>
      </c>
      <c r="D448">
        <v>3</v>
      </c>
      <c r="E448">
        <v>1</v>
      </c>
      <c r="F448">
        <v>1</v>
      </c>
      <c r="G448" s="1">
        <v>4998000000</v>
      </c>
      <c r="H448">
        <f t="shared" si="6"/>
        <v>4998000000</v>
      </c>
    </row>
    <row r="449" spans="1:8" x14ac:dyDescent="0.2">
      <c r="A449" t="s">
        <v>10</v>
      </c>
      <c r="B449" t="s">
        <v>9</v>
      </c>
      <c r="C449">
        <v>0</v>
      </c>
      <c r="D449">
        <v>4</v>
      </c>
      <c r="E449">
        <v>0</v>
      </c>
      <c r="F449">
        <v>0</v>
      </c>
      <c r="G449" s="1" t="s">
        <v>13</v>
      </c>
      <c r="H449">
        <f t="shared" si="6"/>
        <v>0</v>
      </c>
    </row>
    <row r="450" spans="1:8" x14ac:dyDescent="0.2">
      <c r="A450" t="s">
        <v>10</v>
      </c>
      <c r="B450" t="s">
        <v>9</v>
      </c>
      <c r="C450">
        <v>0</v>
      </c>
      <c r="D450">
        <v>4</v>
      </c>
      <c r="E450">
        <v>0</v>
      </c>
      <c r="F450">
        <v>1</v>
      </c>
      <c r="G450" s="1" t="s">
        <v>13</v>
      </c>
      <c r="H450">
        <f t="shared" ref="H450:H513" si="7">_xlfn.NUMBERVALUE(G450)</f>
        <v>0</v>
      </c>
    </row>
    <row r="451" spans="1:8" x14ac:dyDescent="0.2">
      <c r="A451" t="s">
        <v>10</v>
      </c>
      <c r="B451" t="s">
        <v>9</v>
      </c>
      <c r="C451">
        <v>0</v>
      </c>
      <c r="D451">
        <v>4</v>
      </c>
      <c r="E451">
        <v>1</v>
      </c>
      <c r="F451">
        <v>0</v>
      </c>
      <c r="G451" s="1" t="s">
        <v>13</v>
      </c>
      <c r="H451">
        <f t="shared" si="7"/>
        <v>0</v>
      </c>
    </row>
    <row r="452" spans="1:8" x14ac:dyDescent="0.2">
      <c r="A452" t="s">
        <v>10</v>
      </c>
      <c r="B452" t="s">
        <v>9</v>
      </c>
      <c r="C452">
        <v>0</v>
      </c>
      <c r="D452">
        <v>4</v>
      </c>
      <c r="E452">
        <v>1</v>
      </c>
      <c r="F452">
        <v>1</v>
      </c>
      <c r="G452" s="1">
        <v>4998000000</v>
      </c>
      <c r="H452">
        <f t="shared" si="7"/>
        <v>4998000000</v>
      </c>
    </row>
    <row r="453" spans="1:8" x14ac:dyDescent="0.2">
      <c r="A453" t="s">
        <v>10</v>
      </c>
      <c r="B453" t="s">
        <v>9</v>
      </c>
      <c r="C453">
        <v>0</v>
      </c>
      <c r="D453">
        <v>5</v>
      </c>
      <c r="E453">
        <v>0</v>
      </c>
      <c r="F453">
        <v>0</v>
      </c>
      <c r="G453" s="1" t="s">
        <v>13</v>
      </c>
      <c r="H453">
        <f t="shared" si="7"/>
        <v>0</v>
      </c>
    </row>
    <row r="454" spans="1:8" x14ac:dyDescent="0.2">
      <c r="A454" t="s">
        <v>10</v>
      </c>
      <c r="B454" t="s">
        <v>9</v>
      </c>
      <c r="C454">
        <v>0</v>
      </c>
      <c r="D454">
        <v>5</v>
      </c>
      <c r="E454">
        <v>0</v>
      </c>
      <c r="F454">
        <v>1</v>
      </c>
      <c r="G454" s="1" t="s">
        <v>13</v>
      </c>
      <c r="H454">
        <f t="shared" si="7"/>
        <v>0</v>
      </c>
    </row>
    <row r="455" spans="1:8" x14ac:dyDescent="0.2">
      <c r="A455" t="s">
        <v>10</v>
      </c>
      <c r="B455" t="s">
        <v>9</v>
      </c>
      <c r="C455">
        <v>0</v>
      </c>
      <c r="D455">
        <v>5</v>
      </c>
      <c r="E455">
        <v>1</v>
      </c>
      <c r="F455">
        <v>0</v>
      </c>
      <c r="G455" s="1" t="s">
        <v>13</v>
      </c>
      <c r="H455">
        <f t="shared" si="7"/>
        <v>0</v>
      </c>
    </row>
    <row r="456" spans="1:8" x14ac:dyDescent="0.2">
      <c r="A456" t="s">
        <v>10</v>
      </c>
      <c r="B456" t="s">
        <v>9</v>
      </c>
      <c r="C456">
        <v>0</v>
      </c>
      <c r="D456">
        <v>5</v>
      </c>
      <c r="E456">
        <v>1</v>
      </c>
      <c r="F456">
        <v>1</v>
      </c>
      <c r="G456" s="1">
        <v>4998000000</v>
      </c>
      <c r="H456">
        <f t="shared" si="7"/>
        <v>4998000000</v>
      </c>
    </row>
    <row r="457" spans="1:8" x14ac:dyDescent="0.2">
      <c r="A457" t="s">
        <v>10</v>
      </c>
      <c r="B457" t="s">
        <v>9</v>
      </c>
      <c r="C457">
        <v>0</v>
      </c>
      <c r="D457">
        <v>6</v>
      </c>
      <c r="E457">
        <v>0</v>
      </c>
      <c r="F457">
        <v>0</v>
      </c>
      <c r="G457" s="1" t="s">
        <v>13</v>
      </c>
      <c r="H457">
        <f t="shared" si="7"/>
        <v>0</v>
      </c>
    </row>
    <row r="458" spans="1:8" x14ac:dyDescent="0.2">
      <c r="A458" t="s">
        <v>10</v>
      </c>
      <c r="B458" t="s">
        <v>9</v>
      </c>
      <c r="C458">
        <v>0</v>
      </c>
      <c r="D458">
        <v>6</v>
      </c>
      <c r="E458">
        <v>0</v>
      </c>
      <c r="F458">
        <v>1</v>
      </c>
      <c r="G458" s="1" t="s">
        <v>13</v>
      </c>
      <c r="H458">
        <f t="shared" si="7"/>
        <v>0</v>
      </c>
    </row>
    <row r="459" spans="1:8" x14ac:dyDescent="0.2">
      <c r="A459" t="s">
        <v>10</v>
      </c>
      <c r="B459" t="s">
        <v>9</v>
      </c>
      <c r="C459">
        <v>0</v>
      </c>
      <c r="D459">
        <v>6</v>
      </c>
      <c r="E459">
        <v>1</v>
      </c>
      <c r="F459">
        <v>0</v>
      </c>
      <c r="G459" s="1" t="s">
        <v>13</v>
      </c>
      <c r="H459">
        <f t="shared" si="7"/>
        <v>0</v>
      </c>
    </row>
    <row r="460" spans="1:8" x14ac:dyDescent="0.2">
      <c r="A460" t="s">
        <v>10</v>
      </c>
      <c r="B460" t="s">
        <v>9</v>
      </c>
      <c r="C460">
        <v>0</v>
      </c>
      <c r="D460">
        <v>6</v>
      </c>
      <c r="E460">
        <v>1</v>
      </c>
      <c r="F460">
        <v>1</v>
      </c>
      <c r="G460" s="1">
        <v>4998000000</v>
      </c>
      <c r="H460">
        <f t="shared" si="7"/>
        <v>4998000000</v>
      </c>
    </row>
    <row r="461" spans="1:8" x14ac:dyDescent="0.2">
      <c r="A461" t="s">
        <v>10</v>
      </c>
      <c r="B461" t="s">
        <v>9</v>
      </c>
      <c r="C461">
        <v>0</v>
      </c>
      <c r="D461">
        <v>7</v>
      </c>
      <c r="E461">
        <v>0</v>
      </c>
      <c r="F461">
        <v>0</v>
      </c>
      <c r="G461" s="1" t="s">
        <v>13</v>
      </c>
      <c r="H461">
        <f t="shared" si="7"/>
        <v>0</v>
      </c>
    </row>
    <row r="462" spans="1:8" x14ac:dyDescent="0.2">
      <c r="A462" t="s">
        <v>10</v>
      </c>
      <c r="B462" t="s">
        <v>9</v>
      </c>
      <c r="C462">
        <v>0</v>
      </c>
      <c r="D462">
        <v>7</v>
      </c>
      <c r="E462">
        <v>0</v>
      </c>
      <c r="F462">
        <v>1</v>
      </c>
      <c r="G462" s="1" t="s">
        <v>13</v>
      </c>
      <c r="H462">
        <f t="shared" si="7"/>
        <v>0</v>
      </c>
    </row>
    <row r="463" spans="1:8" x14ac:dyDescent="0.2">
      <c r="A463" t="s">
        <v>10</v>
      </c>
      <c r="B463" t="s">
        <v>9</v>
      </c>
      <c r="C463">
        <v>0</v>
      </c>
      <c r="D463">
        <v>7</v>
      </c>
      <c r="E463">
        <v>1</v>
      </c>
      <c r="F463">
        <v>0</v>
      </c>
      <c r="G463" s="1" t="s">
        <v>13</v>
      </c>
      <c r="H463">
        <f t="shared" si="7"/>
        <v>0</v>
      </c>
    </row>
    <row r="464" spans="1:8" x14ac:dyDescent="0.2">
      <c r="A464" t="s">
        <v>10</v>
      </c>
      <c r="B464" t="s">
        <v>9</v>
      </c>
      <c r="C464">
        <v>0</v>
      </c>
      <c r="D464">
        <v>7</v>
      </c>
      <c r="E464">
        <v>1</v>
      </c>
      <c r="F464">
        <v>1</v>
      </c>
      <c r="G464" s="1">
        <v>4998000000</v>
      </c>
      <c r="H464">
        <f t="shared" si="7"/>
        <v>4998000000</v>
      </c>
    </row>
    <row r="465" spans="1:8" x14ac:dyDescent="0.2">
      <c r="A465" t="s">
        <v>10</v>
      </c>
      <c r="B465" t="s">
        <v>9</v>
      </c>
      <c r="C465">
        <v>0</v>
      </c>
      <c r="D465">
        <v>8</v>
      </c>
      <c r="E465">
        <v>0</v>
      </c>
      <c r="F465">
        <v>0</v>
      </c>
      <c r="G465" s="1" t="s">
        <v>13</v>
      </c>
      <c r="H465">
        <f t="shared" si="7"/>
        <v>0</v>
      </c>
    </row>
    <row r="466" spans="1:8" x14ac:dyDescent="0.2">
      <c r="A466" t="s">
        <v>10</v>
      </c>
      <c r="B466" t="s">
        <v>9</v>
      </c>
      <c r="C466">
        <v>0</v>
      </c>
      <c r="D466">
        <v>8</v>
      </c>
      <c r="E466">
        <v>0</v>
      </c>
      <c r="F466">
        <v>1</v>
      </c>
      <c r="G466" s="1" t="s">
        <v>13</v>
      </c>
      <c r="H466">
        <f t="shared" si="7"/>
        <v>0</v>
      </c>
    </row>
    <row r="467" spans="1:8" x14ac:dyDescent="0.2">
      <c r="A467" t="s">
        <v>10</v>
      </c>
      <c r="B467" t="s">
        <v>9</v>
      </c>
      <c r="C467">
        <v>0</v>
      </c>
      <c r="D467">
        <v>8</v>
      </c>
      <c r="E467">
        <v>1</v>
      </c>
      <c r="F467">
        <v>0</v>
      </c>
      <c r="G467" s="1" t="s">
        <v>13</v>
      </c>
      <c r="H467">
        <f t="shared" si="7"/>
        <v>0</v>
      </c>
    </row>
    <row r="468" spans="1:8" x14ac:dyDescent="0.2">
      <c r="A468" t="s">
        <v>10</v>
      </c>
      <c r="B468" t="s">
        <v>9</v>
      </c>
      <c r="C468">
        <v>0</v>
      </c>
      <c r="D468">
        <v>8</v>
      </c>
      <c r="E468">
        <v>1</v>
      </c>
      <c r="F468">
        <v>1</v>
      </c>
      <c r="G468" s="1">
        <v>4998000000</v>
      </c>
      <c r="H468">
        <f t="shared" si="7"/>
        <v>4998000000</v>
      </c>
    </row>
    <row r="469" spans="1:8" x14ac:dyDescent="0.2">
      <c r="A469" t="s">
        <v>10</v>
      </c>
      <c r="B469" t="s">
        <v>9</v>
      </c>
      <c r="C469">
        <v>1</v>
      </c>
      <c r="D469">
        <v>0</v>
      </c>
      <c r="E469">
        <v>0</v>
      </c>
      <c r="F469">
        <v>0</v>
      </c>
      <c r="G469" s="1">
        <v>3315000000</v>
      </c>
      <c r="H469">
        <f t="shared" si="7"/>
        <v>3315000000</v>
      </c>
    </row>
    <row r="470" spans="1:8" x14ac:dyDescent="0.2">
      <c r="A470" t="s">
        <v>10</v>
      </c>
      <c r="B470" t="s">
        <v>9</v>
      </c>
      <c r="C470">
        <v>1</v>
      </c>
      <c r="D470">
        <v>0</v>
      </c>
      <c r="E470">
        <v>0</v>
      </c>
      <c r="F470">
        <v>1</v>
      </c>
      <c r="G470" s="1" t="s">
        <v>13</v>
      </c>
      <c r="H470">
        <f t="shared" si="7"/>
        <v>0</v>
      </c>
    </row>
    <row r="471" spans="1:8" x14ac:dyDescent="0.2">
      <c r="A471" t="s">
        <v>10</v>
      </c>
      <c r="B471" t="s">
        <v>9</v>
      </c>
      <c r="C471">
        <v>1</v>
      </c>
      <c r="D471">
        <v>0</v>
      </c>
      <c r="E471">
        <v>1</v>
      </c>
      <c r="F471">
        <v>0</v>
      </c>
      <c r="G471" s="1" t="s">
        <v>13</v>
      </c>
      <c r="H471">
        <f t="shared" si="7"/>
        <v>0</v>
      </c>
    </row>
    <row r="472" spans="1:8" x14ac:dyDescent="0.2">
      <c r="A472" t="s">
        <v>10</v>
      </c>
      <c r="B472" t="s">
        <v>9</v>
      </c>
      <c r="C472">
        <v>1</v>
      </c>
      <c r="D472">
        <v>0</v>
      </c>
      <c r="E472">
        <v>1</v>
      </c>
      <c r="F472">
        <v>1</v>
      </c>
      <c r="G472" s="1" t="s">
        <v>13</v>
      </c>
      <c r="H472">
        <f t="shared" si="7"/>
        <v>0</v>
      </c>
    </row>
    <row r="473" spans="1:8" x14ac:dyDescent="0.2">
      <c r="A473" t="s">
        <v>10</v>
      </c>
      <c r="B473" t="s">
        <v>9</v>
      </c>
      <c r="C473">
        <v>1</v>
      </c>
      <c r="D473">
        <v>1</v>
      </c>
      <c r="E473">
        <v>0</v>
      </c>
      <c r="F473">
        <v>0</v>
      </c>
      <c r="G473" s="1">
        <v>3315000000</v>
      </c>
      <c r="H473">
        <f t="shared" si="7"/>
        <v>3315000000</v>
      </c>
    </row>
    <row r="474" spans="1:8" x14ac:dyDescent="0.2">
      <c r="A474" t="s">
        <v>10</v>
      </c>
      <c r="B474" t="s">
        <v>9</v>
      </c>
      <c r="C474">
        <v>1</v>
      </c>
      <c r="D474">
        <v>1</v>
      </c>
      <c r="E474">
        <v>0</v>
      </c>
      <c r="F474">
        <v>1</v>
      </c>
      <c r="G474" s="1" t="s">
        <v>13</v>
      </c>
      <c r="H474">
        <f t="shared" si="7"/>
        <v>0</v>
      </c>
    </row>
    <row r="475" spans="1:8" x14ac:dyDescent="0.2">
      <c r="A475" t="s">
        <v>10</v>
      </c>
      <c r="B475" t="s">
        <v>9</v>
      </c>
      <c r="C475">
        <v>1</v>
      </c>
      <c r="D475">
        <v>1</v>
      </c>
      <c r="E475">
        <v>1</v>
      </c>
      <c r="F475">
        <v>0</v>
      </c>
      <c r="G475" s="1" t="s">
        <v>13</v>
      </c>
      <c r="H475">
        <f t="shared" si="7"/>
        <v>0</v>
      </c>
    </row>
    <row r="476" spans="1:8" x14ac:dyDescent="0.2">
      <c r="A476" t="s">
        <v>10</v>
      </c>
      <c r="B476" t="s">
        <v>9</v>
      </c>
      <c r="C476">
        <v>1</v>
      </c>
      <c r="D476">
        <v>1</v>
      </c>
      <c r="E476">
        <v>1</v>
      </c>
      <c r="F476">
        <v>1</v>
      </c>
      <c r="G476" s="1" t="s">
        <v>13</v>
      </c>
      <c r="H476">
        <f t="shared" si="7"/>
        <v>0</v>
      </c>
    </row>
    <row r="477" spans="1:8" x14ac:dyDescent="0.2">
      <c r="A477" t="s">
        <v>10</v>
      </c>
      <c r="B477" t="s">
        <v>9</v>
      </c>
      <c r="C477">
        <v>1</v>
      </c>
      <c r="D477">
        <v>2</v>
      </c>
      <c r="E477">
        <v>0</v>
      </c>
      <c r="F477">
        <v>0</v>
      </c>
      <c r="G477" s="1">
        <v>3315000000</v>
      </c>
      <c r="H477">
        <f t="shared" si="7"/>
        <v>3315000000</v>
      </c>
    </row>
    <row r="478" spans="1:8" x14ac:dyDescent="0.2">
      <c r="A478" t="s">
        <v>10</v>
      </c>
      <c r="B478" t="s">
        <v>9</v>
      </c>
      <c r="C478">
        <v>1</v>
      </c>
      <c r="D478">
        <v>2</v>
      </c>
      <c r="E478">
        <v>0</v>
      </c>
      <c r="F478">
        <v>1</v>
      </c>
      <c r="G478" s="1" t="s">
        <v>13</v>
      </c>
      <c r="H478">
        <f t="shared" si="7"/>
        <v>0</v>
      </c>
    </row>
    <row r="479" spans="1:8" x14ac:dyDescent="0.2">
      <c r="A479" t="s">
        <v>10</v>
      </c>
      <c r="B479" t="s">
        <v>9</v>
      </c>
      <c r="C479">
        <v>1</v>
      </c>
      <c r="D479">
        <v>2</v>
      </c>
      <c r="E479">
        <v>1</v>
      </c>
      <c r="F479">
        <v>0</v>
      </c>
      <c r="G479" s="1" t="s">
        <v>13</v>
      </c>
      <c r="H479">
        <f t="shared" si="7"/>
        <v>0</v>
      </c>
    </row>
    <row r="480" spans="1:8" x14ac:dyDescent="0.2">
      <c r="A480" t="s">
        <v>10</v>
      </c>
      <c r="B480" t="s">
        <v>9</v>
      </c>
      <c r="C480">
        <v>1</v>
      </c>
      <c r="D480">
        <v>2</v>
      </c>
      <c r="E480">
        <v>1</v>
      </c>
      <c r="F480">
        <v>1</v>
      </c>
      <c r="G480" s="1">
        <v>1848000000</v>
      </c>
      <c r="H480">
        <f t="shared" si="7"/>
        <v>1848000000</v>
      </c>
    </row>
    <row r="481" spans="1:8" x14ac:dyDescent="0.2">
      <c r="A481" t="s">
        <v>10</v>
      </c>
      <c r="B481" t="s">
        <v>9</v>
      </c>
      <c r="C481">
        <v>1</v>
      </c>
      <c r="D481">
        <v>3</v>
      </c>
      <c r="E481">
        <v>0</v>
      </c>
      <c r="F481">
        <v>0</v>
      </c>
      <c r="G481" s="1">
        <v>3315000000</v>
      </c>
      <c r="H481">
        <f t="shared" si="7"/>
        <v>3315000000</v>
      </c>
    </row>
    <row r="482" spans="1:8" x14ac:dyDescent="0.2">
      <c r="A482" t="s">
        <v>10</v>
      </c>
      <c r="B482" t="s">
        <v>9</v>
      </c>
      <c r="C482">
        <v>1</v>
      </c>
      <c r="D482">
        <v>3</v>
      </c>
      <c r="E482">
        <v>0</v>
      </c>
      <c r="F482">
        <v>1</v>
      </c>
      <c r="G482" s="1" t="s">
        <v>13</v>
      </c>
      <c r="H482">
        <f t="shared" si="7"/>
        <v>0</v>
      </c>
    </row>
    <row r="483" spans="1:8" x14ac:dyDescent="0.2">
      <c r="A483" t="s">
        <v>10</v>
      </c>
      <c r="B483" t="s">
        <v>9</v>
      </c>
      <c r="C483">
        <v>1</v>
      </c>
      <c r="D483">
        <v>3</v>
      </c>
      <c r="E483">
        <v>1</v>
      </c>
      <c r="F483">
        <v>0</v>
      </c>
      <c r="G483" s="1" t="s">
        <v>13</v>
      </c>
      <c r="H483">
        <f t="shared" si="7"/>
        <v>0</v>
      </c>
    </row>
    <row r="484" spans="1:8" x14ac:dyDescent="0.2">
      <c r="A484" t="s">
        <v>10</v>
      </c>
      <c r="B484" t="s">
        <v>9</v>
      </c>
      <c r="C484">
        <v>1</v>
      </c>
      <c r="D484">
        <v>3</v>
      </c>
      <c r="E484">
        <v>1</v>
      </c>
      <c r="F484">
        <v>1</v>
      </c>
      <c r="G484" s="1" t="s">
        <v>13</v>
      </c>
      <c r="H484">
        <f t="shared" si="7"/>
        <v>0</v>
      </c>
    </row>
    <row r="485" spans="1:8" x14ac:dyDescent="0.2">
      <c r="A485" t="s">
        <v>10</v>
      </c>
      <c r="B485" t="s">
        <v>9</v>
      </c>
      <c r="C485">
        <v>1</v>
      </c>
      <c r="D485">
        <v>4</v>
      </c>
      <c r="E485">
        <v>0</v>
      </c>
      <c r="F485">
        <v>0</v>
      </c>
      <c r="G485" s="1">
        <v>3315000000</v>
      </c>
      <c r="H485">
        <f t="shared" si="7"/>
        <v>3315000000</v>
      </c>
    </row>
    <row r="486" spans="1:8" x14ac:dyDescent="0.2">
      <c r="A486" t="s">
        <v>10</v>
      </c>
      <c r="B486" t="s">
        <v>9</v>
      </c>
      <c r="C486">
        <v>1</v>
      </c>
      <c r="D486">
        <v>4</v>
      </c>
      <c r="E486">
        <v>0</v>
      </c>
      <c r="F486">
        <v>1</v>
      </c>
      <c r="G486" s="1" t="s">
        <v>13</v>
      </c>
      <c r="H486">
        <f t="shared" si="7"/>
        <v>0</v>
      </c>
    </row>
    <row r="487" spans="1:8" x14ac:dyDescent="0.2">
      <c r="A487" t="s">
        <v>10</v>
      </c>
      <c r="B487" t="s">
        <v>9</v>
      </c>
      <c r="C487">
        <v>1</v>
      </c>
      <c r="D487">
        <v>4</v>
      </c>
      <c r="E487">
        <v>1</v>
      </c>
      <c r="F487">
        <v>0</v>
      </c>
      <c r="G487" s="1" t="s">
        <v>13</v>
      </c>
      <c r="H487">
        <f t="shared" si="7"/>
        <v>0</v>
      </c>
    </row>
    <row r="488" spans="1:8" x14ac:dyDescent="0.2">
      <c r="A488" t="s">
        <v>10</v>
      </c>
      <c r="B488" t="s">
        <v>9</v>
      </c>
      <c r="C488">
        <v>1</v>
      </c>
      <c r="D488">
        <v>4</v>
      </c>
      <c r="E488">
        <v>1</v>
      </c>
      <c r="F488">
        <v>1</v>
      </c>
      <c r="G488" s="1" t="s">
        <v>13</v>
      </c>
      <c r="H488">
        <f t="shared" si="7"/>
        <v>0</v>
      </c>
    </row>
    <row r="489" spans="1:8" x14ac:dyDescent="0.2">
      <c r="A489" t="s">
        <v>10</v>
      </c>
      <c r="B489" t="s">
        <v>9</v>
      </c>
      <c r="C489">
        <v>1</v>
      </c>
      <c r="D489">
        <v>5</v>
      </c>
      <c r="E489">
        <v>0</v>
      </c>
      <c r="F489">
        <v>0</v>
      </c>
      <c r="G489" s="1">
        <v>3315000000</v>
      </c>
      <c r="H489">
        <f t="shared" si="7"/>
        <v>3315000000</v>
      </c>
    </row>
    <row r="490" spans="1:8" x14ac:dyDescent="0.2">
      <c r="A490" t="s">
        <v>10</v>
      </c>
      <c r="B490" t="s">
        <v>9</v>
      </c>
      <c r="C490">
        <v>1</v>
      </c>
      <c r="D490">
        <v>5</v>
      </c>
      <c r="E490">
        <v>0</v>
      </c>
      <c r="F490">
        <v>1</v>
      </c>
      <c r="G490" s="1" t="s">
        <v>13</v>
      </c>
      <c r="H490">
        <f t="shared" si="7"/>
        <v>0</v>
      </c>
    </row>
    <row r="491" spans="1:8" x14ac:dyDescent="0.2">
      <c r="A491" t="s">
        <v>10</v>
      </c>
      <c r="B491" t="s">
        <v>9</v>
      </c>
      <c r="C491">
        <v>1</v>
      </c>
      <c r="D491">
        <v>5</v>
      </c>
      <c r="E491">
        <v>1</v>
      </c>
      <c r="F491">
        <v>0</v>
      </c>
      <c r="G491" s="1" t="s">
        <v>13</v>
      </c>
      <c r="H491">
        <f t="shared" si="7"/>
        <v>0</v>
      </c>
    </row>
    <row r="492" spans="1:8" x14ac:dyDescent="0.2">
      <c r="A492" t="s">
        <v>10</v>
      </c>
      <c r="B492" t="s">
        <v>9</v>
      </c>
      <c r="C492">
        <v>1</v>
      </c>
      <c r="D492">
        <v>5</v>
      </c>
      <c r="E492">
        <v>1</v>
      </c>
      <c r="F492">
        <v>1</v>
      </c>
      <c r="G492" s="1">
        <v>1848000000</v>
      </c>
      <c r="H492">
        <f t="shared" si="7"/>
        <v>1848000000</v>
      </c>
    </row>
    <row r="493" spans="1:8" x14ac:dyDescent="0.2">
      <c r="A493" t="s">
        <v>10</v>
      </c>
      <c r="B493" t="s">
        <v>9</v>
      </c>
      <c r="C493">
        <v>1</v>
      </c>
      <c r="D493">
        <v>6</v>
      </c>
      <c r="E493">
        <v>0</v>
      </c>
      <c r="F493">
        <v>0</v>
      </c>
      <c r="G493" s="1">
        <v>3315000000</v>
      </c>
      <c r="H493">
        <f t="shared" si="7"/>
        <v>3315000000</v>
      </c>
    </row>
    <row r="494" spans="1:8" x14ac:dyDescent="0.2">
      <c r="A494" t="s">
        <v>10</v>
      </c>
      <c r="B494" t="s">
        <v>9</v>
      </c>
      <c r="C494">
        <v>1</v>
      </c>
      <c r="D494">
        <v>6</v>
      </c>
      <c r="E494">
        <v>0</v>
      </c>
      <c r="F494">
        <v>1</v>
      </c>
      <c r="G494" s="1" t="s">
        <v>13</v>
      </c>
      <c r="H494">
        <f t="shared" si="7"/>
        <v>0</v>
      </c>
    </row>
    <row r="495" spans="1:8" x14ac:dyDescent="0.2">
      <c r="A495" t="s">
        <v>10</v>
      </c>
      <c r="B495" t="s">
        <v>9</v>
      </c>
      <c r="C495">
        <v>1</v>
      </c>
      <c r="D495">
        <v>6</v>
      </c>
      <c r="E495">
        <v>1</v>
      </c>
      <c r="F495">
        <v>0</v>
      </c>
      <c r="G495" s="1" t="s">
        <v>13</v>
      </c>
      <c r="H495">
        <f t="shared" si="7"/>
        <v>0</v>
      </c>
    </row>
    <row r="496" spans="1:8" x14ac:dyDescent="0.2">
      <c r="A496" t="s">
        <v>10</v>
      </c>
      <c r="B496" t="s">
        <v>9</v>
      </c>
      <c r="C496">
        <v>1</v>
      </c>
      <c r="D496">
        <v>6</v>
      </c>
      <c r="E496">
        <v>1</v>
      </c>
      <c r="F496">
        <v>1</v>
      </c>
      <c r="G496" s="1" t="s">
        <v>13</v>
      </c>
      <c r="H496">
        <f t="shared" si="7"/>
        <v>0</v>
      </c>
    </row>
    <row r="497" spans="1:8" x14ac:dyDescent="0.2">
      <c r="A497" t="s">
        <v>10</v>
      </c>
      <c r="B497" t="s">
        <v>9</v>
      </c>
      <c r="C497">
        <v>1</v>
      </c>
      <c r="D497">
        <v>7</v>
      </c>
      <c r="E497">
        <v>0</v>
      </c>
      <c r="F497">
        <v>0</v>
      </c>
      <c r="G497" s="1">
        <v>3315000000</v>
      </c>
      <c r="H497">
        <f t="shared" si="7"/>
        <v>3315000000</v>
      </c>
    </row>
    <row r="498" spans="1:8" x14ac:dyDescent="0.2">
      <c r="A498" t="s">
        <v>10</v>
      </c>
      <c r="B498" t="s">
        <v>9</v>
      </c>
      <c r="C498">
        <v>1</v>
      </c>
      <c r="D498">
        <v>7</v>
      </c>
      <c r="E498">
        <v>0</v>
      </c>
      <c r="F498">
        <v>1</v>
      </c>
      <c r="G498" s="1" t="s">
        <v>13</v>
      </c>
      <c r="H498">
        <f t="shared" si="7"/>
        <v>0</v>
      </c>
    </row>
    <row r="499" spans="1:8" x14ac:dyDescent="0.2">
      <c r="A499" t="s">
        <v>10</v>
      </c>
      <c r="B499" t="s">
        <v>9</v>
      </c>
      <c r="C499">
        <v>1</v>
      </c>
      <c r="D499">
        <v>7</v>
      </c>
      <c r="E499">
        <v>1</v>
      </c>
      <c r="F499">
        <v>0</v>
      </c>
      <c r="G499" s="1" t="s">
        <v>13</v>
      </c>
      <c r="H499">
        <f t="shared" si="7"/>
        <v>0</v>
      </c>
    </row>
    <row r="500" spans="1:8" x14ac:dyDescent="0.2">
      <c r="A500" t="s">
        <v>10</v>
      </c>
      <c r="B500" t="s">
        <v>9</v>
      </c>
      <c r="C500">
        <v>1</v>
      </c>
      <c r="D500">
        <v>7</v>
      </c>
      <c r="E500">
        <v>1</v>
      </c>
      <c r="F500">
        <v>1</v>
      </c>
      <c r="G500" s="1" t="s">
        <v>13</v>
      </c>
      <c r="H500">
        <f t="shared" si="7"/>
        <v>0</v>
      </c>
    </row>
    <row r="501" spans="1:8" x14ac:dyDescent="0.2">
      <c r="A501" t="s">
        <v>10</v>
      </c>
      <c r="B501" t="s">
        <v>9</v>
      </c>
      <c r="C501">
        <v>1</v>
      </c>
      <c r="D501">
        <v>8</v>
      </c>
      <c r="E501">
        <v>0</v>
      </c>
      <c r="F501">
        <v>0</v>
      </c>
      <c r="G501" s="1">
        <v>3315000000</v>
      </c>
      <c r="H501">
        <f t="shared" si="7"/>
        <v>3315000000</v>
      </c>
    </row>
    <row r="502" spans="1:8" x14ac:dyDescent="0.2">
      <c r="A502" t="s">
        <v>10</v>
      </c>
      <c r="B502" t="s">
        <v>9</v>
      </c>
      <c r="C502">
        <v>1</v>
      </c>
      <c r="D502">
        <v>8</v>
      </c>
      <c r="E502">
        <v>0</v>
      </c>
      <c r="F502">
        <v>1</v>
      </c>
      <c r="G502" s="1" t="s">
        <v>13</v>
      </c>
      <c r="H502">
        <f t="shared" si="7"/>
        <v>0</v>
      </c>
    </row>
    <row r="503" spans="1:8" x14ac:dyDescent="0.2">
      <c r="A503" t="s">
        <v>10</v>
      </c>
      <c r="B503" t="s">
        <v>9</v>
      </c>
      <c r="C503">
        <v>1</v>
      </c>
      <c r="D503">
        <v>8</v>
      </c>
      <c r="E503">
        <v>1</v>
      </c>
      <c r="F503">
        <v>0</v>
      </c>
      <c r="G503" s="1" t="s">
        <v>13</v>
      </c>
      <c r="H503">
        <f t="shared" si="7"/>
        <v>0</v>
      </c>
    </row>
    <row r="504" spans="1:8" x14ac:dyDescent="0.2">
      <c r="A504" t="s">
        <v>10</v>
      </c>
      <c r="B504" t="s">
        <v>9</v>
      </c>
      <c r="C504">
        <v>1</v>
      </c>
      <c r="D504">
        <v>8</v>
      </c>
      <c r="E504">
        <v>1</v>
      </c>
      <c r="F504">
        <v>1</v>
      </c>
      <c r="G504" s="1">
        <v>1848000000</v>
      </c>
      <c r="H504">
        <f t="shared" si="7"/>
        <v>1848000000</v>
      </c>
    </row>
    <row r="505" spans="1:8" x14ac:dyDescent="0.2">
      <c r="A505" t="s">
        <v>10</v>
      </c>
      <c r="B505" t="s">
        <v>9</v>
      </c>
      <c r="C505">
        <v>2</v>
      </c>
      <c r="D505">
        <v>0</v>
      </c>
      <c r="E505">
        <v>0</v>
      </c>
      <c r="F505">
        <v>0</v>
      </c>
      <c r="G505" s="1">
        <v>565518644</v>
      </c>
      <c r="H505">
        <f t="shared" si="7"/>
        <v>565518644</v>
      </c>
    </row>
    <row r="506" spans="1:8" x14ac:dyDescent="0.2">
      <c r="A506" t="s">
        <v>10</v>
      </c>
      <c r="B506" t="s">
        <v>9</v>
      </c>
      <c r="C506">
        <v>2</v>
      </c>
      <c r="D506">
        <v>0</v>
      </c>
      <c r="E506">
        <v>0</v>
      </c>
      <c r="F506">
        <v>1</v>
      </c>
      <c r="G506" s="1" t="s">
        <v>13</v>
      </c>
      <c r="H506">
        <f t="shared" si="7"/>
        <v>0</v>
      </c>
    </row>
    <row r="507" spans="1:8" x14ac:dyDescent="0.2">
      <c r="A507" t="s">
        <v>10</v>
      </c>
      <c r="B507" t="s">
        <v>9</v>
      </c>
      <c r="C507">
        <v>2</v>
      </c>
      <c r="D507">
        <v>0</v>
      </c>
      <c r="E507">
        <v>1</v>
      </c>
      <c r="F507">
        <v>0</v>
      </c>
      <c r="G507" s="1" t="s">
        <v>13</v>
      </c>
      <c r="H507">
        <f t="shared" si="7"/>
        <v>0</v>
      </c>
    </row>
    <row r="508" spans="1:8" x14ac:dyDescent="0.2">
      <c r="A508" t="s">
        <v>10</v>
      </c>
      <c r="B508" t="s">
        <v>9</v>
      </c>
      <c r="C508">
        <v>2</v>
      </c>
      <c r="D508">
        <v>0</v>
      </c>
      <c r="E508">
        <v>1</v>
      </c>
      <c r="F508">
        <v>1</v>
      </c>
      <c r="G508" s="1">
        <v>134481356</v>
      </c>
      <c r="H508">
        <f t="shared" si="7"/>
        <v>134481356</v>
      </c>
    </row>
    <row r="509" spans="1:8" x14ac:dyDescent="0.2">
      <c r="A509" t="s">
        <v>10</v>
      </c>
      <c r="B509" t="s">
        <v>9</v>
      </c>
      <c r="C509">
        <v>2</v>
      </c>
      <c r="D509">
        <v>1</v>
      </c>
      <c r="E509">
        <v>0</v>
      </c>
      <c r="F509">
        <v>0</v>
      </c>
      <c r="G509" s="1">
        <v>759410750</v>
      </c>
      <c r="H509">
        <f t="shared" si="7"/>
        <v>759410750</v>
      </c>
    </row>
    <row r="510" spans="1:8" x14ac:dyDescent="0.2">
      <c r="A510" t="s">
        <v>10</v>
      </c>
      <c r="B510" t="s">
        <v>9</v>
      </c>
      <c r="C510">
        <v>2</v>
      </c>
      <c r="D510">
        <v>1</v>
      </c>
      <c r="E510">
        <v>0</v>
      </c>
      <c r="F510">
        <v>1</v>
      </c>
      <c r="G510" s="1" t="s">
        <v>13</v>
      </c>
      <c r="H510">
        <f t="shared" si="7"/>
        <v>0</v>
      </c>
    </row>
    <row r="511" spans="1:8" x14ac:dyDescent="0.2">
      <c r="A511" t="s">
        <v>10</v>
      </c>
      <c r="B511" t="s">
        <v>9</v>
      </c>
      <c r="C511">
        <v>2</v>
      </c>
      <c r="D511">
        <v>1</v>
      </c>
      <c r="E511">
        <v>1</v>
      </c>
      <c r="F511">
        <v>0</v>
      </c>
      <c r="G511" s="1" t="s">
        <v>13</v>
      </c>
      <c r="H511">
        <f t="shared" si="7"/>
        <v>0</v>
      </c>
    </row>
    <row r="512" spans="1:8" x14ac:dyDescent="0.2">
      <c r="A512" t="s">
        <v>10</v>
      </c>
      <c r="B512" t="s">
        <v>9</v>
      </c>
      <c r="C512">
        <v>2</v>
      </c>
      <c r="D512">
        <v>1</v>
      </c>
      <c r="E512">
        <v>1</v>
      </c>
      <c r="F512">
        <v>1</v>
      </c>
      <c r="G512" s="1">
        <v>2295589250</v>
      </c>
      <c r="H512">
        <f t="shared" si="7"/>
        <v>2295589250</v>
      </c>
    </row>
    <row r="513" spans="1:8" x14ac:dyDescent="0.2">
      <c r="A513" t="s">
        <v>10</v>
      </c>
      <c r="B513" t="s">
        <v>9</v>
      </c>
      <c r="C513">
        <v>2</v>
      </c>
      <c r="D513">
        <v>2</v>
      </c>
      <c r="E513">
        <v>0</v>
      </c>
      <c r="F513">
        <v>0</v>
      </c>
      <c r="G513" s="1">
        <v>904829830</v>
      </c>
      <c r="H513">
        <f t="shared" si="7"/>
        <v>904829830</v>
      </c>
    </row>
    <row r="514" spans="1:8" x14ac:dyDescent="0.2">
      <c r="A514" t="s">
        <v>10</v>
      </c>
      <c r="B514" t="s">
        <v>9</v>
      </c>
      <c r="C514">
        <v>2</v>
      </c>
      <c r="D514">
        <v>2</v>
      </c>
      <c r="E514">
        <v>0</v>
      </c>
      <c r="F514">
        <v>1</v>
      </c>
      <c r="G514" s="1" t="s">
        <v>13</v>
      </c>
      <c r="H514">
        <f t="shared" ref="H514:H567" si="8">_xlfn.NUMBERVALUE(G514)</f>
        <v>0</v>
      </c>
    </row>
    <row r="515" spans="1:8" x14ac:dyDescent="0.2">
      <c r="A515" t="s">
        <v>10</v>
      </c>
      <c r="B515" t="s">
        <v>9</v>
      </c>
      <c r="C515">
        <v>2</v>
      </c>
      <c r="D515">
        <v>2</v>
      </c>
      <c r="E515">
        <v>1</v>
      </c>
      <c r="F515">
        <v>0</v>
      </c>
      <c r="G515" s="1" t="s">
        <v>13</v>
      </c>
      <c r="H515">
        <f t="shared" si="8"/>
        <v>0</v>
      </c>
    </row>
    <row r="516" spans="1:8" x14ac:dyDescent="0.2">
      <c r="A516" t="s">
        <v>10</v>
      </c>
      <c r="B516" t="s">
        <v>9</v>
      </c>
      <c r="C516">
        <v>2</v>
      </c>
      <c r="D516">
        <v>2</v>
      </c>
      <c r="E516">
        <v>1</v>
      </c>
      <c r="F516">
        <v>1</v>
      </c>
      <c r="G516" s="1">
        <v>4583170170</v>
      </c>
      <c r="H516">
        <f t="shared" si="8"/>
        <v>4583170170</v>
      </c>
    </row>
    <row r="517" spans="1:8" x14ac:dyDescent="0.2">
      <c r="A517" t="s">
        <v>10</v>
      </c>
      <c r="B517" t="s">
        <v>9</v>
      </c>
      <c r="C517">
        <v>2</v>
      </c>
      <c r="D517">
        <v>3</v>
      </c>
      <c r="E517">
        <v>0</v>
      </c>
      <c r="F517">
        <v>0</v>
      </c>
      <c r="G517" s="1">
        <v>565518644</v>
      </c>
      <c r="H517">
        <f t="shared" si="8"/>
        <v>565518644</v>
      </c>
    </row>
    <row r="518" spans="1:8" x14ac:dyDescent="0.2">
      <c r="A518" t="s">
        <v>10</v>
      </c>
      <c r="B518" t="s">
        <v>9</v>
      </c>
      <c r="C518">
        <v>2</v>
      </c>
      <c r="D518">
        <v>3</v>
      </c>
      <c r="E518">
        <v>0</v>
      </c>
      <c r="F518">
        <v>1</v>
      </c>
      <c r="G518" s="1" t="s">
        <v>13</v>
      </c>
      <c r="H518">
        <f t="shared" si="8"/>
        <v>0</v>
      </c>
    </row>
    <row r="519" spans="1:8" x14ac:dyDescent="0.2">
      <c r="A519" t="s">
        <v>10</v>
      </c>
      <c r="B519" t="s">
        <v>9</v>
      </c>
      <c r="C519">
        <v>2</v>
      </c>
      <c r="D519">
        <v>3</v>
      </c>
      <c r="E519">
        <v>1</v>
      </c>
      <c r="F519">
        <v>0</v>
      </c>
      <c r="G519" s="1" t="s">
        <v>13</v>
      </c>
      <c r="H519">
        <f t="shared" si="8"/>
        <v>0</v>
      </c>
    </row>
    <row r="520" spans="1:8" x14ac:dyDescent="0.2">
      <c r="A520" t="s">
        <v>10</v>
      </c>
      <c r="B520" t="s">
        <v>9</v>
      </c>
      <c r="C520">
        <v>2</v>
      </c>
      <c r="D520">
        <v>3</v>
      </c>
      <c r="E520">
        <v>1</v>
      </c>
      <c r="F520">
        <v>1</v>
      </c>
      <c r="G520" s="1">
        <v>134481356</v>
      </c>
      <c r="H520">
        <f t="shared" si="8"/>
        <v>134481356</v>
      </c>
    </row>
    <row r="521" spans="1:8" x14ac:dyDescent="0.2">
      <c r="A521" t="s">
        <v>10</v>
      </c>
      <c r="B521" t="s">
        <v>9</v>
      </c>
      <c r="C521">
        <v>2</v>
      </c>
      <c r="D521">
        <v>4</v>
      </c>
      <c r="E521">
        <v>0</v>
      </c>
      <c r="F521">
        <v>0</v>
      </c>
      <c r="G521" s="1">
        <v>759410750</v>
      </c>
      <c r="H521">
        <f t="shared" si="8"/>
        <v>759410750</v>
      </c>
    </row>
    <row r="522" spans="1:8" x14ac:dyDescent="0.2">
      <c r="A522" t="s">
        <v>10</v>
      </c>
      <c r="B522" t="s">
        <v>9</v>
      </c>
      <c r="C522">
        <v>2</v>
      </c>
      <c r="D522">
        <v>4</v>
      </c>
      <c r="E522">
        <v>0</v>
      </c>
      <c r="F522">
        <v>1</v>
      </c>
      <c r="G522" s="1" t="s">
        <v>13</v>
      </c>
      <c r="H522">
        <f t="shared" si="8"/>
        <v>0</v>
      </c>
    </row>
    <row r="523" spans="1:8" x14ac:dyDescent="0.2">
      <c r="A523" t="s">
        <v>10</v>
      </c>
      <c r="B523" t="s">
        <v>9</v>
      </c>
      <c r="C523">
        <v>2</v>
      </c>
      <c r="D523">
        <v>4</v>
      </c>
      <c r="E523">
        <v>1</v>
      </c>
      <c r="F523">
        <v>0</v>
      </c>
      <c r="G523" s="1" t="s">
        <v>13</v>
      </c>
      <c r="H523">
        <f t="shared" si="8"/>
        <v>0</v>
      </c>
    </row>
    <row r="524" spans="1:8" x14ac:dyDescent="0.2">
      <c r="A524" t="s">
        <v>10</v>
      </c>
      <c r="B524" t="s">
        <v>9</v>
      </c>
      <c r="C524">
        <v>2</v>
      </c>
      <c r="D524">
        <v>4</v>
      </c>
      <c r="E524">
        <v>1</v>
      </c>
      <c r="F524">
        <v>1</v>
      </c>
      <c r="G524" s="1">
        <v>2295589250</v>
      </c>
      <c r="H524">
        <f t="shared" si="8"/>
        <v>2295589250</v>
      </c>
    </row>
    <row r="525" spans="1:8" x14ac:dyDescent="0.2">
      <c r="A525" t="s">
        <v>10</v>
      </c>
      <c r="B525" t="s">
        <v>9</v>
      </c>
      <c r="C525">
        <v>2</v>
      </c>
      <c r="D525">
        <v>5</v>
      </c>
      <c r="E525">
        <v>0</v>
      </c>
      <c r="F525">
        <v>0</v>
      </c>
      <c r="G525" s="1">
        <v>904829830</v>
      </c>
      <c r="H525">
        <f t="shared" si="8"/>
        <v>904829830</v>
      </c>
    </row>
    <row r="526" spans="1:8" x14ac:dyDescent="0.2">
      <c r="A526" t="s">
        <v>10</v>
      </c>
      <c r="B526" t="s">
        <v>9</v>
      </c>
      <c r="C526">
        <v>2</v>
      </c>
      <c r="D526">
        <v>5</v>
      </c>
      <c r="E526">
        <v>0</v>
      </c>
      <c r="F526">
        <v>1</v>
      </c>
      <c r="G526" s="1" t="s">
        <v>13</v>
      </c>
      <c r="H526">
        <f t="shared" si="8"/>
        <v>0</v>
      </c>
    </row>
    <row r="527" spans="1:8" x14ac:dyDescent="0.2">
      <c r="A527" t="s">
        <v>10</v>
      </c>
      <c r="B527" t="s">
        <v>9</v>
      </c>
      <c r="C527">
        <v>2</v>
      </c>
      <c r="D527">
        <v>5</v>
      </c>
      <c r="E527">
        <v>1</v>
      </c>
      <c r="F527">
        <v>0</v>
      </c>
      <c r="G527" s="1" t="s">
        <v>13</v>
      </c>
      <c r="H527">
        <f t="shared" si="8"/>
        <v>0</v>
      </c>
    </row>
    <row r="528" spans="1:8" x14ac:dyDescent="0.2">
      <c r="A528" t="s">
        <v>10</v>
      </c>
      <c r="B528" t="s">
        <v>9</v>
      </c>
      <c r="C528">
        <v>2</v>
      </c>
      <c r="D528">
        <v>5</v>
      </c>
      <c r="E528">
        <v>1</v>
      </c>
      <c r="F528">
        <v>1</v>
      </c>
      <c r="G528" s="1">
        <v>4583170170</v>
      </c>
      <c r="H528">
        <f t="shared" si="8"/>
        <v>4583170170</v>
      </c>
    </row>
    <row r="529" spans="1:8" x14ac:dyDescent="0.2">
      <c r="A529" t="s">
        <v>10</v>
      </c>
      <c r="B529" t="s">
        <v>9</v>
      </c>
      <c r="C529">
        <v>2</v>
      </c>
      <c r="D529">
        <v>6</v>
      </c>
      <c r="E529">
        <v>0</v>
      </c>
      <c r="F529">
        <v>0</v>
      </c>
      <c r="G529" s="1">
        <v>565518644</v>
      </c>
      <c r="H529">
        <f t="shared" si="8"/>
        <v>565518644</v>
      </c>
    </row>
    <row r="530" spans="1:8" x14ac:dyDescent="0.2">
      <c r="A530" t="s">
        <v>10</v>
      </c>
      <c r="B530" t="s">
        <v>9</v>
      </c>
      <c r="C530">
        <v>2</v>
      </c>
      <c r="D530">
        <v>6</v>
      </c>
      <c r="E530">
        <v>0</v>
      </c>
      <c r="F530">
        <v>1</v>
      </c>
      <c r="G530" s="1" t="s">
        <v>13</v>
      </c>
      <c r="H530">
        <f t="shared" si="8"/>
        <v>0</v>
      </c>
    </row>
    <row r="531" spans="1:8" x14ac:dyDescent="0.2">
      <c r="A531" t="s">
        <v>10</v>
      </c>
      <c r="B531" t="s">
        <v>9</v>
      </c>
      <c r="C531">
        <v>2</v>
      </c>
      <c r="D531">
        <v>6</v>
      </c>
      <c r="E531">
        <v>1</v>
      </c>
      <c r="F531">
        <v>0</v>
      </c>
      <c r="G531" s="1" t="s">
        <v>13</v>
      </c>
      <c r="H531">
        <f t="shared" si="8"/>
        <v>0</v>
      </c>
    </row>
    <row r="532" spans="1:8" x14ac:dyDescent="0.2">
      <c r="A532" t="s">
        <v>10</v>
      </c>
      <c r="B532" t="s">
        <v>9</v>
      </c>
      <c r="C532">
        <v>2</v>
      </c>
      <c r="D532">
        <v>6</v>
      </c>
      <c r="E532">
        <v>1</v>
      </c>
      <c r="F532">
        <v>1</v>
      </c>
      <c r="G532" s="1">
        <v>134481356</v>
      </c>
      <c r="H532">
        <f t="shared" si="8"/>
        <v>134481356</v>
      </c>
    </row>
    <row r="533" spans="1:8" x14ac:dyDescent="0.2">
      <c r="A533" t="s">
        <v>10</v>
      </c>
      <c r="B533" t="s">
        <v>9</v>
      </c>
      <c r="C533">
        <v>2</v>
      </c>
      <c r="D533">
        <v>7</v>
      </c>
      <c r="E533">
        <v>0</v>
      </c>
      <c r="F533">
        <v>0</v>
      </c>
      <c r="G533" s="1">
        <v>759410750</v>
      </c>
      <c r="H533">
        <f t="shared" si="8"/>
        <v>759410750</v>
      </c>
    </row>
    <row r="534" spans="1:8" x14ac:dyDescent="0.2">
      <c r="A534" t="s">
        <v>10</v>
      </c>
      <c r="B534" t="s">
        <v>9</v>
      </c>
      <c r="C534">
        <v>2</v>
      </c>
      <c r="D534">
        <v>7</v>
      </c>
      <c r="E534">
        <v>0</v>
      </c>
      <c r="F534">
        <v>1</v>
      </c>
      <c r="G534" s="1" t="s">
        <v>13</v>
      </c>
      <c r="H534">
        <f t="shared" si="8"/>
        <v>0</v>
      </c>
    </row>
    <row r="535" spans="1:8" x14ac:dyDescent="0.2">
      <c r="A535" t="s">
        <v>10</v>
      </c>
      <c r="B535" t="s">
        <v>9</v>
      </c>
      <c r="C535">
        <v>2</v>
      </c>
      <c r="D535">
        <v>7</v>
      </c>
      <c r="E535">
        <v>1</v>
      </c>
      <c r="F535">
        <v>0</v>
      </c>
      <c r="G535" s="1" t="s">
        <v>13</v>
      </c>
      <c r="H535">
        <f t="shared" si="8"/>
        <v>0</v>
      </c>
    </row>
    <row r="536" spans="1:8" x14ac:dyDescent="0.2">
      <c r="A536" t="s">
        <v>10</v>
      </c>
      <c r="B536" t="s">
        <v>9</v>
      </c>
      <c r="C536">
        <v>2</v>
      </c>
      <c r="D536">
        <v>7</v>
      </c>
      <c r="E536">
        <v>1</v>
      </c>
      <c r="F536">
        <v>1</v>
      </c>
      <c r="G536" s="1">
        <v>2295589250</v>
      </c>
      <c r="H536">
        <f t="shared" si="8"/>
        <v>2295589250</v>
      </c>
    </row>
    <row r="537" spans="1:8" x14ac:dyDescent="0.2">
      <c r="A537" t="s">
        <v>10</v>
      </c>
      <c r="B537" t="s">
        <v>9</v>
      </c>
      <c r="C537">
        <v>2</v>
      </c>
      <c r="D537">
        <v>8</v>
      </c>
      <c r="E537">
        <v>0</v>
      </c>
      <c r="F537">
        <v>0</v>
      </c>
      <c r="G537" s="1">
        <v>904829830</v>
      </c>
      <c r="H537">
        <f t="shared" si="8"/>
        <v>904829830</v>
      </c>
    </row>
    <row r="538" spans="1:8" x14ac:dyDescent="0.2">
      <c r="A538" t="s">
        <v>10</v>
      </c>
      <c r="B538" t="s">
        <v>9</v>
      </c>
      <c r="C538">
        <v>2</v>
      </c>
      <c r="D538">
        <v>8</v>
      </c>
      <c r="E538">
        <v>0</v>
      </c>
      <c r="F538">
        <v>1</v>
      </c>
      <c r="G538" s="1" t="s">
        <v>13</v>
      </c>
      <c r="H538">
        <f t="shared" si="8"/>
        <v>0</v>
      </c>
    </row>
    <row r="539" spans="1:8" x14ac:dyDescent="0.2">
      <c r="A539" t="s">
        <v>10</v>
      </c>
      <c r="B539" t="s">
        <v>9</v>
      </c>
      <c r="C539">
        <v>2</v>
      </c>
      <c r="D539">
        <v>8</v>
      </c>
      <c r="E539">
        <v>1</v>
      </c>
      <c r="F539">
        <v>0</v>
      </c>
      <c r="G539" s="1" t="s">
        <v>13</v>
      </c>
      <c r="H539">
        <f t="shared" si="8"/>
        <v>0</v>
      </c>
    </row>
    <row r="540" spans="1:8" x14ac:dyDescent="0.2">
      <c r="A540" t="s">
        <v>10</v>
      </c>
      <c r="B540" t="s">
        <v>9</v>
      </c>
      <c r="C540">
        <v>2</v>
      </c>
      <c r="D540">
        <v>8</v>
      </c>
      <c r="E540">
        <v>1</v>
      </c>
      <c r="F540">
        <v>1</v>
      </c>
      <c r="G540" s="1">
        <v>4583170170</v>
      </c>
      <c r="H540">
        <f t="shared" si="8"/>
        <v>4583170170</v>
      </c>
    </row>
    <row r="541" spans="1:8" x14ac:dyDescent="0.2">
      <c r="A541" t="s">
        <v>11</v>
      </c>
      <c r="B541" t="s">
        <v>12</v>
      </c>
      <c r="C541" t="s">
        <v>12</v>
      </c>
      <c r="D541" t="s">
        <v>12</v>
      </c>
      <c r="E541">
        <v>0</v>
      </c>
      <c r="F541">
        <v>0</v>
      </c>
      <c r="G541" s="1" t="s">
        <v>14</v>
      </c>
      <c r="H541">
        <f t="shared" si="8"/>
        <v>10</v>
      </c>
    </row>
    <row r="542" spans="1:8" x14ac:dyDescent="0.2">
      <c r="A542" t="s">
        <v>11</v>
      </c>
      <c r="B542" t="s">
        <v>12</v>
      </c>
      <c r="C542" t="s">
        <v>12</v>
      </c>
      <c r="D542" t="s">
        <v>12</v>
      </c>
      <c r="E542">
        <v>0</v>
      </c>
      <c r="F542">
        <v>1</v>
      </c>
      <c r="G542" s="1" t="s">
        <v>14</v>
      </c>
      <c r="H542">
        <f t="shared" si="8"/>
        <v>10</v>
      </c>
    </row>
    <row r="543" spans="1:8" x14ac:dyDescent="0.2">
      <c r="A543" t="s">
        <v>11</v>
      </c>
      <c r="B543" t="s">
        <v>12</v>
      </c>
      <c r="C543" t="s">
        <v>12</v>
      </c>
      <c r="D543" t="s">
        <v>12</v>
      </c>
      <c r="E543">
        <v>0</v>
      </c>
      <c r="F543">
        <v>2</v>
      </c>
      <c r="G543" s="1" t="s">
        <v>14</v>
      </c>
      <c r="H543">
        <f t="shared" si="8"/>
        <v>10</v>
      </c>
    </row>
    <row r="544" spans="1:8" x14ac:dyDescent="0.2">
      <c r="A544" t="s">
        <v>11</v>
      </c>
      <c r="B544" t="s">
        <v>12</v>
      </c>
      <c r="C544" t="s">
        <v>12</v>
      </c>
      <c r="D544" t="s">
        <v>12</v>
      </c>
      <c r="E544">
        <v>0</v>
      </c>
      <c r="F544">
        <v>3</v>
      </c>
      <c r="G544" s="1" t="s">
        <v>15</v>
      </c>
      <c r="H544">
        <f t="shared" si="8"/>
        <v>15</v>
      </c>
    </row>
    <row r="545" spans="1:8" x14ac:dyDescent="0.2">
      <c r="A545" t="s">
        <v>11</v>
      </c>
      <c r="B545" t="s">
        <v>12</v>
      </c>
      <c r="C545" t="s">
        <v>12</v>
      </c>
      <c r="D545" t="s">
        <v>12</v>
      </c>
      <c r="E545">
        <v>0</v>
      </c>
      <c r="F545">
        <v>4</v>
      </c>
      <c r="G545" s="1" t="s">
        <v>15</v>
      </c>
      <c r="H545">
        <f t="shared" si="8"/>
        <v>15</v>
      </c>
    </row>
    <row r="546" spans="1:8" x14ac:dyDescent="0.2">
      <c r="A546" t="s">
        <v>11</v>
      </c>
      <c r="B546" t="s">
        <v>12</v>
      </c>
      <c r="C546" t="s">
        <v>12</v>
      </c>
      <c r="D546" t="s">
        <v>12</v>
      </c>
      <c r="E546">
        <v>0</v>
      </c>
      <c r="F546">
        <v>5</v>
      </c>
      <c r="G546" s="1" t="s">
        <v>15</v>
      </c>
      <c r="H546">
        <f t="shared" si="8"/>
        <v>15</v>
      </c>
    </row>
    <row r="547" spans="1:8" x14ac:dyDescent="0.2">
      <c r="A547" t="s">
        <v>11</v>
      </c>
      <c r="B547" t="s">
        <v>12</v>
      </c>
      <c r="C547" t="s">
        <v>12</v>
      </c>
      <c r="D547" t="s">
        <v>12</v>
      </c>
      <c r="E547">
        <v>0</v>
      </c>
      <c r="F547">
        <v>6</v>
      </c>
      <c r="G547" s="1" t="s">
        <v>16</v>
      </c>
      <c r="H547">
        <f t="shared" si="8"/>
        <v>20</v>
      </c>
    </row>
    <row r="548" spans="1:8" x14ac:dyDescent="0.2">
      <c r="A548" t="s">
        <v>11</v>
      </c>
      <c r="B548" t="s">
        <v>12</v>
      </c>
      <c r="C548" t="s">
        <v>12</v>
      </c>
      <c r="D548" t="s">
        <v>12</v>
      </c>
      <c r="E548">
        <v>0</v>
      </c>
      <c r="F548">
        <v>7</v>
      </c>
      <c r="G548" s="1" t="s">
        <v>16</v>
      </c>
      <c r="H548">
        <f t="shared" si="8"/>
        <v>20</v>
      </c>
    </row>
    <row r="549" spans="1:8" x14ac:dyDescent="0.2">
      <c r="A549" t="s">
        <v>11</v>
      </c>
      <c r="B549" t="s">
        <v>12</v>
      </c>
      <c r="C549" t="s">
        <v>12</v>
      </c>
      <c r="D549" t="s">
        <v>12</v>
      </c>
      <c r="E549">
        <v>0</v>
      </c>
      <c r="F549">
        <v>8</v>
      </c>
      <c r="G549" s="1" t="s">
        <v>16</v>
      </c>
      <c r="H549">
        <f t="shared" si="8"/>
        <v>20</v>
      </c>
    </row>
    <row r="550" spans="1:8" x14ac:dyDescent="0.2">
      <c r="A550" t="s">
        <v>11</v>
      </c>
      <c r="B550" t="s">
        <v>12</v>
      </c>
      <c r="C550" t="s">
        <v>12</v>
      </c>
      <c r="D550" t="s">
        <v>12</v>
      </c>
      <c r="E550">
        <v>1</v>
      </c>
      <c r="F550">
        <v>0</v>
      </c>
      <c r="G550" s="1" t="s">
        <v>14</v>
      </c>
      <c r="H550">
        <f t="shared" si="8"/>
        <v>10</v>
      </c>
    </row>
    <row r="551" spans="1:8" x14ac:dyDescent="0.2">
      <c r="A551" t="s">
        <v>11</v>
      </c>
      <c r="B551" t="s">
        <v>12</v>
      </c>
      <c r="C551" t="s">
        <v>12</v>
      </c>
      <c r="D551" t="s">
        <v>12</v>
      </c>
      <c r="E551">
        <v>1</v>
      </c>
      <c r="F551">
        <v>1</v>
      </c>
      <c r="G551" s="1" t="s">
        <v>14</v>
      </c>
      <c r="H551">
        <f t="shared" si="8"/>
        <v>10</v>
      </c>
    </row>
    <row r="552" spans="1:8" x14ac:dyDescent="0.2">
      <c r="A552" t="s">
        <v>11</v>
      </c>
      <c r="B552" t="s">
        <v>12</v>
      </c>
      <c r="C552" t="s">
        <v>12</v>
      </c>
      <c r="D552" t="s">
        <v>12</v>
      </c>
      <c r="E552">
        <v>1</v>
      </c>
      <c r="F552">
        <v>2</v>
      </c>
      <c r="G552" s="1" t="s">
        <v>14</v>
      </c>
      <c r="H552">
        <f t="shared" si="8"/>
        <v>10</v>
      </c>
    </row>
    <row r="553" spans="1:8" x14ac:dyDescent="0.2">
      <c r="A553" t="s">
        <v>11</v>
      </c>
      <c r="B553" t="s">
        <v>12</v>
      </c>
      <c r="C553" t="s">
        <v>12</v>
      </c>
      <c r="D553" t="s">
        <v>12</v>
      </c>
      <c r="E553">
        <v>1</v>
      </c>
      <c r="F553">
        <v>3</v>
      </c>
      <c r="G553" s="1" t="s">
        <v>15</v>
      </c>
      <c r="H553">
        <f t="shared" si="8"/>
        <v>15</v>
      </c>
    </row>
    <row r="554" spans="1:8" x14ac:dyDescent="0.2">
      <c r="A554" t="s">
        <v>11</v>
      </c>
      <c r="B554" t="s">
        <v>12</v>
      </c>
      <c r="C554" t="s">
        <v>12</v>
      </c>
      <c r="D554" t="s">
        <v>12</v>
      </c>
      <c r="E554">
        <v>1</v>
      </c>
      <c r="F554">
        <v>4</v>
      </c>
      <c r="G554" s="1" t="s">
        <v>15</v>
      </c>
      <c r="H554">
        <f t="shared" si="8"/>
        <v>15</v>
      </c>
    </row>
    <row r="555" spans="1:8" x14ac:dyDescent="0.2">
      <c r="A555" t="s">
        <v>11</v>
      </c>
      <c r="B555" t="s">
        <v>12</v>
      </c>
      <c r="C555" t="s">
        <v>12</v>
      </c>
      <c r="D555" t="s">
        <v>12</v>
      </c>
      <c r="E555">
        <v>1</v>
      </c>
      <c r="F555">
        <v>5</v>
      </c>
      <c r="G555" s="1" t="s">
        <v>15</v>
      </c>
      <c r="H555">
        <f t="shared" si="8"/>
        <v>15</v>
      </c>
    </row>
    <row r="556" spans="1:8" x14ac:dyDescent="0.2">
      <c r="A556" t="s">
        <v>11</v>
      </c>
      <c r="B556" t="s">
        <v>12</v>
      </c>
      <c r="C556" t="s">
        <v>12</v>
      </c>
      <c r="D556" t="s">
        <v>12</v>
      </c>
      <c r="E556">
        <v>1</v>
      </c>
      <c r="F556">
        <v>6</v>
      </c>
      <c r="G556" s="1" t="s">
        <v>16</v>
      </c>
      <c r="H556">
        <f t="shared" si="8"/>
        <v>20</v>
      </c>
    </row>
    <row r="557" spans="1:8" x14ac:dyDescent="0.2">
      <c r="A557" t="s">
        <v>11</v>
      </c>
      <c r="B557" t="s">
        <v>12</v>
      </c>
      <c r="C557" t="s">
        <v>12</v>
      </c>
      <c r="D557" t="s">
        <v>12</v>
      </c>
      <c r="E557">
        <v>1</v>
      </c>
      <c r="F557">
        <v>7</v>
      </c>
      <c r="G557" s="1" t="s">
        <v>16</v>
      </c>
      <c r="H557">
        <f t="shared" si="8"/>
        <v>20</v>
      </c>
    </row>
    <row r="558" spans="1:8" x14ac:dyDescent="0.2">
      <c r="A558" t="s">
        <v>11</v>
      </c>
      <c r="B558" t="s">
        <v>12</v>
      </c>
      <c r="C558" t="s">
        <v>12</v>
      </c>
      <c r="D558" t="s">
        <v>12</v>
      </c>
      <c r="E558">
        <v>1</v>
      </c>
      <c r="F558">
        <v>8</v>
      </c>
      <c r="G558" s="1" t="s">
        <v>16</v>
      </c>
      <c r="H558">
        <f t="shared" si="8"/>
        <v>20</v>
      </c>
    </row>
    <row r="559" spans="1:8" x14ac:dyDescent="0.2">
      <c r="A559" t="s">
        <v>11</v>
      </c>
      <c r="B559" t="s">
        <v>12</v>
      </c>
      <c r="C559" t="s">
        <v>12</v>
      </c>
      <c r="D559" t="s">
        <v>12</v>
      </c>
      <c r="E559">
        <v>2</v>
      </c>
      <c r="F559">
        <v>0</v>
      </c>
      <c r="G559" s="1" t="s">
        <v>14</v>
      </c>
      <c r="H559">
        <f t="shared" si="8"/>
        <v>10</v>
      </c>
    </row>
    <row r="560" spans="1:8" x14ac:dyDescent="0.2">
      <c r="A560" t="s">
        <v>11</v>
      </c>
      <c r="B560" t="s">
        <v>12</v>
      </c>
      <c r="C560" t="s">
        <v>12</v>
      </c>
      <c r="D560" t="s">
        <v>12</v>
      </c>
      <c r="E560">
        <v>2</v>
      </c>
      <c r="F560">
        <v>1</v>
      </c>
      <c r="G560" s="1" t="s">
        <v>14</v>
      </c>
      <c r="H560">
        <f t="shared" si="8"/>
        <v>10</v>
      </c>
    </row>
    <row r="561" spans="1:8" x14ac:dyDescent="0.2">
      <c r="A561" t="s">
        <v>11</v>
      </c>
      <c r="B561" t="s">
        <v>12</v>
      </c>
      <c r="C561" t="s">
        <v>12</v>
      </c>
      <c r="D561" t="s">
        <v>12</v>
      </c>
      <c r="E561">
        <v>2</v>
      </c>
      <c r="F561">
        <v>2</v>
      </c>
      <c r="G561" s="1" t="s">
        <v>14</v>
      </c>
      <c r="H561">
        <f t="shared" si="8"/>
        <v>10</v>
      </c>
    </row>
    <row r="562" spans="1:8" x14ac:dyDescent="0.2">
      <c r="A562" t="s">
        <v>11</v>
      </c>
      <c r="B562" t="s">
        <v>12</v>
      </c>
      <c r="C562" t="s">
        <v>12</v>
      </c>
      <c r="D562" t="s">
        <v>12</v>
      </c>
      <c r="E562">
        <v>2</v>
      </c>
      <c r="F562">
        <v>3</v>
      </c>
      <c r="G562" s="1" t="s">
        <v>15</v>
      </c>
      <c r="H562">
        <f t="shared" si="8"/>
        <v>15</v>
      </c>
    </row>
    <row r="563" spans="1:8" x14ac:dyDescent="0.2">
      <c r="A563" t="s">
        <v>11</v>
      </c>
      <c r="B563" t="s">
        <v>12</v>
      </c>
      <c r="C563" t="s">
        <v>12</v>
      </c>
      <c r="D563" t="s">
        <v>12</v>
      </c>
      <c r="E563">
        <v>2</v>
      </c>
      <c r="F563">
        <v>4</v>
      </c>
      <c r="G563" s="1" t="s">
        <v>15</v>
      </c>
      <c r="H563">
        <f t="shared" si="8"/>
        <v>15</v>
      </c>
    </row>
    <row r="564" spans="1:8" x14ac:dyDescent="0.2">
      <c r="A564" t="s">
        <v>11</v>
      </c>
      <c r="B564" t="s">
        <v>12</v>
      </c>
      <c r="C564" t="s">
        <v>12</v>
      </c>
      <c r="D564" t="s">
        <v>12</v>
      </c>
      <c r="E564">
        <v>2</v>
      </c>
      <c r="F564">
        <v>5</v>
      </c>
      <c r="G564" s="1" t="s">
        <v>15</v>
      </c>
      <c r="H564">
        <f t="shared" si="8"/>
        <v>15</v>
      </c>
    </row>
    <row r="565" spans="1:8" x14ac:dyDescent="0.2">
      <c r="A565" t="s">
        <v>11</v>
      </c>
      <c r="B565" t="s">
        <v>12</v>
      </c>
      <c r="C565" t="s">
        <v>12</v>
      </c>
      <c r="D565" t="s">
        <v>12</v>
      </c>
      <c r="E565">
        <v>2</v>
      </c>
      <c r="F565">
        <v>6</v>
      </c>
      <c r="G565" s="1" t="s">
        <v>16</v>
      </c>
      <c r="H565">
        <f t="shared" si="8"/>
        <v>20</v>
      </c>
    </row>
    <row r="566" spans="1:8" x14ac:dyDescent="0.2">
      <c r="A566" t="s">
        <v>11</v>
      </c>
      <c r="B566" t="s">
        <v>12</v>
      </c>
      <c r="C566" t="s">
        <v>12</v>
      </c>
      <c r="D566" t="s">
        <v>12</v>
      </c>
      <c r="E566">
        <v>2</v>
      </c>
      <c r="F566">
        <v>7</v>
      </c>
      <c r="G566" s="1" t="s">
        <v>16</v>
      </c>
      <c r="H566">
        <f t="shared" si="8"/>
        <v>20</v>
      </c>
    </row>
    <row r="567" spans="1:8" x14ac:dyDescent="0.2">
      <c r="A567" t="s">
        <v>11</v>
      </c>
      <c r="B567" t="s">
        <v>12</v>
      </c>
      <c r="C567" t="s">
        <v>12</v>
      </c>
      <c r="D567" t="s">
        <v>12</v>
      </c>
      <c r="E567">
        <v>2</v>
      </c>
      <c r="F567">
        <v>8</v>
      </c>
      <c r="G567" s="1" t="s">
        <v>16</v>
      </c>
      <c r="H567">
        <f t="shared" si="8"/>
        <v>20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3:S129"/>
  <sheetViews>
    <sheetView showGridLines="0" tabSelected="1" topLeftCell="A11" zoomScale="87" workbookViewId="0">
      <selection activeCell="H13" sqref="H13"/>
    </sheetView>
  </sheetViews>
  <sheetFormatPr baseColWidth="10" defaultRowHeight="16" x14ac:dyDescent="0.2"/>
  <cols>
    <col min="2" max="4" width="18" customWidth="1"/>
    <col min="5" max="5" width="8.1640625" bestFit="1" customWidth="1"/>
    <col min="6" max="6" width="8.1640625" customWidth="1"/>
    <col min="7" max="7" width="12" bestFit="1" customWidth="1"/>
  </cols>
  <sheetData>
    <row r="3" spans="1:19" x14ac:dyDescent="0.2">
      <c r="B3" s="2" t="s">
        <v>17</v>
      </c>
      <c r="C3" s="2"/>
      <c r="D3" s="2"/>
      <c r="F3" s="5"/>
      <c r="G3" t="s">
        <v>34</v>
      </c>
      <c r="H3" t="s">
        <v>35</v>
      </c>
    </row>
    <row r="4" spans="1:19" x14ac:dyDescent="0.2">
      <c r="B4" t="s">
        <v>18</v>
      </c>
      <c r="D4">
        <v>3</v>
      </c>
      <c r="G4" t="s">
        <v>36</v>
      </c>
      <c r="H4" t="s">
        <v>37</v>
      </c>
    </row>
    <row r="5" spans="1:19" x14ac:dyDescent="0.2">
      <c r="B5" t="s">
        <v>19</v>
      </c>
      <c r="D5">
        <v>9</v>
      </c>
    </row>
    <row r="6" spans="1:19" x14ac:dyDescent="0.2">
      <c r="B6" t="s">
        <v>20</v>
      </c>
      <c r="D6">
        <v>1</v>
      </c>
    </row>
    <row r="7" spans="1:19" x14ac:dyDescent="0.2">
      <c r="B7" t="s">
        <v>24</v>
      </c>
      <c r="D7">
        <f>10-COUNTBLANK(Lookup!A2:A11)</f>
        <v>4</v>
      </c>
      <c r="H7">
        <f t="array" aca="1" ref="H7" ca="1">IFERROR(INDEX(Input!$H$1:$H$567,MATCH(VLOOKUP(Bidding!$B13,Lookup!$F$2:$I$4,2,FALSE)&amp;VLOOKUP(Bidding!$B13,Lookup!$F$2:$I$4,3,FALSE)&amp;$F13&amp;$E13&amp;H$11,Input!$A$1:$A$567&amp;Input!$B$1:$B$567&amp;INDIRECT("Input!$"&amp;VLOOKUP(VLOOKUP(Bidding!$B13,Lookup!$F$2:$I$4,4), CHARS,2,TRUE)&amp;"$1:$"&amp;VLOOKUP(VLOOKUP(Bidding!$B13,Lookup!$F$2:$I$4,4), CHARS,2,TRUE)&amp;"$567")&amp;INDIRECT("Input!$"&amp;VLOOKUP(VLOOKUP(Bidding!$B13,Lookup!$F$2:$I$4,4)+1, CHARS,2,TRUE)&amp;"$1:$"&amp;VLOOKUP(VLOOKUP(Bidding!$B13,Lookup!$F$2:$I$4,4)+1, CHARS,2,TRUE)&amp;"$567")&amp;INDIRECT("Input!$"&amp;VLOOKUP(VLOOKUP(Bidding!$B13,Lookup!$F$2:$I$4,4)+2, CHARS,2,TRUE)&amp;"$1:$"&amp;VLOOKUP(VLOOKUP(Bidding!$B13,Lookup!$F$2:$I$4,4)+2, CHARS,2,TRUE)&amp;"$567"),0)),"")</f>
        <v>2</v>
      </c>
    </row>
    <row r="8" spans="1:19" x14ac:dyDescent="0.2">
      <c r="B8" t="s">
        <v>33</v>
      </c>
      <c r="D8">
        <v>8</v>
      </c>
    </row>
    <row r="9" spans="1:19" x14ac:dyDescent="0.2">
      <c r="H9" t="s">
        <v>58</v>
      </c>
    </row>
    <row r="10" spans="1:19" x14ac:dyDescent="0.2">
      <c r="H10" s="4">
        <v>0</v>
      </c>
      <c r="I10" s="4">
        <f>H10+1</f>
        <v>1</v>
      </c>
      <c r="J10" s="4">
        <f t="shared" ref="J10:P10" si="0">I10+1</f>
        <v>2</v>
      </c>
      <c r="K10" s="4">
        <f t="shared" ref="K10:S10" si="1">J10+1</f>
        <v>3</v>
      </c>
      <c r="L10" s="4">
        <f t="shared" si="1"/>
        <v>4</v>
      </c>
      <c r="M10" s="4">
        <f t="shared" si="1"/>
        <v>5</v>
      </c>
      <c r="N10" s="4">
        <f t="shared" si="1"/>
        <v>6</v>
      </c>
      <c r="O10" s="4">
        <f t="shared" si="1"/>
        <v>7</v>
      </c>
      <c r="P10" s="4">
        <f t="shared" si="1"/>
        <v>8</v>
      </c>
      <c r="Q10" s="4">
        <f t="shared" si="1"/>
        <v>9</v>
      </c>
      <c r="R10" s="4">
        <f t="shared" si="1"/>
        <v>10</v>
      </c>
      <c r="S10" s="4">
        <f t="shared" si="1"/>
        <v>11</v>
      </c>
    </row>
    <row r="11" spans="1:19" s="3" customFormat="1" x14ac:dyDescent="0.2">
      <c r="B11" s="2" t="s">
        <v>25</v>
      </c>
      <c r="C11" s="2" t="s">
        <v>59</v>
      </c>
      <c r="D11" s="2" t="s">
        <v>31</v>
      </c>
      <c r="E11" s="2" t="s">
        <v>32</v>
      </c>
      <c r="F11" s="2" t="s">
        <v>30</v>
      </c>
      <c r="G11" s="2" t="s">
        <v>26</v>
      </c>
      <c r="H11" s="2">
        <v>0</v>
      </c>
      <c r="I11" s="2">
        <f>IF(I10&lt;$D$4,I10,"")</f>
        <v>1</v>
      </c>
      <c r="J11" s="2">
        <f>IF(J10&lt;$D$4,J10,"")</f>
        <v>2</v>
      </c>
      <c r="K11" s="2" t="str">
        <f>IF(K10&lt;$D$4,K10,"")</f>
        <v/>
      </c>
      <c r="L11" s="2" t="str">
        <f>IF(L10&lt;$D$4,L10,"")</f>
        <v/>
      </c>
      <c r="M11" s="2" t="str">
        <f>IF(M10&lt;$D$4,M10,"")</f>
        <v/>
      </c>
      <c r="N11" s="2" t="str">
        <f>IF(N10&lt;$D$4,N10,"")</f>
        <v/>
      </c>
      <c r="O11" s="2" t="str">
        <f>IF(O10&lt;$D$4,O10,"")</f>
        <v/>
      </c>
      <c r="P11" s="2" t="str">
        <f>IF(P10&lt;$D$4,P10,"")</f>
        <v/>
      </c>
      <c r="Q11" s="2" t="str">
        <f>IF(Q10&lt;$D$4,Q10,"")</f>
        <v/>
      </c>
      <c r="R11" s="2" t="str">
        <f>IF(R10&lt;$D$4,R10,"")</f>
        <v/>
      </c>
      <c r="S11" s="2" t="str">
        <f>IF(S10&lt;$D$4,S10,"")</f>
        <v/>
      </c>
    </row>
    <row r="12" spans="1:19" x14ac:dyDescent="0.2">
      <c r="A12" s="4">
        <v>0</v>
      </c>
      <c r="B12" t="str">
        <f ca="1">IFERROR(IF(NOT(ISBLANK(A12)),VLOOKUP(MOD(A12,$D$7),INDIRECT("Lookup!$A$2:$B$"&amp;$D$7+1),2,FALSE),""),"B")</f>
        <v>Delivery product</v>
      </c>
      <c r="E12" t="str">
        <f ca="1">IFERROR(IF(B12="Delivery product","",IF(NOT(ISBLANK(A12)),MOD(ROUNDDOWN(A12/$D$7,0),3),"")),"")</f>
        <v/>
      </c>
      <c r="F12" t="str">
        <f ca="1">IFERROR(IF(B12="Delivery product","",IF(NOT(ISBLANK(A12)),MOD(ROUNDDOWN(A12/$D$7/$D$4,0),$D$5),"")),"")</f>
        <v/>
      </c>
      <c r="G12" t="str">
        <f ca="1">IFERROR(IF(B12="Delivery product","",IF(NOT(ISBLANK(A12)),SUM(H12:J12),"")),"")</f>
        <v/>
      </c>
    </row>
    <row r="13" spans="1:19" x14ac:dyDescent="0.2">
      <c r="A13" s="4">
        <f>IFERROR(IF((A12+1)/$D$7&lt;$D$5*$D$4,A12+1,""),"")</f>
        <v>1</v>
      </c>
      <c r="B13" t="str">
        <f ca="1">IFERROR(IF(NOT(ISBLANK(A13)),VLOOKUP(MOD(A13,$D$7),INDIRECT("Lookup!$A$2:$B$"&amp;$D$7+1),2,FALSE),""),"B")</f>
        <v>Bid volume</v>
      </c>
      <c r="D13" t="str">
        <f ca="1">IFERROR(IF(NOT(ISBLANK(A13)),IF(B13="Transaction volume",IF(OR(I13&gt;H12,#REF!&gt;I12,J13&gt;J12),"Error",""),IF(G13&lt;&gt;G12,"Error","")),""),"")</f>
        <v>Error</v>
      </c>
      <c r="E13">
        <f t="shared" ref="E13:E76" ca="1" si="2">IFERROR(IF(B13="Delivery product","",IF(NOT(ISBLANK(A13)),MOD(ROUNDDOWN(A13/$D$7,0),3),"")),"")</f>
        <v>0</v>
      </c>
      <c r="F13">
        <f t="shared" ref="F13:F76" ca="1" si="3">IFERROR(IF(B13="Delivery product","",IF(NOT(ISBLANK(A13)),MOD(ROUNDDOWN(A13/$D$7/$D$4,0),$D$5),"")),"")</f>
        <v>0</v>
      </c>
      <c r="G13">
        <f t="shared" ref="G13:G76" ca="1" si="4">IFERROR(IF(B13="Delivery product","",IF(NOT(ISBLANK(A13)),SUM(H13:J13),"")),"")</f>
        <v>6</v>
      </c>
      <c r="H13">
        <f t="array" aca="1" ref="H13:J13" ca="1">IFERROR(INDEX(Input!$H$1:$H$567,MATCH(VLOOKUP(Bidding!$B13,Lookup!$F$2:$I$4,2,FALSE)&amp;VLOOKUP(Bidding!$B13,Lookup!$F$2:$I$4,3,FALSE)&amp;$F13&amp;$E13&amp;H$11,Input!$A$1:$A$567&amp;Input!$B$1:$B$567&amp;INDIRECT("Input!$"&amp;VLOOKUP(VLOOKUP(Bidding!$B13,Lookup!$F$2:$I$4,4), CHARS,2,TRUE)&amp;"$1:$"&amp;VLOOKUP(VLOOKUP(Bidding!$B13,Lookup!$F$2:$I$4,4), CHARS,2,TRUE)&amp;"$567")&amp;INDIRECT("Input!$"&amp;VLOOKUP(VLOOKUP(Bidding!$B13,Lookup!$F$2:$I$4,4)+1, CHARS,2,TRUE)&amp;"$1:$"&amp;VLOOKUP(VLOOKUP(Bidding!$B13,Lookup!$F$2:$I$4,4)+1, CHARS,2,TRUE)&amp;"$567")&amp;INDIRECT("Input!$"&amp;VLOOKUP(VLOOKUP(Bidding!$B13,Lookup!$F$2:$I$4,4)+2, CHARS,2,TRUE)&amp;"$1:$"&amp;VLOOKUP(VLOOKUP(Bidding!$B13,Lookup!$F$2:$I$4,4)+2, CHARS,2,TRUE)&amp;"$567"),0)),"")</f>
        <v>2</v>
      </c>
      <c r="I13">
        <f ca="1"/>
        <v>2</v>
      </c>
      <c r="J13">
        <f ca="1"/>
        <v>2</v>
      </c>
    </row>
    <row r="14" spans="1:19" x14ac:dyDescent="0.2">
      <c r="A14" s="4">
        <f>IFERROR(IF((A13+1)/$D$7&lt;$D$5*$D$4,A13+1,""),"")</f>
        <v>2</v>
      </c>
      <c r="B14" t="str">
        <f ca="1">IFERROR(IF(NOT(ISBLANK(A14)),VLOOKUP(MOD(A14,$D$7),INDIRECT("Lookup!$A$2:$B$"&amp;$D$7+1),2,FALSE),""),"B")</f>
        <v>Transaction volume</v>
      </c>
      <c r="D14" t="str">
        <f ca="1">IFERROR(IF(NOT(ISBLANK(A14)),IF(B14="Transaction volume",IF(OR(H14&gt;I13,I14&gt;#REF!,J14&gt;J13),"Error",""),IF(G14&lt;&gt;G13,"Error","")),""),"")</f>
        <v/>
      </c>
      <c r="E14">
        <f t="shared" ca="1" si="2"/>
        <v>0</v>
      </c>
      <c r="F14">
        <f t="shared" ca="1" si="3"/>
        <v>0</v>
      </c>
      <c r="G14">
        <f t="shared" ca="1" si="4"/>
        <v>0</v>
      </c>
      <c r="H14">
        <f t="array" aca="1" ref="H14:J14" ca="1">IFERROR(INDEX(Input!$H$1:$H$567,MATCH(VLOOKUP(Bidding!$B14,Lookup!$F$2:$I$4,2,FALSE)&amp;VLOOKUP(Bidding!$B14,Lookup!$F$2:$I$4,3,FALSE)&amp;$F14&amp;$E14&amp;H$11,Input!$A$1:$A$567&amp;Input!$B$1:$B$567&amp;INDIRECT("Input!$"&amp;VLOOKUP(VLOOKUP(Bidding!$B14,Lookup!$F$2:$I$4,4), CHARS,2,TRUE)&amp;"$1:$"&amp;VLOOKUP(VLOOKUP(Bidding!$B14,Lookup!$F$2:$I$4,4), CHARS,2,TRUE)&amp;"$567")&amp;INDIRECT("Input!$"&amp;VLOOKUP(VLOOKUP(Bidding!$B14,Lookup!$F$2:$I$4,4)+1, CHARS,2,TRUE)&amp;"$1:$"&amp;VLOOKUP(VLOOKUP(Bidding!$B14,Lookup!$F$2:$I$4,4)+1, CHARS,2,TRUE)&amp;"$567")&amp;INDIRECT("Input!$"&amp;VLOOKUP(VLOOKUP(Bidding!$B14,Lookup!$F$2:$I$4,4)+2, CHARS,2,TRUE)&amp;"$1:$"&amp;VLOOKUP(VLOOKUP(Bidding!$B14,Lookup!$F$2:$I$4,4)+2, CHARS,2,TRUE)&amp;"$567"),0)),"")</f>
        <v>0</v>
      </c>
      <c r="I14">
        <f ca="1"/>
        <v>0</v>
      </c>
      <c r="J14">
        <f ca="1"/>
        <v>0</v>
      </c>
    </row>
    <row r="15" spans="1:19" x14ac:dyDescent="0.2">
      <c r="A15" s="4">
        <f>IFERROR(IF((A14+1)/$D$7&lt;$D$5*$D$4,A14+1,""),"")</f>
        <v>3</v>
      </c>
      <c r="B15" t="str">
        <f ca="1">IFERROR(IF(NOT(ISBLANK(A15)),VLOOKUP(MOD(A15,$D$7),INDIRECT("Lookup!$A$2:$B$"&amp;$D$7+1),2,FALSE),""),"B")</f>
        <v>Production quantity</v>
      </c>
      <c r="D15" t="str">
        <f t="shared" ref="D14:D60" ca="1" si="5">IFERROR(IF(NOT(ISBLANK(A15)),IF(B15="Transaction volume",IF(OR(H15&gt;H14,I15&gt;I14,J15&gt;J14),"Error",""),IF(G15&lt;&gt;G14,"Error","")),""),"")</f>
        <v>Error</v>
      </c>
      <c r="E15">
        <f t="shared" ca="1" si="2"/>
        <v>0</v>
      </c>
      <c r="F15">
        <f t="shared" ca="1" si="3"/>
        <v>0</v>
      </c>
      <c r="G15">
        <f t="shared" ca="1" si="4"/>
        <v>60000000</v>
      </c>
      <c r="H15">
        <f t="array" aca="1" ref="H15:J15" ca="1">IFERROR(INDEX(Input!$H$1:$H$567,MATCH(VLOOKUP(Bidding!$B15,Lookup!$F$2:$I$4,2,FALSE)&amp;VLOOKUP(Bidding!$B15,Lookup!$F$2:$I$4,3,FALSE)&amp;$F15&amp;$E15&amp;H$11,Input!$A$1:$A$567&amp;Input!$B$1:$B$567&amp;INDIRECT("Input!$"&amp;VLOOKUP(VLOOKUP(Bidding!$B15,Lookup!$F$2:$I$4,4), CHARS,2,TRUE)&amp;"$1:$"&amp;VLOOKUP(VLOOKUP(Bidding!$B15,Lookup!$F$2:$I$4,4), CHARS,2,TRUE)&amp;"$567")&amp;INDIRECT("Input!$"&amp;VLOOKUP(VLOOKUP(Bidding!$B15,Lookup!$F$2:$I$4,4)+1, CHARS,2,TRUE)&amp;"$1:$"&amp;VLOOKUP(VLOOKUP(Bidding!$B15,Lookup!$F$2:$I$4,4)+1, CHARS,2,TRUE)&amp;"$567")&amp;INDIRECT("Input!$"&amp;VLOOKUP(VLOOKUP(Bidding!$B15,Lookup!$F$2:$I$4,4)+2, CHARS,2,TRUE)&amp;"$1:$"&amp;VLOOKUP(VLOOKUP(Bidding!$B15,Lookup!$F$2:$I$4,4)+2, CHARS,2,TRUE)&amp;"$567"),0)),"")</f>
        <v>20000000</v>
      </c>
      <c r="I15">
        <f ca="1"/>
        <v>20000000</v>
      </c>
      <c r="J15">
        <f ca="1"/>
        <v>20000000</v>
      </c>
    </row>
    <row r="16" spans="1:19" x14ac:dyDescent="0.2">
      <c r="A16" s="4">
        <f>IFERROR(IF((A15+1)/$D$7&lt;$D$5*$D$4,A15+1,""),"")</f>
        <v>4</v>
      </c>
      <c r="B16" t="str">
        <f ca="1">IFERROR(IF(NOT(ISBLANK(A16)),VLOOKUP(MOD(A16,$D$7),INDIRECT("Lookup!$A$2:$B$"&amp;$D$7+1),2,FALSE),""),"B")</f>
        <v>Delivery product</v>
      </c>
      <c r="D16" t="str">
        <f t="shared" ca="1" si="5"/>
        <v>Error</v>
      </c>
      <c r="E16" t="str">
        <f t="shared" ca="1" si="2"/>
        <v/>
      </c>
      <c r="F16" t="str">
        <f t="shared" ca="1" si="3"/>
        <v/>
      </c>
      <c r="G16" t="str">
        <f t="shared" ca="1" si="4"/>
        <v/>
      </c>
      <c r="H16" t="str">
        <f t="array" aca="1" ref="H16:J16" ca="1">IFERROR(INDEX(Input!$H$1:$H$567,MATCH(VLOOKUP(Bidding!$B16,Lookup!$F$2:$I$4,2,FALSE)&amp;VLOOKUP(Bidding!$B16,Lookup!$F$2:$I$4,3,FALSE)&amp;$F16&amp;$E16&amp;H$11,Input!$A$1:$A$567&amp;Input!$B$1:$B$567&amp;INDIRECT("Input!$"&amp;VLOOKUP(VLOOKUP(Bidding!$B16,Lookup!$F$2:$I$4,4), CHARS,2,TRUE)&amp;"$1:$"&amp;VLOOKUP(VLOOKUP(Bidding!$B16,Lookup!$F$2:$I$4,4), CHARS,2,TRUE)&amp;"$567")&amp;INDIRECT("Input!$"&amp;VLOOKUP(VLOOKUP(Bidding!$B16,Lookup!$F$2:$I$4,4)+1, CHARS,2,TRUE)&amp;"$1:$"&amp;VLOOKUP(VLOOKUP(Bidding!$B16,Lookup!$F$2:$I$4,4)+1, CHARS,2,TRUE)&amp;"$567")&amp;INDIRECT("Input!$"&amp;VLOOKUP(VLOOKUP(Bidding!$B16,Lookup!$F$2:$I$4,4)+2, CHARS,2,TRUE)&amp;"$1:$"&amp;VLOOKUP(VLOOKUP(Bidding!$B16,Lookup!$F$2:$I$4,4)+2, CHARS,2,TRUE)&amp;"$567"),0)),"")</f>
        <v/>
      </c>
      <c r="I16" t="str">
        <f ca="1"/>
        <v/>
      </c>
      <c r="J16" t="str">
        <f ca="1"/>
        <v/>
      </c>
    </row>
    <row r="17" spans="1:10" x14ac:dyDescent="0.2">
      <c r="A17" s="4">
        <f>IFERROR(IF((A16+1)/$D$7&lt;$D$5*$D$4,A16+1,""),"")</f>
        <v>5</v>
      </c>
      <c r="B17" t="str">
        <f ca="1">IFERROR(IF(NOT(ISBLANK(A17)),VLOOKUP(MOD(A17,$D$7),INDIRECT("Lookup!$A$2:$B$"&amp;$D$7+1),2,FALSE),""),"B")</f>
        <v>Bid volume</v>
      </c>
      <c r="D17" t="str">
        <f t="shared" ca="1" si="5"/>
        <v>Error</v>
      </c>
      <c r="E17">
        <f t="shared" ca="1" si="2"/>
        <v>1</v>
      </c>
      <c r="F17">
        <f t="shared" ca="1" si="3"/>
        <v>0</v>
      </c>
      <c r="G17">
        <f t="shared" ca="1" si="4"/>
        <v>0</v>
      </c>
      <c r="H17">
        <f t="array" aca="1" ref="H17:J17" ca="1">IFERROR(INDEX(Input!$H$1:$H$567,MATCH(VLOOKUP(Bidding!$B17,Lookup!$F$2:$I$4,2,FALSE)&amp;VLOOKUP(Bidding!$B17,Lookup!$F$2:$I$4,3,FALSE)&amp;$F17&amp;$E17&amp;H$11,Input!$A$1:$A$567&amp;Input!$B$1:$B$567&amp;INDIRECT("Input!$"&amp;VLOOKUP(VLOOKUP(Bidding!$B17,Lookup!$F$2:$I$4,4), CHARS,2,TRUE)&amp;"$1:$"&amp;VLOOKUP(VLOOKUP(Bidding!$B17,Lookup!$F$2:$I$4,4), CHARS,2,TRUE)&amp;"$567")&amp;INDIRECT("Input!$"&amp;VLOOKUP(VLOOKUP(Bidding!$B17,Lookup!$F$2:$I$4,4)+1, CHARS,2,TRUE)&amp;"$1:$"&amp;VLOOKUP(VLOOKUP(Bidding!$B17,Lookup!$F$2:$I$4,4)+1, CHARS,2,TRUE)&amp;"$567")&amp;INDIRECT("Input!$"&amp;VLOOKUP(VLOOKUP(Bidding!$B17,Lookup!$F$2:$I$4,4)+2, CHARS,2,TRUE)&amp;"$1:$"&amp;VLOOKUP(VLOOKUP(Bidding!$B17,Lookup!$F$2:$I$4,4)+2, CHARS,2,TRUE)&amp;"$567"),0)),"")</f>
        <v>0</v>
      </c>
      <c r="I17">
        <f ca="1"/>
        <v>0</v>
      </c>
      <c r="J17">
        <f ca="1"/>
        <v>0</v>
      </c>
    </row>
    <row r="18" spans="1:10" x14ac:dyDescent="0.2">
      <c r="A18" s="4">
        <f>IFERROR(IF((A17+1)/$D$7&lt;$D$5*$D$4,A17+1,""),"")</f>
        <v>6</v>
      </c>
      <c r="B18" t="str">
        <f ca="1">IFERROR(IF(NOT(ISBLANK(A18)),VLOOKUP(MOD(A18,$D$7),INDIRECT("Lookup!$A$2:$B$"&amp;$D$7+1),2,FALSE),""),"B")</f>
        <v>Transaction volume</v>
      </c>
      <c r="D18" t="str">
        <f t="shared" ca="1" si="5"/>
        <v/>
      </c>
      <c r="E18">
        <f t="shared" ca="1" si="2"/>
        <v>1</v>
      </c>
      <c r="F18">
        <f t="shared" ca="1" si="3"/>
        <v>0</v>
      </c>
      <c r="G18">
        <f t="shared" ca="1" si="4"/>
        <v>0</v>
      </c>
      <c r="H18">
        <f t="array" aca="1" ref="H18:J18" ca="1">IFERROR(INDEX(Input!$H$1:$H$567,MATCH(VLOOKUP(Bidding!$B18,Lookup!$F$2:$I$4,2,FALSE)&amp;VLOOKUP(Bidding!$B18,Lookup!$F$2:$I$4,3,FALSE)&amp;$F18&amp;$E18&amp;H$11,Input!$A$1:$A$567&amp;Input!$B$1:$B$567&amp;INDIRECT("Input!$"&amp;VLOOKUP(VLOOKUP(Bidding!$B18,Lookup!$F$2:$I$4,4), CHARS,2,TRUE)&amp;"$1:$"&amp;VLOOKUP(VLOOKUP(Bidding!$B18,Lookup!$F$2:$I$4,4), CHARS,2,TRUE)&amp;"$567")&amp;INDIRECT("Input!$"&amp;VLOOKUP(VLOOKUP(Bidding!$B18,Lookup!$F$2:$I$4,4)+1, CHARS,2,TRUE)&amp;"$1:$"&amp;VLOOKUP(VLOOKUP(Bidding!$B18,Lookup!$F$2:$I$4,4)+1, CHARS,2,TRUE)&amp;"$567")&amp;INDIRECT("Input!$"&amp;VLOOKUP(VLOOKUP(Bidding!$B18,Lookup!$F$2:$I$4,4)+2, CHARS,2,TRUE)&amp;"$1:$"&amp;VLOOKUP(VLOOKUP(Bidding!$B18,Lookup!$F$2:$I$4,4)+2, CHARS,2,TRUE)&amp;"$567"),0)),"")</f>
        <v>0</v>
      </c>
      <c r="I18">
        <f ca="1"/>
        <v>0</v>
      </c>
      <c r="J18">
        <f ca="1"/>
        <v>0</v>
      </c>
    </row>
    <row r="19" spans="1:10" x14ac:dyDescent="0.2">
      <c r="A19" s="4">
        <f>IFERROR(IF((A18+1)/$D$7&lt;$D$5*$D$4,A18+1,""),"")</f>
        <v>7</v>
      </c>
      <c r="B19" t="str">
        <f ca="1">IFERROR(IF(NOT(ISBLANK(A19)),VLOOKUP(MOD(A19,$D$7),INDIRECT("Lookup!$A$2:$B$"&amp;$D$7+1),2,FALSE),""),"B")</f>
        <v>Production quantity</v>
      </c>
      <c r="D19" t="str">
        <f t="shared" ca="1" si="5"/>
        <v>Error</v>
      </c>
      <c r="E19">
        <f t="shared" ca="1" si="2"/>
        <v>1</v>
      </c>
      <c r="F19">
        <f t="shared" ca="1" si="3"/>
        <v>0</v>
      </c>
      <c r="G19">
        <f t="shared" ca="1" si="4"/>
        <v>60000000</v>
      </c>
      <c r="H19">
        <f t="array" aca="1" ref="H19:J19" ca="1">IFERROR(INDEX(Input!$H$1:$H$567,MATCH(VLOOKUP(Bidding!$B19,Lookup!$F$2:$I$4,2,FALSE)&amp;VLOOKUP(Bidding!$B19,Lookup!$F$2:$I$4,3,FALSE)&amp;$F19&amp;$E19&amp;H$11,Input!$A$1:$A$567&amp;Input!$B$1:$B$567&amp;INDIRECT("Input!$"&amp;VLOOKUP(VLOOKUP(Bidding!$B19,Lookup!$F$2:$I$4,4), CHARS,2,TRUE)&amp;"$1:$"&amp;VLOOKUP(VLOOKUP(Bidding!$B19,Lookup!$F$2:$I$4,4), CHARS,2,TRUE)&amp;"$567")&amp;INDIRECT("Input!$"&amp;VLOOKUP(VLOOKUP(Bidding!$B19,Lookup!$F$2:$I$4,4)+1, CHARS,2,TRUE)&amp;"$1:$"&amp;VLOOKUP(VLOOKUP(Bidding!$B19,Lookup!$F$2:$I$4,4)+1, CHARS,2,TRUE)&amp;"$567")&amp;INDIRECT("Input!$"&amp;VLOOKUP(VLOOKUP(Bidding!$B19,Lookup!$F$2:$I$4,4)+2, CHARS,2,TRUE)&amp;"$1:$"&amp;VLOOKUP(VLOOKUP(Bidding!$B19,Lookup!$F$2:$I$4,4)+2, CHARS,2,TRUE)&amp;"$567"),0)),"")</f>
        <v>20000000</v>
      </c>
      <c r="I19">
        <f ca="1"/>
        <v>20000000</v>
      </c>
      <c r="J19">
        <f ca="1"/>
        <v>20000000</v>
      </c>
    </row>
    <row r="20" spans="1:10" x14ac:dyDescent="0.2">
      <c r="A20" s="4">
        <f>IFERROR(IF((A19+1)/$D$7&lt;$D$5*$D$4,A19+1,""),"")</f>
        <v>8</v>
      </c>
      <c r="B20" t="str">
        <f ca="1">IFERROR(IF(NOT(ISBLANK(A20)),VLOOKUP(MOD(A20,$D$7),INDIRECT("Lookup!$A$2:$B$"&amp;$D$7+1),2,FALSE),""),"B")</f>
        <v>Delivery product</v>
      </c>
      <c r="D20" t="str">
        <f t="shared" ca="1" si="5"/>
        <v>Error</v>
      </c>
      <c r="E20" t="str">
        <f t="shared" ca="1" si="2"/>
        <v/>
      </c>
      <c r="F20" t="str">
        <f t="shared" ca="1" si="3"/>
        <v/>
      </c>
      <c r="G20" t="str">
        <f t="shared" ca="1" si="4"/>
        <v/>
      </c>
      <c r="H20" t="str">
        <f t="array" aca="1" ref="H20:J20" ca="1">IFERROR(INDEX(Input!$H$1:$H$567,MATCH(VLOOKUP(Bidding!$B20,Lookup!$F$2:$I$4,2,FALSE)&amp;VLOOKUP(Bidding!$B20,Lookup!$F$2:$I$4,3,FALSE)&amp;$F20&amp;$E20&amp;H$11,Input!$A$1:$A$567&amp;Input!$B$1:$B$567&amp;INDIRECT("Input!$"&amp;VLOOKUP(VLOOKUP(Bidding!$B20,Lookup!$F$2:$I$4,4), CHARS,2,TRUE)&amp;"$1:$"&amp;VLOOKUP(VLOOKUP(Bidding!$B20,Lookup!$F$2:$I$4,4), CHARS,2,TRUE)&amp;"$567")&amp;INDIRECT("Input!$"&amp;VLOOKUP(VLOOKUP(Bidding!$B20,Lookup!$F$2:$I$4,4)+1, CHARS,2,TRUE)&amp;"$1:$"&amp;VLOOKUP(VLOOKUP(Bidding!$B20,Lookup!$F$2:$I$4,4)+1, CHARS,2,TRUE)&amp;"$567")&amp;INDIRECT("Input!$"&amp;VLOOKUP(VLOOKUP(Bidding!$B20,Lookup!$F$2:$I$4,4)+2, CHARS,2,TRUE)&amp;"$1:$"&amp;VLOOKUP(VLOOKUP(Bidding!$B20,Lookup!$F$2:$I$4,4)+2, CHARS,2,TRUE)&amp;"$567"),0)),"")</f>
        <v/>
      </c>
      <c r="I20" t="str">
        <f ca="1"/>
        <v/>
      </c>
      <c r="J20" t="str">
        <f ca="1"/>
        <v/>
      </c>
    </row>
    <row r="21" spans="1:10" x14ac:dyDescent="0.2">
      <c r="A21" s="4">
        <f>IFERROR(IF((A20+1)/$D$7&lt;$D$5*$D$4,A20+1,""),"")</f>
        <v>9</v>
      </c>
      <c r="B21" t="str">
        <f ca="1">IFERROR(IF(NOT(ISBLANK(A21)),VLOOKUP(MOD(A21,$D$7),INDIRECT("Lookup!$A$2:$B$"&amp;$D$7+1),2,FALSE),""),"B")</f>
        <v>Bid volume</v>
      </c>
      <c r="D21" t="str">
        <f t="shared" ca="1" si="5"/>
        <v>Error</v>
      </c>
      <c r="E21">
        <f t="shared" ca="1" si="2"/>
        <v>2</v>
      </c>
      <c r="F21">
        <f t="shared" ca="1" si="3"/>
        <v>0</v>
      </c>
      <c r="G21">
        <f t="shared" ca="1" si="4"/>
        <v>0</v>
      </c>
      <c r="H21">
        <f t="array" aca="1" ref="H21:J21" ca="1">IFERROR(INDEX(Input!$H$1:$H$567,MATCH(VLOOKUP(Bidding!$B21,Lookup!$F$2:$I$4,2,FALSE)&amp;VLOOKUP(Bidding!$B21,Lookup!$F$2:$I$4,3,FALSE)&amp;$F21&amp;$E21&amp;H$11,Input!$A$1:$A$567&amp;Input!$B$1:$B$567&amp;INDIRECT("Input!$"&amp;VLOOKUP(VLOOKUP(Bidding!$B21,Lookup!$F$2:$I$4,4), CHARS,2,TRUE)&amp;"$1:$"&amp;VLOOKUP(VLOOKUP(Bidding!$B21,Lookup!$F$2:$I$4,4), CHARS,2,TRUE)&amp;"$567")&amp;INDIRECT("Input!$"&amp;VLOOKUP(VLOOKUP(Bidding!$B21,Lookup!$F$2:$I$4,4)+1, CHARS,2,TRUE)&amp;"$1:$"&amp;VLOOKUP(VLOOKUP(Bidding!$B21,Lookup!$F$2:$I$4,4)+1, CHARS,2,TRUE)&amp;"$567")&amp;INDIRECT("Input!$"&amp;VLOOKUP(VLOOKUP(Bidding!$B21,Lookup!$F$2:$I$4,4)+2, CHARS,2,TRUE)&amp;"$1:$"&amp;VLOOKUP(VLOOKUP(Bidding!$B21,Lookup!$F$2:$I$4,4)+2, CHARS,2,TRUE)&amp;"$567"),0)),"")</f>
        <v>0</v>
      </c>
      <c r="I21">
        <f ca="1"/>
        <v>0</v>
      </c>
      <c r="J21">
        <f ca="1"/>
        <v>0</v>
      </c>
    </row>
    <row r="22" spans="1:10" x14ac:dyDescent="0.2">
      <c r="A22" s="4">
        <f>IFERROR(IF((A21+1)/$D$7&lt;$D$5*$D$4,A21+1,""),"")</f>
        <v>10</v>
      </c>
      <c r="B22" t="str">
        <f ca="1">IFERROR(IF(NOT(ISBLANK(A22)),VLOOKUP(MOD(A22,$D$7),INDIRECT("Lookup!$A$2:$B$"&amp;$D$7+1),2,FALSE),""),"B")</f>
        <v>Transaction volume</v>
      </c>
      <c r="D22" t="str">
        <f t="shared" ca="1" si="5"/>
        <v/>
      </c>
      <c r="E22">
        <f t="shared" ca="1" si="2"/>
        <v>2</v>
      </c>
      <c r="F22">
        <f t="shared" ca="1" si="3"/>
        <v>0</v>
      </c>
      <c r="G22">
        <f t="shared" ca="1" si="4"/>
        <v>0</v>
      </c>
      <c r="H22">
        <f t="array" aca="1" ref="H22:J22" ca="1">IFERROR(INDEX(Input!$H$1:$H$567,MATCH(VLOOKUP(Bidding!$B22,Lookup!$F$2:$I$4,2,FALSE)&amp;VLOOKUP(Bidding!$B22,Lookup!$F$2:$I$4,3,FALSE)&amp;$F22&amp;$E22&amp;H$11,Input!$A$1:$A$567&amp;Input!$B$1:$B$567&amp;INDIRECT("Input!$"&amp;VLOOKUP(VLOOKUP(Bidding!$B22,Lookup!$F$2:$I$4,4), CHARS,2,TRUE)&amp;"$1:$"&amp;VLOOKUP(VLOOKUP(Bidding!$B22,Lookup!$F$2:$I$4,4), CHARS,2,TRUE)&amp;"$567")&amp;INDIRECT("Input!$"&amp;VLOOKUP(VLOOKUP(Bidding!$B22,Lookup!$F$2:$I$4,4)+1, CHARS,2,TRUE)&amp;"$1:$"&amp;VLOOKUP(VLOOKUP(Bidding!$B22,Lookup!$F$2:$I$4,4)+1, CHARS,2,TRUE)&amp;"$567")&amp;INDIRECT("Input!$"&amp;VLOOKUP(VLOOKUP(Bidding!$B22,Lookup!$F$2:$I$4,4)+2, CHARS,2,TRUE)&amp;"$1:$"&amp;VLOOKUP(VLOOKUP(Bidding!$B22,Lookup!$F$2:$I$4,4)+2, CHARS,2,TRUE)&amp;"$567"),0)),"")</f>
        <v>0</v>
      </c>
      <c r="I22">
        <f ca="1"/>
        <v>0</v>
      </c>
      <c r="J22">
        <f ca="1"/>
        <v>0</v>
      </c>
    </row>
    <row r="23" spans="1:10" x14ac:dyDescent="0.2">
      <c r="A23" s="4">
        <f>IFERROR(IF((A22+1)/$D$7&lt;$D$5*$D$4,A22+1,""),"")</f>
        <v>11</v>
      </c>
      <c r="B23" t="str">
        <f ca="1">IFERROR(IF(NOT(ISBLANK(A23)),VLOOKUP(MOD(A23,$D$7),INDIRECT("Lookup!$A$2:$B$"&amp;$D$7+1),2,FALSE),""),"B")</f>
        <v>Production quantity</v>
      </c>
      <c r="D23" t="str">
        <f t="shared" ca="1" si="5"/>
        <v>Error</v>
      </c>
      <c r="E23">
        <f t="shared" ca="1" si="2"/>
        <v>2</v>
      </c>
      <c r="F23">
        <f t="shared" ca="1" si="3"/>
        <v>0</v>
      </c>
      <c r="G23">
        <f t="shared" ca="1" si="4"/>
        <v>60000000</v>
      </c>
      <c r="H23">
        <f t="array" aca="1" ref="H23:J23" ca="1">IFERROR(INDEX(Input!$H$1:$H$567,MATCH(VLOOKUP(Bidding!$B23,Lookup!$F$2:$I$4,2,FALSE)&amp;VLOOKUP(Bidding!$B23,Lookup!$F$2:$I$4,3,FALSE)&amp;$F23&amp;$E23&amp;H$11,Input!$A$1:$A$567&amp;Input!$B$1:$B$567&amp;INDIRECT("Input!$"&amp;VLOOKUP(VLOOKUP(Bidding!$B23,Lookup!$F$2:$I$4,4), CHARS,2,TRUE)&amp;"$1:$"&amp;VLOOKUP(VLOOKUP(Bidding!$B23,Lookup!$F$2:$I$4,4), CHARS,2,TRUE)&amp;"$567")&amp;INDIRECT("Input!$"&amp;VLOOKUP(VLOOKUP(Bidding!$B23,Lookup!$F$2:$I$4,4)+1, CHARS,2,TRUE)&amp;"$1:$"&amp;VLOOKUP(VLOOKUP(Bidding!$B23,Lookup!$F$2:$I$4,4)+1, CHARS,2,TRUE)&amp;"$567")&amp;INDIRECT("Input!$"&amp;VLOOKUP(VLOOKUP(Bidding!$B23,Lookup!$F$2:$I$4,4)+2, CHARS,2,TRUE)&amp;"$1:$"&amp;VLOOKUP(VLOOKUP(Bidding!$B23,Lookup!$F$2:$I$4,4)+2, CHARS,2,TRUE)&amp;"$567"),0)),"")</f>
        <v>20000000</v>
      </c>
      <c r="I23">
        <f ca="1"/>
        <v>20000000</v>
      </c>
      <c r="J23">
        <f ca="1"/>
        <v>20000000</v>
      </c>
    </row>
    <row r="24" spans="1:10" x14ac:dyDescent="0.2">
      <c r="A24" s="4">
        <f>IFERROR(IF((A23+1)/$D$7&lt;$D$5*$D$4,A23+1,""),"")</f>
        <v>12</v>
      </c>
      <c r="B24" t="str">
        <f ca="1">IFERROR(IF(NOT(ISBLANK(A24)),VLOOKUP(MOD(A24,$D$7),INDIRECT("Lookup!$A$2:$B$"&amp;$D$7+1),2,FALSE),""),"B")</f>
        <v>Delivery product</v>
      </c>
      <c r="D24" t="str">
        <f t="shared" ca="1" si="5"/>
        <v>Error</v>
      </c>
      <c r="E24" t="str">
        <f t="shared" ca="1" si="2"/>
        <v/>
      </c>
      <c r="F24" t="str">
        <f t="shared" ca="1" si="3"/>
        <v/>
      </c>
      <c r="G24" t="str">
        <f t="shared" ca="1" si="4"/>
        <v/>
      </c>
      <c r="H24" t="str">
        <f t="array" aca="1" ref="H24:J24" ca="1">IFERROR(INDEX(Input!$H$1:$H$567,MATCH(VLOOKUP(Bidding!$B24,Lookup!$F$2:$I$4,2,FALSE)&amp;VLOOKUP(Bidding!$B24,Lookup!$F$2:$I$4,3,FALSE)&amp;$F24&amp;$E24&amp;H$11,Input!$A$1:$A$567&amp;Input!$B$1:$B$567&amp;INDIRECT("Input!$"&amp;VLOOKUP(VLOOKUP(Bidding!$B24,Lookup!$F$2:$I$4,4), CHARS,2,TRUE)&amp;"$1:$"&amp;VLOOKUP(VLOOKUP(Bidding!$B24,Lookup!$F$2:$I$4,4), CHARS,2,TRUE)&amp;"$567")&amp;INDIRECT("Input!$"&amp;VLOOKUP(VLOOKUP(Bidding!$B24,Lookup!$F$2:$I$4,4)+1, CHARS,2,TRUE)&amp;"$1:$"&amp;VLOOKUP(VLOOKUP(Bidding!$B24,Lookup!$F$2:$I$4,4)+1, CHARS,2,TRUE)&amp;"$567")&amp;INDIRECT("Input!$"&amp;VLOOKUP(VLOOKUP(Bidding!$B24,Lookup!$F$2:$I$4,4)+2, CHARS,2,TRUE)&amp;"$1:$"&amp;VLOOKUP(VLOOKUP(Bidding!$B24,Lookup!$F$2:$I$4,4)+2, CHARS,2,TRUE)&amp;"$567"),0)),"")</f>
        <v/>
      </c>
      <c r="I24" t="str">
        <f ca="1"/>
        <v/>
      </c>
      <c r="J24" t="str">
        <f ca="1"/>
        <v/>
      </c>
    </row>
    <row r="25" spans="1:10" x14ac:dyDescent="0.2">
      <c r="A25" s="4">
        <f>IFERROR(IF((A24+1)/$D$7&lt;$D$5*$D$4,A24+1,""),"")</f>
        <v>13</v>
      </c>
      <c r="B25" t="str">
        <f ca="1">IFERROR(IF(NOT(ISBLANK(A25)),VLOOKUP(MOD(A25,$D$7),INDIRECT("Lookup!$A$2:$B$"&amp;$D$7+1),2,FALSE),""),"B")</f>
        <v>Bid volume</v>
      </c>
      <c r="D25" t="str">
        <f t="shared" ca="1" si="5"/>
        <v>Error</v>
      </c>
      <c r="E25">
        <f t="shared" ca="1" si="2"/>
        <v>0</v>
      </c>
      <c r="F25">
        <f t="shared" ca="1" si="3"/>
        <v>1</v>
      </c>
      <c r="G25">
        <f t="shared" ca="1" si="4"/>
        <v>195000000</v>
      </c>
      <c r="H25">
        <f t="array" aca="1" ref="H25:J25" ca="1">IFERROR(INDEX(Input!$H$1:$H$567,MATCH(VLOOKUP(Bidding!$B25,Lookup!$F$2:$I$4,2,FALSE)&amp;VLOOKUP(Bidding!$B25,Lookup!$F$2:$I$4,3,FALSE)&amp;$F25&amp;$E25&amp;H$11,Input!$A$1:$A$567&amp;Input!$B$1:$B$567&amp;INDIRECT("Input!$"&amp;VLOOKUP(VLOOKUP(Bidding!$B25,Lookup!$F$2:$I$4,4), CHARS,2,TRUE)&amp;"$1:$"&amp;VLOOKUP(VLOOKUP(Bidding!$B25,Lookup!$F$2:$I$4,4), CHARS,2,TRUE)&amp;"$567")&amp;INDIRECT("Input!$"&amp;VLOOKUP(VLOOKUP(Bidding!$B25,Lookup!$F$2:$I$4,4)+1, CHARS,2,TRUE)&amp;"$1:$"&amp;VLOOKUP(VLOOKUP(Bidding!$B25,Lookup!$F$2:$I$4,4)+1, CHARS,2,TRUE)&amp;"$567")&amp;INDIRECT("Input!$"&amp;VLOOKUP(VLOOKUP(Bidding!$B25,Lookup!$F$2:$I$4,4)+2, CHARS,2,TRUE)&amp;"$1:$"&amp;VLOOKUP(VLOOKUP(Bidding!$B25,Lookup!$F$2:$I$4,4)+2, CHARS,2,TRUE)&amp;"$567"),0)),"")</f>
        <v>65000000</v>
      </c>
      <c r="I25">
        <f ca="1"/>
        <v>65000000</v>
      </c>
      <c r="J25">
        <f ca="1"/>
        <v>65000000</v>
      </c>
    </row>
    <row r="26" spans="1:10" x14ac:dyDescent="0.2">
      <c r="A26" s="4">
        <f>IFERROR(IF((A25+1)/$D$7&lt;$D$5*$D$4,A25+1,""),"")</f>
        <v>14</v>
      </c>
      <c r="B26" t="str">
        <f ca="1">IFERROR(IF(NOT(ISBLANK(A26)),VLOOKUP(MOD(A26,$D$7),INDIRECT("Lookup!$A$2:$B$"&amp;$D$7+1),2,FALSE),""),"B")</f>
        <v>Transaction volume</v>
      </c>
      <c r="D26" t="str">
        <f t="shared" ca="1" si="5"/>
        <v/>
      </c>
      <c r="E26">
        <f t="shared" ca="1" si="2"/>
        <v>0</v>
      </c>
      <c r="F26">
        <f t="shared" ca="1" si="3"/>
        <v>1</v>
      </c>
      <c r="G26">
        <f t="shared" ca="1" si="4"/>
        <v>195000000</v>
      </c>
      <c r="H26">
        <f t="array" aca="1" ref="H26:J26" ca="1">IFERROR(INDEX(Input!$H$1:$H$567,MATCH(VLOOKUP(Bidding!$B26,Lookup!$F$2:$I$4,2,FALSE)&amp;VLOOKUP(Bidding!$B26,Lookup!$F$2:$I$4,3,FALSE)&amp;$F26&amp;$E26&amp;H$11,Input!$A$1:$A$567&amp;Input!$B$1:$B$567&amp;INDIRECT("Input!$"&amp;VLOOKUP(VLOOKUP(Bidding!$B26,Lookup!$F$2:$I$4,4), CHARS,2,TRUE)&amp;"$1:$"&amp;VLOOKUP(VLOOKUP(Bidding!$B26,Lookup!$F$2:$I$4,4), CHARS,2,TRUE)&amp;"$567")&amp;INDIRECT("Input!$"&amp;VLOOKUP(VLOOKUP(Bidding!$B26,Lookup!$F$2:$I$4,4)+1, CHARS,2,TRUE)&amp;"$1:$"&amp;VLOOKUP(VLOOKUP(Bidding!$B26,Lookup!$F$2:$I$4,4)+1, CHARS,2,TRUE)&amp;"$567")&amp;INDIRECT("Input!$"&amp;VLOOKUP(VLOOKUP(Bidding!$B26,Lookup!$F$2:$I$4,4)+2, CHARS,2,TRUE)&amp;"$1:$"&amp;VLOOKUP(VLOOKUP(Bidding!$B26,Lookup!$F$2:$I$4,4)+2, CHARS,2,TRUE)&amp;"$567"),0)),"")</f>
        <v>65000000</v>
      </c>
      <c r="I26">
        <f ca="1"/>
        <v>65000000</v>
      </c>
      <c r="J26">
        <f ca="1"/>
        <v>65000000</v>
      </c>
    </row>
    <row r="27" spans="1:10" x14ac:dyDescent="0.2">
      <c r="A27" s="4">
        <f>IFERROR(IF((A26+1)/$D$7&lt;$D$5*$D$4,A26+1,""),"")</f>
        <v>15</v>
      </c>
      <c r="B27" t="str">
        <f ca="1">IFERROR(IF(NOT(ISBLANK(A27)),VLOOKUP(MOD(A27,$D$7),INDIRECT("Lookup!$A$2:$B$"&amp;$D$7+1),2,FALSE),""),"B")</f>
        <v>Production quantity</v>
      </c>
      <c r="D27" t="str">
        <f t="shared" ca="1" si="5"/>
        <v>Error</v>
      </c>
      <c r="E27">
        <f t="shared" ca="1" si="2"/>
        <v>0</v>
      </c>
      <c r="F27">
        <f t="shared" ca="1" si="3"/>
        <v>1</v>
      </c>
      <c r="G27">
        <f t="shared" ca="1" si="4"/>
        <v>60000000</v>
      </c>
      <c r="H27">
        <f t="array" aca="1" ref="H27:J27" ca="1">IFERROR(INDEX(Input!$H$1:$H$567,MATCH(VLOOKUP(Bidding!$B27,Lookup!$F$2:$I$4,2,FALSE)&amp;VLOOKUP(Bidding!$B27,Lookup!$F$2:$I$4,3,FALSE)&amp;$F27&amp;$E27&amp;H$11,Input!$A$1:$A$567&amp;Input!$B$1:$B$567&amp;INDIRECT("Input!$"&amp;VLOOKUP(VLOOKUP(Bidding!$B27,Lookup!$F$2:$I$4,4), CHARS,2,TRUE)&amp;"$1:$"&amp;VLOOKUP(VLOOKUP(Bidding!$B27,Lookup!$F$2:$I$4,4), CHARS,2,TRUE)&amp;"$567")&amp;INDIRECT("Input!$"&amp;VLOOKUP(VLOOKUP(Bidding!$B27,Lookup!$F$2:$I$4,4)+1, CHARS,2,TRUE)&amp;"$1:$"&amp;VLOOKUP(VLOOKUP(Bidding!$B27,Lookup!$F$2:$I$4,4)+1, CHARS,2,TRUE)&amp;"$567")&amp;INDIRECT("Input!$"&amp;VLOOKUP(VLOOKUP(Bidding!$B27,Lookup!$F$2:$I$4,4)+2, CHARS,2,TRUE)&amp;"$1:$"&amp;VLOOKUP(VLOOKUP(Bidding!$B27,Lookup!$F$2:$I$4,4)+2, CHARS,2,TRUE)&amp;"$567"),0)),"")</f>
        <v>20000000</v>
      </c>
      <c r="I27">
        <f ca="1"/>
        <v>20000000</v>
      </c>
      <c r="J27">
        <f ca="1"/>
        <v>20000000</v>
      </c>
    </row>
    <row r="28" spans="1:10" x14ac:dyDescent="0.2">
      <c r="A28" s="4">
        <f>IFERROR(IF((A27+1)/$D$7&lt;$D$5*$D$4,A27+1,""),"")</f>
        <v>16</v>
      </c>
      <c r="B28" t="str">
        <f ca="1">IFERROR(IF(NOT(ISBLANK(A28)),VLOOKUP(MOD(A28,$D$7),INDIRECT("Lookup!$A$2:$B$"&amp;$D$7+1),2,FALSE),""),"B")</f>
        <v>Delivery product</v>
      </c>
      <c r="D28" t="str">
        <f t="shared" ca="1" si="5"/>
        <v>Error</v>
      </c>
      <c r="E28" t="str">
        <f t="shared" ca="1" si="2"/>
        <v/>
      </c>
      <c r="F28" t="str">
        <f t="shared" ca="1" si="3"/>
        <v/>
      </c>
      <c r="G28" t="str">
        <f t="shared" ca="1" si="4"/>
        <v/>
      </c>
      <c r="H28" t="str">
        <f t="array" aca="1" ref="H28:J28" ca="1">IFERROR(INDEX(Input!$H$1:$H$567,MATCH(VLOOKUP(Bidding!$B28,Lookup!$F$2:$I$4,2,FALSE)&amp;VLOOKUP(Bidding!$B28,Lookup!$F$2:$I$4,3,FALSE)&amp;$F28&amp;$E28&amp;H$11,Input!$A$1:$A$567&amp;Input!$B$1:$B$567&amp;INDIRECT("Input!$"&amp;VLOOKUP(VLOOKUP(Bidding!$B28,Lookup!$F$2:$I$4,4), CHARS,2,TRUE)&amp;"$1:$"&amp;VLOOKUP(VLOOKUP(Bidding!$B28,Lookup!$F$2:$I$4,4), CHARS,2,TRUE)&amp;"$567")&amp;INDIRECT("Input!$"&amp;VLOOKUP(VLOOKUP(Bidding!$B28,Lookup!$F$2:$I$4,4)+1, CHARS,2,TRUE)&amp;"$1:$"&amp;VLOOKUP(VLOOKUP(Bidding!$B28,Lookup!$F$2:$I$4,4)+1, CHARS,2,TRUE)&amp;"$567")&amp;INDIRECT("Input!$"&amp;VLOOKUP(VLOOKUP(Bidding!$B28,Lookup!$F$2:$I$4,4)+2, CHARS,2,TRUE)&amp;"$1:$"&amp;VLOOKUP(VLOOKUP(Bidding!$B28,Lookup!$F$2:$I$4,4)+2, CHARS,2,TRUE)&amp;"$567"),0)),"")</f>
        <v/>
      </c>
      <c r="I28" t="str">
        <f ca="1"/>
        <v/>
      </c>
      <c r="J28" t="str">
        <f ca="1"/>
        <v/>
      </c>
    </row>
    <row r="29" spans="1:10" x14ac:dyDescent="0.2">
      <c r="A29" s="4">
        <f>IFERROR(IF((A28+1)/$D$7&lt;$D$5*$D$4,A28+1,""),"")</f>
        <v>17</v>
      </c>
      <c r="B29" t="str">
        <f ca="1">IFERROR(IF(NOT(ISBLANK(A29)),VLOOKUP(MOD(A29,$D$7),INDIRECT("Lookup!$A$2:$B$"&amp;$D$7+1),2,FALSE),""),"B")</f>
        <v>Bid volume</v>
      </c>
      <c r="D29" t="str">
        <f t="shared" ca="1" si="5"/>
        <v>Error</v>
      </c>
      <c r="E29">
        <f t="shared" ca="1" si="2"/>
        <v>1</v>
      </c>
      <c r="F29">
        <f t="shared" ca="1" si="3"/>
        <v>1</v>
      </c>
      <c r="G29">
        <f t="shared" ca="1" si="4"/>
        <v>195000000</v>
      </c>
      <c r="H29">
        <f t="array" aca="1" ref="H29:J29" ca="1">IFERROR(INDEX(Input!$H$1:$H$567,MATCH(VLOOKUP(Bidding!$B29,Lookup!$F$2:$I$4,2,FALSE)&amp;VLOOKUP(Bidding!$B29,Lookup!$F$2:$I$4,3,FALSE)&amp;$F29&amp;$E29&amp;H$11,Input!$A$1:$A$567&amp;Input!$B$1:$B$567&amp;INDIRECT("Input!$"&amp;VLOOKUP(VLOOKUP(Bidding!$B29,Lookup!$F$2:$I$4,4), CHARS,2,TRUE)&amp;"$1:$"&amp;VLOOKUP(VLOOKUP(Bidding!$B29,Lookup!$F$2:$I$4,4), CHARS,2,TRUE)&amp;"$567")&amp;INDIRECT("Input!$"&amp;VLOOKUP(VLOOKUP(Bidding!$B29,Lookup!$F$2:$I$4,4)+1, CHARS,2,TRUE)&amp;"$1:$"&amp;VLOOKUP(VLOOKUP(Bidding!$B29,Lookup!$F$2:$I$4,4)+1, CHARS,2,TRUE)&amp;"$567")&amp;INDIRECT("Input!$"&amp;VLOOKUP(VLOOKUP(Bidding!$B29,Lookup!$F$2:$I$4,4)+2, CHARS,2,TRUE)&amp;"$1:$"&amp;VLOOKUP(VLOOKUP(Bidding!$B29,Lookup!$F$2:$I$4,4)+2, CHARS,2,TRUE)&amp;"$567"),0)),"")</f>
        <v>65000000</v>
      </c>
      <c r="I29">
        <f ca="1"/>
        <v>65000000</v>
      </c>
      <c r="J29">
        <f ca="1"/>
        <v>65000000</v>
      </c>
    </row>
    <row r="30" spans="1:10" x14ac:dyDescent="0.2">
      <c r="A30" s="4">
        <f>IFERROR(IF((A29+1)/$D$7&lt;$D$5*$D$4,A29+1,""),"")</f>
        <v>18</v>
      </c>
      <c r="B30" t="str">
        <f ca="1">IFERROR(IF(NOT(ISBLANK(A30)),VLOOKUP(MOD(A30,$D$7),INDIRECT("Lookup!$A$2:$B$"&amp;$D$7+1),2,FALSE),""),"B")</f>
        <v>Transaction volume</v>
      </c>
      <c r="D30" t="str">
        <f t="shared" ca="1" si="5"/>
        <v/>
      </c>
      <c r="E30">
        <f t="shared" ca="1" si="2"/>
        <v>1</v>
      </c>
      <c r="F30">
        <f t="shared" ca="1" si="3"/>
        <v>1</v>
      </c>
      <c r="G30">
        <f t="shared" ca="1" si="4"/>
        <v>195000000</v>
      </c>
      <c r="H30">
        <f t="array" aca="1" ref="H30:J30" ca="1">IFERROR(INDEX(Input!$H$1:$H$567,MATCH(VLOOKUP(Bidding!$B30,Lookup!$F$2:$I$4,2,FALSE)&amp;VLOOKUP(Bidding!$B30,Lookup!$F$2:$I$4,3,FALSE)&amp;$F30&amp;$E30&amp;H$11,Input!$A$1:$A$567&amp;Input!$B$1:$B$567&amp;INDIRECT("Input!$"&amp;VLOOKUP(VLOOKUP(Bidding!$B30,Lookup!$F$2:$I$4,4), CHARS,2,TRUE)&amp;"$1:$"&amp;VLOOKUP(VLOOKUP(Bidding!$B30,Lookup!$F$2:$I$4,4), CHARS,2,TRUE)&amp;"$567")&amp;INDIRECT("Input!$"&amp;VLOOKUP(VLOOKUP(Bidding!$B30,Lookup!$F$2:$I$4,4)+1, CHARS,2,TRUE)&amp;"$1:$"&amp;VLOOKUP(VLOOKUP(Bidding!$B30,Lookup!$F$2:$I$4,4)+1, CHARS,2,TRUE)&amp;"$567")&amp;INDIRECT("Input!$"&amp;VLOOKUP(VLOOKUP(Bidding!$B30,Lookup!$F$2:$I$4,4)+2, CHARS,2,TRUE)&amp;"$1:$"&amp;VLOOKUP(VLOOKUP(Bidding!$B30,Lookup!$F$2:$I$4,4)+2, CHARS,2,TRUE)&amp;"$567"),0)),"")</f>
        <v>65000000</v>
      </c>
      <c r="I30">
        <f ca="1"/>
        <v>65000000</v>
      </c>
      <c r="J30">
        <f ca="1"/>
        <v>65000000</v>
      </c>
    </row>
    <row r="31" spans="1:10" x14ac:dyDescent="0.2">
      <c r="A31" s="4">
        <f>IFERROR(IF((A30+1)/$D$7&lt;$D$5*$D$4,A30+1,""),"")</f>
        <v>19</v>
      </c>
      <c r="B31" t="str">
        <f ca="1">IFERROR(IF(NOT(ISBLANK(A31)),VLOOKUP(MOD(A31,$D$7),INDIRECT("Lookup!$A$2:$B$"&amp;$D$7+1),2,FALSE),""),"B")</f>
        <v>Production quantity</v>
      </c>
      <c r="D31" t="str">
        <f t="shared" ca="1" si="5"/>
        <v>Error</v>
      </c>
      <c r="E31">
        <f t="shared" ca="1" si="2"/>
        <v>1</v>
      </c>
      <c r="F31">
        <f t="shared" ca="1" si="3"/>
        <v>1</v>
      </c>
      <c r="G31">
        <f t="shared" ca="1" si="4"/>
        <v>60000000</v>
      </c>
      <c r="H31">
        <f t="array" aca="1" ref="H31:J31" ca="1">IFERROR(INDEX(Input!$H$1:$H$567,MATCH(VLOOKUP(Bidding!$B31,Lookup!$F$2:$I$4,2,FALSE)&amp;VLOOKUP(Bidding!$B31,Lookup!$F$2:$I$4,3,FALSE)&amp;$F31&amp;$E31&amp;H$11,Input!$A$1:$A$567&amp;Input!$B$1:$B$567&amp;INDIRECT("Input!$"&amp;VLOOKUP(VLOOKUP(Bidding!$B31,Lookup!$F$2:$I$4,4), CHARS,2,TRUE)&amp;"$1:$"&amp;VLOOKUP(VLOOKUP(Bidding!$B31,Lookup!$F$2:$I$4,4), CHARS,2,TRUE)&amp;"$567")&amp;INDIRECT("Input!$"&amp;VLOOKUP(VLOOKUP(Bidding!$B31,Lookup!$F$2:$I$4,4)+1, CHARS,2,TRUE)&amp;"$1:$"&amp;VLOOKUP(VLOOKUP(Bidding!$B31,Lookup!$F$2:$I$4,4)+1, CHARS,2,TRUE)&amp;"$567")&amp;INDIRECT("Input!$"&amp;VLOOKUP(VLOOKUP(Bidding!$B31,Lookup!$F$2:$I$4,4)+2, CHARS,2,TRUE)&amp;"$1:$"&amp;VLOOKUP(VLOOKUP(Bidding!$B31,Lookup!$F$2:$I$4,4)+2, CHARS,2,TRUE)&amp;"$567"),0)),"")</f>
        <v>20000000</v>
      </c>
      <c r="I31">
        <f ca="1"/>
        <v>20000000</v>
      </c>
      <c r="J31">
        <f ca="1"/>
        <v>20000000</v>
      </c>
    </row>
    <row r="32" spans="1:10" x14ac:dyDescent="0.2">
      <c r="A32" s="4">
        <f>IFERROR(IF((A31+1)/$D$7&lt;$D$5*$D$4,A31+1,""),"")</f>
        <v>20</v>
      </c>
      <c r="B32" t="str">
        <f ca="1">IFERROR(IF(NOT(ISBLANK(A32)),VLOOKUP(MOD(A32,$D$7),INDIRECT("Lookup!$A$2:$B$"&amp;$D$7+1),2,FALSE),""),"B")</f>
        <v>Delivery product</v>
      </c>
      <c r="D32" t="str">
        <f t="shared" ca="1" si="5"/>
        <v>Error</v>
      </c>
      <c r="E32" t="str">
        <f t="shared" ca="1" si="2"/>
        <v/>
      </c>
      <c r="F32" t="str">
        <f t="shared" ca="1" si="3"/>
        <v/>
      </c>
      <c r="G32" t="str">
        <f t="shared" ca="1" si="4"/>
        <v/>
      </c>
      <c r="H32" t="str">
        <f t="array" aca="1" ref="H32:J32" ca="1">IFERROR(INDEX(Input!$H$1:$H$567,MATCH(VLOOKUP(Bidding!$B32,Lookup!$F$2:$I$4,2,FALSE)&amp;VLOOKUP(Bidding!$B32,Lookup!$F$2:$I$4,3,FALSE)&amp;$F32&amp;$E32&amp;H$11,Input!$A$1:$A$567&amp;Input!$B$1:$B$567&amp;INDIRECT("Input!$"&amp;VLOOKUP(VLOOKUP(Bidding!$B32,Lookup!$F$2:$I$4,4), CHARS,2,TRUE)&amp;"$1:$"&amp;VLOOKUP(VLOOKUP(Bidding!$B32,Lookup!$F$2:$I$4,4), CHARS,2,TRUE)&amp;"$567")&amp;INDIRECT("Input!$"&amp;VLOOKUP(VLOOKUP(Bidding!$B32,Lookup!$F$2:$I$4,4)+1, CHARS,2,TRUE)&amp;"$1:$"&amp;VLOOKUP(VLOOKUP(Bidding!$B32,Lookup!$F$2:$I$4,4)+1, CHARS,2,TRUE)&amp;"$567")&amp;INDIRECT("Input!$"&amp;VLOOKUP(VLOOKUP(Bidding!$B32,Lookup!$F$2:$I$4,4)+2, CHARS,2,TRUE)&amp;"$1:$"&amp;VLOOKUP(VLOOKUP(Bidding!$B32,Lookup!$F$2:$I$4,4)+2, CHARS,2,TRUE)&amp;"$567"),0)),"")</f>
        <v/>
      </c>
      <c r="I32" t="str">
        <f ca="1"/>
        <v/>
      </c>
      <c r="J32" t="str">
        <f ca="1"/>
        <v/>
      </c>
    </row>
    <row r="33" spans="1:10" x14ac:dyDescent="0.2">
      <c r="A33" s="4">
        <f>IFERROR(IF((A32+1)/$D$7&lt;$D$5*$D$4,A32+1,""),"")</f>
        <v>21</v>
      </c>
      <c r="B33" t="str">
        <f ca="1">IFERROR(IF(NOT(ISBLANK(A33)),VLOOKUP(MOD(A33,$D$7),INDIRECT("Lookup!$A$2:$B$"&amp;$D$7+1),2,FALSE),""),"B")</f>
        <v>Bid volume</v>
      </c>
      <c r="D33" t="str">
        <f t="shared" ca="1" si="5"/>
        <v>Error</v>
      </c>
      <c r="E33">
        <f t="shared" ca="1" si="2"/>
        <v>2</v>
      </c>
      <c r="F33">
        <f t="shared" ca="1" si="3"/>
        <v>1</v>
      </c>
      <c r="G33">
        <f t="shared" ca="1" si="4"/>
        <v>195000000</v>
      </c>
      <c r="H33">
        <f t="array" aca="1" ref="H33:J33" ca="1">IFERROR(INDEX(Input!$H$1:$H$567,MATCH(VLOOKUP(Bidding!$B33,Lookup!$F$2:$I$4,2,FALSE)&amp;VLOOKUP(Bidding!$B33,Lookup!$F$2:$I$4,3,FALSE)&amp;$F33&amp;$E33&amp;H$11,Input!$A$1:$A$567&amp;Input!$B$1:$B$567&amp;INDIRECT("Input!$"&amp;VLOOKUP(VLOOKUP(Bidding!$B33,Lookup!$F$2:$I$4,4), CHARS,2,TRUE)&amp;"$1:$"&amp;VLOOKUP(VLOOKUP(Bidding!$B33,Lookup!$F$2:$I$4,4), CHARS,2,TRUE)&amp;"$567")&amp;INDIRECT("Input!$"&amp;VLOOKUP(VLOOKUP(Bidding!$B33,Lookup!$F$2:$I$4,4)+1, CHARS,2,TRUE)&amp;"$1:$"&amp;VLOOKUP(VLOOKUP(Bidding!$B33,Lookup!$F$2:$I$4,4)+1, CHARS,2,TRUE)&amp;"$567")&amp;INDIRECT("Input!$"&amp;VLOOKUP(VLOOKUP(Bidding!$B33,Lookup!$F$2:$I$4,4)+2, CHARS,2,TRUE)&amp;"$1:$"&amp;VLOOKUP(VLOOKUP(Bidding!$B33,Lookup!$F$2:$I$4,4)+2, CHARS,2,TRUE)&amp;"$567"),0)),"")</f>
        <v>65000000</v>
      </c>
      <c r="I33">
        <f ca="1"/>
        <v>65000000</v>
      </c>
      <c r="J33">
        <f ca="1"/>
        <v>65000000</v>
      </c>
    </row>
    <row r="34" spans="1:10" x14ac:dyDescent="0.2">
      <c r="A34" s="4">
        <f>IFERROR(IF((A33+1)/$D$7&lt;$D$5*$D$4,A33+1,""),"")</f>
        <v>22</v>
      </c>
      <c r="B34" t="str">
        <f ca="1">IFERROR(IF(NOT(ISBLANK(A34)),VLOOKUP(MOD(A34,$D$7),INDIRECT("Lookup!$A$2:$B$"&amp;$D$7+1),2,FALSE),""),"B")</f>
        <v>Transaction volume</v>
      </c>
      <c r="D34" t="str">
        <f t="shared" ca="1" si="5"/>
        <v/>
      </c>
      <c r="E34">
        <f t="shared" ca="1" si="2"/>
        <v>2</v>
      </c>
      <c r="F34">
        <f t="shared" ca="1" si="3"/>
        <v>1</v>
      </c>
      <c r="G34">
        <f t="shared" ca="1" si="4"/>
        <v>195000000</v>
      </c>
      <c r="H34">
        <f t="array" aca="1" ref="H34:J34" ca="1">IFERROR(INDEX(Input!$H$1:$H$567,MATCH(VLOOKUP(Bidding!$B34,Lookup!$F$2:$I$4,2,FALSE)&amp;VLOOKUP(Bidding!$B34,Lookup!$F$2:$I$4,3,FALSE)&amp;$F34&amp;$E34&amp;H$11,Input!$A$1:$A$567&amp;Input!$B$1:$B$567&amp;INDIRECT("Input!$"&amp;VLOOKUP(VLOOKUP(Bidding!$B34,Lookup!$F$2:$I$4,4), CHARS,2,TRUE)&amp;"$1:$"&amp;VLOOKUP(VLOOKUP(Bidding!$B34,Lookup!$F$2:$I$4,4), CHARS,2,TRUE)&amp;"$567")&amp;INDIRECT("Input!$"&amp;VLOOKUP(VLOOKUP(Bidding!$B34,Lookup!$F$2:$I$4,4)+1, CHARS,2,TRUE)&amp;"$1:$"&amp;VLOOKUP(VLOOKUP(Bidding!$B34,Lookup!$F$2:$I$4,4)+1, CHARS,2,TRUE)&amp;"$567")&amp;INDIRECT("Input!$"&amp;VLOOKUP(VLOOKUP(Bidding!$B34,Lookup!$F$2:$I$4,4)+2, CHARS,2,TRUE)&amp;"$1:$"&amp;VLOOKUP(VLOOKUP(Bidding!$B34,Lookup!$F$2:$I$4,4)+2, CHARS,2,TRUE)&amp;"$567"),0)),"")</f>
        <v>65000000</v>
      </c>
      <c r="I34">
        <f ca="1"/>
        <v>65000000</v>
      </c>
      <c r="J34">
        <f ca="1"/>
        <v>65000000</v>
      </c>
    </row>
    <row r="35" spans="1:10" x14ac:dyDescent="0.2">
      <c r="A35" s="4">
        <f>IFERROR(IF((A34+1)/$D$7&lt;$D$5*$D$4,A34+1,""),"")</f>
        <v>23</v>
      </c>
      <c r="B35" t="str">
        <f ca="1">IFERROR(IF(NOT(ISBLANK(A35)),VLOOKUP(MOD(A35,$D$7),INDIRECT("Lookup!$A$2:$B$"&amp;$D$7+1),2,FALSE),""),"B")</f>
        <v>Production quantity</v>
      </c>
      <c r="D35" t="str">
        <f t="shared" ca="1" si="5"/>
        <v>Error</v>
      </c>
      <c r="E35">
        <f t="shared" ca="1" si="2"/>
        <v>2</v>
      </c>
      <c r="F35">
        <f t="shared" ca="1" si="3"/>
        <v>1</v>
      </c>
      <c r="G35">
        <f t="shared" ca="1" si="4"/>
        <v>60000000</v>
      </c>
      <c r="H35">
        <f t="array" aca="1" ref="H35:J35" ca="1">IFERROR(INDEX(Input!$H$1:$H$567,MATCH(VLOOKUP(Bidding!$B35,Lookup!$F$2:$I$4,2,FALSE)&amp;VLOOKUP(Bidding!$B35,Lookup!$F$2:$I$4,3,FALSE)&amp;$F35&amp;$E35&amp;H$11,Input!$A$1:$A$567&amp;Input!$B$1:$B$567&amp;INDIRECT("Input!$"&amp;VLOOKUP(VLOOKUP(Bidding!$B35,Lookup!$F$2:$I$4,4), CHARS,2,TRUE)&amp;"$1:$"&amp;VLOOKUP(VLOOKUP(Bidding!$B35,Lookup!$F$2:$I$4,4), CHARS,2,TRUE)&amp;"$567")&amp;INDIRECT("Input!$"&amp;VLOOKUP(VLOOKUP(Bidding!$B35,Lookup!$F$2:$I$4,4)+1, CHARS,2,TRUE)&amp;"$1:$"&amp;VLOOKUP(VLOOKUP(Bidding!$B35,Lookup!$F$2:$I$4,4)+1, CHARS,2,TRUE)&amp;"$567")&amp;INDIRECT("Input!$"&amp;VLOOKUP(VLOOKUP(Bidding!$B35,Lookup!$F$2:$I$4,4)+2, CHARS,2,TRUE)&amp;"$1:$"&amp;VLOOKUP(VLOOKUP(Bidding!$B35,Lookup!$F$2:$I$4,4)+2, CHARS,2,TRUE)&amp;"$567"),0)),"")</f>
        <v>20000000</v>
      </c>
      <c r="I35">
        <f ca="1"/>
        <v>20000000</v>
      </c>
      <c r="J35">
        <f ca="1"/>
        <v>20000000</v>
      </c>
    </row>
    <row r="36" spans="1:10" x14ac:dyDescent="0.2">
      <c r="A36" s="4">
        <f>IFERROR(IF((A35+1)/$D$7&lt;$D$5*$D$4,A35+1,""),"")</f>
        <v>24</v>
      </c>
      <c r="B36" t="str">
        <f ca="1">IFERROR(IF(NOT(ISBLANK(A36)),VLOOKUP(MOD(A36,$D$7),INDIRECT("Lookup!$A$2:$B$"&amp;$D$7+1),2,FALSE),""),"B")</f>
        <v>Delivery product</v>
      </c>
      <c r="D36" t="str">
        <f t="shared" ca="1" si="5"/>
        <v>Error</v>
      </c>
      <c r="E36" t="str">
        <f t="shared" ca="1" si="2"/>
        <v/>
      </c>
      <c r="F36" t="str">
        <f t="shared" ca="1" si="3"/>
        <v/>
      </c>
      <c r="G36" t="str">
        <f t="shared" ca="1" si="4"/>
        <v/>
      </c>
      <c r="H36" t="str">
        <f t="array" aca="1" ref="H36:J36" ca="1">IFERROR(INDEX(Input!$H$1:$H$567,MATCH(VLOOKUP(Bidding!$B36,Lookup!$F$2:$I$4,2,FALSE)&amp;VLOOKUP(Bidding!$B36,Lookup!$F$2:$I$4,3,FALSE)&amp;$F36&amp;$E36&amp;H$11,Input!$A$1:$A$567&amp;Input!$B$1:$B$567&amp;INDIRECT("Input!$"&amp;VLOOKUP(VLOOKUP(Bidding!$B36,Lookup!$F$2:$I$4,4), CHARS,2,TRUE)&amp;"$1:$"&amp;VLOOKUP(VLOOKUP(Bidding!$B36,Lookup!$F$2:$I$4,4), CHARS,2,TRUE)&amp;"$567")&amp;INDIRECT("Input!$"&amp;VLOOKUP(VLOOKUP(Bidding!$B36,Lookup!$F$2:$I$4,4)+1, CHARS,2,TRUE)&amp;"$1:$"&amp;VLOOKUP(VLOOKUP(Bidding!$B36,Lookup!$F$2:$I$4,4)+1, CHARS,2,TRUE)&amp;"$567")&amp;INDIRECT("Input!$"&amp;VLOOKUP(VLOOKUP(Bidding!$B36,Lookup!$F$2:$I$4,4)+2, CHARS,2,TRUE)&amp;"$1:$"&amp;VLOOKUP(VLOOKUP(Bidding!$B36,Lookup!$F$2:$I$4,4)+2, CHARS,2,TRUE)&amp;"$567"),0)),"")</f>
        <v/>
      </c>
      <c r="I36" t="str">
        <f ca="1"/>
        <v/>
      </c>
      <c r="J36" t="str">
        <f ca="1"/>
        <v/>
      </c>
    </row>
    <row r="37" spans="1:10" x14ac:dyDescent="0.2">
      <c r="A37" s="4">
        <f>IFERROR(IF((A36+1)/$D$7&lt;$D$5*$D$4,A36+1,""),"")</f>
        <v>25</v>
      </c>
      <c r="B37" t="str">
        <f ca="1">IFERROR(IF(NOT(ISBLANK(A37)),VLOOKUP(MOD(A37,$D$7),INDIRECT("Lookup!$A$2:$B$"&amp;$D$7+1),2,FALSE),""),"B")</f>
        <v>Bid volume</v>
      </c>
      <c r="D37" t="str">
        <f t="shared" ca="1" si="5"/>
        <v>Error</v>
      </c>
      <c r="E37">
        <f t="shared" ca="1" si="2"/>
        <v>0</v>
      </c>
      <c r="F37">
        <f t="shared" ca="1" si="3"/>
        <v>2</v>
      </c>
      <c r="G37">
        <f t="shared" ca="1" si="4"/>
        <v>48473028</v>
      </c>
      <c r="H37">
        <f t="array" aca="1" ref="H37:J37" ca="1">IFERROR(INDEX(Input!$H$1:$H$567,MATCH(VLOOKUP(Bidding!$B37,Lookup!$F$2:$I$4,2,FALSE)&amp;VLOOKUP(Bidding!$B37,Lookup!$F$2:$I$4,3,FALSE)&amp;$F37&amp;$E37&amp;H$11,Input!$A$1:$A$567&amp;Input!$B$1:$B$567&amp;INDIRECT("Input!$"&amp;VLOOKUP(VLOOKUP(Bidding!$B37,Lookup!$F$2:$I$4,4), CHARS,2,TRUE)&amp;"$1:$"&amp;VLOOKUP(VLOOKUP(Bidding!$B37,Lookup!$F$2:$I$4,4), CHARS,2,TRUE)&amp;"$567")&amp;INDIRECT("Input!$"&amp;VLOOKUP(VLOOKUP(Bidding!$B37,Lookup!$F$2:$I$4,4)+1, CHARS,2,TRUE)&amp;"$1:$"&amp;VLOOKUP(VLOOKUP(Bidding!$B37,Lookup!$F$2:$I$4,4)+1, CHARS,2,TRUE)&amp;"$567")&amp;INDIRECT("Input!$"&amp;VLOOKUP(VLOOKUP(Bidding!$B37,Lookup!$F$2:$I$4,4)+2, CHARS,2,TRUE)&amp;"$1:$"&amp;VLOOKUP(VLOOKUP(Bidding!$B37,Lookup!$F$2:$I$4,4)+2, CHARS,2,TRUE)&amp;"$567"),0)),"")</f>
        <v>16157676</v>
      </c>
      <c r="I37">
        <f ca="1"/>
        <v>16157676</v>
      </c>
      <c r="J37">
        <f ca="1"/>
        <v>16157676</v>
      </c>
    </row>
    <row r="38" spans="1:10" x14ac:dyDescent="0.2">
      <c r="A38" s="4">
        <f>IFERROR(IF((A37+1)/$D$7&lt;$D$5*$D$4,A37+1,""),"")</f>
        <v>26</v>
      </c>
      <c r="B38" t="str">
        <f ca="1">IFERROR(IF(NOT(ISBLANK(A38)),VLOOKUP(MOD(A38,$D$7),INDIRECT("Lookup!$A$2:$B$"&amp;$D$7+1),2,FALSE),""),"B")</f>
        <v>Transaction volume</v>
      </c>
      <c r="D38" t="str">
        <f t="shared" ca="1" si="5"/>
        <v/>
      </c>
      <c r="E38">
        <f t="shared" ca="1" si="2"/>
        <v>0</v>
      </c>
      <c r="F38">
        <f t="shared" ca="1" si="3"/>
        <v>2</v>
      </c>
      <c r="G38">
        <f t="shared" ca="1" si="4"/>
        <v>48473028</v>
      </c>
      <c r="H38">
        <f t="array" aca="1" ref="H38:J38" ca="1">IFERROR(INDEX(Input!$H$1:$H$567,MATCH(VLOOKUP(Bidding!$B38,Lookup!$F$2:$I$4,2,FALSE)&amp;VLOOKUP(Bidding!$B38,Lookup!$F$2:$I$4,3,FALSE)&amp;$F38&amp;$E38&amp;H$11,Input!$A$1:$A$567&amp;Input!$B$1:$B$567&amp;INDIRECT("Input!$"&amp;VLOOKUP(VLOOKUP(Bidding!$B38,Lookup!$F$2:$I$4,4), CHARS,2,TRUE)&amp;"$1:$"&amp;VLOOKUP(VLOOKUP(Bidding!$B38,Lookup!$F$2:$I$4,4), CHARS,2,TRUE)&amp;"$567")&amp;INDIRECT("Input!$"&amp;VLOOKUP(VLOOKUP(Bidding!$B38,Lookup!$F$2:$I$4,4)+1, CHARS,2,TRUE)&amp;"$1:$"&amp;VLOOKUP(VLOOKUP(Bidding!$B38,Lookup!$F$2:$I$4,4)+1, CHARS,2,TRUE)&amp;"$567")&amp;INDIRECT("Input!$"&amp;VLOOKUP(VLOOKUP(Bidding!$B38,Lookup!$F$2:$I$4,4)+2, CHARS,2,TRUE)&amp;"$1:$"&amp;VLOOKUP(VLOOKUP(Bidding!$B38,Lookup!$F$2:$I$4,4)+2, CHARS,2,TRUE)&amp;"$567"),0)),"")</f>
        <v>16157676</v>
      </c>
      <c r="I38">
        <f ca="1"/>
        <v>16157676</v>
      </c>
      <c r="J38">
        <f ca="1"/>
        <v>16157676</v>
      </c>
    </row>
    <row r="39" spans="1:10" x14ac:dyDescent="0.2">
      <c r="A39" s="4">
        <f>IFERROR(IF((A38+1)/$D$7&lt;$D$5*$D$4,A38+1,""),"")</f>
        <v>27</v>
      </c>
      <c r="B39" t="str">
        <f ca="1">IFERROR(IF(NOT(ISBLANK(A39)),VLOOKUP(MOD(A39,$D$7),INDIRECT("Lookup!$A$2:$B$"&amp;$D$7+1),2,FALSE),""),"B")</f>
        <v>Production quantity</v>
      </c>
      <c r="D39" t="str">
        <f t="shared" ca="1" si="5"/>
        <v>Error</v>
      </c>
      <c r="E39">
        <f t="shared" ca="1" si="2"/>
        <v>0</v>
      </c>
      <c r="F39">
        <f t="shared" ca="1" si="3"/>
        <v>2</v>
      </c>
      <c r="G39">
        <f t="shared" ca="1" si="4"/>
        <v>60000000</v>
      </c>
      <c r="H39">
        <f t="array" aca="1" ref="H39:J39" ca="1">IFERROR(INDEX(Input!$H$1:$H$567,MATCH(VLOOKUP(Bidding!$B39,Lookup!$F$2:$I$4,2,FALSE)&amp;VLOOKUP(Bidding!$B39,Lookup!$F$2:$I$4,3,FALSE)&amp;$F39&amp;$E39&amp;H$11,Input!$A$1:$A$567&amp;Input!$B$1:$B$567&amp;INDIRECT("Input!$"&amp;VLOOKUP(VLOOKUP(Bidding!$B39,Lookup!$F$2:$I$4,4), CHARS,2,TRUE)&amp;"$1:$"&amp;VLOOKUP(VLOOKUP(Bidding!$B39,Lookup!$F$2:$I$4,4), CHARS,2,TRUE)&amp;"$567")&amp;INDIRECT("Input!$"&amp;VLOOKUP(VLOOKUP(Bidding!$B39,Lookup!$F$2:$I$4,4)+1, CHARS,2,TRUE)&amp;"$1:$"&amp;VLOOKUP(VLOOKUP(Bidding!$B39,Lookup!$F$2:$I$4,4)+1, CHARS,2,TRUE)&amp;"$567")&amp;INDIRECT("Input!$"&amp;VLOOKUP(VLOOKUP(Bidding!$B39,Lookup!$F$2:$I$4,4)+2, CHARS,2,TRUE)&amp;"$1:$"&amp;VLOOKUP(VLOOKUP(Bidding!$B39,Lookup!$F$2:$I$4,4)+2, CHARS,2,TRUE)&amp;"$567"),0)),"")</f>
        <v>20000000</v>
      </c>
      <c r="I39">
        <f ca="1"/>
        <v>20000000</v>
      </c>
      <c r="J39">
        <f ca="1"/>
        <v>20000000</v>
      </c>
    </row>
    <row r="40" spans="1:10" x14ac:dyDescent="0.2">
      <c r="A40" s="4">
        <f>IFERROR(IF((A39+1)/$D$7&lt;$D$5*$D$4,A39+1,""),"")</f>
        <v>28</v>
      </c>
      <c r="B40" t="str">
        <f ca="1">IFERROR(IF(NOT(ISBLANK(A40)),VLOOKUP(MOD(A40,$D$7),INDIRECT("Lookup!$A$2:$B$"&amp;$D$7+1),2,FALSE),""),"B")</f>
        <v>Delivery product</v>
      </c>
      <c r="D40" t="str">
        <f t="shared" ca="1" si="5"/>
        <v>Error</v>
      </c>
      <c r="E40" t="str">
        <f t="shared" ca="1" si="2"/>
        <v/>
      </c>
      <c r="F40" t="str">
        <f t="shared" ca="1" si="3"/>
        <v/>
      </c>
      <c r="G40" t="str">
        <f t="shared" ca="1" si="4"/>
        <v/>
      </c>
      <c r="H40" t="str">
        <f t="array" aca="1" ref="H40:J40" ca="1">IFERROR(INDEX(Input!$H$1:$H$567,MATCH(VLOOKUP(Bidding!$B40,Lookup!$F$2:$I$4,2,FALSE)&amp;VLOOKUP(Bidding!$B40,Lookup!$F$2:$I$4,3,FALSE)&amp;$F40&amp;$E40&amp;H$11,Input!$A$1:$A$567&amp;Input!$B$1:$B$567&amp;INDIRECT("Input!$"&amp;VLOOKUP(VLOOKUP(Bidding!$B40,Lookup!$F$2:$I$4,4), CHARS,2,TRUE)&amp;"$1:$"&amp;VLOOKUP(VLOOKUP(Bidding!$B40,Lookup!$F$2:$I$4,4), CHARS,2,TRUE)&amp;"$567")&amp;INDIRECT("Input!$"&amp;VLOOKUP(VLOOKUP(Bidding!$B40,Lookup!$F$2:$I$4,4)+1, CHARS,2,TRUE)&amp;"$1:$"&amp;VLOOKUP(VLOOKUP(Bidding!$B40,Lookup!$F$2:$I$4,4)+1, CHARS,2,TRUE)&amp;"$567")&amp;INDIRECT("Input!$"&amp;VLOOKUP(VLOOKUP(Bidding!$B40,Lookup!$F$2:$I$4,4)+2, CHARS,2,TRUE)&amp;"$1:$"&amp;VLOOKUP(VLOOKUP(Bidding!$B40,Lookup!$F$2:$I$4,4)+2, CHARS,2,TRUE)&amp;"$567"),0)),"")</f>
        <v/>
      </c>
      <c r="I40" t="str">
        <f ca="1"/>
        <v/>
      </c>
      <c r="J40" t="str">
        <f ca="1"/>
        <v/>
      </c>
    </row>
    <row r="41" spans="1:10" x14ac:dyDescent="0.2">
      <c r="A41" s="4">
        <f>IFERROR(IF((A40+1)/$D$7&lt;$D$5*$D$4,A40+1,""),"")</f>
        <v>29</v>
      </c>
      <c r="B41" t="str">
        <f ca="1">IFERROR(IF(NOT(ISBLANK(A41)),VLOOKUP(MOD(A41,$D$7),INDIRECT("Lookup!$A$2:$B$"&amp;$D$7+1),2,FALSE),""),"B")</f>
        <v>Bid volume</v>
      </c>
      <c r="D41" t="str">
        <f t="shared" ca="1" si="5"/>
        <v>Error</v>
      </c>
      <c r="E41">
        <f t="shared" ca="1" si="2"/>
        <v>1</v>
      </c>
      <c r="F41">
        <f t="shared" ca="1" si="3"/>
        <v>2</v>
      </c>
      <c r="G41">
        <f t="shared" ca="1" si="4"/>
        <v>48473028</v>
      </c>
      <c r="H41">
        <f t="array" aca="1" ref="H41:J41" ca="1">IFERROR(INDEX(Input!$H$1:$H$567,MATCH(VLOOKUP(Bidding!$B41,Lookup!$F$2:$I$4,2,FALSE)&amp;VLOOKUP(Bidding!$B41,Lookup!$F$2:$I$4,3,FALSE)&amp;$F41&amp;$E41&amp;H$11,Input!$A$1:$A$567&amp;Input!$B$1:$B$567&amp;INDIRECT("Input!$"&amp;VLOOKUP(VLOOKUP(Bidding!$B41,Lookup!$F$2:$I$4,4), CHARS,2,TRUE)&amp;"$1:$"&amp;VLOOKUP(VLOOKUP(Bidding!$B41,Lookup!$F$2:$I$4,4), CHARS,2,TRUE)&amp;"$567")&amp;INDIRECT("Input!$"&amp;VLOOKUP(VLOOKUP(Bidding!$B41,Lookup!$F$2:$I$4,4)+1, CHARS,2,TRUE)&amp;"$1:$"&amp;VLOOKUP(VLOOKUP(Bidding!$B41,Lookup!$F$2:$I$4,4)+1, CHARS,2,TRUE)&amp;"$567")&amp;INDIRECT("Input!$"&amp;VLOOKUP(VLOOKUP(Bidding!$B41,Lookup!$F$2:$I$4,4)+2, CHARS,2,TRUE)&amp;"$1:$"&amp;VLOOKUP(VLOOKUP(Bidding!$B41,Lookup!$F$2:$I$4,4)+2, CHARS,2,TRUE)&amp;"$567"),0)),"")</f>
        <v>16157676</v>
      </c>
      <c r="I41">
        <f ca="1"/>
        <v>16157676</v>
      </c>
      <c r="J41">
        <f ca="1"/>
        <v>16157676</v>
      </c>
    </row>
    <row r="42" spans="1:10" x14ac:dyDescent="0.2">
      <c r="A42" s="4">
        <f>IFERROR(IF((A41+1)/$D$7&lt;$D$5*$D$4,A41+1,""),"")</f>
        <v>30</v>
      </c>
      <c r="B42" t="str">
        <f ca="1">IFERROR(IF(NOT(ISBLANK(A42)),VLOOKUP(MOD(A42,$D$7),INDIRECT("Lookup!$A$2:$B$"&amp;$D$7+1),2,FALSE),""),"B")</f>
        <v>Transaction volume</v>
      </c>
      <c r="D42" t="str">
        <f t="shared" ca="1" si="5"/>
        <v/>
      </c>
      <c r="E42">
        <f t="shared" ca="1" si="2"/>
        <v>1</v>
      </c>
      <c r="F42">
        <f t="shared" ca="1" si="3"/>
        <v>2</v>
      </c>
      <c r="G42">
        <f t="shared" ca="1" si="4"/>
        <v>48473028</v>
      </c>
      <c r="H42">
        <f t="array" aca="1" ref="H42:J42" ca="1">IFERROR(INDEX(Input!$H$1:$H$567,MATCH(VLOOKUP(Bidding!$B42,Lookup!$F$2:$I$4,2,FALSE)&amp;VLOOKUP(Bidding!$B42,Lookup!$F$2:$I$4,3,FALSE)&amp;$F42&amp;$E42&amp;H$11,Input!$A$1:$A$567&amp;Input!$B$1:$B$567&amp;INDIRECT("Input!$"&amp;VLOOKUP(VLOOKUP(Bidding!$B42,Lookup!$F$2:$I$4,4), CHARS,2,TRUE)&amp;"$1:$"&amp;VLOOKUP(VLOOKUP(Bidding!$B42,Lookup!$F$2:$I$4,4), CHARS,2,TRUE)&amp;"$567")&amp;INDIRECT("Input!$"&amp;VLOOKUP(VLOOKUP(Bidding!$B42,Lookup!$F$2:$I$4,4)+1, CHARS,2,TRUE)&amp;"$1:$"&amp;VLOOKUP(VLOOKUP(Bidding!$B42,Lookup!$F$2:$I$4,4)+1, CHARS,2,TRUE)&amp;"$567")&amp;INDIRECT("Input!$"&amp;VLOOKUP(VLOOKUP(Bidding!$B42,Lookup!$F$2:$I$4,4)+2, CHARS,2,TRUE)&amp;"$1:$"&amp;VLOOKUP(VLOOKUP(Bidding!$B42,Lookup!$F$2:$I$4,4)+2, CHARS,2,TRUE)&amp;"$567"),0)),"")</f>
        <v>16157676</v>
      </c>
      <c r="I42">
        <f ca="1"/>
        <v>16157676</v>
      </c>
      <c r="J42">
        <f ca="1"/>
        <v>16157676</v>
      </c>
    </row>
    <row r="43" spans="1:10" x14ac:dyDescent="0.2">
      <c r="A43" s="4">
        <f>IFERROR(IF((A42+1)/$D$7&lt;$D$5*$D$4,A42+1,""),"")</f>
        <v>31</v>
      </c>
      <c r="B43" t="str">
        <f ca="1">IFERROR(IF(NOT(ISBLANK(A43)),VLOOKUP(MOD(A43,$D$7),INDIRECT("Lookup!$A$2:$B$"&amp;$D$7+1),2,FALSE),""),"B")</f>
        <v>Production quantity</v>
      </c>
      <c r="D43" t="str">
        <f t="shared" ca="1" si="5"/>
        <v>Error</v>
      </c>
      <c r="E43">
        <f t="shared" ca="1" si="2"/>
        <v>1</v>
      </c>
      <c r="F43">
        <f t="shared" ca="1" si="3"/>
        <v>2</v>
      </c>
      <c r="G43">
        <f t="shared" ca="1" si="4"/>
        <v>60000000</v>
      </c>
      <c r="H43">
        <f t="array" aca="1" ref="H43:J43" ca="1">IFERROR(INDEX(Input!$H$1:$H$567,MATCH(VLOOKUP(Bidding!$B43,Lookup!$F$2:$I$4,2,FALSE)&amp;VLOOKUP(Bidding!$B43,Lookup!$F$2:$I$4,3,FALSE)&amp;$F43&amp;$E43&amp;H$11,Input!$A$1:$A$567&amp;Input!$B$1:$B$567&amp;INDIRECT("Input!$"&amp;VLOOKUP(VLOOKUP(Bidding!$B43,Lookup!$F$2:$I$4,4), CHARS,2,TRUE)&amp;"$1:$"&amp;VLOOKUP(VLOOKUP(Bidding!$B43,Lookup!$F$2:$I$4,4), CHARS,2,TRUE)&amp;"$567")&amp;INDIRECT("Input!$"&amp;VLOOKUP(VLOOKUP(Bidding!$B43,Lookup!$F$2:$I$4,4)+1, CHARS,2,TRUE)&amp;"$1:$"&amp;VLOOKUP(VLOOKUP(Bidding!$B43,Lookup!$F$2:$I$4,4)+1, CHARS,2,TRUE)&amp;"$567")&amp;INDIRECT("Input!$"&amp;VLOOKUP(VLOOKUP(Bidding!$B43,Lookup!$F$2:$I$4,4)+2, CHARS,2,TRUE)&amp;"$1:$"&amp;VLOOKUP(VLOOKUP(Bidding!$B43,Lookup!$F$2:$I$4,4)+2, CHARS,2,TRUE)&amp;"$567"),0)),"")</f>
        <v>20000000</v>
      </c>
      <c r="I43">
        <f ca="1"/>
        <v>20000000</v>
      </c>
      <c r="J43">
        <f ca="1"/>
        <v>20000000</v>
      </c>
    </row>
    <row r="44" spans="1:10" x14ac:dyDescent="0.2">
      <c r="A44" s="4">
        <f>IFERROR(IF((A43+1)/$D$7&lt;$D$5*$D$4,A43+1,""),"")</f>
        <v>32</v>
      </c>
      <c r="B44" t="str">
        <f ca="1">IFERROR(IF(NOT(ISBLANK(A44)),VLOOKUP(MOD(A44,$D$7),INDIRECT("Lookup!$A$2:$B$"&amp;$D$7+1),2,FALSE),""),"B")</f>
        <v>Delivery product</v>
      </c>
      <c r="D44" t="str">
        <f t="shared" ca="1" si="5"/>
        <v>Error</v>
      </c>
      <c r="E44" t="str">
        <f t="shared" ca="1" si="2"/>
        <v/>
      </c>
      <c r="F44" t="str">
        <f t="shared" ca="1" si="3"/>
        <v/>
      </c>
      <c r="G44" t="str">
        <f t="shared" ca="1" si="4"/>
        <v/>
      </c>
      <c r="H44" t="str">
        <f t="array" aca="1" ref="H44:J44" ca="1">IFERROR(INDEX(Input!$H$1:$H$567,MATCH(VLOOKUP(Bidding!$B44,Lookup!$F$2:$I$4,2,FALSE)&amp;VLOOKUP(Bidding!$B44,Lookup!$F$2:$I$4,3,FALSE)&amp;$F44&amp;$E44&amp;H$11,Input!$A$1:$A$567&amp;Input!$B$1:$B$567&amp;INDIRECT("Input!$"&amp;VLOOKUP(VLOOKUP(Bidding!$B44,Lookup!$F$2:$I$4,4), CHARS,2,TRUE)&amp;"$1:$"&amp;VLOOKUP(VLOOKUP(Bidding!$B44,Lookup!$F$2:$I$4,4), CHARS,2,TRUE)&amp;"$567")&amp;INDIRECT("Input!$"&amp;VLOOKUP(VLOOKUP(Bidding!$B44,Lookup!$F$2:$I$4,4)+1, CHARS,2,TRUE)&amp;"$1:$"&amp;VLOOKUP(VLOOKUP(Bidding!$B44,Lookup!$F$2:$I$4,4)+1, CHARS,2,TRUE)&amp;"$567")&amp;INDIRECT("Input!$"&amp;VLOOKUP(VLOOKUP(Bidding!$B44,Lookup!$F$2:$I$4,4)+2, CHARS,2,TRUE)&amp;"$1:$"&amp;VLOOKUP(VLOOKUP(Bidding!$B44,Lookup!$F$2:$I$4,4)+2, CHARS,2,TRUE)&amp;"$567"),0)),"")</f>
        <v/>
      </c>
      <c r="I44" t="str">
        <f ca="1"/>
        <v/>
      </c>
      <c r="J44" t="str">
        <f ca="1"/>
        <v/>
      </c>
    </row>
    <row r="45" spans="1:10" x14ac:dyDescent="0.2">
      <c r="A45" s="4">
        <f>IFERROR(IF((A44+1)/$D$7&lt;$D$5*$D$4,A44+1,""),"")</f>
        <v>33</v>
      </c>
      <c r="B45" t="str">
        <f ca="1">IFERROR(IF(NOT(ISBLANK(A45)),VLOOKUP(MOD(A45,$D$7),INDIRECT("Lookup!$A$2:$B$"&amp;$D$7+1),2,FALSE),""),"B")</f>
        <v>Bid volume</v>
      </c>
      <c r="D45" t="str">
        <f t="shared" ca="1" si="5"/>
        <v>Error</v>
      </c>
      <c r="E45">
        <f t="shared" ca="1" si="2"/>
        <v>2</v>
      </c>
      <c r="F45">
        <f t="shared" ca="1" si="3"/>
        <v>2</v>
      </c>
      <c r="G45">
        <f t="shared" ca="1" si="4"/>
        <v>48473028</v>
      </c>
      <c r="H45">
        <f t="array" aca="1" ref="H45:J45" ca="1">IFERROR(INDEX(Input!$H$1:$H$567,MATCH(VLOOKUP(Bidding!$B45,Lookup!$F$2:$I$4,2,FALSE)&amp;VLOOKUP(Bidding!$B45,Lookup!$F$2:$I$4,3,FALSE)&amp;$F45&amp;$E45&amp;H$11,Input!$A$1:$A$567&amp;Input!$B$1:$B$567&amp;INDIRECT("Input!$"&amp;VLOOKUP(VLOOKUP(Bidding!$B45,Lookup!$F$2:$I$4,4), CHARS,2,TRUE)&amp;"$1:$"&amp;VLOOKUP(VLOOKUP(Bidding!$B45,Lookup!$F$2:$I$4,4), CHARS,2,TRUE)&amp;"$567")&amp;INDIRECT("Input!$"&amp;VLOOKUP(VLOOKUP(Bidding!$B45,Lookup!$F$2:$I$4,4)+1, CHARS,2,TRUE)&amp;"$1:$"&amp;VLOOKUP(VLOOKUP(Bidding!$B45,Lookup!$F$2:$I$4,4)+1, CHARS,2,TRUE)&amp;"$567")&amp;INDIRECT("Input!$"&amp;VLOOKUP(VLOOKUP(Bidding!$B45,Lookup!$F$2:$I$4,4)+2, CHARS,2,TRUE)&amp;"$1:$"&amp;VLOOKUP(VLOOKUP(Bidding!$B45,Lookup!$F$2:$I$4,4)+2, CHARS,2,TRUE)&amp;"$567"),0)),"")</f>
        <v>16157676</v>
      </c>
      <c r="I45">
        <f ca="1"/>
        <v>16157676</v>
      </c>
      <c r="J45">
        <f ca="1"/>
        <v>16157676</v>
      </c>
    </row>
    <row r="46" spans="1:10" x14ac:dyDescent="0.2">
      <c r="A46" s="4">
        <f>IFERROR(IF((A45+1)/$D$7&lt;$D$5*$D$4,A45+1,""),"")</f>
        <v>34</v>
      </c>
      <c r="B46" t="str">
        <f ca="1">IFERROR(IF(NOT(ISBLANK(A46)),VLOOKUP(MOD(A46,$D$7),INDIRECT("Lookup!$A$2:$B$"&amp;$D$7+1),2,FALSE),""),"B")</f>
        <v>Transaction volume</v>
      </c>
      <c r="D46" t="str">
        <f t="shared" ca="1" si="5"/>
        <v/>
      </c>
      <c r="E46">
        <f t="shared" ca="1" si="2"/>
        <v>2</v>
      </c>
      <c r="F46">
        <f t="shared" ca="1" si="3"/>
        <v>2</v>
      </c>
      <c r="G46">
        <f t="shared" ca="1" si="4"/>
        <v>48473028</v>
      </c>
      <c r="H46">
        <f t="array" aca="1" ref="H46:J46" ca="1">IFERROR(INDEX(Input!$H$1:$H$567,MATCH(VLOOKUP(Bidding!$B46,Lookup!$F$2:$I$4,2,FALSE)&amp;VLOOKUP(Bidding!$B46,Lookup!$F$2:$I$4,3,FALSE)&amp;$F46&amp;$E46&amp;H$11,Input!$A$1:$A$567&amp;Input!$B$1:$B$567&amp;INDIRECT("Input!$"&amp;VLOOKUP(VLOOKUP(Bidding!$B46,Lookup!$F$2:$I$4,4), CHARS,2,TRUE)&amp;"$1:$"&amp;VLOOKUP(VLOOKUP(Bidding!$B46,Lookup!$F$2:$I$4,4), CHARS,2,TRUE)&amp;"$567")&amp;INDIRECT("Input!$"&amp;VLOOKUP(VLOOKUP(Bidding!$B46,Lookup!$F$2:$I$4,4)+1, CHARS,2,TRUE)&amp;"$1:$"&amp;VLOOKUP(VLOOKUP(Bidding!$B46,Lookup!$F$2:$I$4,4)+1, CHARS,2,TRUE)&amp;"$567")&amp;INDIRECT("Input!$"&amp;VLOOKUP(VLOOKUP(Bidding!$B46,Lookup!$F$2:$I$4,4)+2, CHARS,2,TRUE)&amp;"$1:$"&amp;VLOOKUP(VLOOKUP(Bidding!$B46,Lookup!$F$2:$I$4,4)+2, CHARS,2,TRUE)&amp;"$567"),0)),"")</f>
        <v>16157676</v>
      </c>
      <c r="I46">
        <f ca="1"/>
        <v>16157676</v>
      </c>
      <c r="J46">
        <f ca="1"/>
        <v>16157676</v>
      </c>
    </row>
    <row r="47" spans="1:10" x14ac:dyDescent="0.2">
      <c r="A47" s="4">
        <f>IFERROR(IF((A46+1)/$D$7&lt;$D$5*$D$4,A46+1,""),"")</f>
        <v>35</v>
      </c>
      <c r="B47" t="str">
        <f ca="1">IFERROR(IF(NOT(ISBLANK(A47)),VLOOKUP(MOD(A47,$D$7),INDIRECT("Lookup!$A$2:$B$"&amp;$D$7+1),2,FALSE),""),"B")</f>
        <v>Production quantity</v>
      </c>
      <c r="D47" t="str">
        <f t="shared" ca="1" si="5"/>
        <v>Error</v>
      </c>
      <c r="E47">
        <f t="shared" ca="1" si="2"/>
        <v>2</v>
      </c>
      <c r="F47">
        <f t="shared" ca="1" si="3"/>
        <v>2</v>
      </c>
      <c r="G47">
        <f t="shared" ca="1" si="4"/>
        <v>60000000</v>
      </c>
      <c r="H47">
        <f t="array" aca="1" ref="H47:J47" ca="1">IFERROR(INDEX(Input!$H$1:$H$567,MATCH(VLOOKUP(Bidding!$B47,Lookup!$F$2:$I$4,2,FALSE)&amp;VLOOKUP(Bidding!$B47,Lookup!$F$2:$I$4,3,FALSE)&amp;$F47&amp;$E47&amp;H$11,Input!$A$1:$A$567&amp;Input!$B$1:$B$567&amp;INDIRECT("Input!$"&amp;VLOOKUP(VLOOKUP(Bidding!$B47,Lookup!$F$2:$I$4,4), CHARS,2,TRUE)&amp;"$1:$"&amp;VLOOKUP(VLOOKUP(Bidding!$B47,Lookup!$F$2:$I$4,4), CHARS,2,TRUE)&amp;"$567")&amp;INDIRECT("Input!$"&amp;VLOOKUP(VLOOKUP(Bidding!$B47,Lookup!$F$2:$I$4,4)+1, CHARS,2,TRUE)&amp;"$1:$"&amp;VLOOKUP(VLOOKUP(Bidding!$B47,Lookup!$F$2:$I$4,4)+1, CHARS,2,TRUE)&amp;"$567")&amp;INDIRECT("Input!$"&amp;VLOOKUP(VLOOKUP(Bidding!$B47,Lookup!$F$2:$I$4,4)+2, CHARS,2,TRUE)&amp;"$1:$"&amp;VLOOKUP(VLOOKUP(Bidding!$B47,Lookup!$F$2:$I$4,4)+2, CHARS,2,TRUE)&amp;"$567"),0)),"")</f>
        <v>20000000</v>
      </c>
      <c r="I47">
        <f ca="1"/>
        <v>20000000</v>
      </c>
      <c r="J47">
        <f ca="1"/>
        <v>20000000</v>
      </c>
    </row>
    <row r="48" spans="1:10" x14ac:dyDescent="0.2">
      <c r="A48" s="4">
        <f>IFERROR(IF((A47+1)/$D$7&lt;$D$5*$D$4,A47+1,""),"")</f>
        <v>36</v>
      </c>
      <c r="B48" t="str">
        <f ca="1">IFERROR(IF(NOT(ISBLANK(A48)),VLOOKUP(MOD(A48,$D$7),INDIRECT("Lookup!$A$2:$B$"&amp;$D$7+1),2,FALSE),""),"B")</f>
        <v>Delivery product</v>
      </c>
      <c r="D48" t="str">
        <f t="shared" ca="1" si="5"/>
        <v>Error</v>
      </c>
      <c r="E48" t="str">
        <f t="shared" ca="1" si="2"/>
        <v/>
      </c>
      <c r="F48" t="str">
        <f t="shared" ca="1" si="3"/>
        <v/>
      </c>
      <c r="G48" t="str">
        <f t="shared" ca="1" si="4"/>
        <v/>
      </c>
      <c r="H48" t="str">
        <f t="array" aca="1" ref="H48:J48" ca="1">IFERROR(INDEX(Input!$H$1:$H$567,MATCH(VLOOKUP(Bidding!$B48,Lookup!$F$2:$I$4,2,FALSE)&amp;VLOOKUP(Bidding!$B48,Lookup!$F$2:$I$4,3,FALSE)&amp;$F48&amp;$E48&amp;H$11,Input!$A$1:$A$567&amp;Input!$B$1:$B$567&amp;INDIRECT("Input!$"&amp;VLOOKUP(VLOOKUP(Bidding!$B48,Lookup!$F$2:$I$4,4), CHARS,2,TRUE)&amp;"$1:$"&amp;VLOOKUP(VLOOKUP(Bidding!$B48,Lookup!$F$2:$I$4,4), CHARS,2,TRUE)&amp;"$567")&amp;INDIRECT("Input!$"&amp;VLOOKUP(VLOOKUP(Bidding!$B48,Lookup!$F$2:$I$4,4)+1, CHARS,2,TRUE)&amp;"$1:$"&amp;VLOOKUP(VLOOKUP(Bidding!$B48,Lookup!$F$2:$I$4,4)+1, CHARS,2,TRUE)&amp;"$567")&amp;INDIRECT("Input!$"&amp;VLOOKUP(VLOOKUP(Bidding!$B48,Lookup!$F$2:$I$4,4)+2, CHARS,2,TRUE)&amp;"$1:$"&amp;VLOOKUP(VLOOKUP(Bidding!$B48,Lookup!$F$2:$I$4,4)+2, CHARS,2,TRUE)&amp;"$567"),0)),"")</f>
        <v/>
      </c>
      <c r="I48" t="str">
        <f ca="1"/>
        <v/>
      </c>
      <c r="J48" t="str">
        <f ca="1"/>
        <v/>
      </c>
    </row>
    <row r="49" spans="1:10" x14ac:dyDescent="0.2">
      <c r="A49" s="4">
        <f>IFERROR(IF((A48+1)/$D$7&lt;$D$5*$D$4,A48+1,""),"")</f>
        <v>37</v>
      </c>
      <c r="B49" t="str">
        <f ca="1">IFERROR(IF(NOT(ISBLANK(A49)),VLOOKUP(MOD(A49,$D$7),INDIRECT("Lookup!$A$2:$B$"&amp;$D$7+1),2,FALSE),""),"B")</f>
        <v>Bid volume</v>
      </c>
      <c r="D49" t="str">
        <f t="shared" ca="1" si="5"/>
        <v>Error</v>
      </c>
      <c r="E49">
        <f t="shared" ca="1" si="2"/>
        <v>0</v>
      </c>
      <c r="F49">
        <f t="shared" ca="1" si="3"/>
        <v>3</v>
      </c>
      <c r="G49">
        <f t="shared" ca="1" si="4"/>
        <v>0</v>
      </c>
      <c r="H49" t="str">
        <f t="array" aca="1" ref="H49:J49" ca="1">IFERROR(INDEX(Input!$H$1:$H$567,MATCH(VLOOKUP(Bidding!$B49,Lookup!$F$2:$I$4,2,FALSE)&amp;VLOOKUP(Bidding!$B49,Lookup!$F$2:$I$4,3,FALSE)&amp;$F49&amp;$E49&amp;H$11,Input!$A$1:$A$567&amp;Input!$B$1:$B$567&amp;INDIRECT("Input!$"&amp;VLOOKUP(VLOOKUP(Bidding!$B49,Lookup!$F$2:$I$4,4), CHARS,2,TRUE)&amp;"$1:$"&amp;VLOOKUP(VLOOKUP(Bidding!$B49,Lookup!$F$2:$I$4,4), CHARS,2,TRUE)&amp;"$567")&amp;INDIRECT("Input!$"&amp;VLOOKUP(VLOOKUP(Bidding!$B49,Lookup!$F$2:$I$4,4)+1, CHARS,2,TRUE)&amp;"$1:$"&amp;VLOOKUP(VLOOKUP(Bidding!$B49,Lookup!$F$2:$I$4,4)+1, CHARS,2,TRUE)&amp;"$567")&amp;INDIRECT("Input!$"&amp;VLOOKUP(VLOOKUP(Bidding!$B49,Lookup!$F$2:$I$4,4)+2, CHARS,2,TRUE)&amp;"$1:$"&amp;VLOOKUP(VLOOKUP(Bidding!$B49,Lookup!$F$2:$I$4,4)+2, CHARS,2,TRUE)&amp;"$567"),0)),"")</f>
        <v/>
      </c>
      <c r="I49" t="str">
        <f ca="1"/>
        <v/>
      </c>
      <c r="J49" t="str">
        <f ca="1"/>
        <v/>
      </c>
    </row>
    <row r="50" spans="1:10" x14ac:dyDescent="0.2">
      <c r="A50" s="4">
        <f>IFERROR(IF((A49+1)/$D$7&lt;$D$5*$D$4,A49+1,""),"")</f>
        <v>38</v>
      </c>
      <c r="B50" t="str">
        <f ca="1">IFERROR(IF(NOT(ISBLANK(A50)),VLOOKUP(MOD(A50,$D$7),INDIRECT("Lookup!$A$2:$B$"&amp;$D$7+1),2,FALSE),""),"B")</f>
        <v>Transaction volume</v>
      </c>
      <c r="D50" t="str">
        <f t="shared" ca="1" si="5"/>
        <v/>
      </c>
      <c r="E50">
        <f t="shared" ca="1" si="2"/>
        <v>0</v>
      </c>
      <c r="F50">
        <f t="shared" ca="1" si="3"/>
        <v>3</v>
      </c>
      <c r="G50">
        <f t="shared" ca="1" si="4"/>
        <v>0</v>
      </c>
      <c r="H50" t="str">
        <f t="array" aca="1" ref="H50:J50" ca="1">IFERROR(INDEX(Input!$H$1:$H$567,MATCH(VLOOKUP(Bidding!$B50,Lookup!$F$2:$I$4,2,FALSE)&amp;VLOOKUP(Bidding!$B50,Lookup!$F$2:$I$4,3,FALSE)&amp;$F50&amp;$E50&amp;H$11,Input!$A$1:$A$567&amp;Input!$B$1:$B$567&amp;INDIRECT("Input!$"&amp;VLOOKUP(VLOOKUP(Bidding!$B50,Lookup!$F$2:$I$4,4), CHARS,2,TRUE)&amp;"$1:$"&amp;VLOOKUP(VLOOKUP(Bidding!$B50,Lookup!$F$2:$I$4,4), CHARS,2,TRUE)&amp;"$567")&amp;INDIRECT("Input!$"&amp;VLOOKUP(VLOOKUP(Bidding!$B50,Lookup!$F$2:$I$4,4)+1, CHARS,2,TRUE)&amp;"$1:$"&amp;VLOOKUP(VLOOKUP(Bidding!$B50,Lookup!$F$2:$I$4,4)+1, CHARS,2,TRUE)&amp;"$567")&amp;INDIRECT("Input!$"&amp;VLOOKUP(VLOOKUP(Bidding!$B50,Lookup!$F$2:$I$4,4)+2, CHARS,2,TRUE)&amp;"$1:$"&amp;VLOOKUP(VLOOKUP(Bidding!$B50,Lookup!$F$2:$I$4,4)+2, CHARS,2,TRUE)&amp;"$567"),0)),"")</f>
        <v/>
      </c>
      <c r="I50" t="str">
        <f ca="1"/>
        <v/>
      </c>
      <c r="J50" t="str">
        <f ca="1"/>
        <v/>
      </c>
    </row>
    <row r="51" spans="1:10" x14ac:dyDescent="0.2">
      <c r="A51" s="4">
        <f>IFERROR(IF((A50+1)/$D$7&lt;$D$5*$D$4,A50+1,""),"")</f>
        <v>39</v>
      </c>
      <c r="B51" t="str">
        <f ca="1">IFERROR(IF(NOT(ISBLANK(A51)),VLOOKUP(MOD(A51,$D$7),INDIRECT("Lookup!$A$2:$B$"&amp;$D$7+1),2,FALSE),""),"B")</f>
        <v>Production quantity</v>
      </c>
      <c r="D51" t="str">
        <f t="shared" ca="1" si="5"/>
        <v/>
      </c>
      <c r="E51">
        <f t="shared" ca="1" si="2"/>
        <v>0</v>
      </c>
      <c r="F51">
        <f t="shared" ca="1" si="3"/>
        <v>3</v>
      </c>
      <c r="G51">
        <f t="shared" ca="1" si="4"/>
        <v>0</v>
      </c>
      <c r="H51" t="str">
        <f t="array" aca="1" ref="H51:J51" ca="1">IFERROR(INDEX(Input!$H$1:$H$567,MATCH(VLOOKUP(Bidding!$B51,Lookup!$F$2:$I$4,2,FALSE)&amp;VLOOKUP(Bidding!$B51,Lookup!$F$2:$I$4,3,FALSE)&amp;$F51&amp;$E51&amp;H$11,Input!$A$1:$A$567&amp;Input!$B$1:$B$567&amp;INDIRECT("Input!$"&amp;VLOOKUP(VLOOKUP(Bidding!$B51,Lookup!$F$2:$I$4,4), CHARS,2,TRUE)&amp;"$1:$"&amp;VLOOKUP(VLOOKUP(Bidding!$B51,Lookup!$F$2:$I$4,4), CHARS,2,TRUE)&amp;"$567")&amp;INDIRECT("Input!$"&amp;VLOOKUP(VLOOKUP(Bidding!$B51,Lookup!$F$2:$I$4,4)+1, CHARS,2,TRUE)&amp;"$1:$"&amp;VLOOKUP(VLOOKUP(Bidding!$B51,Lookup!$F$2:$I$4,4)+1, CHARS,2,TRUE)&amp;"$567")&amp;INDIRECT("Input!$"&amp;VLOOKUP(VLOOKUP(Bidding!$B51,Lookup!$F$2:$I$4,4)+2, CHARS,2,TRUE)&amp;"$1:$"&amp;VLOOKUP(VLOOKUP(Bidding!$B51,Lookup!$F$2:$I$4,4)+2, CHARS,2,TRUE)&amp;"$567"),0)),"")</f>
        <v/>
      </c>
      <c r="I51" t="str">
        <f ca="1"/>
        <v/>
      </c>
      <c r="J51" t="str">
        <f ca="1"/>
        <v/>
      </c>
    </row>
    <row r="52" spans="1:10" x14ac:dyDescent="0.2">
      <c r="A52" s="4">
        <f>IFERROR(IF((A51+1)/$D$7&lt;$D$5*$D$4,A51+1,""),"")</f>
        <v>40</v>
      </c>
      <c r="B52" t="str">
        <f ca="1">IFERROR(IF(NOT(ISBLANK(A52)),VLOOKUP(MOD(A52,$D$7),INDIRECT("Lookup!$A$2:$B$"&amp;$D$7+1),2,FALSE),""),"B")</f>
        <v>Delivery product</v>
      </c>
      <c r="D52" t="str">
        <f t="shared" ca="1" si="5"/>
        <v>Error</v>
      </c>
      <c r="E52" t="str">
        <f t="shared" ca="1" si="2"/>
        <v/>
      </c>
      <c r="F52" t="str">
        <f t="shared" ca="1" si="3"/>
        <v/>
      </c>
      <c r="G52" t="str">
        <f t="shared" ca="1" si="4"/>
        <v/>
      </c>
      <c r="H52" t="str">
        <f t="array" aca="1" ref="H52:J52" ca="1">IFERROR(INDEX(Input!$H$1:$H$567,MATCH(VLOOKUP(Bidding!$B52,Lookup!$F$2:$I$4,2,FALSE)&amp;VLOOKUP(Bidding!$B52,Lookup!$F$2:$I$4,3,FALSE)&amp;$F52&amp;$E52&amp;H$11,Input!$A$1:$A$567&amp;Input!$B$1:$B$567&amp;INDIRECT("Input!$"&amp;VLOOKUP(VLOOKUP(Bidding!$B52,Lookup!$F$2:$I$4,4), CHARS,2,TRUE)&amp;"$1:$"&amp;VLOOKUP(VLOOKUP(Bidding!$B52,Lookup!$F$2:$I$4,4), CHARS,2,TRUE)&amp;"$567")&amp;INDIRECT("Input!$"&amp;VLOOKUP(VLOOKUP(Bidding!$B52,Lookup!$F$2:$I$4,4)+1, CHARS,2,TRUE)&amp;"$1:$"&amp;VLOOKUP(VLOOKUP(Bidding!$B52,Lookup!$F$2:$I$4,4)+1, CHARS,2,TRUE)&amp;"$567")&amp;INDIRECT("Input!$"&amp;VLOOKUP(VLOOKUP(Bidding!$B52,Lookup!$F$2:$I$4,4)+2, CHARS,2,TRUE)&amp;"$1:$"&amp;VLOOKUP(VLOOKUP(Bidding!$B52,Lookup!$F$2:$I$4,4)+2, CHARS,2,TRUE)&amp;"$567"),0)),"")</f>
        <v/>
      </c>
      <c r="I52" t="str">
        <f ca="1"/>
        <v/>
      </c>
      <c r="J52" t="str">
        <f ca="1"/>
        <v/>
      </c>
    </row>
    <row r="53" spans="1:10" x14ac:dyDescent="0.2">
      <c r="A53" s="4">
        <f>IFERROR(IF((A52+1)/$D$7&lt;$D$5*$D$4,A52+1,""),"")</f>
        <v>41</v>
      </c>
      <c r="B53" t="str">
        <f ca="1">IFERROR(IF(NOT(ISBLANK(A53)),VLOOKUP(MOD(A53,$D$7),INDIRECT("Lookup!$A$2:$B$"&amp;$D$7+1),2,FALSE),""),"B")</f>
        <v>Bid volume</v>
      </c>
      <c r="D53" t="str">
        <f t="shared" ca="1" si="5"/>
        <v>Error</v>
      </c>
      <c r="E53">
        <f t="shared" ca="1" si="2"/>
        <v>1</v>
      </c>
      <c r="F53">
        <f t="shared" ca="1" si="3"/>
        <v>3</v>
      </c>
      <c r="G53">
        <f t="shared" ca="1" si="4"/>
        <v>0</v>
      </c>
      <c r="H53" t="str">
        <f t="array" aca="1" ref="H53:J53" ca="1">IFERROR(INDEX(Input!$H$1:$H$567,MATCH(VLOOKUP(Bidding!$B53,Lookup!$F$2:$I$4,2,FALSE)&amp;VLOOKUP(Bidding!$B53,Lookup!$F$2:$I$4,3,FALSE)&amp;$F53&amp;$E53&amp;H$11,Input!$A$1:$A$567&amp;Input!$B$1:$B$567&amp;INDIRECT("Input!$"&amp;VLOOKUP(VLOOKUP(Bidding!$B53,Lookup!$F$2:$I$4,4), CHARS,2,TRUE)&amp;"$1:$"&amp;VLOOKUP(VLOOKUP(Bidding!$B53,Lookup!$F$2:$I$4,4), CHARS,2,TRUE)&amp;"$567")&amp;INDIRECT("Input!$"&amp;VLOOKUP(VLOOKUP(Bidding!$B53,Lookup!$F$2:$I$4,4)+1, CHARS,2,TRUE)&amp;"$1:$"&amp;VLOOKUP(VLOOKUP(Bidding!$B53,Lookup!$F$2:$I$4,4)+1, CHARS,2,TRUE)&amp;"$567")&amp;INDIRECT("Input!$"&amp;VLOOKUP(VLOOKUP(Bidding!$B53,Lookup!$F$2:$I$4,4)+2, CHARS,2,TRUE)&amp;"$1:$"&amp;VLOOKUP(VLOOKUP(Bidding!$B53,Lookup!$F$2:$I$4,4)+2, CHARS,2,TRUE)&amp;"$567"),0)),"")</f>
        <v/>
      </c>
      <c r="I53" t="str">
        <f ca="1"/>
        <v/>
      </c>
      <c r="J53" t="str">
        <f ca="1"/>
        <v/>
      </c>
    </row>
    <row r="54" spans="1:10" x14ac:dyDescent="0.2">
      <c r="A54" s="4">
        <f>IFERROR(IF((A53+1)/$D$7&lt;$D$5*$D$4,A53+1,""),"")</f>
        <v>42</v>
      </c>
      <c r="B54" t="str">
        <f ca="1">IFERROR(IF(NOT(ISBLANK(A54)),VLOOKUP(MOD(A54,$D$7),INDIRECT("Lookup!$A$2:$B$"&amp;$D$7+1),2,FALSE),""),"B")</f>
        <v>Transaction volume</v>
      </c>
      <c r="D54" t="str">
        <f t="shared" ca="1" si="5"/>
        <v/>
      </c>
      <c r="E54">
        <f t="shared" ca="1" si="2"/>
        <v>1</v>
      </c>
      <c r="F54">
        <f t="shared" ca="1" si="3"/>
        <v>3</v>
      </c>
      <c r="G54">
        <f t="shared" ca="1" si="4"/>
        <v>0</v>
      </c>
      <c r="H54" t="str">
        <f t="array" aca="1" ref="H54:J54" ca="1">IFERROR(INDEX(Input!$H$1:$H$567,MATCH(VLOOKUP(Bidding!$B54,Lookup!$F$2:$I$4,2,FALSE)&amp;VLOOKUP(Bidding!$B54,Lookup!$F$2:$I$4,3,FALSE)&amp;$F54&amp;$E54&amp;H$11,Input!$A$1:$A$567&amp;Input!$B$1:$B$567&amp;INDIRECT("Input!$"&amp;VLOOKUP(VLOOKUP(Bidding!$B54,Lookup!$F$2:$I$4,4), CHARS,2,TRUE)&amp;"$1:$"&amp;VLOOKUP(VLOOKUP(Bidding!$B54,Lookup!$F$2:$I$4,4), CHARS,2,TRUE)&amp;"$567")&amp;INDIRECT("Input!$"&amp;VLOOKUP(VLOOKUP(Bidding!$B54,Lookup!$F$2:$I$4,4)+1, CHARS,2,TRUE)&amp;"$1:$"&amp;VLOOKUP(VLOOKUP(Bidding!$B54,Lookup!$F$2:$I$4,4)+1, CHARS,2,TRUE)&amp;"$567")&amp;INDIRECT("Input!$"&amp;VLOOKUP(VLOOKUP(Bidding!$B54,Lookup!$F$2:$I$4,4)+2, CHARS,2,TRUE)&amp;"$1:$"&amp;VLOOKUP(VLOOKUP(Bidding!$B54,Lookup!$F$2:$I$4,4)+2, CHARS,2,TRUE)&amp;"$567"),0)),"")</f>
        <v/>
      </c>
      <c r="I54" t="str">
        <f ca="1"/>
        <v/>
      </c>
      <c r="J54" t="str">
        <f ca="1"/>
        <v/>
      </c>
    </row>
    <row r="55" spans="1:10" x14ac:dyDescent="0.2">
      <c r="A55" s="4">
        <f>IFERROR(IF((A54+1)/$D$7&lt;$D$5*$D$4,A54+1,""),"")</f>
        <v>43</v>
      </c>
      <c r="B55" t="str">
        <f ca="1">IFERROR(IF(NOT(ISBLANK(A55)),VLOOKUP(MOD(A55,$D$7),INDIRECT("Lookup!$A$2:$B$"&amp;$D$7+1),2,FALSE),""),"B")</f>
        <v>Production quantity</v>
      </c>
      <c r="D55" t="str">
        <f t="shared" ca="1" si="5"/>
        <v/>
      </c>
      <c r="E55">
        <f t="shared" ca="1" si="2"/>
        <v>1</v>
      </c>
      <c r="F55">
        <f t="shared" ca="1" si="3"/>
        <v>3</v>
      </c>
      <c r="G55">
        <f t="shared" ca="1" si="4"/>
        <v>0</v>
      </c>
      <c r="H55" t="str">
        <f t="array" aca="1" ref="H55:J55" ca="1">IFERROR(INDEX(Input!$H$1:$H$567,MATCH(VLOOKUP(Bidding!$B55,Lookup!$F$2:$I$4,2,FALSE)&amp;VLOOKUP(Bidding!$B55,Lookup!$F$2:$I$4,3,FALSE)&amp;$F55&amp;$E55&amp;H$11,Input!$A$1:$A$567&amp;Input!$B$1:$B$567&amp;INDIRECT("Input!$"&amp;VLOOKUP(VLOOKUP(Bidding!$B55,Lookup!$F$2:$I$4,4), CHARS,2,TRUE)&amp;"$1:$"&amp;VLOOKUP(VLOOKUP(Bidding!$B55,Lookup!$F$2:$I$4,4), CHARS,2,TRUE)&amp;"$567")&amp;INDIRECT("Input!$"&amp;VLOOKUP(VLOOKUP(Bidding!$B55,Lookup!$F$2:$I$4,4)+1, CHARS,2,TRUE)&amp;"$1:$"&amp;VLOOKUP(VLOOKUP(Bidding!$B55,Lookup!$F$2:$I$4,4)+1, CHARS,2,TRUE)&amp;"$567")&amp;INDIRECT("Input!$"&amp;VLOOKUP(VLOOKUP(Bidding!$B55,Lookup!$F$2:$I$4,4)+2, CHARS,2,TRUE)&amp;"$1:$"&amp;VLOOKUP(VLOOKUP(Bidding!$B55,Lookup!$F$2:$I$4,4)+2, CHARS,2,TRUE)&amp;"$567"),0)),"")</f>
        <v/>
      </c>
      <c r="I55" t="str">
        <f ca="1"/>
        <v/>
      </c>
      <c r="J55" t="str">
        <f ca="1"/>
        <v/>
      </c>
    </row>
    <row r="56" spans="1:10" x14ac:dyDescent="0.2">
      <c r="A56" s="4">
        <f>IFERROR(IF((A55+1)/$D$7&lt;$D$5*$D$4,A55+1,""),"")</f>
        <v>44</v>
      </c>
      <c r="B56" t="str">
        <f ca="1">IFERROR(IF(NOT(ISBLANK(A56)),VLOOKUP(MOD(A56,$D$7),INDIRECT("Lookup!$A$2:$B$"&amp;$D$7+1),2,FALSE),""),"B")</f>
        <v>Delivery product</v>
      </c>
      <c r="D56" t="str">
        <f t="shared" ca="1" si="5"/>
        <v>Error</v>
      </c>
      <c r="E56" t="str">
        <f t="shared" ca="1" si="2"/>
        <v/>
      </c>
      <c r="F56" t="str">
        <f t="shared" ca="1" si="3"/>
        <v/>
      </c>
      <c r="G56" t="str">
        <f t="shared" ca="1" si="4"/>
        <v/>
      </c>
      <c r="H56" t="str">
        <f t="array" aca="1" ref="H56:J56" ca="1">IFERROR(INDEX(Input!$H$1:$H$567,MATCH(VLOOKUP(Bidding!$B56,Lookup!$F$2:$I$4,2,FALSE)&amp;VLOOKUP(Bidding!$B56,Lookup!$F$2:$I$4,3,FALSE)&amp;$F56&amp;$E56&amp;H$11,Input!$A$1:$A$567&amp;Input!$B$1:$B$567&amp;INDIRECT("Input!$"&amp;VLOOKUP(VLOOKUP(Bidding!$B56,Lookup!$F$2:$I$4,4), CHARS,2,TRUE)&amp;"$1:$"&amp;VLOOKUP(VLOOKUP(Bidding!$B56,Lookup!$F$2:$I$4,4), CHARS,2,TRUE)&amp;"$567")&amp;INDIRECT("Input!$"&amp;VLOOKUP(VLOOKUP(Bidding!$B56,Lookup!$F$2:$I$4,4)+1, CHARS,2,TRUE)&amp;"$1:$"&amp;VLOOKUP(VLOOKUP(Bidding!$B56,Lookup!$F$2:$I$4,4)+1, CHARS,2,TRUE)&amp;"$567")&amp;INDIRECT("Input!$"&amp;VLOOKUP(VLOOKUP(Bidding!$B56,Lookup!$F$2:$I$4,4)+2, CHARS,2,TRUE)&amp;"$1:$"&amp;VLOOKUP(VLOOKUP(Bidding!$B56,Lookup!$F$2:$I$4,4)+2, CHARS,2,TRUE)&amp;"$567"),0)),"")</f>
        <v/>
      </c>
      <c r="I56" t="str">
        <f ca="1"/>
        <v/>
      </c>
      <c r="J56" t="str">
        <f ca="1"/>
        <v/>
      </c>
    </row>
    <row r="57" spans="1:10" x14ac:dyDescent="0.2">
      <c r="A57" s="4">
        <f>IFERROR(IF((A56+1)/$D$7&lt;$D$5*$D$4,A56+1,""),"")</f>
        <v>45</v>
      </c>
      <c r="B57" t="str">
        <f ca="1">IFERROR(IF(NOT(ISBLANK(A57)),VLOOKUP(MOD(A57,$D$7),INDIRECT("Lookup!$A$2:$B$"&amp;$D$7+1),2,FALSE),""),"B")</f>
        <v>Bid volume</v>
      </c>
      <c r="D57" t="str">
        <f t="shared" ca="1" si="5"/>
        <v>Error</v>
      </c>
      <c r="E57">
        <f t="shared" ca="1" si="2"/>
        <v>2</v>
      </c>
      <c r="F57">
        <f t="shared" ca="1" si="3"/>
        <v>3</v>
      </c>
      <c r="G57">
        <f t="shared" ca="1" si="4"/>
        <v>0</v>
      </c>
      <c r="H57" t="str">
        <f t="array" aca="1" ref="H57:J57" ca="1">IFERROR(INDEX(Input!$H$1:$H$567,MATCH(VLOOKUP(Bidding!$B57,Lookup!$F$2:$I$4,2,FALSE)&amp;VLOOKUP(Bidding!$B57,Lookup!$F$2:$I$4,3,FALSE)&amp;$F57&amp;$E57&amp;H$11,Input!$A$1:$A$567&amp;Input!$B$1:$B$567&amp;INDIRECT("Input!$"&amp;VLOOKUP(VLOOKUP(Bidding!$B57,Lookup!$F$2:$I$4,4), CHARS,2,TRUE)&amp;"$1:$"&amp;VLOOKUP(VLOOKUP(Bidding!$B57,Lookup!$F$2:$I$4,4), CHARS,2,TRUE)&amp;"$567")&amp;INDIRECT("Input!$"&amp;VLOOKUP(VLOOKUP(Bidding!$B57,Lookup!$F$2:$I$4,4)+1, CHARS,2,TRUE)&amp;"$1:$"&amp;VLOOKUP(VLOOKUP(Bidding!$B57,Lookup!$F$2:$I$4,4)+1, CHARS,2,TRUE)&amp;"$567")&amp;INDIRECT("Input!$"&amp;VLOOKUP(VLOOKUP(Bidding!$B57,Lookup!$F$2:$I$4,4)+2, CHARS,2,TRUE)&amp;"$1:$"&amp;VLOOKUP(VLOOKUP(Bidding!$B57,Lookup!$F$2:$I$4,4)+2, CHARS,2,TRUE)&amp;"$567"),0)),"")</f>
        <v/>
      </c>
      <c r="I57" t="str">
        <f ca="1"/>
        <v/>
      </c>
      <c r="J57" t="str">
        <f ca="1"/>
        <v/>
      </c>
    </row>
    <row r="58" spans="1:10" x14ac:dyDescent="0.2">
      <c r="A58" s="4">
        <f>IFERROR(IF((A57+1)/$D$7&lt;$D$5*$D$4,A57+1,""),"")</f>
        <v>46</v>
      </c>
      <c r="B58" t="str">
        <f ca="1">IFERROR(IF(NOT(ISBLANK(A58)),VLOOKUP(MOD(A58,$D$7),INDIRECT("Lookup!$A$2:$B$"&amp;$D$7+1),2,FALSE),""),"B")</f>
        <v>Transaction volume</v>
      </c>
      <c r="D58" t="str">
        <f t="shared" ca="1" si="5"/>
        <v/>
      </c>
      <c r="E58">
        <f t="shared" ca="1" si="2"/>
        <v>2</v>
      </c>
      <c r="F58">
        <f t="shared" ca="1" si="3"/>
        <v>3</v>
      </c>
      <c r="G58">
        <f t="shared" ca="1" si="4"/>
        <v>0</v>
      </c>
      <c r="H58" t="str">
        <f t="array" aca="1" ref="H58:J58" ca="1">IFERROR(INDEX(Input!$H$1:$H$567,MATCH(VLOOKUP(Bidding!$B58,Lookup!$F$2:$I$4,2,FALSE)&amp;VLOOKUP(Bidding!$B58,Lookup!$F$2:$I$4,3,FALSE)&amp;$F58&amp;$E58&amp;H$11,Input!$A$1:$A$567&amp;Input!$B$1:$B$567&amp;INDIRECT("Input!$"&amp;VLOOKUP(VLOOKUP(Bidding!$B58,Lookup!$F$2:$I$4,4), CHARS,2,TRUE)&amp;"$1:$"&amp;VLOOKUP(VLOOKUP(Bidding!$B58,Lookup!$F$2:$I$4,4), CHARS,2,TRUE)&amp;"$567")&amp;INDIRECT("Input!$"&amp;VLOOKUP(VLOOKUP(Bidding!$B58,Lookup!$F$2:$I$4,4)+1, CHARS,2,TRUE)&amp;"$1:$"&amp;VLOOKUP(VLOOKUP(Bidding!$B58,Lookup!$F$2:$I$4,4)+1, CHARS,2,TRUE)&amp;"$567")&amp;INDIRECT("Input!$"&amp;VLOOKUP(VLOOKUP(Bidding!$B58,Lookup!$F$2:$I$4,4)+2, CHARS,2,TRUE)&amp;"$1:$"&amp;VLOOKUP(VLOOKUP(Bidding!$B58,Lookup!$F$2:$I$4,4)+2, CHARS,2,TRUE)&amp;"$567"),0)),"")</f>
        <v/>
      </c>
      <c r="I58" t="str">
        <f ca="1"/>
        <v/>
      </c>
      <c r="J58" t="str">
        <f ca="1"/>
        <v/>
      </c>
    </row>
    <row r="59" spans="1:10" x14ac:dyDescent="0.2">
      <c r="A59" s="4">
        <f>IFERROR(IF((A58+1)/$D$7&lt;$D$5*$D$4,A58+1,""),"")</f>
        <v>47</v>
      </c>
      <c r="B59" t="str">
        <f ca="1">IFERROR(IF(NOT(ISBLANK(A59)),VLOOKUP(MOD(A59,$D$7),INDIRECT("Lookup!$A$2:$B$"&amp;$D$7+1),2,FALSE),""),"B")</f>
        <v>Production quantity</v>
      </c>
      <c r="D59" t="str">
        <f t="shared" ca="1" si="5"/>
        <v/>
      </c>
      <c r="E59">
        <f t="shared" ca="1" si="2"/>
        <v>2</v>
      </c>
      <c r="F59">
        <f t="shared" ca="1" si="3"/>
        <v>3</v>
      </c>
      <c r="G59">
        <f t="shared" ca="1" si="4"/>
        <v>0</v>
      </c>
      <c r="H59" t="str">
        <f t="array" aca="1" ref="H59:J59" ca="1">IFERROR(INDEX(Input!$H$1:$H$567,MATCH(VLOOKUP(Bidding!$B59,Lookup!$F$2:$I$4,2,FALSE)&amp;VLOOKUP(Bidding!$B59,Lookup!$F$2:$I$4,3,FALSE)&amp;$F59&amp;$E59&amp;H$11,Input!$A$1:$A$567&amp;Input!$B$1:$B$567&amp;INDIRECT("Input!$"&amp;VLOOKUP(VLOOKUP(Bidding!$B59,Lookup!$F$2:$I$4,4), CHARS,2,TRUE)&amp;"$1:$"&amp;VLOOKUP(VLOOKUP(Bidding!$B59,Lookup!$F$2:$I$4,4), CHARS,2,TRUE)&amp;"$567")&amp;INDIRECT("Input!$"&amp;VLOOKUP(VLOOKUP(Bidding!$B59,Lookup!$F$2:$I$4,4)+1, CHARS,2,TRUE)&amp;"$1:$"&amp;VLOOKUP(VLOOKUP(Bidding!$B59,Lookup!$F$2:$I$4,4)+1, CHARS,2,TRUE)&amp;"$567")&amp;INDIRECT("Input!$"&amp;VLOOKUP(VLOOKUP(Bidding!$B59,Lookup!$F$2:$I$4,4)+2, CHARS,2,TRUE)&amp;"$1:$"&amp;VLOOKUP(VLOOKUP(Bidding!$B59,Lookup!$F$2:$I$4,4)+2, CHARS,2,TRUE)&amp;"$567"),0)),"")</f>
        <v/>
      </c>
      <c r="I59" t="str">
        <f ca="1"/>
        <v/>
      </c>
      <c r="J59" t="str">
        <f ca="1"/>
        <v/>
      </c>
    </row>
    <row r="60" spans="1:10" x14ac:dyDescent="0.2">
      <c r="A60" s="4">
        <f>IFERROR(IF((A59+1)/$D$7&lt;$D$5*$D$4,A59+1,""),"")</f>
        <v>48</v>
      </c>
      <c r="B60" t="str">
        <f ca="1">IFERROR(IF(NOT(ISBLANK(A60)),VLOOKUP(MOD(A60,$D$7),INDIRECT("Lookup!$A$2:$B$"&amp;$D$7+1),2,FALSE),""),"B")</f>
        <v>Delivery product</v>
      </c>
      <c r="D60" t="str">
        <f t="shared" ca="1" si="5"/>
        <v>Error</v>
      </c>
      <c r="E60" t="str">
        <f t="shared" ca="1" si="2"/>
        <v/>
      </c>
      <c r="F60" t="str">
        <f t="shared" ca="1" si="3"/>
        <v/>
      </c>
      <c r="G60" t="str">
        <f t="shared" ca="1" si="4"/>
        <v/>
      </c>
      <c r="H60" t="str">
        <f t="array" aca="1" ref="H60:J60" ca="1">IFERROR(INDEX(Input!$H$1:$H$567,MATCH(VLOOKUP(Bidding!$B60,Lookup!$F$2:$I$4,2,FALSE)&amp;VLOOKUP(Bidding!$B60,Lookup!$F$2:$I$4,3,FALSE)&amp;$F60&amp;$E60&amp;H$11,Input!$A$1:$A$567&amp;Input!$B$1:$B$567&amp;INDIRECT("Input!$"&amp;VLOOKUP(VLOOKUP(Bidding!$B60,Lookup!$F$2:$I$4,4), CHARS,2,TRUE)&amp;"$1:$"&amp;VLOOKUP(VLOOKUP(Bidding!$B60,Lookup!$F$2:$I$4,4), CHARS,2,TRUE)&amp;"$567")&amp;INDIRECT("Input!$"&amp;VLOOKUP(VLOOKUP(Bidding!$B60,Lookup!$F$2:$I$4,4)+1, CHARS,2,TRUE)&amp;"$1:$"&amp;VLOOKUP(VLOOKUP(Bidding!$B60,Lookup!$F$2:$I$4,4)+1, CHARS,2,TRUE)&amp;"$567")&amp;INDIRECT("Input!$"&amp;VLOOKUP(VLOOKUP(Bidding!$B60,Lookup!$F$2:$I$4,4)+2, CHARS,2,TRUE)&amp;"$1:$"&amp;VLOOKUP(VLOOKUP(Bidding!$B60,Lookup!$F$2:$I$4,4)+2, CHARS,2,TRUE)&amp;"$567"),0)),"")</f>
        <v/>
      </c>
      <c r="I60" t="str">
        <f ca="1"/>
        <v/>
      </c>
      <c r="J60" t="str">
        <f ca="1"/>
        <v/>
      </c>
    </row>
    <row r="61" spans="1:10" x14ac:dyDescent="0.2">
      <c r="A61" s="4">
        <f>IFERROR(IF((A60+1)/$D$7&lt;$D$5*$D$4,A60+1,""),"")</f>
        <v>49</v>
      </c>
      <c r="B61" t="str">
        <f ca="1">IFERROR(IF(NOT(ISBLANK(A61)),VLOOKUP(MOD(A61,$D$7),INDIRECT("Lookup!$A$2:$B$"&amp;$D$7+1),2,FALSE),""),"B")</f>
        <v>Bid volume</v>
      </c>
      <c r="D61" t="str">
        <f t="shared" ref="D61:D78" ca="1" si="6">IFERROR(IF(NOT(ISBLANK(A61)),IF(B61="Transaction volume",IF(OR(H61&gt;H60,I61&gt;I60,J61&gt;J60),"Error",""),IF(G61&lt;&gt;G60,"Error","")),""),"")</f>
        <v>Error</v>
      </c>
      <c r="E61">
        <f t="shared" ca="1" si="2"/>
        <v>0</v>
      </c>
      <c r="F61">
        <f t="shared" ca="1" si="3"/>
        <v>4</v>
      </c>
      <c r="G61">
        <f t="shared" ca="1" si="4"/>
        <v>0</v>
      </c>
      <c r="H61" t="str">
        <f t="array" aca="1" ref="H61:J61" ca="1">IFERROR(INDEX(Input!$H$1:$H$567,MATCH(VLOOKUP(Bidding!$B61,Lookup!$F$2:$I$4,2,FALSE)&amp;VLOOKUP(Bidding!$B61,Lookup!$F$2:$I$4,3,FALSE)&amp;$F61&amp;$E61&amp;H$11,Input!$A$1:$A$567&amp;Input!$B$1:$B$567&amp;INDIRECT("Input!$"&amp;VLOOKUP(VLOOKUP(Bidding!$B61,Lookup!$F$2:$I$4,4), CHARS,2,TRUE)&amp;"$1:$"&amp;VLOOKUP(VLOOKUP(Bidding!$B61,Lookup!$F$2:$I$4,4), CHARS,2,TRUE)&amp;"$567")&amp;INDIRECT("Input!$"&amp;VLOOKUP(VLOOKUP(Bidding!$B61,Lookup!$F$2:$I$4,4)+1, CHARS,2,TRUE)&amp;"$1:$"&amp;VLOOKUP(VLOOKUP(Bidding!$B61,Lookup!$F$2:$I$4,4)+1, CHARS,2,TRUE)&amp;"$567")&amp;INDIRECT("Input!$"&amp;VLOOKUP(VLOOKUP(Bidding!$B61,Lookup!$F$2:$I$4,4)+2, CHARS,2,TRUE)&amp;"$1:$"&amp;VLOOKUP(VLOOKUP(Bidding!$B61,Lookup!$F$2:$I$4,4)+2, CHARS,2,TRUE)&amp;"$567"),0)),"")</f>
        <v/>
      </c>
      <c r="I61" t="str">
        <f ca="1"/>
        <v/>
      </c>
      <c r="J61" t="str">
        <f ca="1"/>
        <v/>
      </c>
    </row>
    <row r="62" spans="1:10" x14ac:dyDescent="0.2">
      <c r="A62" s="4">
        <f>IFERROR(IF((A61+1)/$D$7&lt;$D$5*$D$4,A61+1,""),"")</f>
        <v>50</v>
      </c>
      <c r="B62" t="str">
        <f ca="1">IFERROR(IF(NOT(ISBLANK(A62)),VLOOKUP(MOD(A62,$D$7),INDIRECT("Lookup!$A$2:$B$"&amp;$D$7+1),2,FALSE),""),"B")</f>
        <v>Transaction volume</v>
      </c>
      <c r="D62" t="str">
        <f t="shared" ca="1" si="6"/>
        <v/>
      </c>
      <c r="E62">
        <f t="shared" ca="1" si="2"/>
        <v>0</v>
      </c>
      <c r="F62">
        <f t="shared" ca="1" si="3"/>
        <v>4</v>
      </c>
      <c r="G62">
        <f t="shared" ca="1" si="4"/>
        <v>0</v>
      </c>
      <c r="H62" t="str">
        <f t="array" aca="1" ref="H62:J62" ca="1">IFERROR(INDEX(Input!$H$1:$H$567,MATCH(VLOOKUP(Bidding!$B62,Lookup!$F$2:$I$4,2,FALSE)&amp;VLOOKUP(Bidding!$B62,Lookup!$F$2:$I$4,3,FALSE)&amp;$F62&amp;$E62&amp;H$11,Input!$A$1:$A$567&amp;Input!$B$1:$B$567&amp;INDIRECT("Input!$"&amp;VLOOKUP(VLOOKUP(Bidding!$B62,Lookup!$F$2:$I$4,4), CHARS,2,TRUE)&amp;"$1:$"&amp;VLOOKUP(VLOOKUP(Bidding!$B62,Lookup!$F$2:$I$4,4), CHARS,2,TRUE)&amp;"$567")&amp;INDIRECT("Input!$"&amp;VLOOKUP(VLOOKUP(Bidding!$B62,Lookup!$F$2:$I$4,4)+1, CHARS,2,TRUE)&amp;"$1:$"&amp;VLOOKUP(VLOOKUP(Bidding!$B62,Lookup!$F$2:$I$4,4)+1, CHARS,2,TRUE)&amp;"$567")&amp;INDIRECT("Input!$"&amp;VLOOKUP(VLOOKUP(Bidding!$B62,Lookup!$F$2:$I$4,4)+2, CHARS,2,TRUE)&amp;"$1:$"&amp;VLOOKUP(VLOOKUP(Bidding!$B62,Lookup!$F$2:$I$4,4)+2, CHARS,2,TRUE)&amp;"$567"),0)),"")</f>
        <v/>
      </c>
      <c r="I62" t="str">
        <f ca="1"/>
        <v/>
      </c>
      <c r="J62" t="str">
        <f ca="1"/>
        <v/>
      </c>
    </row>
    <row r="63" spans="1:10" x14ac:dyDescent="0.2">
      <c r="A63" s="4">
        <f>IFERROR(IF((A62+1)/$D$7&lt;$D$5*$D$4,A62+1,""),"")</f>
        <v>51</v>
      </c>
      <c r="B63" t="str">
        <f ca="1">IFERROR(IF(NOT(ISBLANK(A63)),VLOOKUP(MOD(A63,$D$7),INDIRECT("Lookup!$A$2:$B$"&amp;$D$7+1),2,FALSE),""),"B")</f>
        <v>Production quantity</v>
      </c>
      <c r="D63" t="str">
        <f t="shared" ca="1" si="6"/>
        <v/>
      </c>
      <c r="E63">
        <f t="shared" ca="1" si="2"/>
        <v>0</v>
      </c>
      <c r="F63">
        <f t="shared" ca="1" si="3"/>
        <v>4</v>
      </c>
      <c r="G63">
        <f t="shared" ca="1" si="4"/>
        <v>0</v>
      </c>
      <c r="H63" t="str">
        <f t="array" aca="1" ref="H63:J63" ca="1">IFERROR(INDEX(Input!$H$1:$H$567,MATCH(VLOOKUP(Bidding!$B63,Lookup!$F$2:$I$4,2,FALSE)&amp;VLOOKUP(Bidding!$B63,Lookup!$F$2:$I$4,3,FALSE)&amp;$F63&amp;$E63&amp;H$11,Input!$A$1:$A$567&amp;Input!$B$1:$B$567&amp;INDIRECT("Input!$"&amp;VLOOKUP(VLOOKUP(Bidding!$B63,Lookup!$F$2:$I$4,4), CHARS,2,TRUE)&amp;"$1:$"&amp;VLOOKUP(VLOOKUP(Bidding!$B63,Lookup!$F$2:$I$4,4), CHARS,2,TRUE)&amp;"$567")&amp;INDIRECT("Input!$"&amp;VLOOKUP(VLOOKUP(Bidding!$B63,Lookup!$F$2:$I$4,4)+1, CHARS,2,TRUE)&amp;"$1:$"&amp;VLOOKUP(VLOOKUP(Bidding!$B63,Lookup!$F$2:$I$4,4)+1, CHARS,2,TRUE)&amp;"$567")&amp;INDIRECT("Input!$"&amp;VLOOKUP(VLOOKUP(Bidding!$B63,Lookup!$F$2:$I$4,4)+2, CHARS,2,TRUE)&amp;"$1:$"&amp;VLOOKUP(VLOOKUP(Bidding!$B63,Lookup!$F$2:$I$4,4)+2, CHARS,2,TRUE)&amp;"$567"),0)),"")</f>
        <v/>
      </c>
      <c r="I63" t="str">
        <f ca="1"/>
        <v/>
      </c>
      <c r="J63" t="str">
        <f ca="1"/>
        <v/>
      </c>
    </row>
    <row r="64" spans="1:10" x14ac:dyDescent="0.2">
      <c r="A64" s="4">
        <f>IFERROR(IF((A63+1)/$D$7&lt;$D$5*$D$4,A63+1,""),"")</f>
        <v>52</v>
      </c>
      <c r="B64" t="str">
        <f ca="1">IFERROR(IF(NOT(ISBLANK(A64)),VLOOKUP(MOD(A64,$D$7),INDIRECT("Lookup!$A$2:$B$"&amp;$D$7+1),2,FALSE),""),"B")</f>
        <v>Delivery product</v>
      </c>
      <c r="D64" t="str">
        <f t="shared" ca="1" si="6"/>
        <v>Error</v>
      </c>
      <c r="E64" t="str">
        <f t="shared" ca="1" si="2"/>
        <v/>
      </c>
      <c r="F64" t="str">
        <f t="shared" ca="1" si="3"/>
        <v/>
      </c>
      <c r="G64" t="str">
        <f t="shared" ca="1" si="4"/>
        <v/>
      </c>
      <c r="H64" t="str">
        <f t="array" aca="1" ref="H64:J64" ca="1">IFERROR(INDEX(Input!$H$1:$H$567,MATCH(VLOOKUP(Bidding!$B64,Lookup!$F$2:$I$4,2,FALSE)&amp;VLOOKUP(Bidding!$B64,Lookup!$F$2:$I$4,3,FALSE)&amp;$F64&amp;$E64&amp;H$11,Input!$A$1:$A$567&amp;Input!$B$1:$B$567&amp;INDIRECT("Input!$"&amp;VLOOKUP(VLOOKUP(Bidding!$B64,Lookup!$F$2:$I$4,4), CHARS,2,TRUE)&amp;"$1:$"&amp;VLOOKUP(VLOOKUP(Bidding!$B64,Lookup!$F$2:$I$4,4), CHARS,2,TRUE)&amp;"$567")&amp;INDIRECT("Input!$"&amp;VLOOKUP(VLOOKUP(Bidding!$B64,Lookup!$F$2:$I$4,4)+1, CHARS,2,TRUE)&amp;"$1:$"&amp;VLOOKUP(VLOOKUP(Bidding!$B64,Lookup!$F$2:$I$4,4)+1, CHARS,2,TRUE)&amp;"$567")&amp;INDIRECT("Input!$"&amp;VLOOKUP(VLOOKUP(Bidding!$B64,Lookup!$F$2:$I$4,4)+2, CHARS,2,TRUE)&amp;"$1:$"&amp;VLOOKUP(VLOOKUP(Bidding!$B64,Lookup!$F$2:$I$4,4)+2, CHARS,2,TRUE)&amp;"$567"),0)),"")</f>
        <v/>
      </c>
      <c r="I64" t="str">
        <f ca="1"/>
        <v/>
      </c>
      <c r="J64" t="str">
        <f ca="1"/>
        <v/>
      </c>
    </row>
    <row r="65" spans="1:10" x14ac:dyDescent="0.2">
      <c r="A65" s="4">
        <f>IFERROR(IF((A64+1)/$D$7&lt;$D$5*$D$4,A64+1,""),"")</f>
        <v>53</v>
      </c>
      <c r="B65" t="str">
        <f ca="1">IFERROR(IF(NOT(ISBLANK(A65)),VLOOKUP(MOD(A65,$D$7),INDIRECT("Lookup!$A$2:$B$"&amp;$D$7+1),2,FALSE),""),"B")</f>
        <v>Bid volume</v>
      </c>
      <c r="D65" t="str">
        <f t="shared" ca="1" si="6"/>
        <v>Error</v>
      </c>
      <c r="E65">
        <f t="shared" ca="1" si="2"/>
        <v>1</v>
      </c>
      <c r="F65">
        <f t="shared" ca="1" si="3"/>
        <v>4</v>
      </c>
      <c r="G65">
        <f t="shared" ca="1" si="4"/>
        <v>0</v>
      </c>
      <c r="H65" t="str">
        <f t="array" aca="1" ref="H65:J65" ca="1">IFERROR(INDEX(Input!$H$1:$H$567,MATCH(VLOOKUP(Bidding!$B65,Lookup!$F$2:$I$4,2,FALSE)&amp;VLOOKUP(Bidding!$B65,Lookup!$F$2:$I$4,3,FALSE)&amp;$F65&amp;$E65&amp;H$11,Input!$A$1:$A$567&amp;Input!$B$1:$B$567&amp;INDIRECT("Input!$"&amp;VLOOKUP(VLOOKUP(Bidding!$B65,Lookup!$F$2:$I$4,4), CHARS,2,TRUE)&amp;"$1:$"&amp;VLOOKUP(VLOOKUP(Bidding!$B65,Lookup!$F$2:$I$4,4), CHARS,2,TRUE)&amp;"$567")&amp;INDIRECT("Input!$"&amp;VLOOKUP(VLOOKUP(Bidding!$B65,Lookup!$F$2:$I$4,4)+1, CHARS,2,TRUE)&amp;"$1:$"&amp;VLOOKUP(VLOOKUP(Bidding!$B65,Lookup!$F$2:$I$4,4)+1, CHARS,2,TRUE)&amp;"$567")&amp;INDIRECT("Input!$"&amp;VLOOKUP(VLOOKUP(Bidding!$B65,Lookup!$F$2:$I$4,4)+2, CHARS,2,TRUE)&amp;"$1:$"&amp;VLOOKUP(VLOOKUP(Bidding!$B65,Lookup!$F$2:$I$4,4)+2, CHARS,2,TRUE)&amp;"$567"),0)),"")</f>
        <v/>
      </c>
      <c r="I65" t="str">
        <f ca="1"/>
        <v/>
      </c>
      <c r="J65" t="str">
        <f ca="1"/>
        <v/>
      </c>
    </row>
    <row r="66" spans="1:10" x14ac:dyDescent="0.2">
      <c r="A66" s="4">
        <f>IFERROR(IF((A65+1)/$D$7&lt;$D$5*$D$4,A65+1,""),"")</f>
        <v>54</v>
      </c>
      <c r="B66" t="str">
        <f ca="1">IFERROR(IF(NOT(ISBLANK(A66)),VLOOKUP(MOD(A66,$D$7),INDIRECT("Lookup!$A$2:$B$"&amp;$D$7+1),2,FALSE),""),"B")</f>
        <v>Transaction volume</v>
      </c>
      <c r="D66" t="str">
        <f t="shared" ca="1" si="6"/>
        <v/>
      </c>
      <c r="E66">
        <f t="shared" ca="1" si="2"/>
        <v>1</v>
      </c>
      <c r="F66">
        <f t="shared" ca="1" si="3"/>
        <v>4</v>
      </c>
      <c r="G66">
        <f t="shared" ca="1" si="4"/>
        <v>0</v>
      </c>
      <c r="H66" t="str">
        <f t="array" aca="1" ref="H66:J66" ca="1">IFERROR(INDEX(Input!$H$1:$H$567,MATCH(VLOOKUP(Bidding!$B66,Lookup!$F$2:$I$4,2,FALSE)&amp;VLOOKUP(Bidding!$B66,Lookup!$F$2:$I$4,3,FALSE)&amp;$F66&amp;$E66&amp;H$11,Input!$A$1:$A$567&amp;Input!$B$1:$B$567&amp;INDIRECT("Input!$"&amp;VLOOKUP(VLOOKUP(Bidding!$B66,Lookup!$F$2:$I$4,4), CHARS,2,TRUE)&amp;"$1:$"&amp;VLOOKUP(VLOOKUP(Bidding!$B66,Lookup!$F$2:$I$4,4), CHARS,2,TRUE)&amp;"$567")&amp;INDIRECT("Input!$"&amp;VLOOKUP(VLOOKUP(Bidding!$B66,Lookup!$F$2:$I$4,4)+1, CHARS,2,TRUE)&amp;"$1:$"&amp;VLOOKUP(VLOOKUP(Bidding!$B66,Lookup!$F$2:$I$4,4)+1, CHARS,2,TRUE)&amp;"$567")&amp;INDIRECT("Input!$"&amp;VLOOKUP(VLOOKUP(Bidding!$B66,Lookup!$F$2:$I$4,4)+2, CHARS,2,TRUE)&amp;"$1:$"&amp;VLOOKUP(VLOOKUP(Bidding!$B66,Lookup!$F$2:$I$4,4)+2, CHARS,2,TRUE)&amp;"$567"),0)),"")</f>
        <v/>
      </c>
      <c r="I66" t="str">
        <f ca="1"/>
        <v/>
      </c>
      <c r="J66" t="str">
        <f ca="1"/>
        <v/>
      </c>
    </row>
    <row r="67" spans="1:10" x14ac:dyDescent="0.2">
      <c r="A67" s="4">
        <f>IFERROR(IF((A66+1)/$D$7&lt;$D$5*$D$4,A66+1,""),"")</f>
        <v>55</v>
      </c>
      <c r="B67" t="str">
        <f ca="1">IFERROR(IF(NOT(ISBLANK(A67)),VLOOKUP(MOD(A67,$D$7),INDIRECT("Lookup!$A$2:$B$"&amp;$D$7+1),2,FALSE),""),"B")</f>
        <v>Production quantity</v>
      </c>
      <c r="D67" t="str">
        <f t="shared" ca="1" si="6"/>
        <v/>
      </c>
      <c r="E67">
        <f t="shared" ca="1" si="2"/>
        <v>1</v>
      </c>
      <c r="F67">
        <f t="shared" ca="1" si="3"/>
        <v>4</v>
      </c>
      <c r="G67">
        <f t="shared" ca="1" si="4"/>
        <v>0</v>
      </c>
      <c r="H67" t="str">
        <f t="array" aca="1" ref="H67:J67" ca="1">IFERROR(INDEX(Input!$H$1:$H$567,MATCH(VLOOKUP(Bidding!$B67,Lookup!$F$2:$I$4,2,FALSE)&amp;VLOOKUP(Bidding!$B67,Lookup!$F$2:$I$4,3,FALSE)&amp;$F67&amp;$E67&amp;H$11,Input!$A$1:$A$567&amp;Input!$B$1:$B$567&amp;INDIRECT("Input!$"&amp;VLOOKUP(VLOOKUP(Bidding!$B67,Lookup!$F$2:$I$4,4), CHARS,2,TRUE)&amp;"$1:$"&amp;VLOOKUP(VLOOKUP(Bidding!$B67,Lookup!$F$2:$I$4,4), CHARS,2,TRUE)&amp;"$567")&amp;INDIRECT("Input!$"&amp;VLOOKUP(VLOOKUP(Bidding!$B67,Lookup!$F$2:$I$4,4)+1, CHARS,2,TRUE)&amp;"$1:$"&amp;VLOOKUP(VLOOKUP(Bidding!$B67,Lookup!$F$2:$I$4,4)+1, CHARS,2,TRUE)&amp;"$567")&amp;INDIRECT("Input!$"&amp;VLOOKUP(VLOOKUP(Bidding!$B67,Lookup!$F$2:$I$4,4)+2, CHARS,2,TRUE)&amp;"$1:$"&amp;VLOOKUP(VLOOKUP(Bidding!$B67,Lookup!$F$2:$I$4,4)+2, CHARS,2,TRUE)&amp;"$567"),0)),"")</f>
        <v/>
      </c>
      <c r="I67" t="str">
        <f ca="1"/>
        <v/>
      </c>
      <c r="J67" t="str">
        <f ca="1"/>
        <v/>
      </c>
    </row>
    <row r="68" spans="1:10" x14ac:dyDescent="0.2">
      <c r="A68" s="4">
        <f>IFERROR(IF((A67+1)/$D$7&lt;$D$5*$D$4,A67+1,""),"")</f>
        <v>56</v>
      </c>
      <c r="B68" t="str">
        <f ca="1">IFERROR(IF(NOT(ISBLANK(A68)),VLOOKUP(MOD(A68,$D$7),INDIRECT("Lookup!$A$2:$B$"&amp;$D$7+1),2,FALSE),""),"B")</f>
        <v>Delivery product</v>
      </c>
      <c r="D68" t="str">
        <f t="shared" ca="1" si="6"/>
        <v>Error</v>
      </c>
      <c r="E68" t="str">
        <f t="shared" ca="1" si="2"/>
        <v/>
      </c>
      <c r="F68" t="str">
        <f t="shared" ca="1" si="3"/>
        <v/>
      </c>
      <c r="G68" t="str">
        <f t="shared" ca="1" si="4"/>
        <v/>
      </c>
      <c r="H68" t="str">
        <f t="array" aca="1" ref="H68:J68" ca="1">IFERROR(INDEX(Input!$H$1:$H$567,MATCH(VLOOKUP(Bidding!$B68,Lookup!$F$2:$I$4,2,FALSE)&amp;VLOOKUP(Bidding!$B68,Lookup!$F$2:$I$4,3,FALSE)&amp;$F68&amp;$E68&amp;H$11,Input!$A$1:$A$567&amp;Input!$B$1:$B$567&amp;INDIRECT("Input!$"&amp;VLOOKUP(VLOOKUP(Bidding!$B68,Lookup!$F$2:$I$4,4), CHARS,2,TRUE)&amp;"$1:$"&amp;VLOOKUP(VLOOKUP(Bidding!$B68,Lookup!$F$2:$I$4,4), CHARS,2,TRUE)&amp;"$567")&amp;INDIRECT("Input!$"&amp;VLOOKUP(VLOOKUP(Bidding!$B68,Lookup!$F$2:$I$4,4)+1, CHARS,2,TRUE)&amp;"$1:$"&amp;VLOOKUP(VLOOKUP(Bidding!$B68,Lookup!$F$2:$I$4,4)+1, CHARS,2,TRUE)&amp;"$567")&amp;INDIRECT("Input!$"&amp;VLOOKUP(VLOOKUP(Bidding!$B68,Lookup!$F$2:$I$4,4)+2, CHARS,2,TRUE)&amp;"$1:$"&amp;VLOOKUP(VLOOKUP(Bidding!$B68,Lookup!$F$2:$I$4,4)+2, CHARS,2,TRUE)&amp;"$567"),0)),"")</f>
        <v/>
      </c>
      <c r="I68" t="str">
        <f ca="1"/>
        <v/>
      </c>
      <c r="J68" t="str">
        <f ca="1"/>
        <v/>
      </c>
    </row>
    <row r="69" spans="1:10" x14ac:dyDescent="0.2">
      <c r="A69" s="4">
        <f>IFERROR(IF((A68+1)/$D$7&lt;$D$5*$D$4,A68+1,""),"")</f>
        <v>57</v>
      </c>
      <c r="B69" t="str">
        <f ca="1">IFERROR(IF(NOT(ISBLANK(A69)),VLOOKUP(MOD(A69,$D$7),INDIRECT("Lookup!$A$2:$B$"&amp;$D$7+1),2,FALSE),""),"B")</f>
        <v>Bid volume</v>
      </c>
      <c r="D69" t="str">
        <f t="shared" ca="1" si="6"/>
        <v>Error</v>
      </c>
      <c r="E69">
        <f t="shared" ca="1" si="2"/>
        <v>2</v>
      </c>
      <c r="F69">
        <f t="shared" ca="1" si="3"/>
        <v>4</v>
      </c>
      <c r="G69">
        <f t="shared" ca="1" si="4"/>
        <v>0</v>
      </c>
      <c r="H69" t="str">
        <f t="array" aca="1" ref="H69:J69" ca="1">IFERROR(INDEX(Input!$H$1:$H$567,MATCH(VLOOKUP(Bidding!$B69,Lookup!$F$2:$I$4,2,FALSE)&amp;VLOOKUP(Bidding!$B69,Lookup!$F$2:$I$4,3,FALSE)&amp;$F69&amp;$E69&amp;H$11,Input!$A$1:$A$567&amp;Input!$B$1:$B$567&amp;INDIRECT("Input!$"&amp;VLOOKUP(VLOOKUP(Bidding!$B69,Lookup!$F$2:$I$4,4), CHARS,2,TRUE)&amp;"$1:$"&amp;VLOOKUP(VLOOKUP(Bidding!$B69,Lookup!$F$2:$I$4,4), CHARS,2,TRUE)&amp;"$567")&amp;INDIRECT("Input!$"&amp;VLOOKUP(VLOOKUP(Bidding!$B69,Lookup!$F$2:$I$4,4)+1, CHARS,2,TRUE)&amp;"$1:$"&amp;VLOOKUP(VLOOKUP(Bidding!$B69,Lookup!$F$2:$I$4,4)+1, CHARS,2,TRUE)&amp;"$567")&amp;INDIRECT("Input!$"&amp;VLOOKUP(VLOOKUP(Bidding!$B69,Lookup!$F$2:$I$4,4)+2, CHARS,2,TRUE)&amp;"$1:$"&amp;VLOOKUP(VLOOKUP(Bidding!$B69,Lookup!$F$2:$I$4,4)+2, CHARS,2,TRUE)&amp;"$567"),0)),"")</f>
        <v/>
      </c>
      <c r="I69" t="str">
        <f ca="1"/>
        <v/>
      </c>
      <c r="J69" t="str">
        <f ca="1"/>
        <v/>
      </c>
    </row>
    <row r="70" spans="1:10" x14ac:dyDescent="0.2">
      <c r="A70" s="4">
        <f>IFERROR(IF((A69+1)/$D$7&lt;$D$5*$D$4,A69+1,""),"")</f>
        <v>58</v>
      </c>
      <c r="B70" t="str">
        <f ca="1">IFERROR(IF(NOT(ISBLANK(A70)),VLOOKUP(MOD(A70,$D$7),INDIRECT("Lookup!$A$2:$B$"&amp;$D$7+1),2,FALSE),""),"B")</f>
        <v>Transaction volume</v>
      </c>
      <c r="D70" t="str">
        <f t="shared" ca="1" si="6"/>
        <v/>
      </c>
      <c r="E70">
        <f t="shared" ca="1" si="2"/>
        <v>2</v>
      </c>
      <c r="F70">
        <f t="shared" ca="1" si="3"/>
        <v>4</v>
      </c>
      <c r="G70">
        <f t="shared" ca="1" si="4"/>
        <v>0</v>
      </c>
      <c r="H70" t="str">
        <f t="array" aca="1" ref="H70:J70" ca="1">IFERROR(INDEX(Input!$H$1:$H$567,MATCH(VLOOKUP(Bidding!$B70,Lookup!$F$2:$I$4,2,FALSE)&amp;VLOOKUP(Bidding!$B70,Lookup!$F$2:$I$4,3,FALSE)&amp;$F70&amp;$E70&amp;H$11,Input!$A$1:$A$567&amp;Input!$B$1:$B$567&amp;INDIRECT("Input!$"&amp;VLOOKUP(VLOOKUP(Bidding!$B70,Lookup!$F$2:$I$4,4), CHARS,2,TRUE)&amp;"$1:$"&amp;VLOOKUP(VLOOKUP(Bidding!$B70,Lookup!$F$2:$I$4,4), CHARS,2,TRUE)&amp;"$567")&amp;INDIRECT("Input!$"&amp;VLOOKUP(VLOOKUP(Bidding!$B70,Lookup!$F$2:$I$4,4)+1, CHARS,2,TRUE)&amp;"$1:$"&amp;VLOOKUP(VLOOKUP(Bidding!$B70,Lookup!$F$2:$I$4,4)+1, CHARS,2,TRUE)&amp;"$567")&amp;INDIRECT("Input!$"&amp;VLOOKUP(VLOOKUP(Bidding!$B70,Lookup!$F$2:$I$4,4)+2, CHARS,2,TRUE)&amp;"$1:$"&amp;VLOOKUP(VLOOKUP(Bidding!$B70,Lookup!$F$2:$I$4,4)+2, CHARS,2,TRUE)&amp;"$567"),0)),"")</f>
        <v/>
      </c>
      <c r="I70" t="str">
        <f ca="1"/>
        <v/>
      </c>
      <c r="J70" t="str">
        <f ca="1"/>
        <v/>
      </c>
    </row>
    <row r="71" spans="1:10" x14ac:dyDescent="0.2">
      <c r="A71" s="4">
        <f>IFERROR(IF((A70+1)/$D$7&lt;$D$5*$D$4,A70+1,""),"")</f>
        <v>59</v>
      </c>
      <c r="B71" t="str">
        <f ca="1">IFERROR(IF(NOT(ISBLANK(A71)),VLOOKUP(MOD(A71,$D$7),INDIRECT("Lookup!$A$2:$B$"&amp;$D$7+1),2,FALSE),""),"B")</f>
        <v>Production quantity</v>
      </c>
      <c r="D71" t="str">
        <f t="shared" ca="1" si="6"/>
        <v/>
      </c>
      <c r="E71">
        <f t="shared" ca="1" si="2"/>
        <v>2</v>
      </c>
      <c r="F71">
        <f t="shared" ca="1" si="3"/>
        <v>4</v>
      </c>
      <c r="G71">
        <f t="shared" ca="1" si="4"/>
        <v>0</v>
      </c>
      <c r="H71" t="str">
        <f t="array" aca="1" ref="H71:J71" ca="1">IFERROR(INDEX(Input!$H$1:$H$567,MATCH(VLOOKUP(Bidding!$B71,Lookup!$F$2:$I$4,2,FALSE)&amp;VLOOKUP(Bidding!$B71,Lookup!$F$2:$I$4,3,FALSE)&amp;$F71&amp;$E71&amp;H$11,Input!$A$1:$A$567&amp;Input!$B$1:$B$567&amp;INDIRECT("Input!$"&amp;VLOOKUP(VLOOKUP(Bidding!$B71,Lookup!$F$2:$I$4,4), CHARS,2,TRUE)&amp;"$1:$"&amp;VLOOKUP(VLOOKUP(Bidding!$B71,Lookup!$F$2:$I$4,4), CHARS,2,TRUE)&amp;"$567")&amp;INDIRECT("Input!$"&amp;VLOOKUP(VLOOKUP(Bidding!$B71,Lookup!$F$2:$I$4,4)+1, CHARS,2,TRUE)&amp;"$1:$"&amp;VLOOKUP(VLOOKUP(Bidding!$B71,Lookup!$F$2:$I$4,4)+1, CHARS,2,TRUE)&amp;"$567")&amp;INDIRECT("Input!$"&amp;VLOOKUP(VLOOKUP(Bidding!$B71,Lookup!$F$2:$I$4,4)+2, CHARS,2,TRUE)&amp;"$1:$"&amp;VLOOKUP(VLOOKUP(Bidding!$B71,Lookup!$F$2:$I$4,4)+2, CHARS,2,TRUE)&amp;"$567"),0)),"")</f>
        <v/>
      </c>
      <c r="I71" t="str">
        <f ca="1"/>
        <v/>
      </c>
      <c r="J71" t="str">
        <f ca="1"/>
        <v/>
      </c>
    </row>
    <row r="72" spans="1:10" x14ac:dyDescent="0.2">
      <c r="A72" s="4">
        <f>IFERROR(IF((A71+1)/$D$7&lt;$D$5*$D$4,A71+1,""),"")</f>
        <v>60</v>
      </c>
      <c r="B72" t="str">
        <f ca="1">IFERROR(IF(NOT(ISBLANK(A72)),VLOOKUP(MOD(A72,$D$7),INDIRECT("Lookup!$A$2:$B$"&amp;$D$7+1),2,FALSE),""),"B")</f>
        <v>Delivery product</v>
      </c>
      <c r="D72" t="str">
        <f t="shared" ca="1" si="6"/>
        <v>Error</v>
      </c>
      <c r="E72" t="str">
        <f t="shared" ca="1" si="2"/>
        <v/>
      </c>
      <c r="F72" t="str">
        <f t="shared" ca="1" si="3"/>
        <v/>
      </c>
      <c r="G72" t="str">
        <f t="shared" ca="1" si="4"/>
        <v/>
      </c>
      <c r="H72" t="str">
        <f t="array" aca="1" ref="H72:J72" ca="1">IFERROR(INDEX(Input!$H$1:$H$567,MATCH(VLOOKUP(Bidding!$B72,Lookup!$F$2:$I$4,2,FALSE)&amp;VLOOKUP(Bidding!$B72,Lookup!$F$2:$I$4,3,FALSE)&amp;$F72&amp;$E72&amp;H$11,Input!$A$1:$A$567&amp;Input!$B$1:$B$567&amp;INDIRECT("Input!$"&amp;VLOOKUP(VLOOKUP(Bidding!$B72,Lookup!$F$2:$I$4,4), CHARS,2,TRUE)&amp;"$1:$"&amp;VLOOKUP(VLOOKUP(Bidding!$B72,Lookup!$F$2:$I$4,4), CHARS,2,TRUE)&amp;"$567")&amp;INDIRECT("Input!$"&amp;VLOOKUP(VLOOKUP(Bidding!$B72,Lookup!$F$2:$I$4,4)+1, CHARS,2,TRUE)&amp;"$1:$"&amp;VLOOKUP(VLOOKUP(Bidding!$B72,Lookup!$F$2:$I$4,4)+1, CHARS,2,TRUE)&amp;"$567")&amp;INDIRECT("Input!$"&amp;VLOOKUP(VLOOKUP(Bidding!$B72,Lookup!$F$2:$I$4,4)+2, CHARS,2,TRUE)&amp;"$1:$"&amp;VLOOKUP(VLOOKUP(Bidding!$B72,Lookup!$F$2:$I$4,4)+2, CHARS,2,TRUE)&amp;"$567"),0)),"")</f>
        <v/>
      </c>
      <c r="I72" t="str">
        <f ca="1"/>
        <v/>
      </c>
      <c r="J72" t="str">
        <f ca="1"/>
        <v/>
      </c>
    </row>
    <row r="73" spans="1:10" x14ac:dyDescent="0.2">
      <c r="A73" s="4">
        <f>IFERROR(IF((A72+1)/$D$7&lt;$D$5*$D$4,A72+1,""),"")</f>
        <v>61</v>
      </c>
      <c r="B73" t="str">
        <f ca="1">IFERROR(IF(NOT(ISBLANK(A73)),VLOOKUP(MOD(A73,$D$7),INDIRECT("Lookup!$A$2:$B$"&amp;$D$7+1),2,FALSE),""),"B")</f>
        <v>Bid volume</v>
      </c>
      <c r="D73" t="str">
        <f t="shared" ca="1" si="6"/>
        <v>Error</v>
      </c>
      <c r="E73">
        <f t="shared" ca="1" si="2"/>
        <v>0</v>
      </c>
      <c r="F73">
        <f t="shared" ca="1" si="3"/>
        <v>5</v>
      </c>
      <c r="G73">
        <f t="shared" ca="1" si="4"/>
        <v>0</v>
      </c>
      <c r="H73" t="str">
        <f t="array" aca="1" ref="H73:J73" ca="1">IFERROR(INDEX(Input!$H$1:$H$567,MATCH(VLOOKUP(Bidding!$B73,Lookup!$F$2:$I$4,2,FALSE)&amp;VLOOKUP(Bidding!$B73,Lookup!$F$2:$I$4,3,FALSE)&amp;$F73&amp;$E73&amp;H$11,Input!$A$1:$A$567&amp;Input!$B$1:$B$567&amp;INDIRECT("Input!$"&amp;VLOOKUP(VLOOKUP(Bidding!$B73,Lookup!$F$2:$I$4,4), CHARS,2,TRUE)&amp;"$1:$"&amp;VLOOKUP(VLOOKUP(Bidding!$B73,Lookup!$F$2:$I$4,4), CHARS,2,TRUE)&amp;"$567")&amp;INDIRECT("Input!$"&amp;VLOOKUP(VLOOKUP(Bidding!$B73,Lookup!$F$2:$I$4,4)+1, CHARS,2,TRUE)&amp;"$1:$"&amp;VLOOKUP(VLOOKUP(Bidding!$B73,Lookup!$F$2:$I$4,4)+1, CHARS,2,TRUE)&amp;"$567")&amp;INDIRECT("Input!$"&amp;VLOOKUP(VLOOKUP(Bidding!$B73,Lookup!$F$2:$I$4,4)+2, CHARS,2,TRUE)&amp;"$1:$"&amp;VLOOKUP(VLOOKUP(Bidding!$B73,Lookup!$F$2:$I$4,4)+2, CHARS,2,TRUE)&amp;"$567"),0)),"")</f>
        <v/>
      </c>
      <c r="I73" t="str">
        <f ca="1"/>
        <v/>
      </c>
      <c r="J73" t="str">
        <f ca="1"/>
        <v/>
      </c>
    </row>
    <row r="74" spans="1:10" x14ac:dyDescent="0.2">
      <c r="A74" s="4">
        <f>IFERROR(IF((A73+1)/$D$7&lt;$D$5*$D$4,A73+1,""),"")</f>
        <v>62</v>
      </c>
      <c r="B74" t="str">
        <f ca="1">IFERROR(IF(NOT(ISBLANK(A74)),VLOOKUP(MOD(A74,$D$7),INDIRECT("Lookup!$A$2:$B$"&amp;$D$7+1),2,FALSE),""),"B")</f>
        <v>Transaction volume</v>
      </c>
      <c r="D74" t="str">
        <f t="shared" ca="1" si="6"/>
        <v/>
      </c>
      <c r="E74">
        <f t="shared" ca="1" si="2"/>
        <v>0</v>
      </c>
      <c r="F74">
        <f t="shared" ca="1" si="3"/>
        <v>5</v>
      </c>
      <c r="G74">
        <f t="shared" ca="1" si="4"/>
        <v>0</v>
      </c>
      <c r="H74" t="str">
        <f t="array" aca="1" ref="H74:J74" ca="1">IFERROR(INDEX(Input!$H$1:$H$567,MATCH(VLOOKUP(Bidding!$B74,Lookup!$F$2:$I$4,2,FALSE)&amp;VLOOKUP(Bidding!$B74,Lookup!$F$2:$I$4,3,FALSE)&amp;$F74&amp;$E74&amp;H$11,Input!$A$1:$A$567&amp;Input!$B$1:$B$567&amp;INDIRECT("Input!$"&amp;VLOOKUP(VLOOKUP(Bidding!$B74,Lookup!$F$2:$I$4,4), CHARS,2,TRUE)&amp;"$1:$"&amp;VLOOKUP(VLOOKUP(Bidding!$B74,Lookup!$F$2:$I$4,4), CHARS,2,TRUE)&amp;"$567")&amp;INDIRECT("Input!$"&amp;VLOOKUP(VLOOKUP(Bidding!$B74,Lookup!$F$2:$I$4,4)+1, CHARS,2,TRUE)&amp;"$1:$"&amp;VLOOKUP(VLOOKUP(Bidding!$B74,Lookup!$F$2:$I$4,4)+1, CHARS,2,TRUE)&amp;"$567")&amp;INDIRECT("Input!$"&amp;VLOOKUP(VLOOKUP(Bidding!$B74,Lookup!$F$2:$I$4,4)+2, CHARS,2,TRUE)&amp;"$1:$"&amp;VLOOKUP(VLOOKUP(Bidding!$B74,Lookup!$F$2:$I$4,4)+2, CHARS,2,TRUE)&amp;"$567"),0)),"")</f>
        <v/>
      </c>
      <c r="I74" t="str">
        <f ca="1"/>
        <v/>
      </c>
      <c r="J74" t="str">
        <f ca="1"/>
        <v/>
      </c>
    </row>
    <row r="75" spans="1:10" x14ac:dyDescent="0.2">
      <c r="A75" s="4">
        <f>IFERROR(IF((A74+1)/$D$7&lt;$D$5*$D$4,A74+1,""),"")</f>
        <v>63</v>
      </c>
      <c r="B75" t="str">
        <f ca="1">IFERROR(IF(NOT(ISBLANK(A75)),VLOOKUP(MOD(A75,$D$7),INDIRECT("Lookup!$A$2:$B$"&amp;$D$7+1),2,FALSE),""),"B")</f>
        <v>Production quantity</v>
      </c>
      <c r="D75" t="str">
        <f t="shared" ca="1" si="6"/>
        <v/>
      </c>
      <c r="E75">
        <f t="shared" ca="1" si="2"/>
        <v>0</v>
      </c>
      <c r="F75">
        <f t="shared" ca="1" si="3"/>
        <v>5</v>
      </c>
      <c r="G75">
        <f t="shared" ca="1" si="4"/>
        <v>0</v>
      </c>
      <c r="H75" t="str">
        <f t="array" aca="1" ref="H75:J75" ca="1">IFERROR(INDEX(Input!$H$1:$H$567,MATCH(VLOOKUP(Bidding!$B75,Lookup!$F$2:$I$4,2,FALSE)&amp;VLOOKUP(Bidding!$B75,Lookup!$F$2:$I$4,3,FALSE)&amp;$F75&amp;$E75&amp;H$11,Input!$A$1:$A$567&amp;Input!$B$1:$B$567&amp;INDIRECT("Input!$"&amp;VLOOKUP(VLOOKUP(Bidding!$B75,Lookup!$F$2:$I$4,4), CHARS,2,TRUE)&amp;"$1:$"&amp;VLOOKUP(VLOOKUP(Bidding!$B75,Lookup!$F$2:$I$4,4), CHARS,2,TRUE)&amp;"$567")&amp;INDIRECT("Input!$"&amp;VLOOKUP(VLOOKUP(Bidding!$B75,Lookup!$F$2:$I$4,4)+1, CHARS,2,TRUE)&amp;"$1:$"&amp;VLOOKUP(VLOOKUP(Bidding!$B75,Lookup!$F$2:$I$4,4)+1, CHARS,2,TRUE)&amp;"$567")&amp;INDIRECT("Input!$"&amp;VLOOKUP(VLOOKUP(Bidding!$B75,Lookup!$F$2:$I$4,4)+2, CHARS,2,TRUE)&amp;"$1:$"&amp;VLOOKUP(VLOOKUP(Bidding!$B75,Lookup!$F$2:$I$4,4)+2, CHARS,2,TRUE)&amp;"$567"),0)),"")</f>
        <v/>
      </c>
      <c r="I75" t="str">
        <f ca="1"/>
        <v/>
      </c>
      <c r="J75" t="str">
        <f ca="1"/>
        <v/>
      </c>
    </row>
    <row r="76" spans="1:10" x14ac:dyDescent="0.2">
      <c r="A76" s="4">
        <f>IFERROR(IF((A75+1)/$D$7&lt;$D$5*$D$4,A75+1,""),"")</f>
        <v>64</v>
      </c>
      <c r="B76" t="str">
        <f ca="1">IFERROR(IF(NOT(ISBLANK(A76)),VLOOKUP(MOD(A76,$D$7),INDIRECT("Lookup!$A$2:$B$"&amp;$D$7+1),2,FALSE),""),"B")</f>
        <v>Delivery product</v>
      </c>
      <c r="D76" t="str">
        <f t="shared" ca="1" si="6"/>
        <v>Error</v>
      </c>
      <c r="E76" t="str">
        <f t="shared" ca="1" si="2"/>
        <v/>
      </c>
      <c r="F76" t="str">
        <f t="shared" ca="1" si="3"/>
        <v/>
      </c>
      <c r="G76" t="str">
        <f t="shared" ca="1" si="4"/>
        <v/>
      </c>
      <c r="H76" t="str">
        <f t="array" aca="1" ref="H76:J76" ca="1">IFERROR(INDEX(Input!$H$1:$H$567,MATCH(VLOOKUP(Bidding!$B76,Lookup!$F$2:$I$4,2,FALSE)&amp;VLOOKUP(Bidding!$B76,Lookup!$F$2:$I$4,3,FALSE)&amp;$F76&amp;$E76&amp;H$11,Input!$A$1:$A$567&amp;Input!$B$1:$B$567&amp;INDIRECT("Input!$"&amp;VLOOKUP(VLOOKUP(Bidding!$B76,Lookup!$F$2:$I$4,4), CHARS,2,TRUE)&amp;"$1:$"&amp;VLOOKUP(VLOOKUP(Bidding!$B76,Lookup!$F$2:$I$4,4), CHARS,2,TRUE)&amp;"$567")&amp;INDIRECT("Input!$"&amp;VLOOKUP(VLOOKUP(Bidding!$B76,Lookup!$F$2:$I$4,4)+1, CHARS,2,TRUE)&amp;"$1:$"&amp;VLOOKUP(VLOOKUP(Bidding!$B76,Lookup!$F$2:$I$4,4)+1, CHARS,2,TRUE)&amp;"$567")&amp;INDIRECT("Input!$"&amp;VLOOKUP(VLOOKUP(Bidding!$B76,Lookup!$F$2:$I$4,4)+2, CHARS,2,TRUE)&amp;"$1:$"&amp;VLOOKUP(VLOOKUP(Bidding!$B76,Lookup!$F$2:$I$4,4)+2, CHARS,2,TRUE)&amp;"$567"),0)),"")</f>
        <v/>
      </c>
      <c r="I76" t="str">
        <f ca="1"/>
        <v/>
      </c>
      <c r="J76" t="str">
        <f ca="1"/>
        <v/>
      </c>
    </row>
    <row r="77" spans="1:10" x14ac:dyDescent="0.2">
      <c r="A77" s="4">
        <f>IFERROR(IF((A76+1)/$D$7&lt;$D$5*$D$4,A76+1,""),"")</f>
        <v>65</v>
      </c>
      <c r="B77" t="str">
        <f ca="1">IFERROR(IF(NOT(ISBLANK(A77)),VLOOKUP(MOD(A77,$D$7),INDIRECT("Lookup!$A$2:$B$"&amp;$D$7+1),2,FALSE),""),"B")</f>
        <v>Bid volume</v>
      </c>
      <c r="D77" t="str">
        <f t="shared" ca="1" si="6"/>
        <v>Error</v>
      </c>
      <c r="E77">
        <f t="shared" ref="E77:E129" ca="1" si="7">IFERROR(IF(B77="Delivery product","",IF(NOT(ISBLANK(A77)),MOD(ROUNDDOWN(A77/$D$7,0),3),"")),"")</f>
        <v>1</v>
      </c>
      <c r="F77">
        <f t="shared" ref="F77:F129" ca="1" si="8">IFERROR(IF(B77="Delivery product","",IF(NOT(ISBLANK(A77)),MOD(ROUNDDOWN(A77/$D$7/$D$4,0),$D$5),"")),"")</f>
        <v>5</v>
      </c>
      <c r="G77">
        <f t="shared" ref="G77:G129" ca="1" si="9">IFERROR(IF(B77="Delivery product","",IF(NOT(ISBLANK(A77)),SUM(H77:J77),"")),"")</f>
        <v>0</v>
      </c>
      <c r="H77" t="str">
        <f t="array" aca="1" ref="H77:J77" ca="1">IFERROR(INDEX(Input!$H$1:$H$567,MATCH(VLOOKUP(Bidding!$B77,Lookup!$F$2:$I$4,2,FALSE)&amp;VLOOKUP(Bidding!$B77,Lookup!$F$2:$I$4,3,FALSE)&amp;$F77&amp;$E77&amp;H$11,Input!$A$1:$A$567&amp;Input!$B$1:$B$567&amp;INDIRECT("Input!$"&amp;VLOOKUP(VLOOKUP(Bidding!$B77,Lookup!$F$2:$I$4,4), CHARS,2,TRUE)&amp;"$1:$"&amp;VLOOKUP(VLOOKUP(Bidding!$B77,Lookup!$F$2:$I$4,4), CHARS,2,TRUE)&amp;"$567")&amp;INDIRECT("Input!$"&amp;VLOOKUP(VLOOKUP(Bidding!$B77,Lookup!$F$2:$I$4,4)+1, CHARS,2,TRUE)&amp;"$1:$"&amp;VLOOKUP(VLOOKUP(Bidding!$B77,Lookup!$F$2:$I$4,4)+1, CHARS,2,TRUE)&amp;"$567")&amp;INDIRECT("Input!$"&amp;VLOOKUP(VLOOKUP(Bidding!$B77,Lookup!$F$2:$I$4,4)+2, CHARS,2,TRUE)&amp;"$1:$"&amp;VLOOKUP(VLOOKUP(Bidding!$B77,Lookup!$F$2:$I$4,4)+2, CHARS,2,TRUE)&amp;"$567"),0)),"")</f>
        <v/>
      </c>
      <c r="I77" t="str">
        <f ca="1"/>
        <v/>
      </c>
      <c r="J77" t="str">
        <f ca="1"/>
        <v/>
      </c>
    </row>
    <row r="78" spans="1:10" x14ac:dyDescent="0.2">
      <c r="A78" s="4">
        <f>IFERROR(IF((A77+1)/$D$7&lt;$D$5*$D$4,A77+1,""),"")</f>
        <v>66</v>
      </c>
      <c r="B78" t="str">
        <f ca="1">IFERROR(IF(NOT(ISBLANK(A78)),VLOOKUP(MOD(A78,$D$7),INDIRECT("Lookup!$A$2:$B$"&amp;$D$7+1),2,FALSE),""),"B")</f>
        <v>Transaction volume</v>
      </c>
      <c r="D78" t="str">
        <f t="shared" ca="1" si="6"/>
        <v/>
      </c>
      <c r="E78">
        <f t="shared" ca="1" si="7"/>
        <v>1</v>
      </c>
      <c r="F78">
        <f t="shared" ca="1" si="8"/>
        <v>5</v>
      </c>
      <c r="G78">
        <f t="shared" ca="1" si="9"/>
        <v>0</v>
      </c>
      <c r="H78" t="str">
        <f t="array" aca="1" ref="H78:J78" ca="1">IFERROR(INDEX(Input!$H$1:$H$567,MATCH(VLOOKUP(Bidding!$B78,Lookup!$F$2:$I$4,2,FALSE)&amp;VLOOKUP(Bidding!$B78,Lookup!$F$2:$I$4,3,FALSE)&amp;$F78&amp;$E78&amp;H$11,Input!$A$1:$A$567&amp;Input!$B$1:$B$567&amp;INDIRECT("Input!$"&amp;VLOOKUP(VLOOKUP(Bidding!$B78,Lookup!$F$2:$I$4,4), CHARS,2,TRUE)&amp;"$1:$"&amp;VLOOKUP(VLOOKUP(Bidding!$B78,Lookup!$F$2:$I$4,4), CHARS,2,TRUE)&amp;"$567")&amp;INDIRECT("Input!$"&amp;VLOOKUP(VLOOKUP(Bidding!$B78,Lookup!$F$2:$I$4,4)+1, CHARS,2,TRUE)&amp;"$1:$"&amp;VLOOKUP(VLOOKUP(Bidding!$B78,Lookup!$F$2:$I$4,4)+1, CHARS,2,TRUE)&amp;"$567")&amp;INDIRECT("Input!$"&amp;VLOOKUP(VLOOKUP(Bidding!$B78,Lookup!$F$2:$I$4,4)+2, CHARS,2,TRUE)&amp;"$1:$"&amp;VLOOKUP(VLOOKUP(Bidding!$B78,Lookup!$F$2:$I$4,4)+2, CHARS,2,TRUE)&amp;"$567"),0)),"")</f>
        <v/>
      </c>
      <c r="I78" t="str">
        <f ca="1"/>
        <v/>
      </c>
      <c r="J78" t="str">
        <f ca="1"/>
        <v/>
      </c>
    </row>
    <row r="79" spans="1:10" x14ac:dyDescent="0.2">
      <c r="A79" s="4">
        <f>IFERROR(IF((A78+1)/$D$7&lt;$D$5*$D$4,A78+1,""),"")</f>
        <v>67</v>
      </c>
      <c r="B79" t="str">
        <f ca="1">IFERROR(IF(NOT(ISBLANK(A79)),VLOOKUP(MOD(A79,$D$7),INDIRECT("Lookup!$A$2:$B$"&amp;$D$7+1),2,FALSE),""),"B")</f>
        <v>Production quantity</v>
      </c>
      <c r="D79" t="str">
        <f t="shared" ref="D79:D129" ca="1" si="10">IFERROR(IF(NOT(ISBLANK(A79)),IF(B79="Transaction volume",IF(OR(H79&gt;H78,I79&gt;I78,J79&gt;J78),"Error",""),IF(G79&lt;&gt;G78,"Error","")),""),"")</f>
        <v/>
      </c>
      <c r="E79">
        <f t="shared" ca="1" si="7"/>
        <v>1</v>
      </c>
      <c r="F79">
        <f t="shared" ca="1" si="8"/>
        <v>5</v>
      </c>
      <c r="G79">
        <f t="shared" ca="1" si="9"/>
        <v>0</v>
      </c>
      <c r="H79" t="str">
        <f t="array" aca="1" ref="H79:J79" ca="1">IFERROR(INDEX(Input!$H$1:$H$567,MATCH(VLOOKUP(Bidding!$B79,Lookup!$F$2:$I$4,2,FALSE)&amp;VLOOKUP(Bidding!$B79,Lookup!$F$2:$I$4,3,FALSE)&amp;$F79&amp;$E79&amp;H$11,Input!$A$1:$A$567&amp;Input!$B$1:$B$567&amp;INDIRECT("Input!$"&amp;VLOOKUP(VLOOKUP(Bidding!$B79,Lookup!$F$2:$I$4,4), CHARS,2,TRUE)&amp;"$1:$"&amp;VLOOKUP(VLOOKUP(Bidding!$B79,Lookup!$F$2:$I$4,4), CHARS,2,TRUE)&amp;"$567")&amp;INDIRECT("Input!$"&amp;VLOOKUP(VLOOKUP(Bidding!$B79,Lookup!$F$2:$I$4,4)+1, CHARS,2,TRUE)&amp;"$1:$"&amp;VLOOKUP(VLOOKUP(Bidding!$B79,Lookup!$F$2:$I$4,4)+1, CHARS,2,TRUE)&amp;"$567")&amp;INDIRECT("Input!$"&amp;VLOOKUP(VLOOKUP(Bidding!$B79,Lookup!$F$2:$I$4,4)+2, CHARS,2,TRUE)&amp;"$1:$"&amp;VLOOKUP(VLOOKUP(Bidding!$B79,Lookup!$F$2:$I$4,4)+2, CHARS,2,TRUE)&amp;"$567"),0)),"")</f>
        <v/>
      </c>
      <c r="I79" t="str">
        <f ca="1"/>
        <v/>
      </c>
      <c r="J79" t="str">
        <f ca="1"/>
        <v/>
      </c>
    </row>
    <row r="80" spans="1:10" x14ac:dyDescent="0.2">
      <c r="A80" s="4">
        <f>IFERROR(IF((A79+1)/$D$7&lt;$D$5*$D$4,A79+1,""),"")</f>
        <v>68</v>
      </c>
      <c r="B80" t="str">
        <f ca="1">IFERROR(IF(NOT(ISBLANK(A80)),VLOOKUP(MOD(A80,$D$7),INDIRECT("Lookup!$A$2:$B$"&amp;$D$7+1),2,FALSE),""),"B")</f>
        <v>Delivery product</v>
      </c>
      <c r="D80" t="str">
        <f t="shared" ca="1" si="10"/>
        <v>Error</v>
      </c>
      <c r="E80" t="str">
        <f t="shared" ca="1" si="7"/>
        <v/>
      </c>
      <c r="F80" t="str">
        <f t="shared" ca="1" si="8"/>
        <v/>
      </c>
      <c r="G80" t="str">
        <f t="shared" ca="1" si="9"/>
        <v/>
      </c>
      <c r="H80" t="str">
        <f t="array" aca="1" ref="H80:J80" ca="1">IFERROR(INDEX(Input!$H$1:$H$567,MATCH(VLOOKUP(Bidding!$B80,Lookup!$F$2:$I$4,2,FALSE)&amp;VLOOKUP(Bidding!$B80,Lookup!$F$2:$I$4,3,FALSE)&amp;$F80&amp;$E80&amp;H$11,Input!$A$1:$A$567&amp;Input!$B$1:$B$567&amp;INDIRECT("Input!$"&amp;VLOOKUP(VLOOKUP(Bidding!$B80,Lookup!$F$2:$I$4,4), CHARS,2,TRUE)&amp;"$1:$"&amp;VLOOKUP(VLOOKUP(Bidding!$B80,Lookup!$F$2:$I$4,4), CHARS,2,TRUE)&amp;"$567")&amp;INDIRECT("Input!$"&amp;VLOOKUP(VLOOKUP(Bidding!$B80,Lookup!$F$2:$I$4,4)+1, CHARS,2,TRUE)&amp;"$1:$"&amp;VLOOKUP(VLOOKUP(Bidding!$B80,Lookup!$F$2:$I$4,4)+1, CHARS,2,TRUE)&amp;"$567")&amp;INDIRECT("Input!$"&amp;VLOOKUP(VLOOKUP(Bidding!$B80,Lookup!$F$2:$I$4,4)+2, CHARS,2,TRUE)&amp;"$1:$"&amp;VLOOKUP(VLOOKUP(Bidding!$B80,Lookup!$F$2:$I$4,4)+2, CHARS,2,TRUE)&amp;"$567"),0)),"")</f>
        <v/>
      </c>
      <c r="I80" t="str">
        <f ca="1"/>
        <v/>
      </c>
      <c r="J80" t="str">
        <f ca="1"/>
        <v/>
      </c>
    </row>
    <row r="81" spans="1:10" x14ac:dyDescent="0.2">
      <c r="A81" s="4">
        <f>IFERROR(IF((A80+1)/$D$7&lt;$D$5*$D$4,A80+1,""),"")</f>
        <v>69</v>
      </c>
      <c r="B81" t="str">
        <f ca="1">IFERROR(IF(NOT(ISBLANK(A81)),VLOOKUP(MOD(A81,$D$7),INDIRECT("Lookup!$A$2:$B$"&amp;$D$7+1),2,FALSE),""),"B")</f>
        <v>Bid volume</v>
      </c>
      <c r="D81" t="str">
        <f t="shared" ca="1" si="10"/>
        <v>Error</v>
      </c>
      <c r="E81">
        <f t="shared" ca="1" si="7"/>
        <v>2</v>
      </c>
      <c r="F81">
        <f t="shared" ca="1" si="8"/>
        <v>5</v>
      </c>
      <c r="G81">
        <f t="shared" ca="1" si="9"/>
        <v>0</v>
      </c>
      <c r="H81" t="str">
        <f t="array" aca="1" ref="H81:J81" ca="1">IFERROR(INDEX(Input!$H$1:$H$567,MATCH(VLOOKUP(Bidding!$B81,Lookup!$F$2:$I$4,2,FALSE)&amp;VLOOKUP(Bidding!$B81,Lookup!$F$2:$I$4,3,FALSE)&amp;$F81&amp;$E81&amp;H$11,Input!$A$1:$A$567&amp;Input!$B$1:$B$567&amp;INDIRECT("Input!$"&amp;VLOOKUP(VLOOKUP(Bidding!$B81,Lookup!$F$2:$I$4,4), CHARS,2,TRUE)&amp;"$1:$"&amp;VLOOKUP(VLOOKUP(Bidding!$B81,Lookup!$F$2:$I$4,4), CHARS,2,TRUE)&amp;"$567")&amp;INDIRECT("Input!$"&amp;VLOOKUP(VLOOKUP(Bidding!$B81,Lookup!$F$2:$I$4,4)+1, CHARS,2,TRUE)&amp;"$1:$"&amp;VLOOKUP(VLOOKUP(Bidding!$B81,Lookup!$F$2:$I$4,4)+1, CHARS,2,TRUE)&amp;"$567")&amp;INDIRECT("Input!$"&amp;VLOOKUP(VLOOKUP(Bidding!$B81,Lookup!$F$2:$I$4,4)+2, CHARS,2,TRUE)&amp;"$1:$"&amp;VLOOKUP(VLOOKUP(Bidding!$B81,Lookup!$F$2:$I$4,4)+2, CHARS,2,TRUE)&amp;"$567"),0)),"")</f>
        <v/>
      </c>
      <c r="I81" t="str">
        <f ca="1"/>
        <v/>
      </c>
      <c r="J81" t="str">
        <f ca="1"/>
        <v/>
      </c>
    </row>
    <row r="82" spans="1:10" x14ac:dyDescent="0.2">
      <c r="A82" s="4">
        <f>IFERROR(IF((A81+1)/$D$7&lt;$D$5*$D$4,A81+1,""),"")</f>
        <v>70</v>
      </c>
      <c r="B82" t="str">
        <f ca="1">IFERROR(IF(NOT(ISBLANK(A82)),VLOOKUP(MOD(A82,$D$7),INDIRECT("Lookup!$A$2:$B$"&amp;$D$7+1),2,FALSE),""),"B")</f>
        <v>Transaction volume</v>
      </c>
      <c r="D82" t="str">
        <f t="shared" ca="1" si="10"/>
        <v/>
      </c>
      <c r="E82">
        <f t="shared" ca="1" si="7"/>
        <v>2</v>
      </c>
      <c r="F82">
        <f t="shared" ca="1" si="8"/>
        <v>5</v>
      </c>
      <c r="G82">
        <f t="shared" ca="1" si="9"/>
        <v>0</v>
      </c>
      <c r="H82" t="str">
        <f t="array" aca="1" ref="H82:J82" ca="1">IFERROR(INDEX(Input!$H$1:$H$567,MATCH(VLOOKUP(Bidding!$B82,Lookup!$F$2:$I$4,2,FALSE)&amp;VLOOKUP(Bidding!$B82,Lookup!$F$2:$I$4,3,FALSE)&amp;$F82&amp;$E82&amp;H$11,Input!$A$1:$A$567&amp;Input!$B$1:$B$567&amp;INDIRECT("Input!$"&amp;VLOOKUP(VLOOKUP(Bidding!$B82,Lookup!$F$2:$I$4,4), CHARS,2,TRUE)&amp;"$1:$"&amp;VLOOKUP(VLOOKUP(Bidding!$B82,Lookup!$F$2:$I$4,4), CHARS,2,TRUE)&amp;"$567")&amp;INDIRECT("Input!$"&amp;VLOOKUP(VLOOKUP(Bidding!$B82,Lookup!$F$2:$I$4,4)+1, CHARS,2,TRUE)&amp;"$1:$"&amp;VLOOKUP(VLOOKUP(Bidding!$B82,Lookup!$F$2:$I$4,4)+1, CHARS,2,TRUE)&amp;"$567")&amp;INDIRECT("Input!$"&amp;VLOOKUP(VLOOKUP(Bidding!$B82,Lookup!$F$2:$I$4,4)+2, CHARS,2,TRUE)&amp;"$1:$"&amp;VLOOKUP(VLOOKUP(Bidding!$B82,Lookup!$F$2:$I$4,4)+2, CHARS,2,TRUE)&amp;"$567"),0)),"")</f>
        <v/>
      </c>
      <c r="I82" t="str">
        <f ca="1"/>
        <v/>
      </c>
      <c r="J82" t="str">
        <f ca="1"/>
        <v/>
      </c>
    </row>
    <row r="83" spans="1:10" x14ac:dyDescent="0.2">
      <c r="A83" s="4">
        <f>IFERROR(IF((A82+1)/$D$7&lt;$D$5*$D$4,A82+1,""),"")</f>
        <v>71</v>
      </c>
      <c r="B83" t="str">
        <f ca="1">IFERROR(IF(NOT(ISBLANK(A83)),VLOOKUP(MOD(A83,$D$7),INDIRECT("Lookup!$A$2:$B$"&amp;$D$7+1),2,FALSE),""),"B")</f>
        <v>Production quantity</v>
      </c>
      <c r="D83" t="str">
        <f t="shared" ca="1" si="10"/>
        <v/>
      </c>
      <c r="E83">
        <f t="shared" ca="1" si="7"/>
        <v>2</v>
      </c>
      <c r="F83">
        <f t="shared" ca="1" si="8"/>
        <v>5</v>
      </c>
      <c r="G83">
        <f t="shared" ca="1" si="9"/>
        <v>0</v>
      </c>
      <c r="H83" t="str">
        <f t="array" aca="1" ref="H83:J83" ca="1">IFERROR(INDEX(Input!$H$1:$H$567,MATCH(VLOOKUP(Bidding!$B83,Lookup!$F$2:$I$4,2,FALSE)&amp;VLOOKUP(Bidding!$B83,Lookup!$F$2:$I$4,3,FALSE)&amp;$F83&amp;$E83&amp;H$11,Input!$A$1:$A$567&amp;Input!$B$1:$B$567&amp;INDIRECT("Input!$"&amp;VLOOKUP(VLOOKUP(Bidding!$B83,Lookup!$F$2:$I$4,4), CHARS,2,TRUE)&amp;"$1:$"&amp;VLOOKUP(VLOOKUP(Bidding!$B83,Lookup!$F$2:$I$4,4), CHARS,2,TRUE)&amp;"$567")&amp;INDIRECT("Input!$"&amp;VLOOKUP(VLOOKUP(Bidding!$B83,Lookup!$F$2:$I$4,4)+1, CHARS,2,TRUE)&amp;"$1:$"&amp;VLOOKUP(VLOOKUP(Bidding!$B83,Lookup!$F$2:$I$4,4)+1, CHARS,2,TRUE)&amp;"$567")&amp;INDIRECT("Input!$"&amp;VLOOKUP(VLOOKUP(Bidding!$B83,Lookup!$F$2:$I$4,4)+2, CHARS,2,TRUE)&amp;"$1:$"&amp;VLOOKUP(VLOOKUP(Bidding!$B83,Lookup!$F$2:$I$4,4)+2, CHARS,2,TRUE)&amp;"$567"),0)),"")</f>
        <v/>
      </c>
      <c r="I83" t="str">
        <f ca="1"/>
        <v/>
      </c>
      <c r="J83" t="str">
        <f ca="1"/>
        <v/>
      </c>
    </row>
    <row r="84" spans="1:10" x14ac:dyDescent="0.2">
      <c r="A84" s="4">
        <f>IFERROR(IF((A83+1)/$D$7&lt;$D$5*$D$4,A83+1,""),"")</f>
        <v>72</v>
      </c>
      <c r="B84" t="str">
        <f ca="1">IFERROR(IF(NOT(ISBLANK(A84)),VLOOKUP(MOD(A84,$D$7),INDIRECT("Lookup!$A$2:$B$"&amp;$D$7+1),2,FALSE),""),"B")</f>
        <v>Delivery product</v>
      </c>
      <c r="D84" t="str">
        <f t="shared" ca="1" si="10"/>
        <v>Error</v>
      </c>
      <c r="E84" t="str">
        <f t="shared" ca="1" si="7"/>
        <v/>
      </c>
      <c r="F84" t="str">
        <f t="shared" ca="1" si="8"/>
        <v/>
      </c>
      <c r="G84" t="str">
        <f t="shared" ca="1" si="9"/>
        <v/>
      </c>
      <c r="H84" t="str">
        <f t="array" aca="1" ref="H84:J84" ca="1">IFERROR(INDEX(Input!$H$1:$H$567,MATCH(VLOOKUP(Bidding!$B84,Lookup!$F$2:$I$4,2,FALSE)&amp;VLOOKUP(Bidding!$B84,Lookup!$F$2:$I$4,3,FALSE)&amp;$F84&amp;$E84&amp;H$11,Input!$A$1:$A$567&amp;Input!$B$1:$B$567&amp;INDIRECT("Input!$"&amp;VLOOKUP(VLOOKUP(Bidding!$B84,Lookup!$F$2:$I$4,4), CHARS,2,TRUE)&amp;"$1:$"&amp;VLOOKUP(VLOOKUP(Bidding!$B84,Lookup!$F$2:$I$4,4), CHARS,2,TRUE)&amp;"$567")&amp;INDIRECT("Input!$"&amp;VLOOKUP(VLOOKUP(Bidding!$B84,Lookup!$F$2:$I$4,4)+1, CHARS,2,TRUE)&amp;"$1:$"&amp;VLOOKUP(VLOOKUP(Bidding!$B84,Lookup!$F$2:$I$4,4)+1, CHARS,2,TRUE)&amp;"$567")&amp;INDIRECT("Input!$"&amp;VLOOKUP(VLOOKUP(Bidding!$B84,Lookup!$F$2:$I$4,4)+2, CHARS,2,TRUE)&amp;"$1:$"&amp;VLOOKUP(VLOOKUP(Bidding!$B84,Lookup!$F$2:$I$4,4)+2, CHARS,2,TRUE)&amp;"$567"),0)),"")</f>
        <v/>
      </c>
      <c r="I84" t="str">
        <f ca="1"/>
        <v/>
      </c>
      <c r="J84" t="str">
        <f ca="1"/>
        <v/>
      </c>
    </row>
    <row r="85" spans="1:10" x14ac:dyDescent="0.2">
      <c r="A85" s="4">
        <f>IFERROR(IF((A84+1)/$D$7&lt;$D$5*$D$4,A84+1,""),"")</f>
        <v>73</v>
      </c>
      <c r="B85" t="str">
        <f ca="1">IFERROR(IF(NOT(ISBLANK(A85)),VLOOKUP(MOD(A85,$D$7),INDIRECT("Lookup!$A$2:$B$"&amp;$D$7+1),2,FALSE),""),"B")</f>
        <v>Bid volume</v>
      </c>
      <c r="D85" t="str">
        <f t="shared" ca="1" si="10"/>
        <v>Error</v>
      </c>
      <c r="E85">
        <f t="shared" ca="1" si="7"/>
        <v>0</v>
      </c>
      <c r="F85">
        <f t="shared" ca="1" si="8"/>
        <v>6</v>
      </c>
      <c r="G85">
        <f t="shared" ca="1" si="9"/>
        <v>0</v>
      </c>
      <c r="H85" t="str">
        <f t="array" aca="1" ref="H85:J85" ca="1">IFERROR(INDEX(Input!$H$1:$H$567,MATCH(VLOOKUP(Bidding!$B85,Lookup!$F$2:$I$4,2,FALSE)&amp;VLOOKUP(Bidding!$B85,Lookup!$F$2:$I$4,3,FALSE)&amp;$F85&amp;$E85&amp;H$11,Input!$A$1:$A$567&amp;Input!$B$1:$B$567&amp;INDIRECT("Input!$"&amp;VLOOKUP(VLOOKUP(Bidding!$B85,Lookup!$F$2:$I$4,4), CHARS,2,TRUE)&amp;"$1:$"&amp;VLOOKUP(VLOOKUP(Bidding!$B85,Lookup!$F$2:$I$4,4), CHARS,2,TRUE)&amp;"$567")&amp;INDIRECT("Input!$"&amp;VLOOKUP(VLOOKUP(Bidding!$B85,Lookup!$F$2:$I$4,4)+1, CHARS,2,TRUE)&amp;"$1:$"&amp;VLOOKUP(VLOOKUP(Bidding!$B85,Lookup!$F$2:$I$4,4)+1, CHARS,2,TRUE)&amp;"$567")&amp;INDIRECT("Input!$"&amp;VLOOKUP(VLOOKUP(Bidding!$B85,Lookup!$F$2:$I$4,4)+2, CHARS,2,TRUE)&amp;"$1:$"&amp;VLOOKUP(VLOOKUP(Bidding!$B85,Lookup!$F$2:$I$4,4)+2, CHARS,2,TRUE)&amp;"$567"),0)),"")</f>
        <v/>
      </c>
      <c r="I85" t="str">
        <f ca="1"/>
        <v/>
      </c>
      <c r="J85" t="str">
        <f ca="1"/>
        <v/>
      </c>
    </row>
    <row r="86" spans="1:10" x14ac:dyDescent="0.2">
      <c r="A86" s="4">
        <f>IFERROR(IF((A85+1)/$D$7&lt;$D$5*$D$4,A85+1,""),"")</f>
        <v>74</v>
      </c>
      <c r="B86" t="str">
        <f ca="1">IFERROR(IF(NOT(ISBLANK(A86)),VLOOKUP(MOD(A86,$D$7),INDIRECT("Lookup!$A$2:$B$"&amp;$D$7+1),2,FALSE),""),"B")</f>
        <v>Transaction volume</v>
      </c>
      <c r="D86" t="str">
        <f t="shared" ca="1" si="10"/>
        <v/>
      </c>
      <c r="E86">
        <f t="shared" ca="1" si="7"/>
        <v>0</v>
      </c>
      <c r="F86">
        <f t="shared" ca="1" si="8"/>
        <v>6</v>
      </c>
      <c r="G86">
        <f t="shared" ca="1" si="9"/>
        <v>0</v>
      </c>
      <c r="H86" t="str">
        <f t="array" aca="1" ref="H86:J86" ca="1">IFERROR(INDEX(Input!$H$1:$H$567,MATCH(VLOOKUP(Bidding!$B86,Lookup!$F$2:$I$4,2,FALSE)&amp;VLOOKUP(Bidding!$B86,Lookup!$F$2:$I$4,3,FALSE)&amp;$F86&amp;$E86&amp;H$11,Input!$A$1:$A$567&amp;Input!$B$1:$B$567&amp;INDIRECT("Input!$"&amp;VLOOKUP(VLOOKUP(Bidding!$B86,Lookup!$F$2:$I$4,4), CHARS,2,TRUE)&amp;"$1:$"&amp;VLOOKUP(VLOOKUP(Bidding!$B86,Lookup!$F$2:$I$4,4), CHARS,2,TRUE)&amp;"$567")&amp;INDIRECT("Input!$"&amp;VLOOKUP(VLOOKUP(Bidding!$B86,Lookup!$F$2:$I$4,4)+1, CHARS,2,TRUE)&amp;"$1:$"&amp;VLOOKUP(VLOOKUP(Bidding!$B86,Lookup!$F$2:$I$4,4)+1, CHARS,2,TRUE)&amp;"$567")&amp;INDIRECT("Input!$"&amp;VLOOKUP(VLOOKUP(Bidding!$B86,Lookup!$F$2:$I$4,4)+2, CHARS,2,TRUE)&amp;"$1:$"&amp;VLOOKUP(VLOOKUP(Bidding!$B86,Lookup!$F$2:$I$4,4)+2, CHARS,2,TRUE)&amp;"$567"),0)),"")</f>
        <v/>
      </c>
      <c r="I86" t="str">
        <f ca="1"/>
        <v/>
      </c>
      <c r="J86" t="str">
        <f ca="1"/>
        <v/>
      </c>
    </row>
    <row r="87" spans="1:10" x14ac:dyDescent="0.2">
      <c r="A87" s="4">
        <f>IFERROR(IF((A86+1)/$D$7&lt;$D$5*$D$4,A86+1,""),"")</f>
        <v>75</v>
      </c>
      <c r="B87" t="str">
        <f ca="1">IFERROR(IF(NOT(ISBLANK(A87)),VLOOKUP(MOD(A87,$D$7),INDIRECT("Lookup!$A$2:$B$"&amp;$D$7+1),2,FALSE),""),"B")</f>
        <v>Production quantity</v>
      </c>
      <c r="D87" t="str">
        <f t="shared" ca="1" si="10"/>
        <v/>
      </c>
      <c r="E87">
        <f t="shared" ca="1" si="7"/>
        <v>0</v>
      </c>
      <c r="F87">
        <f t="shared" ca="1" si="8"/>
        <v>6</v>
      </c>
      <c r="G87">
        <f t="shared" ca="1" si="9"/>
        <v>0</v>
      </c>
      <c r="H87" t="str">
        <f t="array" aca="1" ref="H87:J87" ca="1">IFERROR(INDEX(Input!$H$1:$H$567,MATCH(VLOOKUP(Bidding!$B87,Lookup!$F$2:$I$4,2,FALSE)&amp;VLOOKUP(Bidding!$B87,Lookup!$F$2:$I$4,3,FALSE)&amp;$F87&amp;$E87&amp;H$11,Input!$A$1:$A$567&amp;Input!$B$1:$B$567&amp;INDIRECT("Input!$"&amp;VLOOKUP(VLOOKUP(Bidding!$B87,Lookup!$F$2:$I$4,4), CHARS,2,TRUE)&amp;"$1:$"&amp;VLOOKUP(VLOOKUP(Bidding!$B87,Lookup!$F$2:$I$4,4), CHARS,2,TRUE)&amp;"$567")&amp;INDIRECT("Input!$"&amp;VLOOKUP(VLOOKUP(Bidding!$B87,Lookup!$F$2:$I$4,4)+1, CHARS,2,TRUE)&amp;"$1:$"&amp;VLOOKUP(VLOOKUP(Bidding!$B87,Lookup!$F$2:$I$4,4)+1, CHARS,2,TRUE)&amp;"$567")&amp;INDIRECT("Input!$"&amp;VLOOKUP(VLOOKUP(Bidding!$B87,Lookup!$F$2:$I$4,4)+2, CHARS,2,TRUE)&amp;"$1:$"&amp;VLOOKUP(VLOOKUP(Bidding!$B87,Lookup!$F$2:$I$4,4)+2, CHARS,2,TRUE)&amp;"$567"),0)),"")</f>
        <v/>
      </c>
      <c r="I87" t="str">
        <f ca="1"/>
        <v/>
      </c>
      <c r="J87" t="str">
        <f ca="1"/>
        <v/>
      </c>
    </row>
    <row r="88" spans="1:10" x14ac:dyDescent="0.2">
      <c r="A88" s="4">
        <f>IFERROR(IF((A87+1)/$D$7&lt;$D$5*$D$4,A87+1,""),"")</f>
        <v>76</v>
      </c>
      <c r="B88" t="str">
        <f ca="1">IFERROR(IF(NOT(ISBLANK(A88)),VLOOKUP(MOD(A88,$D$7),INDIRECT("Lookup!$A$2:$B$"&amp;$D$7+1),2,FALSE),""),"B")</f>
        <v>Delivery product</v>
      </c>
      <c r="D88" t="str">
        <f t="shared" ca="1" si="10"/>
        <v>Error</v>
      </c>
      <c r="E88" t="str">
        <f t="shared" ca="1" si="7"/>
        <v/>
      </c>
      <c r="F88" t="str">
        <f t="shared" ca="1" si="8"/>
        <v/>
      </c>
      <c r="G88" t="str">
        <f t="shared" ca="1" si="9"/>
        <v/>
      </c>
      <c r="H88" t="str">
        <f t="array" aca="1" ref="H88:J88" ca="1">IFERROR(INDEX(Input!$H$1:$H$567,MATCH(VLOOKUP(Bidding!$B88,Lookup!$F$2:$I$4,2,FALSE)&amp;VLOOKUP(Bidding!$B88,Lookup!$F$2:$I$4,3,FALSE)&amp;$F88&amp;$E88&amp;H$11,Input!$A$1:$A$567&amp;Input!$B$1:$B$567&amp;INDIRECT("Input!$"&amp;VLOOKUP(VLOOKUP(Bidding!$B88,Lookup!$F$2:$I$4,4), CHARS,2,TRUE)&amp;"$1:$"&amp;VLOOKUP(VLOOKUP(Bidding!$B88,Lookup!$F$2:$I$4,4), CHARS,2,TRUE)&amp;"$567")&amp;INDIRECT("Input!$"&amp;VLOOKUP(VLOOKUP(Bidding!$B88,Lookup!$F$2:$I$4,4)+1, CHARS,2,TRUE)&amp;"$1:$"&amp;VLOOKUP(VLOOKUP(Bidding!$B88,Lookup!$F$2:$I$4,4)+1, CHARS,2,TRUE)&amp;"$567")&amp;INDIRECT("Input!$"&amp;VLOOKUP(VLOOKUP(Bidding!$B88,Lookup!$F$2:$I$4,4)+2, CHARS,2,TRUE)&amp;"$1:$"&amp;VLOOKUP(VLOOKUP(Bidding!$B88,Lookup!$F$2:$I$4,4)+2, CHARS,2,TRUE)&amp;"$567"),0)),"")</f>
        <v/>
      </c>
      <c r="I88" t="str">
        <f ca="1"/>
        <v/>
      </c>
      <c r="J88" t="str">
        <f ca="1"/>
        <v/>
      </c>
    </row>
    <row r="89" spans="1:10" x14ac:dyDescent="0.2">
      <c r="A89" s="4">
        <f>IFERROR(IF((A88+1)/$D$7&lt;$D$5*$D$4,A88+1,""),"")</f>
        <v>77</v>
      </c>
      <c r="B89" t="str">
        <f ca="1">IFERROR(IF(NOT(ISBLANK(A89)),VLOOKUP(MOD(A89,$D$7),INDIRECT("Lookup!$A$2:$B$"&amp;$D$7+1),2,FALSE),""),"B")</f>
        <v>Bid volume</v>
      </c>
      <c r="D89" t="str">
        <f t="shared" ca="1" si="10"/>
        <v>Error</v>
      </c>
      <c r="E89">
        <f t="shared" ca="1" si="7"/>
        <v>1</v>
      </c>
      <c r="F89">
        <f t="shared" ca="1" si="8"/>
        <v>6</v>
      </c>
      <c r="G89">
        <f t="shared" ca="1" si="9"/>
        <v>0</v>
      </c>
      <c r="H89" t="str">
        <f t="array" aca="1" ref="H89:J89" ca="1">IFERROR(INDEX(Input!$H$1:$H$567,MATCH(VLOOKUP(Bidding!$B89,Lookup!$F$2:$I$4,2,FALSE)&amp;VLOOKUP(Bidding!$B89,Lookup!$F$2:$I$4,3,FALSE)&amp;$F89&amp;$E89&amp;H$11,Input!$A$1:$A$567&amp;Input!$B$1:$B$567&amp;INDIRECT("Input!$"&amp;VLOOKUP(VLOOKUP(Bidding!$B89,Lookup!$F$2:$I$4,4), CHARS,2,TRUE)&amp;"$1:$"&amp;VLOOKUP(VLOOKUP(Bidding!$B89,Lookup!$F$2:$I$4,4), CHARS,2,TRUE)&amp;"$567")&amp;INDIRECT("Input!$"&amp;VLOOKUP(VLOOKUP(Bidding!$B89,Lookup!$F$2:$I$4,4)+1, CHARS,2,TRUE)&amp;"$1:$"&amp;VLOOKUP(VLOOKUP(Bidding!$B89,Lookup!$F$2:$I$4,4)+1, CHARS,2,TRUE)&amp;"$567")&amp;INDIRECT("Input!$"&amp;VLOOKUP(VLOOKUP(Bidding!$B89,Lookup!$F$2:$I$4,4)+2, CHARS,2,TRUE)&amp;"$1:$"&amp;VLOOKUP(VLOOKUP(Bidding!$B89,Lookup!$F$2:$I$4,4)+2, CHARS,2,TRUE)&amp;"$567"),0)),"")</f>
        <v/>
      </c>
      <c r="I89" t="str">
        <f ca="1"/>
        <v/>
      </c>
      <c r="J89" t="str">
        <f ca="1"/>
        <v/>
      </c>
    </row>
    <row r="90" spans="1:10" x14ac:dyDescent="0.2">
      <c r="A90" s="4">
        <f>IFERROR(IF((A89+1)/$D$7&lt;$D$5*$D$4,A89+1,""),"")</f>
        <v>78</v>
      </c>
      <c r="B90" t="str">
        <f ca="1">IFERROR(IF(NOT(ISBLANK(A90)),VLOOKUP(MOD(A90,$D$7),INDIRECT("Lookup!$A$2:$B$"&amp;$D$7+1),2,FALSE),""),"B")</f>
        <v>Transaction volume</v>
      </c>
      <c r="D90" t="str">
        <f t="shared" ca="1" si="10"/>
        <v/>
      </c>
      <c r="E90">
        <f t="shared" ca="1" si="7"/>
        <v>1</v>
      </c>
      <c r="F90">
        <f t="shared" ca="1" si="8"/>
        <v>6</v>
      </c>
      <c r="G90">
        <f t="shared" ca="1" si="9"/>
        <v>0</v>
      </c>
      <c r="H90" t="str">
        <f t="array" aca="1" ref="H90:J90" ca="1">IFERROR(INDEX(Input!$H$1:$H$567,MATCH(VLOOKUP(Bidding!$B90,Lookup!$F$2:$I$4,2,FALSE)&amp;VLOOKUP(Bidding!$B90,Lookup!$F$2:$I$4,3,FALSE)&amp;$F90&amp;$E90&amp;H$11,Input!$A$1:$A$567&amp;Input!$B$1:$B$567&amp;INDIRECT("Input!$"&amp;VLOOKUP(VLOOKUP(Bidding!$B90,Lookup!$F$2:$I$4,4), CHARS,2,TRUE)&amp;"$1:$"&amp;VLOOKUP(VLOOKUP(Bidding!$B90,Lookup!$F$2:$I$4,4), CHARS,2,TRUE)&amp;"$567")&amp;INDIRECT("Input!$"&amp;VLOOKUP(VLOOKUP(Bidding!$B90,Lookup!$F$2:$I$4,4)+1, CHARS,2,TRUE)&amp;"$1:$"&amp;VLOOKUP(VLOOKUP(Bidding!$B90,Lookup!$F$2:$I$4,4)+1, CHARS,2,TRUE)&amp;"$567")&amp;INDIRECT("Input!$"&amp;VLOOKUP(VLOOKUP(Bidding!$B90,Lookup!$F$2:$I$4,4)+2, CHARS,2,TRUE)&amp;"$1:$"&amp;VLOOKUP(VLOOKUP(Bidding!$B90,Lookup!$F$2:$I$4,4)+2, CHARS,2,TRUE)&amp;"$567"),0)),"")</f>
        <v/>
      </c>
      <c r="I90" t="str">
        <f ca="1"/>
        <v/>
      </c>
      <c r="J90" t="str">
        <f ca="1"/>
        <v/>
      </c>
    </row>
    <row r="91" spans="1:10" x14ac:dyDescent="0.2">
      <c r="A91" s="4">
        <f>IFERROR(IF((A90+1)/$D$7&lt;$D$5*$D$4,A90+1,""),"")</f>
        <v>79</v>
      </c>
      <c r="B91" t="str">
        <f ca="1">IFERROR(IF(NOT(ISBLANK(A91)),VLOOKUP(MOD(A91,$D$7),INDIRECT("Lookup!$A$2:$B$"&amp;$D$7+1),2,FALSE),""),"B")</f>
        <v>Production quantity</v>
      </c>
      <c r="D91" t="str">
        <f t="shared" ca="1" si="10"/>
        <v/>
      </c>
      <c r="E91">
        <f t="shared" ca="1" si="7"/>
        <v>1</v>
      </c>
      <c r="F91">
        <f t="shared" ca="1" si="8"/>
        <v>6</v>
      </c>
      <c r="G91">
        <f t="shared" ca="1" si="9"/>
        <v>0</v>
      </c>
      <c r="H91" t="str">
        <f t="array" aca="1" ref="H91:J91" ca="1">IFERROR(INDEX(Input!$H$1:$H$567,MATCH(VLOOKUP(Bidding!$B91,Lookup!$F$2:$I$4,2,FALSE)&amp;VLOOKUP(Bidding!$B91,Lookup!$F$2:$I$4,3,FALSE)&amp;$F91&amp;$E91&amp;H$11,Input!$A$1:$A$567&amp;Input!$B$1:$B$567&amp;INDIRECT("Input!$"&amp;VLOOKUP(VLOOKUP(Bidding!$B91,Lookup!$F$2:$I$4,4), CHARS,2,TRUE)&amp;"$1:$"&amp;VLOOKUP(VLOOKUP(Bidding!$B91,Lookup!$F$2:$I$4,4), CHARS,2,TRUE)&amp;"$567")&amp;INDIRECT("Input!$"&amp;VLOOKUP(VLOOKUP(Bidding!$B91,Lookup!$F$2:$I$4,4)+1, CHARS,2,TRUE)&amp;"$1:$"&amp;VLOOKUP(VLOOKUP(Bidding!$B91,Lookup!$F$2:$I$4,4)+1, CHARS,2,TRUE)&amp;"$567")&amp;INDIRECT("Input!$"&amp;VLOOKUP(VLOOKUP(Bidding!$B91,Lookup!$F$2:$I$4,4)+2, CHARS,2,TRUE)&amp;"$1:$"&amp;VLOOKUP(VLOOKUP(Bidding!$B91,Lookup!$F$2:$I$4,4)+2, CHARS,2,TRUE)&amp;"$567"),0)),"")</f>
        <v/>
      </c>
      <c r="I91" t="str">
        <f ca="1"/>
        <v/>
      </c>
      <c r="J91" t="str">
        <f ca="1"/>
        <v/>
      </c>
    </row>
    <row r="92" spans="1:10" x14ac:dyDescent="0.2">
      <c r="A92" s="4">
        <f>IFERROR(IF((A91+1)/$D$7&lt;$D$5*$D$4,A91+1,""),"")</f>
        <v>80</v>
      </c>
      <c r="B92" t="str">
        <f ca="1">IFERROR(IF(NOT(ISBLANK(A92)),VLOOKUP(MOD(A92,$D$7),INDIRECT("Lookup!$A$2:$B$"&amp;$D$7+1),2,FALSE),""),"B")</f>
        <v>Delivery product</v>
      </c>
      <c r="D92" t="str">
        <f t="shared" ca="1" si="10"/>
        <v>Error</v>
      </c>
      <c r="E92" t="str">
        <f t="shared" ca="1" si="7"/>
        <v/>
      </c>
      <c r="F92" t="str">
        <f t="shared" ca="1" si="8"/>
        <v/>
      </c>
      <c r="G92" t="str">
        <f t="shared" ca="1" si="9"/>
        <v/>
      </c>
      <c r="H92" t="str">
        <f t="array" aca="1" ref="H92:J92" ca="1">IFERROR(INDEX(Input!$H$1:$H$567,MATCH(VLOOKUP(Bidding!$B92,Lookup!$F$2:$I$4,2,FALSE)&amp;VLOOKUP(Bidding!$B92,Lookup!$F$2:$I$4,3,FALSE)&amp;$F92&amp;$E92&amp;H$11,Input!$A$1:$A$567&amp;Input!$B$1:$B$567&amp;INDIRECT("Input!$"&amp;VLOOKUP(VLOOKUP(Bidding!$B92,Lookup!$F$2:$I$4,4), CHARS,2,TRUE)&amp;"$1:$"&amp;VLOOKUP(VLOOKUP(Bidding!$B92,Lookup!$F$2:$I$4,4), CHARS,2,TRUE)&amp;"$567")&amp;INDIRECT("Input!$"&amp;VLOOKUP(VLOOKUP(Bidding!$B92,Lookup!$F$2:$I$4,4)+1, CHARS,2,TRUE)&amp;"$1:$"&amp;VLOOKUP(VLOOKUP(Bidding!$B92,Lookup!$F$2:$I$4,4)+1, CHARS,2,TRUE)&amp;"$567")&amp;INDIRECT("Input!$"&amp;VLOOKUP(VLOOKUP(Bidding!$B92,Lookup!$F$2:$I$4,4)+2, CHARS,2,TRUE)&amp;"$1:$"&amp;VLOOKUP(VLOOKUP(Bidding!$B92,Lookup!$F$2:$I$4,4)+2, CHARS,2,TRUE)&amp;"$567"),0)),"")</f>
        <v/>
      </c>
      <c r="I92" t="str">
        <f ca="1"/>
        <v/>
      </c>
      <c r="J92" t="str">
        <f ca="1"/>
        <v/>
      </c>
    </row>
    <row r="93" spans="1:10" x14ac:dyDescent="0.2">
      <c r="A93" s="4">
        <f>IFERROR(IF((A92+1)/$D$7&lt;$D$5*$D$4,A92+1,""),"")</f>
        <v>81</v>
      </c>
      <c r="B93" t="str">
        <f ca="1">IFERROR(IF(NOT(ISBLANK(A93)),VLOOKUP(MOD(A93,$D$7),INDIRECT("Lookup!$A$2:$B$"&amp;$D$7+1),2,FALSE),""),"B")</f>
        <v>Bid volume</v>
      </c>
      <c r="D93" t="str">
        <f t="shared" ca="1" si="10"/>
        <v>Error</v>
      </c>
      <c r="E93">
        <f t="shared" ca="1" si="7"/>
        <v>2</v>
      </c>
      <c r="F93">
        <f t="shared" ca="1" si="8"/>
        <v>6</v>
      </c>
      <c r="G93">
        <f t="shared" ca="1" si="9"/>
        <v>0</v>
      </c>
      <c r="H93" t="str">
        <f t="array" aca="1" ref="H93:J93" ca="1">IFERROR(INDEX(Input!$H$1:$H$567,MATCH(VLOOKUP(Bidding!$B93,Lookup!$F$2:$I$4,2,FALSE)&amp;VLOOKUP(Bidding!$B93,Lookup!$F$2:$I$4,3,FALSE)&amp;$F93&amp;$E93&amp;H$11,Input!$A$1:$A$567&amp;Input!$B$1:$B$567&amp;INDIRECT("Input!$"&amp;VLOOKUP(VLOOKUP(Bidding!$B93,Lookup!$F$2:$I$4,4), CHARS,2,TRUE)&amp;"$1:$"&amp;VLOOKUP(VLOOKUP(Bidding!$B93,Lookup!$F$2:$I$4,4), CHARS,2,TRUE)&amp;"$567")&amp;INDIRECT("Input!$"&amp;VLOOKUP(VLOOKUP(Bidding!$B93,Lookup!$F$2:$I$4,4)+1, CHARS,2,TRUE)&amp;"$1:$"&amp;VLOOKUP(VLOOKUP(Bidding!$B93,Lookup!$F$2:$I$4,4)+1, CHARS,2,TRUE)&amp;"$567")&amp;INDIRECT("Input!$"&amp;VLOOKUP(VLOOKUP(Bidding!$B93,Lookup!$F$2:$I$4,4)+2, CHARS,2,TRUE)&amp;"$1:$"&amp;VLOOKUP(VLOOKUP(Bidding!$B93,Lookup!$F$2:$I$4,4)+2, CHARS,2,TRUE)&amp;"$567"),0)),"")</f>
        <v/>
      </c>
      <c r="I93" t="str">
        <f ca="1"/>
        <v/>
      </c>
      <c r="J93" t="str">
        <f ca="1"/>
        <v/>
      </c>
    </row>
    <row r="94" spans="1:10" x14ac:dyDescent="0.2">
      <c r="A94" s="4">
        <f>IFERROR(IF((A93+1)/$D$7&lt;$D$5*$D$4,A93+1,""),"")</f>
        <v>82</v>
      </c>
      <c r="B94" t="str">
        <f ca="1">IFERROR(IF(NOT(ISBLANK(A94)),VLOOKUP(MOD(A94,$D$7),INDIRECT("Lookup!$A$2:$B$"&amp;$D$7+1),2,FALSE),""),"B")</f>
        <v>Transaction volume</v>
      </c>
      <c r="D94" t="str">
        <f t="shared" ca="1" si="10"/>
        <v/>
      </c>
      <c r="E94">
        <f t="shared" ca="1" si="7"/>
        <v>2</v>
      </c>
      <c r="F94">
        <f t="shared" ca="1" si="8"/>
        <v>6</v>
      </c>
      <c r="G94">
        <f t="shared" ca="1" si="9"/>
        <v>0</v>
      </c>
      <c r="H94" t="str">
        <f t="array" aca="1" ref="H94:J94" ca="1">IFERROR(INDEX(Input!$H$1:$H$567,MATCH(VLOOKUP(Bidding!$B94,Lookup!$F$2:$I$4,2,FALSE)&amp;VLOOKUP(Bidding!$B94,Lookup!$F$2:$I$4,3,FALSE)&amp;$F94&amp;$E94&amp;H$11,Input!$A$1:$A$567&amp;Input!$B$1:$B$567&amp;INDIRECT("Input!$"&amp;VLOOKUP(VLOOKUP(Bidding!$B94,Lookup!$F$2:$I$4,4), CHARS,2,TRUE)&amp;"$1:$"&amp;VLOOKUP(VLOOKUP(Bidding!$B94,Lookup!$F$2:$I$4,4), CHARS,2,TRUE)&amp;"$567")&amp;INDIRECT("Input!$"&amp;VLOOKUP(VLOOKUP(Bidding!$B94,Lookup!$F$2:$I$4,4)+1, CHARS,2,TRUE)&amp;"$1:$"&amp;VLOOKUP(VLOOKUP(Bidding!$B94,Lookup!$F$2:$I$4,4)+1, CHARS,2,TRUE)&amp;"$567")&amp;INDIRECT("Input!$"&amp;VLOOKUP(VLOOKUP(Bidding!$B94,Lookup!$F$2:$I$4,4)+2, CHARS,2,TRUE)&amp;"$1:$"&amp;VLOOKUP(VLOOKUP(Bidding!$B94,Lookup!$F$2:$I$4,4)+2, CHARS,2,TRUE)&amp;"$567"),0)),"")</f>
        <v/>
      </c>
      <c r="I94" t="str">
        <f ca="1"/>
        <v/>
      </c>
      <c r="J94" t="str">
        <f ca="1"/>
        <v/>
      </c>
    </row>
    <row r="95" spans="1:10" x14ac:dyDescent="0.2">
      <c r="A95" s="4">
        <f>IFERROR(IF((A94+1)/$D$7&lt;$D$5*$D$4,A94+1,""),"")</f>
        <v>83</v>
      </c>
      <c r="B95" t="str">
        <f ca="1">IFERROR(IF(NOT(ISBLANK(A95)),VLOOKUP(MOD(A95,$D$7),INDIRECT("Lookup!$A$2:$B$"&amp;$D$7+1),2,FALSE),""),"B")</f>
        <v>Production quantity</v>
      </c>
      <c r="D95" t="str">
        <f t="shared" ca="1" si="10"/>
        <v/>
      </c>
      <c r="E95">
        <f t="shared" ca="1" si="7"/>
        <v>2</v>
      </c>
      <c r="F95">
        <f t="shared" ca="1" si="8"/>
        <v>6</v>
      </c>
      <c r="G95">
        <f t="shared" ca="1" si="9"/>
        <v>0</v>
      </c>
      <c r="H95" t="str">
        <f t="array" aca="1" ref="H95:J95" ca="1">IFERROR(INDEX(Input!$H$1:$H$567,MATCH(VLOOKUP(Bidding!$B95,Lookup!$F$2:$I$4,2,FALSE)&amp;VLOOKUP(Bidding!$B95,Lookup!$F$2:$I$4,3,FALSE)&amp;$F95&amp;$E95&amp;H$11,Input!$A$1:$A$567&amp;Input!$B$1:$B$567&amp;INDIRECT("Input!$"&amp;VLOOKUP(VLOOKUP(Bidding!$B95,Lookup!$F$2:$I$4,4), CHARS,2,TRUE)&amp;"$1:$"&amp;VLOOKUP(VLOOKUP(Bidding!$B95,Lookup!$F$2:$I$4,4), CHARS,2,TRUE)&amp;"$567")&amp;INDIRECT("Input!$"&amp;VLOOKUP(VLOOKUP(Bidding!$B95,Lookup!$F$2:$I$4,4)+1, CHARS,2,TRUE)&amp;"$1:$"&amp;VLOOKUP(VLOOKUP(Bidding!$B95,Lookup!$F$2:$I$4,4)+1, CHARS,2,TRUE)&amp;"$567")&amp;INDIRECT("Input!$"&amp;VLOOKUP(VLOOKUP(Bidding!$B95,Lookup!$F$2:$I$4,4)+2, CHARS,2,TRUE)&amp;"$1:$"&amp;VLOOKUP(VLOOKUP(Bidding!$B95,Lookup!$F$2:$I$4,4)+2, CHARS,2,TRUE)&amp;"$567"),0)),"")</f>
        <v/>
      </c>
      <c r="I95" t="str">
        <f ca="1"/>
        <v/>
      </c>
      <c r="J95" t="str">
        <f ca="1"/>
        <v/>
      </c>
    </row>
    <row r="96" spans="1:10" x14ac:dyDescent="0.2">
      <c r="A96" s="4">
        <f>IFERROR(IF((A95+1)/$D$7&lt;$D$5*$D$4,A95+1,""),"")</f>
        <v>84</v>
      </c>
      <c r="B96" t="str">
        <f ca="1">IFERROR(IF(NOT(ISBLANK(A96)),VLOOKUP(MOD(A96,$D$7),INDIRECT("Lookup!$A$2:$B$"&amp;$D$7+1),2,FALSE),""),"B")</f>
        <v>Delivery product</v>
      </c>
      <c r="D96" t="str">
        <f t="shared" ca="1" si="10"/>
        <v>Error</v>
      </c>
      <c r="E96" t="str">
        <f t="shared" ca="1" si="7"/>
        <v/>
      </c>
      <c r="F96" t="str">
        <f t="shared" ca="1" si="8"/>
        <v/>
      </c>
      <c r="G96" t="str">
        <f t="shared" ca="1" si="9"/>
        <v/>
      </c>
      <c r="H96" t="str">
        <f t="array" aca="1" ref="H96:J96" ca="1">IFERROR(INDEX(Input!$H$1:$H$567,MATCH(VLOOKUP(Bidding!$B96,Lookup!$F$2:$I$4,2,FALSE)&amp;VLOOKUP(Bidding!$B96,Lookup!$F$2:$I$4,3,FALSE)&amp;$F96&amp;$E96&amp;H$11,Input!$A$1:$A$567&amp;Input!$B$1:$B$567&amp;INDIRECT("Input!$"&amp;VLOOKUP(VLOOKUP(Bidding!$B96,Lookup!$F$2:$I$4,4), CHARS,2,TRUE)&amp;"$1:$"&amp;VLOOKUP(VLOOKUP(Bidding!$B96,Lookup!$F$2:$I$4,4), CHARS,2,TRUE)&amp;"$567")&amp;INDIRECT("Input!$"&amp;VLOOKUP(VLOOKUP(Bidding!$B96,Lookup!$F$2:$I$4,4)+1, CHARS,2,TRUE)&amp;"$1:$"&amp;VLOOKUP(VLOOKUP(Bidding!$B96,Lookup!$F$2:$I$4,4)+1, CHARS,2,TRUE)&amp;"$567")&amp;INDIRECT("Input!$"&amp;VLOOKUP(VLOOKUP(Bidding!$B96,Lookup!$F$2:$I$4,4)+2, CHARS,2,TRUE)&amp;"$1:$"&amp;VLOOKUP(VLOOKUP(Bidding!$B96,Lookup!$F$2:$I$4,4)+2, CHARS,2,TRUE)&amp;"$567"),0)),"")</f>
        <v/>
      </c>
      <c r="I96" t="str">
        <f ca="1"/>
        <v/>
      </c>
      <c r="J96" t="str">
        <f ca="1"/>
        <v/>
      </c>
    </row>
    <row r="97" spans="1:10" x14ac:dyDescent="0.2">
      <c r="A97" s="4">
        <f>IFERROR(IF((A96+1)/$D$7&lt;$D$5*$D$4,A96+1,""),"")</f>
        <v>85</v>
      </c>
      <c r="B97" t="str">
        <f ca="1">IFERROR(IF(NOT(ISBLANK(A97)),VLOOKUP(MOD(A97,$D$7),INDIRECT("Lookup!$A$2:$B$"&amp;$D$7+1),2,FALSE),""),"B")</f>
        <v>Bid volume</v>
      </c>
      <c r="D97" t="str">
        <f t="shared" ca="1" si="10"/>
        <v>Error</v>
      </c>
      <c r="E97">
        <f t="shared" ca="1" si="7"/>
        <v>0</v>
      </c>
      <c r="F97">
        <f t="shared" ca="1" si="8"/>
        <v>7</v>
      </c>
      <c r="G97">
        <f t="shared" ca="1" si="9"/>
        <v>0</v>
      </c>
      <c r="H97" t="str">
        <f t="array" aca="1" ref="H97:J97" ca="1">IFERROR(INDEX(Input!$H$1:$H$567,MATCH(VLOOKUP(Bidding!$B97,Lookup!$F$2:$I$4,2,FALSE)&amp;VLOOKUP(Bidding!$B97,Lookup!$F$2:$I$4,3,FALSE)&amp;$F97&amp;$E97&amp;H$11,Input!$A$1:$A$567&amp;Input!$B$1:$B$567&amp;INDIRECT("Input!$"&amp;VLOOKUP(VLOOKUP(Bidding!$B97,Lookup!$F$2:$I$4,4), CHARS,2,TRUE)&amp;"$1:$"&amp;VLOOKUP(VLOOKUP(Bidding!$B97,Lookup!$F$2:$I$4,4), CHARS,2,TRUE)&amp;"$567")&amp;INDIRECT("Input!$"&amp;VLOOKUP(VLOOKUP(Bidding!$B97,Lookup!$F$2:$I$4,4)+1, CHARS,2,TRUE)&amp;"$1:$"&amp;VLOOKUP(VLOOKUP(Bidding!$B97,Lookup!$F$2:$I$4,4)+1, CHARS,2,TRUE)&amp;"$567")&amp;INDIRECT("Input!$"&amp;VLOOKUP(VLOOKUP(Bidding!$B97,Lookup!$F$2:$I$4,4)+2, CHARS,2,TRUE)&amp;"$1:$"&amp;VLOOKUP(VLOOKUP(Bidding!$B97,Lookup!$F$2:$I$4,4)+2, CHARS,2,TRUE)&amp;"$567"),0)),"")</f>
        <v/>
      </c>
      <c r="I97" t="str">
        <f ca="1"/>
        <v/>
      </c>
      <c r="J97" t="str">
        <f ca="1"/>
        <v/>
      </c>
    </row>
    <row r="98" spans="1:10" x14ac:dyDescent="0.2">
      <c r="A98" s="4">
        <f>IFERROR(IF((A97+1)/$D$7&lt;$D$5*$D$4,A97+1,""),"")</f>
        <v>86</v>
      </c>
      <c r="B98" t="str">
        <f ca="1">IFERROR(IF(NOT(ISBLANK(A98)),VLOOKUP(MOD(A98,$D$7),INDIRECT("Lookup!$A$2:$B$"&amp;$D$7+1),2,FALSE),""),"B")</f>
        <v>Transaction volume</v>
      </c>
      <c r="D98" t="str">
        <f t="shared" ca="1" si="10"/>
        <v/>
      </c>
      <c r="E98">
        <f t="shared" ca="1" si="7"/>
        <v>0</v>
      </c>
      <c r="F98">
        <f t="shared" ca="1" si="8"/>
        <v>7</v>
      </c>
      <c r="G98">
        <f t="shared" ca="1" si="9"/>
        <v>0</v>
      </c>
      <c r="H98" t="str">
        <f t="array" aca="1" ref="H98:J98" ca="1">IFERROR(INDEX(Input!$H$1:$H$567,MATCH(VLOOKUP(Bidding!$B98,Lookup!$F$2:$I$4,2,FALSE)&amp;VLOOKUP(Bidding!$B98,Lookup!$F$2:$I$4,3,FALSE)&amp;$F98&amp;$E98&amp;H$11,Input!$A$1:$A$567&amp;Input!$B$1:$B$567&amp;INDIRECT("Input!$"&amp;VLOOKUP(VLOOKUP(Bidding!$B98,Lookup!$F$2:$I$4,4), CHARS,2,TRUE)&amp;"$1:$"&amp;VLOOKUP(VLOOKUP(Bidding!$B98,Lookup!$F$2:$I$4,4), CHARS,2,TRUE)&amp;"$567")&amp;INDIRECT("Input!$"&amp;VLOOKUP(VLOOKUP(Bidding!$B98,Lookup!$F$2:$I$4,4)+1, CHARS,2,TRUE)&amp;"$1:$"&amp;VLOOKUP(VLOOKUP(Bidding!$B98,Lookup!$F$2:$I$4,4)+1, CHARS,2,TRUE)&amp;"$567")&amp;INDIRECT("Input!$"&amp;VLOOKUP(VLOOKUP(Bidding!$B98,Lookup!$F$2:$I$4,4)+2, CHARS,2,TRUE)&amp;"$1:$"&amp;VLOOKUP(VLOOKUP(Bidding!$B98,Lookup!$F$2:$I$4,4)+2, CHARS,2,TRUE)&amp;"$567"),0)),"")</f>
        <v/>
      </c>
      <c r="I98" t="str">
        <f ca="1"/>
        <v/>
      </c>
      <c r="J98" t="str">
        <f ca="1"/>
        <v/>
      </c>
    </row>
    <row r="99" spans="1:10" x14ac:dyDescent="0.2">
      <c r="A99" s="4">
        <f>IFERROR(IF((A98+1)/$D$7&lt;$D$5*$D$4,A98+1,""),"")</f>
        <v>87</v>
      </c>
      <c r="B99" t="str">
        <f ca="1">IFERROR(IF(NOT(ISBLANK(A99)),VLOOKUP(MOD(A99,$D$7),INDIRECT("Lookup!$A$2:$B$"&amp;$D$7+1),2,FALSE),""),"B")</f>
        <v>Production quantity</v>
      </c>
      <c r="D99" t="str">
        <f t="shared" ca="1" si="10"/>
        <v/>
      </c>
      <c r="E99">
        <f t="shared" ca="1" si="7"/>
        <v>0</v>
      </c>
      <c r="F99">
        <f t="shared" ca="1" si="8"/>
        <v>7</v>
      </c>
      <c r="G99">
        <f t="shared" ca="1" si="9"/>
        <v>0</v>
      </c>
      <c r="H99" t="str">
        <f t="array" aca="1" ref="H99:J99" ca="1">IFERROR(INDEX(Input!$H$1:$H$567,MATCH(VLOOKUP(Bidding!$B99,Lookup!$F$2:$I$4,2,FALSE)&amp;VLOOKUP(Bidding!$B99,Lookup!$F$2:$I$4,3,FALSE)&amp;$F99&amp;$E99&amp;H$11,Input!$A$1:$A$567&amp;Input!$B$1:$B$567&amp;INDIRECT("Input!$"&amp;VLOOKUP(VLOOKUP(Bidding!$B99,Lookup!$F$2:$I$4,4), CHARS,2,TRUE)&amp;"$1:$"&amp;VLOOKUP(VLOOKUP(Bidding!$B99,Lookup!$F$2:$I$4,4), CHARS,2,TRUE)&amp;"$567")&amp;INDIRECT("Input!$"&amp;VLOOKUP(VLOOKUP(Bidding!$B99,Lookup!$F$2:$I$4,4)+1, CHARS,2,TRUE)&amp;"$1:$"&amp;VLOOKUP(VLOOKUP(Bidding!$B99,Lookup!$F$2:$I$4,4)+1, CHARS,2,TRUE)&amp;"$567")&amp;INDIRECT("Input!$"&amp;VLOOKUP(VLOOKUP(Bidding!$B99,Lookup!$F$2:$I$4,4)+2, CHARS,2,TRUE)&amp;"$1:$"&amp;VLOOKUP(VLOOKUP(Bidding!$B99,Lookup!$F$2:$I$4,4)+2, CHARS,2,TRUE)&amp;"$567"),0)),"")</f>
        <v/>
      </c>
      <c r="I99" t="str">
        <f ca="1"/>
        <v/>
      </c>
      <c r="J99" t="str">
        <f ca="1"/>
        <v/>
      </c>
    </row>
    <row r="100" spans="1:10" x14ac:dyDescent="0.2">
      <c r="A100" s="4">
        <f>IFERROR(IF((A99+1)/$D$7&lt;$D$5*$D$4,A99+1,""),"")</f>
        <v>88</v>
      </c>
      <c r="B100" t="str">
        <f ca="1">IFERROR(IF(NOT(ISBLANK(A100)),VLOOKUP(MOD(A100,$D$7),INDIRECT("Lookup!$A$2:$B$"&amp;$D$7+1),2,FALSE),""),"B")</f>
        <v>Delivery product</v>
      </c>
      <c r="D100" t="str">
        <f t="shared" ca="1" si="10"/>
        <v>Error</v>
      </c>
      <c r="E100" t="str">
        <f t="shared" ca="1" si="7"/>
        <v/>
      </c>
      <c r="F100" t="str">
        <f t="shared" ca="1" si="8"/>
        <v/>
      </c>
      <c r="G100" t="str">
        <f t="shared" ca="1" si="9"/>
        <v/>
      </c>
      <c r="H100" t="str">
        <f t="array" aca="1" ref="H100:J100" ca="1">IFERROR(INDEX(Input!$H$1:$H$567,MATCH(VLOOKUP(Bidding!$B100,Lookup!$F$2:$I$4,2,FALSE)&amp;VLOOKUP(Bidding!$B100,Lookup!$F$2:$I$4,3,FALSE)&amp;$F100&amp;$E100&amp;H$11,Input!$A$1:$A$567&amp;Input!$B$1:$B$567&amp;INDIRECT("Input!$"&amp;VLOOKUP(VLOOKUP(Bidding!$B100,Lookup!$F$2:$I$4,4), CHARS,2,TRUE)&amp;"$1:$"&amp;VLOOKUP(VLOOKUP(Bidding!$B100,Lookup!$F$2:$I$4,4), CHARS,2,TRUE)&amp;"$567")&amp;INDIRECT("Input!$"&amp;VLOOKUP(VLOOKUP(Bidding!$B100,Lookup!$F$2:$I$4,4)+1, CHARS,2,TRUE)&amp;"$1:$"&amp;VLOOKUP(VLOOKUP(Bidding!$B100,Lookup!$F$2:$I$4,4)+1, CHARS,2,TRUE)&amp;"$567")&amp;INDIRECT("Input!$"&amp;VLOOKUP(VLOOKUP(Bidding!$B100,Lookup!$F$2:$I$4,4)+2, CHARS,2,TRUE)&amp;"$1:$"&amp;VLOOKUP(VLOOKUP(Bidding!$B100,Lookup!$F$2:$I$4,4)+2, CHARS,2,TRUE)&amp;"$567"),0)),"")</f>
        <v/>
      </c>
      <c r="I100" t="str">
        <f ca="1"/>
        <v/>
      </c>
      <c r="J100" t="str">
        <f ca="1"/>
        <v/>
      </c>
    </row>
    <row r="101" spans="1:10" x14ac:dyDescent="0.2">
      <c r="A101" s="4">
        <f>IFERROR(IF((A100+1)/$D$7&lt;$D$5*$D$4,A100+1,""),"")</f>
        <v>89</v>
      </c>
      <c r="B101" t="str">
        <f ca="1">IFERROR(IF(NOT(ISBLANK(A101)),VLOOKUP(MOD(A101,$D$7),INDIRECT("Lookup!$A$2:$B$"&amp;$D$7+1),2,FALSE),""),"B")</f>
        <v>Bid volume</v>
      </c>
      <c r="D101" t="str">
        <f t="shared" ca="1" si="10"/>
        <v>Error</v>
      </c>
      <c r="E101">
        <f t="shared" ca="1" si="7"/>
        <v>1</v>
      </c>
      <c r="F101">
        <f t="shared" ca="1" si="8"/>
        <v>7</v>
      </c>
      <c r="G101">
        <f t="shared" ca="1" si="9"/>
        <v>0</v>
      </c>
      <c r="H101" t="str">
        <f t="array" aca="1" ref="H101:J101" ca="1">IFERROR(INDEX(Input!$H$1:$H$567,MATCH(VLOOKUP(Bidding!$B101,Lookup!$F$2:$I$4,2,FALSE)&amp;VLOOKUP(Bidding!$B101,Lookup!$F$2:$I$4,3,FALSE)&amp;$F101&amp;$E101&amp;H$11,Input!$A$1:$A$567&amp;Input!$B$1:$B$567&amp;INDIRECT("Input!$"&amp;VLOOKUP(VLOOKUP(Bidding!$B101,Lookup!$F$2:$I$4,4), CHARS,2,TRUE)&amp;"$1:$"&amp;VLOOKUP(VLOOKUP(Bidding!$B101,Lookup!$F$2:$I$4,4), CHARS,2,TRUE)&amp;"$567")&amp;INDIRECT("Input!$"&amp;VLOOKUP(VLOOKUP(Bidding!$B101,Lookup!$F$2:$I$4,4)+1, CHARS,2,TRUE)&amp;"$1:$"&amp;VLOOKUP(VLOOKUP(Bidding!$B101,Lookup!$F$2:$I$4,4)+1, CHARS,2,TRUE)&amp;"$567")&amp;INDIRECT("Input!$"&amp;VLOOKUP(VLOOKUP(Bidding!$B101,Lookup!$F$2:$I$4,4)+2, CHARS,2,TRUE)&amp;"$1:$"&amp;VLOOKUP(VLOOKUP(Bidding!$B101,Lookup!$F$2:$I$4,4)+2, CHARS,2,TRUE)&amp;"$567"),0)),"")</f>
        <v/>
      </c>
      <c r="I101" t="str">
        <f ca="1"/>
        <v/>
      </c>
      <c r="J101" t="str">
        <f ca="1"/>
        <v/>
      </c>
    </row>
    <row r="102" spans="1:10" x14ac:dyDescent="0.2">
      <c r="A102" s="4">
        <f>IFERROR(IF((A101+1)/$D$7&lt;$D$5*$D$4,A101+1,""),"")</f>
        <v>90</v>
      </c>
      <c r="B102" t="str">
        <f ca="1">IFERROR(IF(NOT(ISBLANK(A102)),VLOOKUP(MOD(A102,$D$7),INDIRECT("Lookup!$A$2:$B$"&amp;$D$7+1),2,FALSE),""),"B")</f>
        <v>Transaction volume</v>
      </c>
      <c r="D102" t="str">
        <f t="shared" ca="1" si="10"/>
        <v/>
      </c>
      <c r="E102">
        <f t="shared" ca="1" si="7"/>
        <v>1</v>
      </c>
      <c r="F102">
        <f t="shared" ca="1" si="8"/>
        <v>7</v>
      </c>
      <c r="G102">
        <f t="shared" ca="1" si="9"/>
        <v>0</v>
      </c>
      <c r="H102" t="str">
        <f t="array" aca="1" ref="H102:J102" ca="1">IFERROR(INDEX(Input!$H$1:$H$567,MATCH(VLOOKUP(Bidding!$B102,Lookup!$F$2:$I$4,2,FALSE)&amp;VLOOKUP(Bidding!$B102,Lookup!$F$2:$I$4,3,FALSE)&amp;$F102&amp;$E102&amp;H$11,Input!$A$1:$A$567&amp;Input!$B$1:$B$567&amp;INDIRECT("Input!$"&amp;VLOOKUP(VLOOKUP(Bidding!$B102,Lookup!$F$2:$I$4,4), CHARS,2,TRUE)&amp;"$1:$"&amp;VLOOKUP(VLOOKUP(Bidding!$B102,Lookup!$F$2:$I$4,4), CHARS,2,TRUE)&amp;"$567")&amp;INDIRECT("Input!$"&amp;VLOOKUP(VLOOKUP(Bidding!$B102,Lookup!$F$2:$I$4,4)+1, CHARS,2,TRUE)&amp;"$1:$"&amp;VLOOKUP(VLOOKUP(Bidding!$B102,Lookup!$F$2:$I$4,4)+1, CHARS,2,TRUE)&amp;"$567")&amp;INDIRECT("Input!$"&amp;VLOOKUP(VLOOKUP(Bidding!$B102,Lookup!$F$2:$I$4,4)+2, CHARS,2,TRUE)&amp;"$1:$"&amp;VLOOKUP(VLOOKUP(Bidding!$B102,Lookup!$F$2:$I$4,4)+2, CHARS,2,TRUE)&amp;"$567"),0)),"")</f>
        <v/>
      </c>
      <c r="I102" t="str">
        <f ca="1"/>
        <v/>
      </c>
      <c r="J102" t="str">
        <f ca="1"/>
        <v/>
      </c>
    </row>
    <row r="103" spans="1:10" x14ac:dyDescent="0.2">
      <c r="A103" s="4">
        <f>IFERROR(IF((A102+1)/$D$7&lt;$D$5*$D$4,A102+1,""),"")</f>
        <v>91</v>
      </c>
      <c r="B103" t="str">
        <f ca="1">IFERROR(IF(NOT(ISBLANK(A103)),VLOOKUP(MOD(A103,$D$7),INDIRECT("Lookup!$A$2:$B$"&amp;$D$7+1),2,FALSE),""),"B")</f>
        <v>Production quantity</v>
      </c>
      <c r="D103" t="str">
        <f t="shared" ca="1" si="10"/>
        <v/>
      </c>
      <c r="E103">
        <f t="shared" ca="1" si="7"/>
        <v>1</v>
      </c>
      <c r="F103">
        <f t="shared" ca="1" si="8"/>
        <v>7</v>
      </c>
      <c r="G103">
        <f t="shared" ca="1" si="9"/>
        <v>0</v>
      </c>
      <c r="H103" t="str">
        <f t="array" aca="1" ref="H103:J103" ca="1">IFERROR(INDEX(Input!$H$1:$H$567,MATCH(VLOOKUP(Bidding!$B103,Lookup!$F$2:$I$4,2,FALSE)&amp;VLOOKUP(Bidding!$B103,Lookup!$F$2:$I$4,3,FALSE)&amp;$F103&amp;$E103&amp;H$11,Input!$A$1:$A$567&amp;Input!$B$1:$B$567&amp;INDIRECT("Input!$"&amp;VLOOKUP(VLOOKUP(Bidding!$B103,Lookup!$F$2:$I$4,4), CHARS,2,TRUE)&amp;"$1:$"&amp;VLOOKUP(VLOOKUP(Bidding!$B103,Lookup!$F$2:$I$4,4), CHARS,2,TRUE)&amp;"$567")&amp;INDIRECT("Input!$"&amp;VLOOKUP(VLOOKUP(Bidding!$B103,Lookup!$F$2:$I$4,4)+1, CHARS,2,TRUE)&amp;"$1:$"&amp;VLOOKUP(VLOOKUP(Bidding!$B103,Lookup!$F$2:$I$4,4)+1, CHARS,2,TRUE)&amp;"$567")&amp;INDIRECT("Input!$"&amp;VLOOKUP(VLOOKUP(Bidding!$B103,Lookup!$F$2:$I$4,4)+2, CHARS,2,TRUE)&amp;"$1:$"&amp;VLOOKUP(VLOOKUP(Bidding!$B103,Lookup!$F$2:$I$4,4)+2, CHARS,2,TRUE)&amp;"$567"),0)),"")</f>
        <v/>
      </c>
      <c r="I103" t="str">
        <f ca="1"/>
        <v/>
      </c>
      <c r="J103" t="str">
        <f ca="1"/>
        <v/>
      </c>
    </row>
    <row r="104" spans="1:10" x14ac:dyDescent="0.2">
      <c r="A104" s="4">
        <f>IFERROR(IF((A103+1)/$D$7&lt;$D$5*$D$4,A103+1,""),"")</f>
        <v>92</v>
      </c>
      <c r="B104" t="str">
        <f ca="1">IFERROR(IF(NOT(ISBLANK(A104)),VLOOKUP(MOD(A104,$D$7),INDIRECT("Lookup!$A$2:$B$"&amp;$D$7+1),2,FALSE),""),"B")</f>
        <v>Delivery product</v>
      </c>
      <c r="D104" t="str">
        <f t="shared" ca="1" si="10"/>
        <v>Error</v>
      </c>
      <c r="E104" t="str">
        <f t="shared" ca="1" si="7"/>
        <v/>
      </c>
      <c r="F104" t="str">
        <f t="shared" ca="1" si="8"/>
        <v/>
      </c>
      <c r="G104" t="str">
        <f t="shared" ca="1" si="9"/>
        <v/>
      </c>
      <c r="H104" t="str">
        <f t="array" aca="1" ref="H104:J104" ca="1">IFERROR(INDEX(Input!$H$1:$H$567,MATCH(VLOOKUP(Bidding!$B104,Lookup!$F$2:$I$4,2,FALSE)&amp;VLOOKUP(Bidding!$B104,Lookup!$F$2:$I$4,3,FALSE)&amp;$F104&amp;$E104&amp;H$11,Input!$A$1:$A$567&amp;Input!$B$1:$B$567&amp;INDIRECT("Input!$"&amp;VLOOKUP(VLOOKUP(Bidding!$B104,Lookup!$F$2:$I$4,4), CHARS,2,TRUE)&amp;"$1:$"&amp;VLOOKUP(VLOOKUP(Bidding!$B104,Lookup!$F$2:$I$4,4), CHARS,2,TRUE)&amp;"$567")&amp;INDIRECT("Input!$"&amp;VLOOKUP(VLOOKUP(Bidding!$B104,Lookup!$F$2:$I$4,4)+1, CHARS,2,TRUE)&amp;"$1:$"&amp;VLOOKUP(VLOOKUP(Bidding!$B104,Lookup!$F$2:$I$4,4)+1, CHARS,2,TRUE)&amp;"$567")&amp;INDIRECT("Input!$"&amp;VLOOKUP(VLOOKUP(Bidding!$B104,Lookup!$F$2:$I$4,4)+2, CHARS,2,TRUE)&amp;"$1:$"&amp;VLOOKUP(VLOOKUP(Bidding!$B104,Lookup!$F$2:$I$4,4)+2, CHARS,2,TRUE)&amp;"$567"),0)),"")</f>
        <v/>
      </c>
      <c r="I104" t="str">
        <f ca="1"/>
        <v/>
      </c>
      <c r="J104" t="str">
        <f ca="1"/>
        <v/>
      </c>
    </row>
    <row r="105" spans="1:10" x14ac:dyDescent="0.2">
      <c r="A105" s="4">
        <f>IFERROR(IF((A104+1)/$D$7&lt;$D$5*$D$4,A104+1,""),"")</f>
        <v>93</v>
      </c>
      <c r="B105" t="str">
        <f ca="1">IFERROR(IF(NOT(ISBLANK(A105)),VLOOKUP(MOD(A105,$D$7),INDIRECT("Lookup!$A$2:$B$"&amp;$D$7+1),2,FALSE),""),"B")</f>
        <v>Bid volume</v>
      </c>
      <c r="D105" t="str">
        <f t="shared" ca="1" si="10"/>
        <v>Error</v>
      </c>
      <c r="E105">
        <f t="shared" ca="1" si="7"/>
        <v>2</v>
      </c>
      <c r="F105">
        <f t="shared" ca="1" si="8"/>
        <v>7</v>
      </c>
      <c r="G105">
        <f t="shared" ca="1" si="9"/>
        <v>0</v>
      </c>
      <c r="H105" t="str">
        <f t="array" aca="1" ref="H105:J105" ca="1">IFERROR(INDEX(Input!$H$1:$H$567,MATCH(VLOOKUP(Bidding!$B105,Lookup!$F$2:$I$4,2,FALSE)&amp;VLOOKUP(Bidding!$B105,Lookup!$F$2:$I$4,3,FALSE)&amp;$F105&amp;$E105&amp;H$11,Input!$A$1:$A$567&amp;Input!$B$1:$B$567&amp;INDIRECT("Input!$"&amp;VLOOKUP(VLOOKUP(Bidding!$B105,Lookup!$F$2:$I$4,4), CHARS,2,TRUE)&amp;"$1:$"&amp;VLOOKUP(VLOOKUP(Bidding!$B105,Lookup!$F$2:$I$4,4), CHARS,2,TRUE)&amp;"$567")&amp;INDIRECT("Input!$"&amp;VLOOKUP(VLOOKUP(Bidding!$B105,Lookup!$F$2:$I$4,4)+1, CHARS,2,TRUE)&amp;"$1:$"&amp;VLOOKUP(VLOOKUP(Bidding!$B105,Lookup!$F$2:$I$4,4)+1, CHARS,2,TRUE)&amp;"$567")&amp;INDIRECT("Input!$"&amp;VLOOKUP(VLOOKUP(Bidding!$B105,Lookup!$F$2:$I$4,4)+2, CHARS,2,TRUE)&amp;"$1:$"&amp;VLOOKUP(VLOOKUP(Bidding!$B105,Lookup!$F$2:$I$4,4)+2, CHARS,2,TRUE)&amp;"$567"),0)),"")</f>
        <v/>
      </c>
      <c r="I105" t="str">
        <f ca="1"/>
        <v/>
      </c>
      <c r="J105" t="str">
        <f ca="1"/>
        <v/>
      </c>
    </row>
    <row r="106" spans="1:10" x14ac:dyDescent="0.2">
      <c r="A106" s="4">
        <f>IFERROR(IF((A105+1)/$D$7&lt;$D$5*$D$4,A105+1,""),"")</f>
        <v>94</v>
      </c>
      <c r="B106" t="str">
        <f ca="1">IFERROR(IF(NOT(ISBLANK(A106)),VLOOKUP(MOD(A106,$D$7),INDIRECT("Lookup!$A$2:$B$"&amp;$D$7+1),2,FALSE),""),"B")</f>
        <v>Transaction volume</v>
      </c>
      <c r="D106" t="str">
        <f t="shared" ca="1" si="10"/>
        <v/>
      </c>
      <c r="E106">
        <f t="shared" ca="1" si="7"/>
        <v>2</v>
      </c>
      <c r="F106">
        <f t="shared" ca="1" si="8"/>
        <v>7</v>
      </c>
      <c r="G106">
        <f t="shared" ca="1" si="9"/>
        <v>0</v>
      </c>
      <c r="H106" t="str">
        <f t="array" aca="1" ref="H106:J106" ca="1">IFERROR(INDEX(Input!$H$1:$H$567,MATCH(VLOOKUP(Bidding!$B106,Lookup!$F$2:$I$4,2,FALSE)&amp;VLOOKUP(Bidding!$B106,Lookup!$F$2:$I$4,3,FALSE)&amp;$F106&amp;$E106&amp;H$11,Input!$A$1:$A$567&amp;Input!$B$1:$B$567&amp;INDIRECT("Input!$"&amp;VLOOKUP(VLOOKUP(Bidding!$B106,Lookup!$F$2:$I$4,4), CHARS,2,TRUE)&amp;"$1:$"&amp;VLOOKUP(VLOOKUP(Bidding!$B106,Lookup!$F$2:$I$4,4), CHARS,2,TRUE)&amp;"$567")&amp;INDIRECT("Input!$"&amp;VLOOKUP(VLOOKUP(Bidding!$B106,Lookup!$F$2:$I$4,4)+1, CHARS,2,TRUE)&amp;"$1:$"&amp;VLOOKUP(VLOOKUP(Bidding!$B106,Lookup!$F$2:$I$4,4)+1, CHARS,2,TRUE)&amp;"$567")&amp;INDIRECT("Input!$"&amp;VLOOKUP(VLOOKUP(Bidding!$B106,Lookup!$F$2:$I$4,4)+2, CHARS,2,TRUE)&amp;"$1:$"&amp;VLOOKUP(VLOOKUP(Bidding!$B106,Lookup!$F$2:$I$4,4)+2, CHARS,2,TRUE)&amp;"$567"),0)),"")</f>
        <v/>
      </c>
      <c r="I106" t="str">
        <f ca="1"/>
        <v/>
      </c>
      <c r="J106" t="str">
        <f ca="1"/>
        <v/>
      </c>
    </row>
    <row r="107" spans="1:10" x14ac:dyDescent="0.2">
      <c r="A107" s="4">
        <f>IFERROR(IF((A106+1)/$D$7&lt;$D$5*$D$4,A106+1,""),"")</f>
        <v>95</v>
      </c>
      <c r="B107" t="str">
        <f ca="1">IFERROR(IF(NOT(ISBLANK(A107)),VLOOKUP(MOD(A107,$D$7),INDIRECT("Lookup!$A$2:$B$"&amp;$D$7+1),2,FALSE),""),"B")</f>
        <v>Production quantity</v>
      </c>
      <c r="D107" t="str">
        <f t="shared" ca="1" si="10"/>
        <v/>
      </c>
      <c r="E107">
        <f t="shared" ca="1" si="7"/>
        <v>2</v>
      </c>
      <c r="F107">
        <f t="shared" ca="1" si="8"/>
        <v>7</v>
      </c>
      <c r="G107">
        <f t="shared" ca="1" si="9"/>
        <v>0</v>
      </c>
      <c r="H107" t="str">
        <f t="array" aca="1" ref="H107:J107" ca="1">IFERROR(INDEX(Input!$H$1:$H$567,MATCH(VLOOKUP(Bidding!$B107,Lookup!$F$2:$I$4,2,FALSE)&amp;VLOOKUP(Bidding!$B107,Lookup!$F$2:$I$4,3,FALSE)&amp;$F107&amp;$E107&amp;H$11,Input!$A$1:$A$567&amp;Input!$B$1:$B$567&amp;INDIRECT("Input!$"&amp;VLOOKUP(VLOOKUP(Bidding!$B107,Lookup!$F$2:$I$4,4), CHARS,2,TRUE)&amp;"$1:$"&amp;VLOOKUP(VLOOKUP(Bidding!$B107,Lookup!$F$2:$I$4,4), CHARS,2,TRUE)&amp;"$567")&amp;INDIRECT("Input!$"&amp;VLOOKUP(VLOOKUP(Bidding!$B107,Lookup!$F$2:$I$4,4)+1, CHARS,2,TRUE)&amp;"$1:$"&amp;VLOOKUP(VLOOKUP(Bidding!$B107,Lookup!$F$2:$I$4,4)+1, CHARS,2,TRUE)&amp;"$567")&amp;INDIRECT("Input!$"&amp;VLOOKUP(VLOOKUP(Bidding!$B107,Lookup!$F$2:$I$4,4)+2, CHARS,2,TRUE)&amp;"$1:$"&amp;VLOOKUP(VLOOKUP(Bidding!$B107,Lookup!$F$2:$I$4,4)+2, CHARS,2,TRUE)&amp;"$567"),0)),"")</f>
        <v/>
      </c>
      <c r="I107" t="str">
        <f ca="1"/>
        <v/>
      </c>
      <c r="J107" t="str">
        <f ca="1"/>
        <v/>
      </c>
    </row>
    <row r="108" spans="1:10" x14ac:dyDescent="0.2">
      <c r="A108" s="4">
        <f>IFERROR(IF((A107+1)/$D$7&lt;$D$5*$D$4,A107+1,""),"")</f>
        <v>96</v>
      </c>
      <c r="B108" t="str">
        <f ca="1">IFERROR(IF(NOT(ISBLANK(A108)),VLOOKUP(MOD(A108,$D$7),INDIRECT("Lookup!$A$2:$B$"&amp;$D$7+1),2,FALSE),""),"B")</f>
        <v>Delivery product</v>
      </c>
      <c r="D108" t="str">
        <f t="shared" ca="1" si="10"/>
        <v>Error</v>
      </c>
      <c r="E108" t="str">
        <f t="shared" ca="1" si="7"/>
        <v/>
      </c>
      <c r="F108" t="str">
        <f t="shared" ca="1" si="8"/>
        <v/>
      </c>
      <c r="G108" t="str">
        <f t="shared" ca="1" si="9"/>
        <v/>
      </c>
      <c r="H108" t="str">
        <f t="array" aca="1" ref="H108:J108" ca="1">IFERROR(INDEX(Input!$H$1:$H$567,MATCH(VLOOKUP(Bidding!$B108,Lookup!$F$2:$I$4,2,FALSE)&amp;VLOOKUP(Bidding!$B108,Lookup!$F$2:$I$4,3,FALSE)&amp;$F108&amp;$E108&amp;H$11,Input!$A$1:$A$567&amp;Input!$B$1:$B$567&amp;INDIRECT("Input!$"&amp;VLOOKUP(VLOOKUP(Bidding!$B108,Lookup!$F$2:$I$4,4), CHARS,2,TRUE)&amp;"$1:$"&amp;VLOOKUP(VLOOKUP(Bidding!$B108,Lookup!$F$2:$I$4,4), CHARS,2,TRUE)&amp;"$567")&amp;INDIRECT("Input!$"&amp;VLOOKUP(VLOOKUP(Bidding!$B108,Lookup!$F$2:$I$4,4)+1, CHARS,2,TRUE)&amp;"$1:$"&amp;VLOOKUP(VLOOKUP(Bidding!$B108,Lookup!$F$2:$I$4,4)+1, CHARS,2,TRUE)&amp;"$567")&amp;INDIRECT("Input!$"&amp;VLOOKUP(VLOOKUP(Bidding!$B108,Lookup!$F$2:$I$4,4)+2, CHARS,2,TRUE)&amp;"$1:$"&amp;VLOOKUP(VLOOKUP(Bidding!$B108,Lookup!$F$2:$I$4,4)+2, CHARS,2,TRUE)&amp;"$567"),0)),"")</f>
        <v/>
      </c>
      <c r="I108" t="str">
        <f ca="1"/>
        <v/>
      </c>
      <c r="J108" t="str">
        <f ca="1"/>
        <v/>
      </c>
    </row>
    <row r="109" spans="1:10" x14ac:dyDescent="0.2">
      <c r="A109" s="4">
        <f>IFERROR(IF((A108+1)/$D$7&lt;$D$5*$D$4,A108+1,""),"")</f>
        <v>97</v>
      </c>
      <c r="B109" t="str">
        <f ca="1">IFERROR(IF(NOT(ISBLANK(A109)),VLOOKUP(MOD(A109,$D$7),INDIRECT("Lookup!$A$2:$B$"&amp;$D$7+1),2,FALSE),""),"B")</f>
        <v>Bid volume</v>
      </c>
      <c r="D109" t="str">
        <f t="shared" ca="1" si="10"/>
        <v>Error</v>
      </c>
      <c r="E109">
        <f t="shared" ca="1" si="7"/>
        <v>0</v>
      </c>
      <c r="F109">
        <f t="shared" ca="1" si="8"/>
        <v>8</v>
      </c>
      <c r="G109">
        <f t="shared" ca="1" si="9"/>
        <v>0</v>
      </c>
      <c r="H109" t="str">
        <f t="array" aca="1" ref="H109:J109" ca="1">IFERROR(INDEX(Input!$H$1:$H$567,MATCH(VLOOKUP(Bidding!$B109,Lookup!$F$2:$I$4,2,FALSE)&amp;VLOOKUP(Bidding!$B109,Lookup!$F$2:$I$4,3,FALSE)&amp;$F109&amp;$E109&amp;H$11,Input!$A$1:$A$567&amp;Input!$B$1:$B$567&amp;INDIRECT("Input!$"&amp;VLOOKUP(VLOOKUP(Bidding!$B109,Lookup!$F$2:$I$4,4), CHARS,2,TRUE)&amp;"$1:$"&amp;VLOOKUP(VLOOKUP(Bidding!$B109,Lookup!$F$2:$I$4,4), CHARS,2,TRUE)&amp;"$567")&amp;INDIRECT("Input!$"&amp;VLOOKUP(VLOOKUP(Bidding!$B109,Lookup!$F$2:$I$4,4)+1, CHARS,2,TRUE)&amp;"$1:$"&amp;VLOOKUP(VLOOKUP(Bidding!$B109,Lookup!$F$2:$I$4,4)+1, CHARS,2,TRUE)&amp;"$567")&amp;INDIRECT("Input!$"&amp;VLOOKUP(VLOOKUP(Bidding!$B109,Lookup!$F$2:$I$4,4)+2, CHARS,2,TRUE)&amp;"$1:$"&amp;VLOOKUP(VLOOKUP(Bidding!$B109,Lookup!$F$2:$I$4,4)+2, CHARS,2,TRUE)&amp;"$567"),0)),"")</f>
        <v/>
      </c>
      <c r="I109" t="str">
        <f ca="1"/>
        <v/>
      </c>
      <c r="J109" t="str">
        <f ca="1"/>
        <v/>
      </c>
    </row>
    <row r="110" spans="1:10" x14ac:dyDescent="0.2">
      <c r="A110" s="4">
        <f>IFERROR(IF((A109+1)/$D$7&lt;$D$5*$D$4,A109+1,""),"")</f>
        <v>98</v>
      </c>
      <c r="B110" t="str">
        <f ca="1">IFERROR(IF(NOT(ISBLANK(A110)),VLOOKUP(MOD(A110,$D$7),INDIRECT("Lookup!$A$2:$B$"&amp;$D$7+1),2,FALSE),""),"B")</f>
        <v>Transaction volume</v>
      </c>
      <c r="D110" t="str">
        <f t="shared" ca="1" si="10"/>
        <v/>
      </c>
      <c r="E110">
        <f t="shared" ca="1" si="7"/>
        <v>0</v>
      </c>
      <c r="F110">
        <f t="shared" ca="1" si="8"/>
        <v>8</v>
      </c>
      <c r="G110">
        <f t="shared" ca="1" si="9"/>
        <v>0</v>
      </c>
      <c r="H110" t="str">
        <f t="array" aca="1" ref="H110:J110" ca="1">IFERROR(INDEX(Input!$H$1:$H$567,MATCH(VLOOKUP(Bidding!$B110,Lookup!$F$2:$I$4,2,FALSE)&amp;VLOOKUP(Bidding!$B110,Lookup!$F$2:$I$4,3,FALSE)&amp;$F110&amp;$E110&amp;H$11,Input!$A$1:$A$567&amp;Input!$B$1:$B$567&amp;INDIRECT("Input!$"&amp;VLOOKUP(VLOOKUP(Bidding!$B110,Lookup!$F$2:$I$4,4), CHARS,2,TRUE)&amp;"$1:$"&amp;VLOOKUP(VLOOKUP(Bidding!$B110,Lookup!$F$2:$I$4,4), CHARS,2,TRUE)&amp;"$567")&amp;INDIRECT("Input!$"&amp;VLOOKUP(VLOOKUP(Bidding!$B110,Lookup!$F$2:$I$4,4)+1, CHARS,2,TRUE)&amp;"$1:$"&amp;VLOOKUP(VLOOKUP(Bidding!$B110,Lookup!$F$2:$I$4,4)+1, CHARS,2,TRUE)&amp;"$567")&amp;INDIRECT("Input!$"&amp;VLOOKUP(VLOOKUP(Bidding!$B110,Lookup!$F$2:$I$4,4)+2, CHARS,2,TRUE)&amp;"$1:$"&amp;VLOOKUP(VLOOKUP(Bidding!$B110,Lookup!$F$2:$I$4,4)+2, CHARS,2,TRUE)&amp;"$567"),0)),"")</f>
        <v/>
      </c>
      <c r="I110" t="str">
        <f ca="1"/>
        <v/>
      </c>
      <c r="J110" t="str">
        <f ca="1"/>
        <v/>
      </c>
    </row>
    <row r="111" spans="1:10" x14ac:dyDescent="0.2">
      <c r="A111" s="4">
        <f>IFERROR(IF((A110+1)/$D$7&lt;$D$5*$D$4,A110+1,""),"")</f>
        <v>99</v>
      </c>
      <c r="B111" t="str">
        <f ca="1">IFERROR(IF(NOT(ISBLANK(A111)),VLOOKUP(MOD(A111,$D$7),INDIRECT("Lookup!$A$2:$B$"&amp;$D$7+1),2,FALSE),""),"B")</f>
        <v>Production quantity</v>
      </c>
      <c r="D111" t="str">
        <f t="shared" ca="1" si="10"/>
        <v/>
      </c>
      <c r="E111">
        <f t="shared" ca="1" si="7"/>
        <v>0</v>
      </c>
      <c r="F111">
        <f t="shared" ca="1" si="8"/>
        <v>8</v>
      </c>
      <c r="G111">
        <f t="shared" ca="1" si="9"/>
        <v>0</v>
      </c>
      <c r="H111" t="str">
        <f t="array" aca="1" ref="H111:J111" ca="1">IFERROR(INDEX(Input!$H$1:$H$567,MATCH(VLOOKUP(Bidding!$B111,Lookup!$F$2:$I$4,2,FALSE)&amp;VLOOKUP(Bidding!$B111,Lookup!$F$2:$I$4,3,FALSE)&amp;$F111&amp;$E111&amp;H$11,Input!$A$1:$A$567&amp;Input!$B$1:$B$567&amp;INDIRECT("Input!$"&amp;VLOOKUP(VLOOKUP(Bidding!$B111,Lookup!$F$2:$I$4,4), CHARS,2,TRUE)&amp;"$1:$"&amp;VLOOKUP(VLOOKUP(Bidding!$B111,Lookup!$F$2:$I$4,4), CHARS,2,TRUE)&amp;"$567")&amp;INDIRECT("Input!$"&amp;VLOOKUP(VLOOKUP(Bidding!$B111,Lookup!$F$2:$I$4,4)+1, CHARS,2,TRUE)&amp;"$1:$"&amp;VLOOKUP(VLOOKUP(Bidding!$B111,Lookup!$F$2:$I$4,4)+1, CHARS,2,TRUE)&amp;"$567")&amp;INDIRECT("Input!$"&amp;VLOOKUP(VLOOKUP(Bidding!$B111,Lookup!$F$2:$I$4,4)+2, CHARS,2,TRUE)&amp;"$1:$"&amp;VLOOKUP(VLOOKUP(Bidding!$B111,Lookup!$F$2:$I$4,4)+2, CHARS,2,TRUE)&amp;"$567"),0)),"")</f>
        <v/>
      </c>
      <c r="I111" t="str">
        <f ca="1"/>
        <v/>
      </c>
      <c r="J111" t="str">
        <f ca="1"/>
        <v/>
      </c>
    </row>
    <row r="112" spans="1:10" x14ac:dyDescent="0.2">
      <c r="A112" s="4">
        <f>IFERROR(IF((A111+1)/$D$7&lt;$D$5*$D$4,A111+1,""),"")</f>
        <v>100</v>
      </c>
      <c r="B112" t="str">
        <f ca="1">IFERROR(IF(NOT(ISBLANK(A112)),VLOOKUP(MOD(A112,$D$7),INDIRECT("Lookup!$A$2:$B$"&amp;$D$7+1),2,FALSE),""),"B")</f>
        <v>Delivery product</v>
      </c>
      <c r="D112" t="str">
        <f t="shared" ca="1" si="10"/>
        <v>Error</v>
      </c>
      <c r="E112" t="str">
        <f t="shared" ca="1" si="7"/>
        <v/>
      </c>
      <c r="F112" t="str">
        <f t="shared" ca="1" si="8"/>
        <v/>
      </c>
      <c r="G112" t="str">
        <f t="shared" ca="1" si="9"/>
        <v/>
      </c>
      <c r="H112" t="str">
        <f t="array" aca="1" ref="H112:J112" ca="1">IFERROR(INDEX(Input!$H$1:$H$567,MATCH(VLOOKUP(Bidding!$B112,Lookup!$F$2:$I$4,2,FALSE)&amp;VLOOKUP(Bidding!$B112,Lookup!$F$2:$I$4,3,FALSE)&amp;$F112&amp;$E112&amp;H$11,Input!$A$1:$A$567&amp;Input!$B$1:$B$567&amp;INDIRECT("Input!$"&amp;VLOOKUP(VLOOKUP(Bidding!$B112,Lookup!$F$2:$I$4,4), CHARS,2,TRUE)&amp;"$1:$"&amp;VLOOKUP(VLOOKUP(Bidding!$B112,Lookup!$F$2:$I$4,4), CHARS,2,TRUE)&amp;"$567")&amp;INDIRECT("Input!$"&amp;VLOOKUP(VLOOKUP(Bidding!$B112,Lookup!$F$2:$I$4,4)+1, CHARS,2,TRUE)&amp;"$1:$"&amp;VLOOKUP(VLOOKUP(Bidding!$B112,Lookup!$F$2:$I$4,4)+1, CHARS,2,TRUE)&amp;"$567")&amp;INDIRECT("Input!$"&amp;VLOOKUP(VLOOKUP(Bidding!$B112,Lookup!$F$2:$I$4,4)+2, CHARS,2,TRUE)&amp;"$1:$"&amp;VLOOKUP(VLOOKUP(Bidding!$B112,Lookup!$F$2:$I$4,4)+2, CHARS,2,TRUE)&amp;"$567"),0)),"")</f>
        <v/>
      </c>
      <c r="I112" t="str">
        <f ca="1"/>
        <v/>
      </c>
      <c r="J112" t="str">
        <f ca="1"/>
        <v/>
      </c>
    </row>
    <row r="113" spans="1:10" x14ac:dyDescent="0.2">
      <c r="A113" s="4">
        <f>IFERROR(IF((A112+1)/$D$7&lt;$D$5*$D$4,A112+1,""),"")</f>
        <v>101</v>
      </c>
      <c r="B113" t="str">
        <f ca="1">IFERROR(IF(NOT(ISBLANK(A113)),VLOOKUP(MOD(A113,$D$7),INDIRECT("Lookup!$A$2:$B$"&amp;$D$7+1),2,FALSE),""),"B")</f>
        <v>Bid volume</v>
      </c>
      <c r="D113" t="str">
        <f t="shared" ca="1" si="10"/>
        <v>Error</v>
      </c>
      <c r="E113">
        <f t="shared" ca="1" si="7"/>
        <v>1</v>
      </c>
      <c r="F113">
        <f t="shared" ca="1" si="8"/>
        <v>8</v>
      </c>
      <c r="G113">
        <f t="shared" ca="1" si="9"/>
        <v>0</v>
      </c>
      <c r="H113" t="str">
        <f t="array" aca="1" ref="H113:J113" ca="1">IFERROR(INDEX(Input!$H$1:$H$567,MATCH(VLOOKUP(Bidding!$B113,Lookup!$F$2:$I$4,2,FALSE)&amp;VLOOKUP(Bidding!$B113,Lookup!$F$2:$I$4,3,FALSE)&amp;$F113&amp;$E113&amp;H$11,Input!$A$1:$A$567&amp;Input!$B$1:$B$567&amp;INDIRECT("Input!$"&amp;VLOOKUP(VLOOKUP(Bidding!$B113,Lookup!$F$2:$I$4,4), CHARS,2,TRUE)&amp;"$1:$"&amp;VLOOKUP(VLOOKUP(Bidding!$B113,Lookup!$F$2:$I$4,4), CHARS,2,TRUE)&amp;"$567")&amp;INDIRECT("Input!$"&amp;VLOOKUP(VLOOKUP(Bidding!$B113,Lookup!$F$2:$I$4,4)+1, CHARS,2,TRUE)&amp;"$1:$"&amp;VLOOKUP(VLOOKUP(Bidding!$B113,Lookup!$F$2:$I$4,4)+1, CHARS,2,TRUE)&amp;"$567")&amp;INDIRECT("Input!$"&amp;VLOOKUP(VLOOKUP(Bidding!$B113,Lookup!$F$2:$I$4,4)+2, CHARS,2,TRUE)&amp;"$1:$"&amp;VLOOKUP(VLOOKUP(Bidding!$B113,Lookup!$F$2:$I$4,4)+2, CHARS,2,TRUE)&amp;"$567"),0)),"")</f>
        <v/>
      </c>
      <c r="I113" t="str">
        <f ca="1"/>
        <v/>
      </c>
      <c r="J113" t="str">
        <f ca="1"/>
        <v/>
      </c>
    </row>
    <row r="114" spans="1:10" x14ac:dyDescent="0.2">
      <c r="A114" s="4">
        <f>IFERROR(IF((A113+1)/$D$7&lt;$D$5*$D$4,A113+1,""),"")</f>
        <v>102</v>
      </c>
      <c r="B114" t="str">
        <f ca="1">IFERROR(IF(NOT(ISBLANK(A114)),VLOOKUP(MOD(A114,$D$7),INDIRECT("Lookup!$A$2:$B$"&amp;$D$7+1),2,FALSE),""),"B")</f>
        <v>Transaction volume</v>
      </c>
      <c r="D114" t="str">
        <f t="shared" ca="1" si="10"/>
        <v/>
      </c>
      <c r="E114">
        <f t="shared" ca="1" si="7"/>
        <v>1</v>
      </c>
      <c r="F114">
        <f t="shared" ca="1" si="8"/>
        <v>8</v>
      </c>
      <c r="G114">
        <f t="shared" ca="1" si="9"/>
        <v>0</v>
      </c>
      <c r="H114" t="str">
        <f t="array" aca="1" ref="H114:J114" ca="1">IFERROR(INDEX(Input!$H$1:$H$567,MATCH(VLOOKUP(Bidding!$B114,Lookup!$F$2:$I$4,2,FALSE)&amp;VLOOKUP(Bidding!$B114,Lookup!$F$2:$I$4,3,FALSE)&amp;$F114&amp;$E114&amp;H$11,Input!$A$1:$A$567&amp;Input!$B$1:$B$567&amp;INDIRECT("Input!$"&amp;VLOOKUP(VLOOKUP(Bidding!$B114,Lookup!$F$2:$I$4,4), CHARS,2,TRUE)&amp;"$1:$"&amp;VLOOKUP(VLOOKUP(Bidding!$B114,Lookup!$F$2:$I$4,4), CHARS,2,TRUE)&amp;"$567")&amp;INDIRECT("Input!$"&amp;VLOOKUP(VLOOKUP(Bidding!$B114,Lookup!$F$2:$I$4,4)+1, CHARS,2,TRUE)&amp;"$1:$"&amp;VLOOKUP(VLOOKUP(Bidding!$B114,Lookup!$F$2:$I$4,4)+1, CHARS,2,TRUE)&amp;"$567")&amp;INDIRECT("Input!$"&amp;VLOOKUP(VLOOKUP(Bidding!$B114,Lookup!$F$2:$I$4,4)+2, CHARS,2,TRUE)&amp;"$1:$"&amp;VLOOKUP(VLOOKUP(Bidding!$B114,Lookup!$F$2:$I$4,4)+2, CHARS,2,TRUE)&amp;"$567"),0)),"")</f>
        <v/>
      </c>
      <c r="I114" t="str">
        <f ca="1"/>
        <v/>
      </c>
      <c r="J114" t="str">
        <f ca="1"/>
        <v/>
      </c>
    </row>
    <row r="115" spans="1:10" x14ac:dyDescent="0.2">
      <c r="A115" s="4">
        <f>IFERROR(IF((A114+1)/$D$7&lt;$D$5*$D$4,A114+1,""),"")</f>
        <v>103</v>
      </c>
      <c r="B115" t="str">
        <f ca="1">IFERROR(IF(NOT(ISBLANK(A115)),VLOOKUP(MOD(A115,$D$7),INDIRECT("Lookup!$A$2:$B$"&amp;$D$7+1),2,FALSE),""),"B")</f>
        <v>Production quantity</v>
      </c>
      <c r="D115" t="str">
        <f t="shared" ca="1" si="10"/>
        <v/>
      </c>
      <c r="E115">
        <f t="shared" ca="1" si="7"/>
        <v>1</v>
      </c>
      <c r="F115">
        <f t="shared" ca="1" si="8"/>
        <v>8</v>
      </c>
      <c r="G115">
        <f t="shared" ca="1" si="9"/>
        <v>0</v>
      </c>
      <c r="H115" t="str">
        <f t="array" aca="1" ref="H115:J115" ca="1">IFERROR(INDEX(Input!$H$1:$H$567,MATCH(VLOOKUP(Bidding!$B115,Lookup!$F$2:$I$4,2,FALSE)&amp;VLOOKUP(Bidding!$B115,Lookup!$F$2:$I$4,3,FALSE)&amp;$F115&amp;$E115&amp;H$11,Input!$A$1:$A$567&amp;Input!$B$1:$B$567&amp;INDIRECT("Input!$"&amp;VLOOKUP(VLOOKUP(Bidding!$B115,Lookup!$F$2:$I$4,4), CHARS,2,TRUE)&amp;"$1:$"&amp;VLOOKUP(VLOOKUP(Bidding!$B115,Lookup!$F$2:$I$4,4), CHARS,2,TRUE)&amp;"$567")&amp;INDIRECT("Input!$"&amp;VLOOKUP(VLOOKUP(Bidding!$B115,Lookup!$F$2:$I$4,4)+1, CHARS,2,TRUE)&amp;"$1:$"&amp;VLOOKUP(VLOOKUP(Bidding!$B115,Lookup!$F$2:$I$4,4)+1, CHARS,2,TRUE)&amp;"$567")&amp;INDIRECT("Input!$"&amp;VLOOKUP(VLOOKUP(Bidding!$B115,Lookup!$F$2:$I$4,4)+2, CHARS,2,TRUE)&amp;"$1:$"&amp;VLOOKUP(VLOOKUP(Bidding!$B115,Lookup!$F$2:$I$4,4)+2, CHARS,2,TRUE)&amp;"$567"),0)),"")</f>
        <v/>
      </c>
      <c r="I115" t="str">
        <f ca="1"/>
        <v/>
      </c>
      <c r="J115" t="str">
        <f ca="1"/>
        <v/>
      </c>
    </row>
    <row r="116" spans="1:10" x14ac:dyDescent="0.2">
      <c r="A116" s="4">
        <f>IFERROR(IF((A115+1)/$D$7&lt;$D$5*$D$4,A115+1,""),"")</f>
        <v>104</v>
      </c>
      <c r="B116" t="str">
        <f ca="1">IFERROR(IF(NOT(ISBLANK(A116)),VLOOKUP(MOD(A116,$D$7),INDIRECT("Lookup!$A$2:$B$"&amp;$D$7+1),2,FALSE),""),"B")</f>
        <v>Delivery product</v>
      </c>
      <c r="D116" t="str">
        <f t="shared" ca="1" si="10"/>
        <v>Error</v>
      </c>
      <c r="E116" t="str">
        <f t="shared" ca="1" si="7"/>
        <v/>
      </c>
      <c r="F116" t="str">
        <f t="shared" ca="1" si="8"/>
        <v/>
      </c>
      <c r="G116" t="str">
        <f t="shared" ca="1" si="9"/>
        <v/>
      </c>
      <c r="H116" t="str">
        <f t="array" aca="1" ref="H116:J116" ca="1">IFERROR(INDEX(Input!$H$1:$H$567,MATCH(VLOOKUP(Bidding!$B116,Lookup!$F$2:$I$4,2,FALSE)&amp;VLOOKUP(Bidding!$B116,Lookup!$F$2:$I$4,3,FALSE)&amp;$F116&amp;$E116&amp;H$11,Input!$A$1:$A$567&amp;Input!$B$1:$B$567&amp;INDIRECT("Input!$"&amp;VLOOKUP(VLOOKUP(Bidding!$B116,Lookup!$F$2:$I$4,4), CHARS,2,TRUE)&amp;"$1:$"&amp;VLOOKUP(VLOOKUP(Bidding!$B116,Lookup!$F$2:$I$4,4), CHARS,2,TRUE)&amp;"$567")&amp;INDIRECT("Input!$"&amp;VLOOKUP(VLOOKUP(Bidding!$B116,Lookup!$F$2:$I$4,4)+1, CHARS,2,TRUE)&amp;"$1:$"&amp;VLOOKUP(VLOOKUP(Bidding!$B116,Lookup!$F$2:$I$4,4)+1, CHARS,2,TRUE)&amp;"$567")&amp;INDIRECT("Input!$"&amp;VLOOKUP(VLOOKUP(Bidding!$B116,Lookup!$F$2:$I$4,4)+2, CHARS,2,TRUE)&amp;"$1:$"&amp;VLOOKUP(VLOOKUP(Bidding!$B116,Lookup!$F$2:$I$4,4)+2, CHARS,2,TRUE)&amp;"$567"),0)),"")</f>
        <v/>
      </c>
      <c r="I116" t="str">
        <f ca="1"/>
        <v/>
      </c>
      <c r="J116" t="str">
        <f ca="1"/>
        <v/>
      </c>
    </row>
    <row r="117" spans="1:10" x14ac:dyDescent="0.2">
      <c r="A117" s="4">
        <f>IFERROR(IF((A116+1)/$D$7&lt;$D$5*$D$4,A116+1,""),"")</f>
        <v>105</v>
      </c>
      <c r="B117" t="str">
        <f ca="1">IFERROR(IF(NOT(ISBLANK(A117)),VLOOKUP(MOD(A117,$D$7),INDIRECT("Lookup!$A$2:$B$"&amp;$D$7+1),2,FALSE),""),"B")</f>
        <v>Bid volume</v>
      </c>
      <c r="D117" t="str">
        <f t="shared" ca="1" si="10"/>
        <v>Error</v>
      </c>
      <c r="E117">
        <f t="shared" ca="1" si="7"/>
        <v>2</v>
      </c>
      <c r="F117">
        <f t="shared" ca="1" si="8"/>
        <v>8</v>
      </c>
      <c r="G117">
        <f t="shared" ca="1" si="9"/>
        <v>0</v>
      </c>
      <c r="H117" t="str">
        <f t="array" aca="1" ref="H117:J117" ca="1">IFERROR(INDEX(Input!$H$1:$H$567,MATCH(VLOOKUP(Bidding!$B117,Lookup!$F$2:$I$4,2,FALSE)&amp;VLOOKUP(Bidding!$B117,Lookup!$F$2:$I$4,3,FALSE)&amp;$F117&amp;$E117&amp;H$11,Input!$A$1:$A$567&amp;Input!$B$1:$B$567&amp;INDIRECT("Input!$"&amp;VLOOKUP(VLOOKUP(Bidding!$B117,Lookup!$F$2:$I$4,4), CHARS,2,TRUE)&amp;"$1:$"&amp;VLOOKUP(VLOOKUP(Bidding!$B117,Lookup!$F$2:$I$4,4), CHARS,2,TRUE)&amp;"$567")&amp;INDIRECT("Input!$"&amp;VLOOKUP(VLOOKUP(Bidding!$B117,Lookup!$F$2:$I$4,4)+1, CHARS,2,TRUE)&amp;"$1:$"&amp;VLOOKUP(VLOOKUP(Bidding!$B117,Lookup!$F$2:$I$4,4)+1, CHARS,2,TRUE)&amp;"$567")&amp;INDIRECT("Input!$"&amp;VLOOKUP(VLOOKUP(Bidding!$B117,Lookup!$F$2:$I$4,4)+2, CHARS,2,TRUE)&amp;"$1:$"&amp;VLOOKUP(VLOOKUP(Bidding!$B117,Lookup!$F$2:$I$4,4)+2, CHARS,2,TRUE)&amp;"$567"),0)),"")</f>
        <v/>
      </c>
      <c r="I117" t="str">
        <f ca="1"/>
        <v/>
      </c>
      <c r="J117" t="str">
        <f ca="1"/>
        <v/>
      </c>
    </row>
    <row r="118" spans="1:10" x14ac:dyDescent="0.2">
      <c r="A118" s="4">
        <f>IFERROR(IF((A117+1)/$D$7&lt;$D$5*$D$4,A117+1,""),"")</f>
        <v>106</v>
      </c>
      <c r="B118" t="str">
        <f ca="1">IFERROR(IF(NOT(ISBLANK(A118)),VLOOKUP(MOD(A118,$D$7),INDIRECT("Lookup!$A$2:$B$"&amp;$D$7+1),2,FALSE),""),"B")</f>
        <v>Transaction volume</v>
      </c>
      <c r="D118" t="str">
        <f t="shared" ca="1" si="10"/>
        <v/>
      </c>
      <c r="E118">
        <f t="shared" ca="1" si="7"/>
        <v>2</v>
      </c>
      <c r="F118">
        <f t="shared" ca="1" si="8"/>
        <v>8</v>
      </c>
      <c r="G118">
        <f t="shared" ca="1" si="9"/>
        <v>0</v>
      </c>
      <c r="H118" t="str">
        <f t="array" aca="1" ref="H118:J118" ca="1">IFERROR(INDEX(Input!$H$1:$H$567,MATCH(VLOOKUP(Bidding!$B118,Lookup!$F$2:$I$4,2,FALSE)&amp;VLOOKUP(Bidding!$B118,Lookup!$F$2:$I$4,3,FALSE)&amp;$F118&amp;$E118&amp;H$11,Input!$A$1:$A$567&amp;Input!$B$1:$B$567&amp;INDIRECT("Input!$"&amp;VLOOKUP(VLOOKUP(Bidding!$B118,Lookup!$F$2:$I$4,4), CHARS,2,TRUE)&amp;"$1:$"&amp;VLOOKUP(VLOOKUP(Bidding!$B118,Lookup!$F$2:$I$4,4), CHARS,2,TRUE)&amp;"$567")&amp;INDIRECT("Input!$"&amp;VLOOKUP(VLOOKUP(Bidding!$B118,Lookup!$F$2:$I$4,4)+1, CHARS,2,TRUE)&amp;"$1:$"&amp;VLOOKUP(VLOOKUP(Bidding!$B118,Lookup!$F$2:$I$4,4)+1, CHARS,2,TRUE)&amp;"$567")&amp;INDIRECT("Input!$"&amp;VLOOKUP(VLOOKUP(Bidding!$B118,Lookup!$F$2:$I$4,4)+2, CHARS,2,TRUE)&amp;"$1:$"&amp;VLOOKUP(VLOOKUP(Bidding!$B118,Lookup!$F$2:$I$4,4)+2, CHARS,2,TRUE)&amp;"$567"),0)),"")</f>
        <v/>
      </c>
      <c r="I118" t="str">
        <f ca="1"/>
        <v/>
      </c>
      <c r="J118" t="str">
        <f ca="1"/>
        <v/>
      </c>
    </row>
    <row r="119" spans="1:10" x14ac:dyDescent="0.2">
      <c r="A119" s="4">
        <f>IFERROR(IF((A118+1)/$D$7&lt;$D$5*$D$4,A118+1,""),"")</f>
        <v>107</v>
      </c>
      <c r="B119" t="str">
        <f ca="1">IFERROR(IF(NOT(ISBLANK(A119)),VLOOKUP(MOD(A119,$D$7),INDIRECT("Lookup!$A$2:$B$"&amp;$D$7+1),2,FALSE),""),"B")</f>
        <v>Production quantity</v>
      </c>
      <c r="D119" t="str">
        <f t="shared" ca="1" si="10"/>
        <v/>
      </c>
      <c r="E119">
        <f t="shared" ca="1" si="7"/>
        <v>2</v>
      </c>
      <c r="F119">
        <f t="shared" ca="1" si="8"/>
        <v>8</v>
      </c>
      <c r="G119">
        <f t="shared" ca="1" si="9"/>
        <v>0</v>
      </c>
      <c r="H119" t="str">
        <f t="array" aca="1" ref="H119:J119" ca="1">IFERROR(INDEX(Input!$H$1:$H$567,MATCH(VLOOKUP(Bidding!$B119,Lookup!$F$2:$I$4,2,FALSE)&amp;VLOOKUP(Bidding!$B119,Lookup!$F$2:$I$4,3,FALSE)&amp;$F119&amp;$E119&amp;H$11,Input!$A$1:$A$567&amp;Input!$B$1:$B$567&amp;INDIRECT("Input!$"&amp;VLOOKUP(VLOOKUP(Bidding!$B119,Lookup!$F$2:$I$4,4), CHARS,2,TRUE)&amp;"$1:$"&amp;VLOOKUP(VLOOKUP(Bidding!$B119,Lookup!$F$2:$I$4,4), CHARS,2,TRUE)&amp;"$567")&amp;INDIRECT("Input!$"&amp;VLOOKUP(VLOOKUP(Bidding!$B119,Lookup!$F$2:$I$4,4)+1, CHARS,2,TRUE)&amp;"$1:$"&amp;VLOOKUP(VLOOKUP(Bidding!$B119,Lookup!$F$2:$I$4,4)+1, CHARS,2,TRUE)&amp;"$567")&amp;INDIRECT("Input!$"&amp;VLOOKUP(VLOOKUP(Bidding!$B119,Lookup!$F$2:$I$4,4)+2, CHARS,2,TRUE)&amp;"$1:$"&amp;VLOOKUP(VLOOKUP(Bidding!$B119,Lookup!$F$2:$I$4,4)+2, CHARS,2,TRUE)&amp;"$567"),0)),"")</f>
        <v/>
      </c>
      <c r="I119" t="str">
        <f ca="1"/>
        <v/>
      </c>
      <c r="J119" t="str">
        <f ca="1"/>
        <v/>
      </c>
    </row>
    <row r="120" spans="1:10" x14ac:dyDescent="0.2">
      <c r="A120" s="4" t="str">
        <f>IFERROR(IF((A119+1)/$D$7&lt;$D$5*$D$4,A119+1,""),"")</f>
        <v/>
      </c>
      <c r="B120" t="str">
        <f ca="1">IFERROR(IF(NOT(ISBLANK(A120)),VLOOKUP(MOD(A120,$D$7),INDIRECT("Lookup!$A$2:$B$"&amp;$D$7+1),2,FALSE),""),"B")</f>
        <v>B</v>
      </c>
      <c r="D120" t="str">
        <f t="shared" ca="1" si="10"/>
        <v/>
      </c>
      <c r="E120" t="str">
        <f t="shared" ca="1" si="7"/>
        <v/>
      </c>
      <c r="F120" t="str">
        <f t="shared" ca="1" si="8"/>
        <v/>
      </c>
      <c r="G120">
        <f t="shared" ca="1" si="9"/>
        <v>0</v>
      </c>
      <c r="H120" t="str">
        <f t="array" aca="1" ref="H120:J120" ca="1">IFERROR(INDEX(Input!$H$1:$H$567,MATCH(VLOOKUP(Bidding!$B120,Lookup!$F$2:$I$4,2,FALSE)&amp;VLOOKUP(Bidding!$B120,Lookup!$F$2:$I$4,3,FALSE)&amp;$F120&amp;$E120&amp;H$11,Input!$A$1:$A$567&amp;Input!$B$1:$B$567&amp;INDIRECT("Input!$"&amp;VLOOKUP(VLOOKUP(Bidding!$B120,Lookup!$F$2:$I$4,4), CHARS,2,TRUE)&amp;"$1:$"&amp;VLOOKUP(VLOOKUP(Bidding!$B120,Lookup!$F$2:$I$4,4), CHARS,2,TRUE)&amp;"$567")&amp;INDIRECT("Input!$"&amp;VLOOKUP(VLOOKUP(Bidding!$B120,Lookup!$F$2:$I$4,4)+1, CHARS,2,TRUE)&amp;"$1:$"&amp;VLOOKUP(VLOOKUP(Bidding!$B120,Lookup!$F$2:$I$4,4)+1, CHARS,2,TRUE)&amp;"$567")&amp;INDIRECT("Input!$"&amp;VLOOKUP(VLOOKUP(Bidding!$B120,Lookup!$F$2:$I$4,4)+2, CHARS,2,TRUE)&amp;"$1:$"&amp;VLOOKUP(VLOOKUP(Bidding!$B120,Lookup!$F$2:$I$4,4)+2, CHARS,2,TRUE)&amp;"$567"),0)),"")</f>
        <v/>
      </c>
      <c r="I120" t="str">
        <f ca="1"/>
        <v/>
      </c>
      <c r="J120" t="str">
        <f ca="1"/>
        <v/>
      </c>
    </row>
    <row r="121" spans="1:10" x14ac:dyDescent="0.2">
      <c r="A121" s="4" t="str">
        <f>IFERROR(IF((A120+1)/$D$7&lt;$D$5*$D$4,A120+1,""),"")</f>
        <v/>
      </c>
      <c r="B121" t="str">
        <f ca="1">IFERROR(IF(NOT(ISBLANK(A121)),VLOOKUP(MOD(A121,$D$7),INDIRECT("Lookup!$A$2:$B$"&amp;$D$7+1),2,FALSE),""),"B")</f>
        <v>B</v>
      </c>
      <c r="D121" t="str">
        <f t="shared" ca="1" si="10"/>
        <v/>
      </c>
      <c r="E121" t="str">
        <f t="shared" ca="1" si="7"/>
        <v/>
      </c>
      <c r="F121" t="str">
        <f t="shared" ca="1" si="8"/>
        <v/>
      </c>
      <c r="G121">
        <f t="shared" ca="1" si="9"/>
        <v>0</v>
      </c>
      <c r="H121" t="str">
        <f t="array" aca="1" ref="H121:J121" ca="1">IFERROR(INDEX(Input!$H$1:$H$567,MATCH(VLOOKUP(Bidding!$B121,Lookup!$F$2:$I$4,2,FALSE)&amp;VLOOKUP(Bidding!$B121,Lookup!$F$2:$I$4,3,FALSE)&amp;$F121&amp;$E121&amp;H$11,Input!$A$1:$A$567&amp;Input!$B$1:$B$567&amp;INDIRECT("Input!$"&amp;VLOOKUP(VLOOKUP(Bidding!$B121,Lookup!$F$2:$I$4,4), CHARS,2,TRUE)&amp;"$1:$"&amp;VLOOKUP(VLOOKUP(Bidding!$B121,Lookup!$F$2:$I$4,4), CHARS,2,TRUE)&amp;"$567")&amp;INDIRECT("Input!$"&amp;VLOOKUP(VLOOKUP(Bidding!$B121,Lookup!$F$2:$I$4,4)+1, CHARS,2,TRUE)&amp;"$1:$"&amp;VLOOKUP(VLOOKUP(Bidding!$B121,Lookup!$F$2:$I$4,4)+1, CHARS,2,TRUE)&amp;"$567")&amp;INDIRECT("Input!$"&amp;VLOOKUP(VLOOKUP(Bidding!$B121,Lookup!$F$2:$I$4,4)+2, CHARS,2,TRUE)&amp;"$1:$"&amp;VLOOKUP(VLOOKUP(Bidding!$B121,Lookup!$F$2:$I$4,4)+2, CHARS,2,TRUE)&amp;"$567"),0)),"")</f>
        <v/>
      </c>
      <c r="I121" t="str">
        <f ca="1"/>
        <v/>
      </c>
      <c r="J121" t="str">
        <f ca="1"/>
        <v/>
      </c>
    </row>
    <row r="122" spans="1:10" x14ac:dyDescent="0.2">
      <c r="A122" s="4" t="str">
        <f>IFERROR(IF((A121+1)/$D$7&lt;$D$5*$D$4,A121+1,""),"")</f>
        <v/>
      </c>
      <c r="B122" t="str">
        <f ca="1">IFERROR(IF(NOT(ISBLANK(A122)),VLOOKUP(MOD(A122,$D$7),INDIRECT("Lookup!$A$2:$B$"&amp;$D$7+1),2,FALSE),""),"B")</f>
        <v>B</v>
      </c>
      <c r="D122" t="str">
        <f t="shared" ca="1" si="10"/>
        <v/>
      </c>
      <c r="E122" t="str">
        <f t="shared" ca="1" si="7"/>
        <v/>
      </c>
      <c r="F122" t="str">
        <f t="shared" ca="1" si="8"/>
        <v/>
      </c>
      <c r="G122">
        <f t="shared" ca="1" si="9"/>
        <v>0</v>
      </c>
      <c r="H122" t="str">
        <f t="array" aca="1" ref="H122:J122" ca="1">IFERROR(INDEX(Input!$H$1:$H$567,MATCH(VLOOKUP(Bidding!$B122,Lookup!$F$2:$I$4,2,FALSE)&amp;VLOOKUP(Bidding!$B122,Lookup!$F$2:$I$4,3,FALSE)&amp;$F122&amp;$E122&amp;H$11,Input!$A$1:$A$567&amp;Input!$B$1:$B$567&amp;INDIRECT("Input!$"&amp;VLOOKUP(VLOOKUP(Bidding!$B122,Lookup!$F$2:$I$4,4), CHARS,2,TRUE)&amp;"$1:$"&amp;VLOOKUP(VLOOKUP(Bidding!$B122,Lookup!$F$2:$I$4,4), CHARS,2,TRUE)&amp;"$567")&amp;INDIRECT("Input!$"&amp;VLOOKUP(VLOOKUP(Bidding!$B122,Lookup!$F$2:$I$4,4)+1, CHARS,2,TRUE)&amp;"$1:$"&amp;VLOOKUP(VLOOKUP(Bidding!$B122,Lookup!$F$2:$I$4,4)+1, CHARS,2,TRUE)&amp;"$567")&amp;INDIRECT("Input!$"&amp;VLOOKUP(VLOOKUP(Bidding!$B122,Lookup!$F$2:$I$4,4)+2, CHARS,2,TRUE)&amp;"$1:$"&amp;VLOOKUP(VLOOKUP(Bidding!$B122,Lookup!$F$2:$I$4,4)+2, CHARS,2,TRUE)&amp;"$567"),0)),"")</f>
        <v/>
      </c>
      <c r="I122" t="str">
        <f ca="1"/>
        <v/>
      </c>
      <c r="J122" t="str">
        <f ca="1"/>
        <v/>
      </c>
    </row>
    <row r="123" spans="1:10" x14ac:dyDescent="0.2">
      <c r="A123" s="4" t="str">
        <f>IFERROR(IF((A122+1)/$D$7&lt;$D$5*$D$4,A122+1,""),"")</f>
        <v/>
      </c>
      <c r="B123" t="str">
        <f ca="1">IFERROR(IF(NOT(ISBLANK(A123)),VLOOKUP(MOD(A123,$D$7),INDIRECT("Lookup!$A$2:$B$"&amp;$D$7+1),2,FALSE),""),"B")</f>
        <v>B</v>
      </c>
      <c r="D123" t="str">
        <f t="shared" ca="1" si="10"/>
        <v/>
      </c>
      <c r="E123" t="str">
        <f t="shared" ca="1" si="7"/>
        <v/>
      </c>
      <c r="F123" t="str">
        <f t="shared" ca="1" si="8"/>
        <v/>
      </c>
      <c r="G123">
        <f t="shared" ca="1" si="9"/>
        <v>0</v>
      </c>
      <c r="H123" t="str">
        <f t="array" aca="1" ref="H123:J123" ca="1">IFERROR(INDEX(Input!$H$1:$H$567,MATCH(VLOOKUP(Bidding!$B123,Lookup!$F$2:$I$4,2,FALSE)&amp;VLOOKUP(Bidding!$B123,Lookup!$F$2:$I$4,3,FALSE)&amp;$F123&amp;$E123&amp;H$11,Input!$A$1:$A$567&amp;Input!$B$1:$B$567&amp;INDIRECT("Input!$"&amp;VLOOKUP(VLOOKUP(Bidding!$B123,Lookup!$F$2:$I$4,4), CHARS,2,TRUE)&amp;"$1:$"&amp;VLOOKUP(VLOOKUP(Bidding!$B123,Lookup!$F$2:$I$4,4), CHARS,2,TRUE)&amp;"$567")&amp;INDIRECT("Input!$"&amp;VLOOKUP(VLOOKUP(Bidding!$B123,Lookup!$F$2:$I$4,4)+1, CHARS,2,TRUE)&amp;"$1:$"&amp;VLOOKUP(VLOOKUP(Bidding!$B123,Lookup!$F$2:$I$4,4)+1, CHARS,2,TRUE)&amp;"$567")&amp;INDIRECT("Input!$"&amp;VLOOKUP(VLOOKUP(Bidding!$B123,Lookup!$F$2:$I$4,4)+2, CHARS,2,TRUE)&amp;"$1:$"&amp;VLOOKUP(VLOOKUP(Bidding!$B123,Lookup!$F$2:$I$4,4)+2, CHARS,2,TRUE)&amp;"$567"),0)),"")</f>
        <v/>
      </c>
      <c r="I123" t="str">
        <f ca="1"/>
        <v/>
      </c>
      <c r="J123" t="str">
        <f ca="1"/>
        <v/>
      </c>
    </row>
    <row r="124" spans="1:10" x14ac:dyDescent="0.2">
      <c r="A124" s="4" t="str">
        <f>IFERROR(IF((A123+1)/$D$7&lt;$D$5*$D$4,A123+1,""),"")</f>
        <v/>
      </c>
      <c r="B124" t="str">
        <f ca="1">IFERROR(IF(NOT(ISBLANK(A124)),VLOOKUP(MOD(A124,$D$7),INDIRECT("Lookup!$A$2:$B$"&amp;$D$7+1),2,FALSE),""),"B")</f>
        <v>B</v>
      </c>
      <c r="D124" t="str">
        <f t="shared" ca="1" si="10"/>
        <v/>
      </c>
      <c r="E124" t="str">
        <f t="shared" ca="1" si="7"/>
        <v/>
      </c>
      <c r="F124" t="str">
        <f t="shared" ca="1" si="8"/>
        <v/>
      </c>
      <c r="G124">
        <f t="shared" ca="1" si="9"/>
        <v>0</v>
      </c>
      <c r="H124" t="str">
        <f t="array" aca="1" ref="H124:J124" ca="1">IFERROR(INDEX(Input!$H$1:$H$567,MATCH(VLOOKUP(Bidding!$B124,Lookup!$F$2:$I$4,2,FALSE)&amp;VLOOKUP(Bidding!$B124,Lookup!$F$2:$I$4,3,FALSE)&amp;$F124&amp;$E124&amp;H$11,Input!$A$1:$A$567&amp;Input!$B$1:$B$567&amp;INDIRECT("Input!$"&amp;VLOOKUP(VLOOKUP(Bidding!$B124,Lookup!$F$2:$I$4,4), CHARS,2,TRUE)&amp;"$1:$"&amp;VLOOKUP(VLOOKUP(Bidding!$B124,Lookup!$F$2:$I$4,4), CHARS,2,TRUE)&amp;"$567")&amp;INDIRECT("Input!$"&amp;VLOOKUP(VLOOKUP(Bidding!$B124,Lookup!$F$2:$I$4,4)+1, CHARS,2,TRUE)&amp;"$1:$"&amp;VLOOKUP(VLOOKUP(Bidding!$B124,Lookup!$F$2:$I$4,4)+1, CHARS,2,TRUE)&amp;"$567")&amp;INDIRECT("Input!$"&amp;VLOOKUP(VLOOKUP(Bidding!$B124,Lookup!$F$2:$I$4,4)+2, CHARS,2,TRUE)&amp;"$1:$"&amp;VLOOKUP(VLOOKUP(Bidding!$B124,Lookup!$F$2:$I$4,4)+2, CHARS,2,TRUE)&amp;"$567"),0)),"")</f>
        <v/>
      </c>
      <c r="I124" t="str">
        <f ca="1"/>
        <v/>
      </c>
      <c r="J124" t="str">
        <f ca="1"/>
        <v/>
      </c>
    </row>
    <row r="125" spans="1:10" x14ac:dyDescent="0.2">
      <c r="A125" s="4" t="str">
        <f>IFERROR(IF((A124+1)/$D$7&lt;$D$5*$D$4,A124+1,""),"")</f>
        <v/>
      </c>
      <c r="B125" t="str">
        <f ca="1">IFERROR(IF(NOT(ISBLANK(A125)),VLOOKUP(MOD(A125,$D$7),INDIRECT("Lookup!$A$2:$B$"&amp;$D$7+1),2,FALSE),""),"B")</f>
        <v>B</v>
      </c>
      <c r="D125" t="str">
        <f t="shared" ca="1" si="10"/>
        <v/>
      </c>
      <c r="E125" t="str">
        <f t="shared" ca="1" si="7"/>
        <v/>
      </c>
      <c r="F125" t="str">
        <f t="shared" ca="1" si="8"/>
        <v/>
      </c>
      <c r="G125">
        <f t="shared" ca="1" si="9"/>
        <v>0</v>
      </c>
      <c r="H125" t="str">
        <f t="array" aca="1" ref="H125:J125" ca="1">IFERROR(INDEX(Input!$H$1:$H$567,MATCH(VLOOKUP(Bidding!$B125,Lookup!$F$2:$I$4,2,FALSE)&amp;VLOOKUP(Bidding!$B125,Lookup!$F$2:$I$4,3,FALSE)&amp;$F125&amp;$E125&amp;H$11,Input!$A$1:$A$567&amp;Input!$B$1:$B$567&amp;INDIRECT("Input!$"&amp;VLOOKUP(VLOOKUP(Bidding!$B125,Lookup!$F$2:$I$4,4), CHARS,2,TRUE)&amp;"$1:$"&amp;VLOOKUP(VLOOKUP(Bidding!$B125,Lookup!$F$2:$I$4,4), CHARS,2,TRUE)&amp;"$567")&amp;INDIRECT("Input!$"&amp;VLOOKUP(VLOOKUP(Bidding!$B125,Lookup!$F$2:$I$4,4)+1, CHARS,2,TRUE)&amp;"$1:$"&amp;VLOOKUP(VLOOKUP(Bidding!$B125,Lookup!$F$2:$I$4,4)+1, CHARS,2,TRUE)&amp;"$567")&amp;INDIRECT("Input!$"&amp;VLOOKUP(VLOOKUP(Bidding!$B125,Lookup!$F$2:$I$4,4)+2, CHARS,2,TRUE)&amp;"$1:$"&amp;VLOOKUP(VLOOKUP(Bidding!$B125,Lookup!$F$2:$I$4,4)+2, CHARS,2,TRUE)&amp;"$567"),0)),"")</f>
        <v/>
      </c>
      <c r="I125" t="str">
        <f ca="1"/>
        <v/>
      </c>
      <c r="J125" t="str">
        <f ca="1"/>
        <v/>
      </c>
    </row>
    <row r="126" spans="1:10" x14ac:dyDescent="0.2">
      <c r="A126" s="4" t="str">
        <f>IFERROR(IF((A125+1)/$D$7&lt;$D$5*$D$4,A125+1,""),"")</f>
        <v/>
      </c>
      <c r="B126" t="str">
        <f ca="1">IFERROR(IF(NOT(ISBLANK(A126)),VLOOKUP(MOD(A126,$D$7),INDIRECT("Lookup!$A$2:$B$"&amp;$D$7+1),2,FALSE),""),"B")</f>
        <v>B</v>
      </c>
      <c r="D126" t="str">
        <f t="shared" ca="1" si="10"/>
        <v/>
      </c>
      <c r="E126" t="str">
        <f t="shared" ca="1" si="7"/>
        <v/>
      </c>
      <c r="F126" t="str">
        <f t="shared" ca="1" si="8"/>
        <v/>
      </c>
      <c r="G126">
        <f t="shared" ca="1" si="9"/>
        <v>0</v>
      </c>
      <c r="H126" t="str">
        <f t="array" aca="1" ref="H126:J126" ca="1">IFERROR(INDEX(Input!$H$1:$H$567,MATCH(VLOOKUP(Bidding!$B126,Lookup!$F$2:$I$4,2,FALSE)&amp;VLOOKUP(Bidding!$B126,Lookup!$F$2:$I$4,3,FALSE)&amp;$F126&amp;$E126&amp;H$11,Input!$A$1:$A$567&amp;Input!$B$1:$B$567&amp;INDIRECT("Input!$"&amp;VLOOKUP(VLOOKUP(Bidding!$B126,Lookup!$F$2:$I$4,4), CHARS,2,TRUE)&amp;"$1:$"&amp;VLOOKUP(VLOOKUP(Bidding!$B126,Lookup!$F$2:$I$4,4), CHARS,2,TRUE)&amp;"$567")&amp;INDIRECT("Input!$"&amp;VLOOKUP(VLOOKUP(Bidding!$B126,Lookup!$F$2:$I$4,4)+1, CHARS,2,TRUE)&amp;"$1:$"&amp;VLOOKUP(VLOOKUP(Bidding!$B126,Lookup!$F$2:$I$4,4)+1, CHARS,2,TRUE)&amp;"$567")&amp;INDIRECT("Input!$"&amp;VLOOKUP(VLOOKUP(Bidding!$B126,Lookup!$F$2:$I$4,4)+2, CHARS,2,TRUE)&amp;"$1:$"&amp;VLOOKUP(VLOOKUP(Bidding!$B126,Lookup!$F$2:$I$4,4)+2, CHARS,2,TRUE)&amp;"$567"),0)),"")</f>
        <v/>
      </c>
      <c r="I126" t="str">
        <f ca="1"/>
        <v/>
      </c>
      <c r="J126" t="str">
        <f ca="1"/>
        <v/>
      </c>
    </row>
    <row r="127" spans="1:10" x14ac:dyDescent="0.2">
      <c r="A127" s="4" t="str">
        <f>IFERROR(IF((A126+1)/$D$7&lt;$D$5*$D$4,A126+1,""),"")</f>
        <v/>
      </c>
      <c r="B127" t="str">
        <f ca="1">IFERROR(IF(NOT(ISBLANK(A127)),VLOOKUP(MOD(A127,$D$7),INDIRECT("Lookup!$A$2:$B$"&amp;$D$7+1),2,FALSE),""),"B")</f>
        <v>B</v>
      </c>
      <c r="D127" t="str">
        <f t="shared" ca="1" si="10"/>
        <v/>
      </c>
      <c r="E127" t="str">
        <f t="shared" ca="1" si="7"/>
        <v/>
      </c>
      <c r="F127" t="str">
        <f t="shared" ca="1" si="8"/>
        <v/>
      </c>
      <c r="G127">
        <f t="shared" ca="1" si="9"/>
        <v>0</v>
      </c>
      <c r="H127" t="str">
        <f t="array" aca="1" ref="H127:J127" ca="1">IFERROR(INDEX(Input!$H$1:$H$567,MATCH(VLOOKUP(Bidding!$B127,Lookup!$F$2:$I$4,2,FALSE)&amp;VLOOKUP(Bidding!$B127,Lookup!$F$2:$I$4,3,FALSE)&amp;$F127&amp;$E127&amp;H$11,Input!$A$1:$A$567&amp;Input!$B$1:$B$567&amp;INDIRECT("Input!$"&amp;VLOOKUP(VLOOKUP(Bidding!$B127,Lookup!$F$2:$I$4,4), CHARS,2,TRUE)&amp;"$1:$"&amp;VLOOKUP(VLOOKUP(Bidding!$B127,Lookup!$F$2:$I$4,4), CHARS,2,TRUE)&amp;"$567")&amp;INDIRECT("Input!$"&amp;VLOOKUP(VLOOKUP(Bidding!$B127,Lookup!$F$2:$I$4,4)+1, CHARS,2,TRUE)&amp;"$1:$"&amp;VLOOKUP(VLOOKUP(Bidding!$B127,Lookup!$F$2:$I$4,4)+1, CHARS,2,TRUE)&amp;"$567")&amp;INDIRECT("Input!$"&amp;VLOOKUP(VLOOKUP(Bidding!$B127,Lookup!$F$2:$I$4,4)+2, CHARS,2,TRUE)&amp;"$1:$"&amp;VLOOKUP(VLOOKUP(Bidding!$B127,Lookup!$F$2:$I$4,4)+2, CHARS,2,TRUE)&amp;"$567"),0)),"")</f>
        <v/>
      </c>
      <c r="I127" t="str">
        <f ca="1"/>
        <v/>
      </c>
      <c r="J127" t="str">
        <f ca="1"/>
        <v/>
      </c>
    </row>
    <row r="128" spans="1:10" x14ac:dyDescent="0.2">
      <c r="A128" s="4" t="str">
        <f>IFERROR(IF((A127+1)/$D$7&lt;$D$5*$D$4,A127+1,""),"")</f>
        <v/>
      </c>
      <c r="B128" t="str">
        <f ca="1">IFERROR(IF(NOT(ISBLANK(A128)),VLOOKUP(MOD(A128,$D$7),INDIRECT("Lookup!$A$2:$B$"&amp;$D$7+1),2,FALSE),""),"B")</f>
        <v>B</v>
      </c>
      <c r="D128" t="str">
        <f t="shared" ca="1" si="10"/>
        <v/>
      </c>
      <c r="E128" t="str">
        <f t="shared" ca="1" si="7"/>
        <v/>
      </c>
      <c r="F128" t="str">
        <f t="shared" ca="1" si="8"/>
        <v/>
      </c>
      <c r="G128">
        <f t="shared" ca="1" si="9"/>
        <v>0</v>
      </c>
      <c r="H128" t="str">
        <f t="array" aca="1" ref="H128:J128" ca="1">IFERROR(INDEX(Input!$H$1:$H$567,MATCH(VLOOKUP(Bidding!$B128,Lookup!$F$2:$I$4,2,FALSE)&amp;VLOOKUP(Bidding!$B128,Lookup!$F$2:$I$4,3,FALSE)&amp;$F128&amp;$E128&amp;H$11,Input!$A$1:$A$567&amp;Input!$B$1:$B$567&amp;INDIRECT("Input!$"&amp;VLOOKUP(VLOOKUP(Bidding!$B128,Lookup!$F$2:$I$4,4), CHARS,2,TRUE)&amp;"$1:$"&amp;VLOOKUP(VLOOKUP(Bidding!$B128,Lookup!$F$2:$I$4,4), CHARS,2,TRUE)&amp;"$567")&amp;INDIRECT("Input!$"&amp;VLOOKUP(VLOOKUP(Bidding!$B128,Lookup!$F$2:$I$4,4)+1, CHARS,2,TRUE)&amp;"$1:$"&amp;VLOOKUP(VLOOKUP(Bidding!$B128,Lookup!$F$2:$I$4,4)+1, CHARS,2,TRUE)&amp;"$567")&amp;INDIRECT("Input!$"&amp;VLOOKUP(VLOOKUP(Bidding!$B128,Lookup!$F$2:$I$4,4)+2, CHARS,2,TRUE)&amp;"$1:$"&amp;VLOOKUP(VLOOKUP(Bidding!$B128,Lookup!$F$2:$I$4,4)+2, CHARS,2,TRUE)&amp;"$567"),0)),"")</f>
        <v/>
      </c>
      <c r="I128" t="str">
        <f ca="1"/>
        <v/>
      </c>
      <c r="J128" t="str">
        <f ca="1"/>
        <v/>
      </c>
    </row>
    <row r="129" spans="1:10" x14ac:dyDescent="0.2">
      <c r="A129" s="4" t="str">
        <f>IFERROR(IF((A128+1)/$D$7&lt;$D$5*$D$4,A128+1,""),"")</f>
        <v/>
      </c>
      <c r="B129" t="str">
        <f ca="1">IFERROR(IF(NOT(ISBLANK(A129)),VLOOKUP(MOD(A129,$D$7),INDIRECT("Lookup!$A$2:$B$"&amp;$D$7+1),2,FALSE),""),"B")</f>
        <v>B</v>
      </c>
      <c r="D129" t="str">
        <f t="shared" ca="1" si="10"/>
        <v/>
      </c>
      <c r="E129" t="str">
        <f t="shared" ca="1" si="7"/>
        <v/>
      </c>
      <c r="F129" t="str">
        <f t="shared" ca="1" si="8"/>
        <v/>
      </c>
      <c r="G129">
        <f t="shared" ca="1" si="9"/>
        <v>0</v>
      </c>
      <c r="H129" t="str">
        <f t="array" aca="1" ref="H129:J129" ca="1">IFERROR(INDEX(Input!$H$1:$H$567,MATCH(VLOOKUP(Bidding!$B129,Lookup!$F$2:$I$4,2,FALSE)&amp;VLOOKUP(Bidding!$B129,Lookup!$F$2:$I$4,3,FALSE)&amp;$F129&amp;$E129&amp;H$11,Input!$A$1:$A$567&amp;Input!$B$1:$B$567&amp;INDIRECT("Input!$"&amp;VLOOKUP(VLOOKUP(Bidding!$B129,Lookup!$F$2:$I$4,4), CHARS,2,TRUE)&amp;"$1:$"&amp;VLOOKUP(VLOOKUP(Bidding!$B129,Lookup!$F$2:$I$4,4), CHARS,2,TRUE)&amp;"$567")&amp;INDIRECT("Input!$"&amp;VLOOKUP(VLOOKUP(Bidding!$B129,Lookup!$F$2:$I$4,4)+1, CHARS,2,TRUE)&amp;"$1:$"&amp;VLOOKUP(VLOOKUP(Bidding!$B129,Lookup!$F$2:$I$4,4)+1, CHARS,2,TRUE)&amp;"$567")&amp;INDIRECT("Input!$"&amp;VLOOKUP(VLOOKUP(Bidding!$B129,Lookup!$F$2:$I$4,4)+2, CHARS,2,TRUE)&amp;"$1:$"&amp;VLOOKUP(VLOOKUP(Bidding!$B129,Lookup!$F$2:$I$4,4)+2, CHARS,2,TRUE)&amp;"$567"),0)),"")</f>
        <v/>
      </c>
      <c r="I129" t="str">
        <f ca="1"/>
        <v/>
      </c>
      <c r="J129" t="str">
        <f ca="1"/>
        <v/>
      </c>
    </row>
  </sheetData>
  <conditionalFormatting sqref="B12:D129">
    <cfRule type="containsText" dxfId="0" priority="1" operator="containsText" text="Delivery product">
      <formula>NOT(ISERROR(SEARCH("Delivery product",B12)))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20"/>
  <sheetViews>
    <sheetView workbookViewId="0">
      <selection activeCell="I3" sqref="F3:I4"/>
    </sheetView>
  </sheetViews>
  <sheetFormatPr baseColWidth="10" defaultRowHeight="16" x14ac:dyDescent="0.2"/>
  <sheetData>
    <row r="1" spans="1:13" x14ac:dyDescent="0.2">
      <c r="A1" t="s">
        <v>27</v>
      </c>
      <c r="F1" t="s">
        <v>28</v>
      </c>
      <c r="L1">
        <v>1</v>
      </c>
      <c r="M1" t="s">
        <v>39</v>
      </c>
    </row>
    <row r="2" spans="1:13" x14ac:dyDescent="0.2">
      <c r="A2">
        <v>0</v>
      </c>
      <c r="B2" t="s">
        <v>21</v>
      </c>
      <c r="F2" t="s">
        <v>22</v>
      </c>
      <c r="G2" t="s">
        <v>6</v>
      </c>
      <c r="H2" t="s">
        <v>7</v>
      </c>
      <c r="I2">
        <v>4</v>
      </c>
      <c r="L2">
        <v>2</v>
      </c>
      <c r="M2" t="s">
        <v>40</v>
      </c>
    </row>
    <row r="3" spans="1:13" x14ac:dyDescent="0.2">
      <c r="A3">
        <f>IF(ISBLANK(B3),"",A2+1)</f>
        <v>1</v>
      </c>
      <c r="B3" t="s">
        <v>22</v>
      </c>
      <c r="F3" t="s">
        <v>23</v>
      </c>
      <c r="G3" t="s">
        <v>7</v>
      </c>
      <c r="H3" t="s">
        <v>9</v>
      </c>
      <c r="I3">
        <v>3</v>
      </c>
      <c r="L3">
        <v>3</v>
      </c>
      <c r="M3" t="s">
        <v>41</v>
      </c>
    </row>
    <row r="4" spans="1:13" x14ac:dyDescent="0.2">
      <c r="A4">
        <f t="shared" ref="A4:A7" si="0">IF(ISBLANK(B4),"",A3+1)</f>
        <v>2</v>
      </c>
      <c r="B4" t="s">
        <v>23</v>
      </c>
      <c r="F4" t="s">
        <v>29</v>
      </c>
      <c r="G4" t="s">
        <v>2</v>
      </c>
      <c r="H4" t="s">
        <v>3</v>
      </c>
      <c r="I4">
        <v>4</v>
      </c>
      <c r="L4">
        <v>4</v>
      </c>
      <c r="M4" t="s">
        <v>42</v>
      </c>
    </row>
    <row r="5" spans="1:13" x14ac:dyDescent="0.2">
      <c r="A5">
        <f t="shared" si="0"/>
        <v>3</v>
      </c>
      <c r="B5" t="s">
        <v>29</v>
      </c>
      <c r="L5">
        <v>5</v>
      </c>
      <c r="M5" t="s">
        <v>45</v>
      </c>
    </row>
    <row r="6" spans="1:13" x14ac:dyDescent="0.2">
      <c r="A6" t="str">
        <f t="shared" si="0"/>
        <v/>
      </c>
      <c r="L6">
        <v>6</v>
      </c>
      <c r="M6" t="s">
        <v>43</v>
      </c>
    </row>
    <row r="7" spans="1:13" x14ac:dyDescent="0.2">
      <c r="A7" t="str">
        <f t="shared" si="0"/>
        <v/>
      </c>
      <c r="L7">
        <v>7</v>
      </c>
      <c r="M7" t="s">
        <v>44</v>
      </c>
    </row>
    <row r="8" spans="1:13" x14ac:dyDescent="0.2">
      <c r="L8">
        <v>8</v>
      </c>
      <c r="M8" t="s">
        <v>38</v>
      </c>
    </row>
    <row r="9" spans="1:13" x14ac:dyDescent="0.2">
      <c r="L9">
        <v>9</v>
      </c>
      <c r="M9" t="s">
        <v>46</v>
      </c>
    </row>
    <row r="10" spans="1:13" x14ac:dyDescent="0.2">
      <c r="L10">
        <v>10</v>
      </c>
      <c r="M10" t="s">
        <v>47</v>
      </c>
    </row>
    <row r="11" spans="1:13" x14ac:dyDescent="0.2">
      <c r="L11">
        <v>11</v>
      </c>
      <c r="M11" t="s">
        <v>48</v>
      </c>
    </row>
    <row r="12" spans="1:13" x14ac:dyDescent="0.2">
      <c r="L12">
        <v>12</v>
      </c>
      <c r="M12" t="s">
        <v>49</v>
      </c>
    </row>
    <row r="13" spans="1:13" x14ac:dyDescent="0.2">
      <c r="L13">
        <v>13</v>
      </c>
      <c r="M13" t="s">
        <v>50</v>
      </c>
    </row>
    <row r="14" spans="1:13" x14ac:dyDescent="0.2">
      <c r="L14">
        <v>14</v>
      </c>
      <c r="M14" t="s">
        <v>51</v>
      </c>
    </row>
    <row r="15" spans="1:13" x14ac:dyDescent="0.2">
      <c r="L15">
        <v>15</v>
      </c>
      <c r="M15" t="s">
        <v>52</v>
      </c>
    </row>
    <row r="16" spans="1:13" x14ac:dyDescent="0.2">
      <c r="L16">
        <v>16</v>
      </c>
      <c r="M16" t="s">
        <v>53</v>
      </c>
    </row>
    <row r="17" spans="12:13" x14ac:dyDescent="0.2">
      <c r="L17">
        <v>17</v>
      </c>
      <c r="M17" t="s">
        <v>54</v>
      </c>
    </row>
    <row r="18" spans="12:13" x14ac:dyDescent="0.2">
      <c r="L18">
        <v>18</v>
      </c>
      <c r="M18" t="s">
        <v>55</v>
      </c>
    </row>
    <row r="19" spans="12:13" x14ac:dyDescent="0.2">
      <c r="L19">
        <v>19</v>
      </c>
      <c r="M19" t="s">
        <v>56</v>
      </c>
    </row>
    <row r="20" spans="12:13" x14ac:dyDescent="0.2">
      <c r="L20">
        <v>20</v>
      </c>
      <c r="M20" t="s">
        <v>57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Input</vt:lpstr>
      <vt:lpstr>Bidding</vt:lpstr>
      <vt:lpstr>Lookup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2018-02-14T09:46:48Z</dcterms:created>
  <dcterms:modified xsi:type="dcterms:W3CDTF">2018-02-14T14:41:36Z</dcterms:modified>
</cp:coreProperties>
</file>