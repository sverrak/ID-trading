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verreakersveen/Documents/Skole/5klasse/Master/Masterprogg/id-trading/Programming/Analysis/"/>
    </mc:Choice>
  </mc:AlternateContent>
  <bookViews>
    <workbookView xWindow="0" yWindow="460" windowWidth="25600" windowHeight="15460" tabRatio="500" firstSheet="7" activeTab="11"/>
  </bookViews>
  <sheets>
    <sheet name="Raw_WO_bm" sheetId="12" r:id="rId1"/>
    <sheet name="Raw_hydro_bm" sheetId="10" r:id="rId2"/>
    <sheet name="Input" sheetId="1" r:id="rId3"/>
    <sheet name="Lookup" sheetId="3" r:id="rId4"/>
    <sheet name="Bidding" sheetId="2" r:id="rId5"/>
    <sheet name="Physical" sheetId="4" r:id="rId6"/>
    <sheet name="params" sheetId="5" r:id="rId7"/>
    <sheet name="params_stochastic_MC" sheetId="6" r:id="rId8"/>
    <sheet name="params_stochastic_MC_bm" sheetId="8" r:id="rId9"/>
    <sheet name="params_stochastic_MC_bm_OF" sheetId="13" r:id="rId10"/>
    <sheet name="101" sheetId="15" r:id="rId11"/>
    <sheet name="102" sheetId="16" r:id="rId12"/>
    <sheet name="params_limited_liquidity" sheetId="14" r:id="rId13"/>
    <sheet name="params_stochastic_MC_bm_WO" sheetId="11" r:id="rId14"/>
    <sheet name="Sheet3" sheetId="7" r:id="rId15"/>
    <sheet name="Wind" sheetId="9" r:id="rId16"/>
  </sheets>
  <externalReferences>
    <externalReference r:id="rId17"/>
  </externalReferences>
  <definedNames>
    <definedName name="_xlnm._FilterDatabase" localSheetId="2" hidden="1">Input!$A$1:$G$567</definedName>
    <definedName name="CHARS">Lookup!$L$1:$M$20</definedName>
    <definedName name="parameter_lists">Lookup!$O$1:$O$18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" i="16" l="1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I14" i="5"/>
  <c r="J14" i="5"/>
  <c r="K14" i="5"/>
  <c r="I15" i="5"/>
  <c r="J15" i="5"/>
  <c r="K15" i="5"/>
  <c r="I13" i="5"/>
  <c r="J13" i="5"/>
  <c r="K13" i="5"/>
  <c r="L13" i="5"/>
  <c r="M13" i="5"/>
  <c r="N13" i="5"/>
  <c r="O13" i="5"/>
  <c r="P13" i="5"/>
  <c r="Q13" i="5"/>
  <c r="L16" i="5"/>
  <c r="L15" i="5"/>
  <c r="L18" i="5"/>
  <c r="L14" i="5"/>
  <c r="L17" i="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D11" i="2"/>
  <c r="A3" i="1"/>
  <c r="A1" i="1"/>
  <c r="H8" i="1"/>
  <c r="I8" i="1"/>
  <c r="H13" i="1"/>
  <c r="I13" i="1"/>
  <c r="H16" i="1"/>
  <c r="I16" i="1"/>
  <c r="H19" i="1"/>
  <c r="I19" i="1"/>
  <c r="H29" i="1"/>
  <c r="I29" i="1"/>
  <c r="H32" i="1"/>
  <c r="I32" i="1"/>
  <c r="H37" i="1"/>
  <c r="I37" i="1"/>
  <c r="H43" i="1"/>
  <c r="I43" i="1"/>
  <c r="H46" i="1"/>
  <c r="I46" i="1"/>
  <c r="H49" i="1"/>
  <c r="I49" i="1"/>
  <c r="H56" i="1"/>
  <c r="I56" i="1"/>
  <c r="H57" i="1"/>
  <c r="I57" i="1"/>
  <c r="H59" i="1"/>
  <c r="I59" i="1"/>
  <c r="H66" i="1"/>
  <c r="I66" i="1"/>
  <c r="H72" i="1"/>
  <c r="I72" i="1"/>
  <c r="H76" i="1"/>
  <c r="I76" i="1"/>
  <c r="H79" i="1"/>
  <c r="I79" i="1"/>
  <c r="H82" i="1"/>
  <c r="I82" i="1"/>
  <c r="H84" i="1"/>
  <c r="I84" i="1"/>
  <c r="H88" i="1"/>
  <c r="I88" i="1"/>
  <c r="H89" i="1"/>
  <c r="I89" i="1"/>
  <c r="H92" i="1"/>
  <c r="I92" i="1"/>
  <c r="H95" i="1"/>
  <c r="I95" i="1"/>
  <c r="H97" i="1"/>
  <c r="I97" i="1"/>
  <c r="H98" i="1"/>
  <c r="I98" i="1"/>
  <c r="H102" i="1"/>
  <c r="I102" i="1"/>
  <c r="H103" i="1"/>
  <c r="I103" i="1"/>
  <c r="H105" i="1"/>
  <c r="I105" i="1"/>
  <c r="H109" i="1"/>
  <c r="I109" i="1"/>
  <c r="H112" i="1"/>
  <c r="I112" i="1"/>
  <c r="H115" i="1"/>
  <c r="I115" i="1"/>
  <c r="H117" i="1"/>
  <c r="I117" i="1"/>
  <c r="H118" i="1"/>
  <c r="I118" i="1"/>
  <c r="H122" i="1"/>
  <c r="I122" i="1"/>
  <c r="H123" i="1"/>
  <c r="I123" i="1"/>
  <c r="H124" i="1"/>
  <c r="I124" i="1"/>
  <c r="H129" i="1"/>
  <c r="I129" i="1"/>
  <c r="H132" i="1"/>
  <c r="I132" i="1"/>
  <c r="H133" i="1"/>
  <c r="I133" i="1"/>
  <c r="H135" i="1"/>
  <c r="I135" i="1"/>
  <c r="H137" i="1"/>
  <c r="I137" i="1"/>
  <c r="H139" i="1"/>
  <c r="I139" i="1"/>
  <c r="H140" i="1"/>
  <c r="I140" i="1"/>
  <c r="H142" i="1"/>
  <c r="I142" i="1"/>
  <c r="H143" i="1"/>
  <c r="I143" i="1"/>
  <c r="H144" i="1"/>
  <c r="I144" i="1"/>
  <c r="H147" i="1"/>
  <c r="I147" i="1"/>
  <c r="H149" i="1"/>
  <c r="I149" i="1"/>
  <c r="H152" i="1"/>
  <c r="I152" i="1"/>
  <c r="H153" i="1"/>
  <c r="I153" i="1"/>
  <c r="H154" i="1"/>
  <c r="I154" i="1"/>
  <c r="H156" i="1"/>
  <c r="I156" i="1"/>
  <c r="H158" i="1"/>
  <c r="I158" i="1"/>
  <c r="H161" i="1"/>
  <c r="I161" i="1"/>
  <c r="H162" i="1"/>
  <c r="I162" i="1"/>
  <c r="H163" i="1"/>
  <c r="I163" i="1"/>
  <c r="H166" i="1"/>
  <c r="I166" i="1"/>
  <c r="H167" i="1"/>
  <c r="I167" i="1"/>
  <c r="H170" i="1"/>
  <c r="I170" i="1"/>
  <c r="H171" i="1"/>
  <c r="I171" i="1"/>
  <c r="H172" i="1"/>
  <c r="I172" i="1"/>
  <c r="H175" i="1"/>
  <c r="I175" i="1"/>
  <c r="H177" i="1"/>
  <c r="I177" i="1"/>
  <c r="H179" i="1"/>
  <c r="I179" i="1"/>
  <c r="H180" i="1"/>
  <c r="I180" i="1"/>
  <c r="H182" i="1"/>
  <c r="I182" i="1"/>
  <c r="H183" i="1"/>
  <c r="I183" i="1"/>
  <c r="H185" i="1"/>
  <c r="I185" i="1"/>
  <c r="H186" i="1"/>
  <c r="I186" i="1"/>
  <c r="H188" i="1"/>
  <c r="I188" i="1"/>
  <c r="H190" i="1"/>
  <c r="I190" i="1"/>
  <c r="H193" i="1"/>
  <c r="I193" i="1"/>
  <c r="H194" i="1"/>
  <c r="I194" i="1"/>
  <c r="H195" i="1"/>
  <c r="I195" i="1"/>
  <c r="H198" i="1"/>
  <c r="I198" i="1"/>
  <c r="H199" i="1"/>
  <c r="I199" i="1"/>
  <c r="H202" i="1"/>
  <c r="I202" i="1"/>
  <c r="H203" i="1"/>
  <c r="I203" i="1"/>
  <c r="H204" i="1"/>
  <c r="I204" i="1"/>
  <c r="H207" i="1"/>
  <c r="I207" i="1"/>
  <c r="H209" i="1"/>
  <c r="I209" i="1"/>
  <c r="H211" i="1"/>
  <c r="I211" i="1"/>
  <c r="H212" i="1"/>
  <c r="I212" i="1"/>
  <c r="H214" i="1"/>
  <c r="I214" i="1"/>
  <c r="H215" i="1"/>
  <c r="I215" i="1"/>
  <c r="H217" i="1"/>
  <c r="I217" i="1"/>
  <c r="H218" i="1"/>
  <c r="I218" i="1"/>
  <c r="H220" i="1"/>
  <c r="I220" i="1"/>
  <c r="H222" i="1"/>
  <c r="I222" i="1"/>
  <c r="H225" i="1"/>
  <c r="I225" i="1"/>
  <c r="H226" i="1"/>
  <c r="I226" i="1"/>
  <c r="H227" i="1"/>
  <c r="I227" i="1"/>
  <c r="H230" i="1"/>
  <c r="I230" i="1"/>
  <c r="H232" i="1"/>
  <c r="I232" i="1"/>
  <c r="H233" i="1"/>
  <c r="I233" i="1"/>
  <c r="H236" i="1"/>
  <c r="I236" i="1"/>
  <c r="H237" i="1"/>
  <c r="I237" i="1"/>
  <c r="H238" i="1"/>
  <c r="I238" i="1"/>
  <c r="H240" i="1"/>
  <c r="I240" i="1"/>
  <c r="H241" i="1"/>
  <c r="I241" i="1"/>
  <c r="H243" i="1"/>
  <c r="I243" i="1"/>
  <c r="H245" i="1"/>
  <c r="I245" i="1"/>
  <c r="H247" i="1"/>
  <c r="I247" i="1"/>
  <c r="H248" i="1"/>
  <c r="I248" i="1"/>
  <c r="H251" i="1"/>
  <c r="I251" i="1"/>
  <c r="H252" i="1"/>
  <c r="I252" i="1"/>
  <c r="H254" i="1"/>
  <c r="I254" i="1"/>
  <c r="H255" i="1"/>
  <c r="I255" i="1"/>
  <c r="H257" i="1"/>
  <c r="I257" i="1"/>
  <c r="H258" i="1"/>
  <c r="I258" i="1"/>
  <c r="H261" i="1"/>
  <c r="I261" i="1"/>
  <c r="H262" i="1"/>
  <c r="I262" i="1"/>
  <c r="H264" i="1"/>
  <c r="I264" i="1"/>
  <c r="H265" i="1"/>
  <c r="I265" i="1"/>
  <c r="H267" i="1"/>
  <c r="I267" i="1"/>
  <c r="H268" i="1"/>
  <c r="I268" i="1"/>
  <c r="H271" i="1"/>
  <c r="I271" i="1"/>
  <c r="H272" i="1"/>
  <c r="I272" i="1"/>
  <c r="H274" i="1"/>
  <c r="I274" i="1"/>
  <c r="H276" i="1"/>
  <c r="I276" i="1"/>
  <c r="H277" i="1"/>
  <c r="I277" i="1"/>
  <c r="H278" i="1"/>
  <c r="I278" i="1"/>
  <c r="H280" i="1"/>
  <c r="I280" i="1"/>
  <c r="H281" i="1"/>
  <c r="I281" i="1"/>
  <c r="H282" i="1"/>
  <c r="I282" i="1"/>
  <c r="H284" i="1"/>
  <c r="I284" i="1"/>
  <c r="H285" i="1"/>
  <c r="I285" i="1"/>
  <c r="H286" i="1"/>
  <c r="I286" i="1"/>
  <c r="H288" i="1"/>
  <c r="I288" i="1"/>
  <c r="H289" i="1"/>
  <c r="I289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I452" i="1"/>
  <c r="H453" i="1"/>
  <c r="I453" i="1"/>
  <c r="H454" i="1"/>
  <c r="I454" i="1"/>
  <c r="H455" i="1"/>
  <c r="I455" i="1"/>
  <c r="H456" i="1"/>
  <c r="I456" i="1"/>
  <c r="H457" i="1"/>
  <c r="I457" i="1"/>
  <c r="H458" i="1"/>
  <c r="I458" i="1"/>
  <c r="H459" i="1"/>
  <c r="I459" i="1"/>
  <c r="H460" i="1"/>
  <c r="I460" i="1"/>
  <c r="H461" i="1"/>
  <c r="I461" i="1"/>
  <c r="H462" i="1"/>
  <c r="I462" i="1"/>
  <c r="H463" i="1"/>
  <c r="I463" i="1"/>
  <c r="H464" i="1"/>
  <c r="I464" i="1"/>
  <c r="H465" i="1"/>
  <c r="I465" i="1"/>
  <c r="H466" i="1"/>
  <c r="I466" i="1"/>
  <c r="H467" i="1"/>
  <c r="I467" i="1"/>
  <c r="H468" i="1"/>
  <c r="I468" i="1"/>
  <c r="H469" i="1"/>
  <c r="I469" i="1"/>
  <c r="H470" i="1"/>
  <c r="I470" i="1"/>
  <c r="H471" i="1"/>
  <c r="I471" i="1"/>
  <c r="H472" i="1"/>
  <c r="I472" i="1"/>
  <c r="H473" i="1"/>
  <c r="I473" i="1"/>
  <c r="H474" i="1"/>
  <c r="I474" i="1"/>
  <c r="H475" i="1"/>
  <c r="I475" i="1"/>
  <c r="H476" i="1"/>
  <c r="I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902" i="1"/>
  <c r="I902" i="1"/>
  <c r="H903" i="1"/>
  <c r="I903" i="1"/>
  <c r="H904" i="1"/>
  <c r="I904" i="1"/>
  <c r="H905" i="1"/>
  <c r="I905" i="1"/>
  <c r="H906" i="1"/>
  <c r="I906" i="1"/>
  <c r="H907" i="1"/>
  <c r="I907" i="1"/>
  <c r="H908" i="1"/>
  <c r="I908" i="1"/>
  <c r="H909" i="1"/>
  <c r="I909" i="1"/>
  <c r="H910" i="1"/>
  <c r="I910" i="1"/>
  <c r="H911" i="1"/>
  <c r="I911" i="1"/>
  <c r="H912" i="1"/>
  <c r="I912" i="1"/>
  <c r="H913" i="1"/>
  <c r="I913" i="1"/>
  <c r="H914" i="1"/>
  <c r="I914" i="1"/>
  <c r="H915" i="1"/>
  <c r="I915" i="1"/>
  <c r="H916" i="1"/>
  <c r="I916" i="1"/>
  <c r="H917" i="1"/>
  <c r="I917" i="1"/>
  <c r="H918" i="1"/>
  <c r="I918" i="1"/>
  <c r="H919" i="1"/>
  <c r="I919" i="1"/>
  <c r="H920" i="1"/>
  <c r="I920" i="1"/>
  <c r="H921" i="1"/>
  <c r="I921" i="1"/>
  <c r="H922" i="1"/>
  <c r="I922" i="1"/>
  <c r="H923" i="1"/>
  <c r="I923" i="1"/>
  <c r="H924" i="1"/>
  <c r="I924" i="1"/>
  <c r="H925" i="1"/>
  <c r="I925" i="1"/>
  <c r="H926" i="1"/>
  <c r="I926" i="1"/>
  <c r="H927" i="1"/>
  <c r="I927" i="1"/>
  <c r="H928" i="1"/>
  <c r="I928" i="1"/>
  <c r="H929" i="1"/>
  <c r="I929" i="1"/>
  <c r="H930" i="1"/>
  <c r="I930" i="1"/>
  <c r="H931" i="1"/>
  <c r="I931" i="1"/>
  <c r="H932" i="1"/>
  <c r="I932" i="1"/>
  <c r="H933" i="1"/>
  <c r="I933" i="1"/>
  <c r="H934" i="1"/>
  <c r="I934" i="1"/>
  <c r="H935" i="1"/>
  <c r="I935" i="1"/>
  <c r="H936" i="1"/>
  <c r="I936" i="1"/>
  <c r="H937" i="1"/>
  <c r="I937" i="1"/>
  <c r="H938" i="1"/>
  <c r="I938" i="1"/>
  <c r="H939" i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H961" i="1"/>
  <c r="I961" i="1"/>
  <c r="H962" i="1"/>
  <c r="I962" i="1"/>
  <c r="H963" i="1"/>
  <c r="I963" i="1"/>
  <c r="H964" i="1"/>
  <c r="I964" i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H973" i="1"/>
  <c r="I973" i="1"/>
  <c r="H974" i="1"/>
  <c r="I974" i="1"/>
  <c r="H975" i="1"/>
  <c r="I975" i="1"/>
  <c r="H976" i="1"/>
  <c r="I976" i="1"/>
  <c r="H977" i="1"/>
  <c r="I977" i="1"/>
  <c r="H978" i="1"/>
  <c r="I978" i="1"/>
  <c r="H979" i="1"/>
  <c r="I979" i="1"/>
  <c r="H980" i="1"/>
  <c r="I980" i="1"/>
  <c r="H981" i="1"/>
  <c r="I981" i="1"/>
  <c r="H982" i="1"/>
  <c r="I982" i="1"/>
  <c r="H983" i="1"/>
  <c r="I983" i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I992" i="1"/>
  <c r="H993" i="1"/>
  <c r="I993" i="1"/>
  <c r="H994" i="1"/>
  <c r="I994" i="1"/>
  <c r="H995" i="1"/>
  <c r="I995" i="1"/>
  <c r="H996" i="1"/>
  <c r="I996" i="1"/>
  <c r="H997" i="1"/>
  <c r="I997" i="1"/>
  <c r="H998" i="1"/>
  <c r="I998" i="1"/>
  <c r="H999" i="1"/>
  <c r="I999" i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/>
  <c r="H1078" i="1"/>
  <c r="I1078" i="1"/>
  <c r="H1079" i="1"/>
  <c r="I1079" i="1"/>
  <c r="H1080" i="1"/>
  <c r="I10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B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F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G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E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K2" i="4"/>
  <c r="A3" i="3"/>
  <c r="A4" i="3"/>
  <c r="A5" i="3"/>
  <c r="A6" i="3"/>
  <c r="A7" i="3"/>
  <c r="D9" i="2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I14" i="2"/>
  <c r="J14" i="2"/>
  <c r="H1081" i="1"/>
  <c r="I1081" i="1"/>
  <c r="H1082" i="1"/>
  <c r="I1082" i="1"/>
  <c r="H1083" i="1"/>
  <c r="I1083" i="1"/>
  <c r="H1084" i="1"/>
  <c r="I1084" i="1"/>
  <c r="H1085" i="1"/>
  <c r="I1085" i="1"/>
  <c r="H1086" i="1"/>
  <c r="I1086" i="1"/>
  <c r="H1087" i="1"/>
  <c r="I1087" i="1"/>
  <c r="H1088" i="1"/>
  <c r="I1088" i="1"/>
  <c r="H1089" i="1"/>
  <c r="I1089" i="1"/>
  <c r="H1090" i="1"/>
  <c r="I1090" i="1"/>
  <c r="H1091" i="1"/>
  <c r="I1091" i="1"/>
  <c r="H1092" i="1"/>
  <c r="I1092" i="1"/>
  <c r="H1093" i="1"/>
  <c r="I1093" i="1"/>
  <c r="H1094" i="1"/>
  <c r="I1094" i="1"/>
  <c r="H1095" i="1"/>
  <c r="I1095" i="1"/>
  <c r="H1096" i="1"/>
  <c r="I1096" i="1"/>
  <c r="H1097" i="1"/>
  <c r="I1097" i="1"/>
  <c r="H1098" i="1"/>
  <c r="I1098" i="1"/>
  <c r="H1099" i="1"/>
  <c r="I1099" i="1"/>
  <c r="H1100" i="1"/>
  <c r="I1100" i="1"/>
  <c r="H1101" i="1"/>
  <c r="I1101" i="1"/>
  <c r="H1102" i="1"/>
  <c r="I1102" i="1"/>
  <c r="H1103" i="1"/>
  <c r="I1103" i="1"/>
  <c r="H1104" i="1"/>
  <c r="I1104" i="1"/>
  <c r="H1105" i="1"/>
  <c r="I1105" i="1"/>
  <c r="H1106" i="1"/>
  <c r="I1106" i="1"/>
  <c r="H1107" i="1"/>
  <c r="I1107" i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/>
  <c r="H1114" i="1"/>
  <c r="I1114" i="1"/>
  <c r="H1115" i="1"/>
  <c r="I1115" i="1"/>
  <c r="H1116" i="1"/>
  <c r="I1116" i="1"/>
  <c r="H1117" i="1"/>
  <c r="I1117" i="1"/>
  <c r="H1118" i="1"/>
  <c r="I1118" i="1"/>
  <c r="H1119" i="1"/>
  <c r="I1119" i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/>
  <c r="H1126" i="1"/>
  <c r="I1126" i="1"/>
  <c r="H1127" i="1"/>
  <c r="I1127" i="1"/>
  <c r="H1128" i="1"/>
  <c r="I1128" i="1"/>
  <c r="H1129" i="1"/>
  <c r="I1129" i="1"/>
  <c r="H1130" i="1"/>
  <c r="I1130" i="1"/>
  <c r="H1131" i="1"/>
  <c r="I1131" i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/>
  <c r="H1144" i="1"/>
  <c r="I1144" i="1"/>
  <c r="H1145" i="1"/>
  <c r="I1145" i="1"/>
  <c r="H1146" i="1"/>
  <c r="I1146" i="1"/>
  <c r="H1147" i="1"/>
  <c r="I1147" i="1"/>
  <c r="H1148" i="1"/>
  <c r="I1148" i="1"/>
  <c r="H1149" i="1"/>
  <c r="I1149" i="1"/>
  <c r="H1150" i="1"/>
  <c r="I1150" i="1"/>
  <c r="H1151" i="1"/>
  <c r="I1151" i="1"/>
  <c r="H1152" i="1"/>
  <c r="I1152" i="1"/>
  <c r="H1153" i="1"/>
  <c r="I1153" i="1"/>
  <c r="H1154" i="1"/>
  <c r="I1154" i="1"/>
  <c r="H1155" i="1"/>
  <c r="I1155" i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/>
  <c r="H1162" i="1"/>
  <c r="I1162" i="1"/>
  <c r="H1163" i="1"/>
  <c r="I1163" i="1"/>
  <c r="H1164" i="1"/>
  <c r="I1164" i="1"/>
  <c r="H1165" i="1"/>
  <c r="I1165" i="1"/>
  <c r="H1166" i="1"/>
  <c r="I1166" i="1"/>
  <c r="H1167" i="1"/>
  <c r="I1167" i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/>
  <c r="H1174" i="1"/>
  <c r="I1174" i="1"/>
  <c r="H1175" i="1"/>
  <c r="I1175" i="1"/>
  <c r="H1176" i="1"/>
  <c r="I1176" i="1"/>
  <c r="H1177" i="1"/>
  <c r="I1177" i="1"/>
  <c r="H1178" i="1"/>
  <c r="I1178" i="1"/>
  <c r="H1179" i="1"/>
  <c r="I1179" i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/>
  <c r="H1186" i="1"/>
  <c r="I1186" i="1"/>
  <c r="H1187" i="1"/>
  <c r="I1187" i="1"/>
  <c r="H1188" i="1"/>
  <c r="I1188" i="1"/>
  <c r="H1189" i="1"/>
  <c r="I1189" i="1"/>
  <c r="H1190" i="1"/>
  <c r="I1190" i="1"/>
  <c r="H1191" i="1"/>
  <c r="I1191" i="1"/>
  <c r="H1192" i="1"/>
  <c r="I1192" i="1"/>
  <c r="H1193" i="1"/>
  <c r="I1193" i="1"/>
  <c r="H1194" i="1"/>
  <c r="I1194" i="1"/>
  <c r="H1195" i="1"/>
  <c r="I1195" i="1"/>
  <c r="H1196" i="1"/>
  <c r="I1196" i="1"/>
  <c r="H1197" i="1"/>
  <c r="I1197" i="1"/>
  <c r="H1198" i="1"/>
  <c r="I1198" i="1"/>
  <c r="H1199" i="1"/>
  <c r="I1199" i="1"/>
  <c r="H1200" i="1"/>
  <c r="I1200" i="1"/>
  <c r="H1201" i="1"/>
  <c r="I1201" i="1"/>
  <c r="H1202" i="1"/>
  <c r="I1202" i="1"/>
  <c r="H1203" i="1"/>
  <c r="I1203" i="1"/>
  <c r="H1204" i="1"/>
  <c r="I1204" i="1"/>
  <c r="H1205" i="1"/>
  <c r="I1205" i="1"/>
  <c r="H1206" i="1"/>
  <c r="I1206" i="1"/>
  <c r="H1207" i="1"/>
  <c r="I1207" i="1"/>
  <c r="H1208" i="1"/>
  <c r="I1208" i="1"/>
  <c r="H1209" i="1"/>
  <c r="I1209" i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/>
  <c r="H1222" i="1"/>
  <c r="I1222" i="1"/>
  <c r="H1223" i="1"/>
  <c r="I1223" i="1"/>
  <c r="H1224" i="1"/>
  <c r="I1224" i="1"/>
  <c r="H1225" i="1"/>
  <c r="I1225" i="1"/>
  <c r="H1226" i="1"/>
  <c r="I1226" i="1"/>
  <c r="H1227" i="1"/>
  <c r="I1227" i="1"/>
  <c r="H1228" i="1"/>
  <c r="I1228" i="1"/>
  <c r="H1229" i="1"/>
  <c r="I1229" i="1"/>
  <c r="H1230" i="1"/>
  <c r="I1230" i="1"/>
  <c r="H1231" i="1"/>
  <c r="I1231" i="1"/>
  <c r="H1232" i="1"/>
  <c r="I1232" i="1"/>
  <c r="H1233" i="1"/>
  <c r="I1233" i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/>
  <c r="H1240" i="1"/>
  <c r="I1240" i="1"/>
  <c r="H1241" i="1"/>
  <c r="I1241" i="1"/>
  <c r="H1242" i="1"/>
  <c r="I1242" i="1"/>
  <c r="H1243" i="1"/>
  <c r="I1243" i="1"/>
  <c r="H1244" i="1"/>
  <c r="I1244" i="1"/>
  <c r="H1245" i="1"/>
  <c r="I1245" i="1"/>
  <c r="H1246" i="1"/>
  <c r="I1246" i="1"/>
  <c r="H1247" i="1"/>
  <c r="I1247" i="1"/>
  <c r="H1248" i="1"/>
  <c r="I1248" i="1"/>
  <c r="H1249" i="1"/>
  <c r="I1249" i="1"/>
  <c r="H1250" i="1"/>
  <c r="I1250" i="1"/>
  <c r="H1251" i="1"/>
  <c r="I1251" i="1"/>
  <c r="H1252" i="1"/>
  <c r="I1252" i="1"/>
  <c r="H1253" i="1"/>
  <c r="I1253" i="1"/>
  <c r="H1254" i="1"/>
  <c r="I1254" i="1"/>
  <c r="H1255" i="1"/>
  <c r="I1255" i="1"/>
  <c r="H1256" i="1"/>
  <c r="I1256" i="1"/>
  <c r="H1257" i="1"/>
  <c r="I1257" i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/>
  <c r="H1264" i="1"/>
  <c r="I1264" i="1"/>
  <c r="H1265" i="1"/>
  <c r="I1265" i="1"/>
  <c r="H1266" i="1"/>
  <c r="I1266" i="1"/>
  <c r="H1267" i="1"/>
  <c r="I1267" i="1"/>
  <c r="H1268" i="1"/>
  <c r="I1268" i="1"/>
  <c r="H1269" i="1"/>
  <c r="I1269" i="1"/>
  <c r="H1270" i="1"/>
  <c r="I1270" i="1"/>
  <c r="H1271" i="1"/>
  <c r="I1271" i="1"/>
  <c r="H1272" i="1"/>
  <c r="I1272" i="1"/>
  <c r="H1273" i="1"/>
  <c r="I1273" i="1"/>
  <c r="H1274" i="1"/>
  <c r="I1274" i="1"/>
  <c r="H1275" i="1"/>
  <c r="I1275" i="1"/>
  <c r="H1276" i="1"/>
  <c r="I1276" i="1"/>
  <c r="H1277" i="1"/>
  <c r="I1277" i="1"/>
  <c r="H1278" i="1"/>
  <c r="I1278" i="1"/>
  <c r="H1279" i="1"/>
  <c r="I1279" i="1"/>
  <c r="H1280" i="1"/>
  <c r="I1280" i="1"/>
  <c r="H1281" i="1"/>
  <c r="I1281" i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/>
  <c r="H1288" i="1"/>
  <c r="I1288" i="1"/>
  <c r="H1289" i="1"/>
  <c r="I1289" i="1"/>
  <c r="H1290" i="1"/>
  <c r="I1290" i="1"/>
  <c r="H1291" i="1"/>
  <c r="I1291" i="1"/>
  <c r="H1292" i="1"/>
  <c r="I1292" i="1"/>
  <c r="H1293" i="1"/>
  <c r="I1293" i="1"/>
  <c r="H1294" i="1"/>
  <c r="I1294" i="1"/>
  <c r="H1295" i="1"/>
  <c r="I1295" i="1"/>
  <c r="H1296" i="1"/>
  <c r="I1296" i="1"/>
  <c r="H1297" i="1"/>
  <c r="I1297" i="1"/>
  <c r="H1298" i="1"/>
  <c r="I1298" i="1"/>
  <c r="H1299" i="1"/>
  <c r="I1299" i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/>
  <c r="H1306" i="1"/>
  <c r="I1306" i="1"/>
  <c r="H1307" i="1"/>
  <c r="I1307" i="1"/>
  <c r="H1308" i="1"/>
  <c r="I1308" i="1"/>
  <c r="H1309" i="1"/>
  <c r="I1309" i="1"/>
  <c r="H1310" i="1"/>
  <c r="I1310" i="1"/>
  <c r="H1311" i="1"/>
  <c r="I1311" i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/>
  <c r="H1336" i="1"/>
  <c r="I1336" i="1"/>
  <c r="H1337" i="1"/>
  <c r="I1337" i="1"/>
  <c r="H1338" i="1"/>
  <c r="I1338" i="1"/>
  <c r="H1339" i="1"/>
  <c r="I1339" i="1"/>
  <c r="H1340" i="1"/>
  <c r="I1340" i="1"/>
  <c r="H1341" i="1"/>
  <c r="I1341" i="1"/>
  <c r="H1342" i="1"/>
  <c r="I1342" i="1"/>
  <c r="H1343" i="1"/>
  <c r="I1343" i="1"/>
  <c r="H1344" i="1"/>
  <c r="I1344" i="1"/>
  <c r="H1345" i="1"/>
  <c r="I1345" i="1"/>
  <c r="H1346" i="1"/>
  <c r="I1346" i="1"/>
  <c r="H1347" i="1"/>
  <c r="I1347" i="1"/>
  <c r="H1348" i="1"/>
  <c r="I1348" i="1"/>
  <c r="H1349" i="1"/>
  <c r="I1349" i="1"/>
  <c r="H1350" i="1"/>
  <c r="I1350" i="1"/>
  <c r="H1351" i="1"/>
  <c r="I1351" i="1"/>
  <c r="H1352" i="1"/>
  <c r="I1352" i="1"/>
  <c r="H1353" i="1"/>
  <c r="I1353" i="1"/>
  <c r="H1354" i="1"/>
  <c r="I1354" i="1"/>
  <c r="H1355" i="1"/>
  <c r="I1355" i="1"/>
  <c r="H1356" i="1"/>
  <c r="I1356" i="1"/>
  <c r="H1357" i="1"/>
  <c r="I1357" i="1"/>
  <c r="H1358" i="1"/>
  <c r="I1358" i="1"/>
  <c r="H1359" i="1"/>
  <c r="I1359" i="1"/>
  <c r="H1360" i="1"/>
  <c r="I1360" i="1"/>
  <c r="H1361" i="1"/>
  <c r="I1361" i="1"/>
  <c r="H1362" i="1"/>
  <c r="I1362" i="1"/>
  <c r="H1363" i="1"/>
  <c r="I1363" i="1"/>
  <c r="H1364" i="1"/>
  <c r="I1364" i="1"/>
  <c r="H1365" i="1"/>
  <c r="I1365" i="1"/>
  <c r="H1366" i="1"/>
  <c r="I1366" i="1"/>
  <c r="H1367" i="1"/>
  <c r="I1367" i="1"/>
  <c r="H1368" i="1"/>
  <c r="I1368" i="1"/>
  <c r="H1369" i="1"/>
  <c r="I1369" i="1"/>
  <c r="H1370" i="1"/>
  <c r="I1370" i="1"/>
  <c r="H1371" i="1"/>
  <c r="I1371" i="1"/>
  <c r="H1372" i="1"/>
  <c r="I1372" i="1"/>
  <c r="H1373" i="1"/>
  <c r="I1373" i="1"/>
  <c r="H1374" i="1"/>
  <c r="I1374" i="1"/>
  <c r="H1375" i="1"/>
  <c r="I1375" i="1"/>
  <c r="H1376" i="1"/>
  <c r="I1376" i="1"/>
  <c r="H1377" i="1"/>
  <c r="I1377" i="1"/>
  <c r="H1378" i="1"/>
  <c r="I1378" i="1"/>
  <c r="H1379" i="1"/>
  <c r="I1379" i="1"/>
  <c r="H1380" i="1"/>
  <c r="I1380" i="1"/>
  <c r="H1381" i="1"/>
  <c r="I1381" i="1"/>
  <c r="H1382" i="1"/>
  <c r="I1382" i="1"/>
  <c r="H1383" i="1"/>
  <c r="I1383" i="1"/>
  <c r="H1384" i="1"/>
  <c r="I1384" i="1"/>
  <c r="H1385" i="1"/>
  <c r="I1385" i="1"/>
  <c r="H1386" i="1"/>
  <c r="I1386" i="1"/>
  <c r="H1387" i="1"/>
  <c r="I1387" i="1"/>
  <c r="H1388" i="1"/>
  <c r="I1388" i="1"/>
  <c r="H1389" i="1"/>
  <c r="I1389" i="1"/>
  <c r="H1390" i="1"/>
  <c r="I1390" i="1"/>
  <c r="H1391" i="1"/>
  <c r="I1391" i="1"/>
  <c r="H1392" i="1"/>
  <c r="I1392" i="1"/>
  <c r="H1393" i="1"/>
  <c r="I1393" i="1"/>
  <c r="H1394" i="1"/>
  <c r="I1394" i="1"/>
  <c r="H1395" i="1"/>
  <c r="I1395" i="1"/>
  <c r="H1396" i="1"/>
  <c r="I1396" i="1"/>
  <c r="H1397" i="1"/>
  <c r="I1397" i="1"/>
  <c r="H1398" i="1"/>
  <c r="I1398" i="1"/>
  <c r="H1399" i="1"/>
  <c r="I1399" i="1"/>
  <c r="H1400" i="1"/>
  <c r="I1400" i="1"/>
  <c r="H1401" i="1"/>
  <c r="I1401" i="1"/>
  <c r="H1402" i="1"/>
  <c r="I1402" i="1"/>
  <c r="H1403" i="1"/>
  <c r="I1403" i="1"/>
  <c r="H1404" i="1"/>
  <c r="I1404" i="1"/>
  <c r="H1405" i="1"/>
  <c r="I1405" i="1"/>
  <c r="H1406" i="1"/>
  <c r="I1406" i="1"/>
  <c r="H1407" i="1"/>
  <c r="I1407" i="1"/>
  <c r="H1408" i="1"/>
  <c r="I1408" i="1"/>
  <c r="H1409" i="1"/>
  <c r="I1409" i="1"/>
  <c r="H1410" i="1"/>
  <c r="I1410" i="1"/>
  <c r="H1411" i="1"/>
  <c r="I1411" i="1"/>
  <c r="H1412" i="1"/>
  <c r="I1412" i="1"/>
  <c r="H1413" i="1"/>
  <c r="I1413" i="1"/>
  <c r="H1414" i="1"/>
  <c r="I1414" i="1"/>
  <c r="H1415" i="1"/>
  <c r="I1415" i="1"/>
  <c r="H1416" i="1"/>
  <c r="I1416" i="1"/>
  <c r="H1417" i="1"/>
  <c r="I1417" i="1"/>
  <c r="H1418" i="1"/>
  <c r="I1418" i="1"/>
  <c r="H1419" i="1"/>
  <c r="I1419" i="1"/>
  <c r="H1420" i="1"/>
  <c r="I1420" i="1"/>
  <c r="H1421" i="1"/>
  <c r="I1421" i="1"/>
  <c r="H1422" i="1"/>
  <c r="I1422" i="1"/>
  <c r="H1423" i="1"/>
  <c r="I1423" i="1"/>
  <c r="H1424" i="1"/>
  <c r="I1424" i="1"/>
  <c r="H1425" i="1"/>
  <c r="I1425" i="1"/>
  <c r="H1426" i="1"/>
  <c r="I1426" i="1"/>
  <c r="H1427" i="1"/>
  <c r="I1427" i="1"/>
  <c r="H1428" i="1"/>
  <c r="I1428" i="1"/>
  <c r="H1429" i="1"/>
  <c r="I1429" i="1"/>
  <c r="H1430" i="1"/>
  <c r="I1430" i="1"/>
  <c r="H1431" i="1"/>
  <c r="I1431" i="1"/>
  <c r="H1432" i="1"/>
  <c r="I1432" i="1"/>
  <c r="H1433" i="1"/>
  <c r="I1433" i="1"/>
  <c r="H1434" i="1"/>
  <c r="I1434" i="1"/>
  <c r="H1435" i="1"/>
  <c r="I1435" i="1"/>
  <c r="H1436" i="1"/>
  <c r="I1436" i="1"/>
  <c r="H1437" i="1"/>
  <c r="I1437" i="1"/>
  <c r="H1438" i="1"/>
  <c r="I1438" i="1"/>
  <c r="H1439" i="1"/>
  <c r="I1439" i="1"/>
  <c r="H1440" i="1"/>
  <c r="I1440" i="1"/>
  <c r="H1441" i="1"/>
  <c r="I1441" i="1"/>
  <c r="H1442" i="1"/>
  <c r="I1442" i="1"/>
  <c r="H1443" i="1"/>
  <c r="I1443" i="1"/>
  <c r="H1444" i="1"/>
  <c r="I1444" i="1"/>
  <c r="H1445" i="1"/>
  <c r="I1445" i="1"/>
  <c r="H1446" i="1"/>
  <c r="I1446" i="1"/>
  <c r="H1447" i="1"/>
  <c r="I1447" i="1"/>
  <c r="H1448" i="1"/>
  <c r="I1448" i="1"/>
  <c r="H1449" i="1"/>
  <c r="I1449" i="1"/>
  <c r="H1450" i="1"/>
  <c r="I1450" i="1"/>
  <c r="H1451" i="1"/>
  <c r="I1451" i="1"/>
  <c r="H1452" i="1"/>
  <c r="I1452" i="1"/>
  <c r="H1453" i="1"/>
  <c r="I1453" i="1"/>
  <c r="H1454" i="1"/>
  <c r="I1454" i="1"/>
  <c r="H1455" i="1"/>
  <c r="I1455" i="1"/>
  <c r="H1456" i="1"/>
  <c r="I1456" i="1"/>
  <c r="H1457" i="1"/>
  <c r="I1457" i="1"/>
  <c r="H1458" i="1"/>
  <c r="I1458" i="1"/>
  <c r="H1459" i="1"/>
  <c r="I1459" i="1"/>
  <c r="H1460" i="1"/>
  <c r="I1460" i="1"/>
  <c r="H1461" i="1"/>
  <c r="I1461" i="1"/>
  <c r="H1462" i="1"/>
  <c r="I1462" i="1"/>
  <c r="H1463" i="1"/>
  <c r="I1463" i="1"/>
  <c r="H1464" i="1"/>
  <c r="I1464" i="1"/>
  <c r="H1465" i="1"/>
  <c r="I1465" i="1"/>
  <c r="H1466" i="1"/>
  <c r="I1466" i="1"/>
  <c r="H1467" i="1"/>
  <c r="I1467" i="1"/>
  <c r="H1468" i="1"/>
  <c r="I1468" i="1"/>
  <c r="H1469" i="1"/>
  <c r="I1469" i="1"/>
  <c r="H1470" i="1"/>
  <c r="I1470" i="1"/>
  <c r="H1471" i="1"/>
  <c r="I1471" i="1"/>
  <c r="H1472" i="1"/>
  <c r="I1472" i="1"/>
  <c r="H1473" i="1"/>
  <c r="I1473" i="1"/>
  <c r="H1474" i="1"/>
  <c r="I1474" i="1"/>
  <c r="H1475" i="1"/>
  <c r="I1475" i="1"/>
  <c r="H1476" i="1"/>
  <c r="I1476" i="1"/>
  <c r="H1477" i="1"/>
  <c r="I1477" i="1"/>
  <c r="H1478" i="1"/>
  <c r="I1478" i="1"/>
  <c r="H1479" i="1"/>
  <c r="I1479" i="1"/>
  <c r="H1480" i="1"/>
  <c r="I1480" i="1"/>
  <c r="H1481" i="1"/>
  <c r="I1481" i="1"/>
  <c r="H1482" i="1"/>
  <c r="I1482" i="1"/>
  <c r="H1483" i="1"/>
  <c r="I1483" i="1"/>
  <c r="H1484" i="1"/>
  <c r="I1484" i="1"/>
  <c r="H1485" i="1"/>
  <c r="I1485" i="1"/>
  <c r="H1486" i="1"/>
  <c r="I1486" i="1"/>
  <c r="H1487" i="1"/>
  <c r="I1487" i="1"/>
  <c r="H1488" i="1"/>
  <c r="I1488" i="1"/>
  <c r="H1489" i="1"/>
  <c r="I1489" i="1"/>
  <c r="H1490" i="1"/>
  <c r="I1490" i="1"/>
  <c r="H1491" i="1"/>
  <c r="I1491" i="1"/>
  <c r="H1492" i="1"/>
  <c r="I1492" i="1"/>
  <c r="H1493" i="1"/>
  <c r="I1493" i="1"/>
  <c r="H1494" i="1"/>
  <c r="I1494" i="1"/>
  <c r="H1495" i="1"/>
  <c r="I1495" i="1"/>
  <c r="H1496" i="1"/>
  <c r="I1496" i="1"/>
  <c r="H1497" i="1"/>
  <c r="I1497" i="1"/>
  <c r="H1498" i="1"/>
  <c r="I1498" i="1"/>
  <c r="H1499" i="1"/>
  <c r="I1499" i="1"/>
  <c r="H1500" i="1"/>
  <c r="I1500" i="1"/>
  <c r="H1501" i="1"/>
  <c r="I1501" i="1"/>
  <c r="H1502" i="1"/>
  <c r="I1502" i="1"/>
  <c r="H1503" i="1"/>
  <c r="I1503" i="1"/>
  <c r="H1504" i="1"/>
  <c r="I1504" i="1"/>
  <c r="H1505" i="1"/>
  <c r="I1505" i="1"/>
  <c r="H1506" i="1"/>
  <c r="I1506" i="1"/>
  <c r="H1507" i="1"/>
  <c r="I1507" i="1"/>
  <c r="H1508" i="1"/>
  <c r="I1508" i="1"/>
  <c r="H1509" i="1"/>
  <c r="I1509" i="1"/>
  <c r="H1510" i="1"/>
  <c r="I1510" i="1"/>
  <c r="H1511" i="1"/>
  <c r="I1511" i="1"/>
  <c r="H1512" i="1"/>
  <c r="I1512" i="1"/>
  <c r="H1513" i="1"/>
  <c r="I1513" i="1"/>
  <c r="H1514" i="1"/>
  <c r="I1514" i="1"/>
  <c r="H1515" i="1"/>
  <c r="I1515" i="1"/>
  <c r="H1516" i="1"/>
  <c r="I1516" i="1"/>
  <c r="H1517" i="1"/>
  <c r="I1517" i="1"/>
  <c r="H1518" i="1"/>
  <c r="I1518" i="1"/>
  <c r="H1519" i="1"/>
  <c r="I1519" i="1"/>
  <c r="H1520" i="1"/>
  <c r="I1520" i="1"/>
  <c r="H1521" i="1"/>
  <c r="I1521" i="1"/>
  <c r="H1522" i="1"/>
  <c r="I1522" i="1"/>
  <c r="H1523" i="1"/>
  <c r="I1523" i="1"/>
  <c r="H1524" i="1"/>
  <c r="I1524" i="1"/>
  <c r="H1525" i="1"/>
  <c r="I1525" i="1"/>
  <c r="H1526" i="1"/>
  <c r="I1526" i="1"/>
  <c r="H1527" i="1"/>
  <c r="I1527" i="1"/>
  <c r="H1528" i="1"/>
  <c r="I1528" i="1"/>
  <c r="H1529" i="1"/>
  <c r="I1529" i="1"/>
  <c r="H1530" i="1"/>
  <c r="I1530" i="1"/>
  <c r="H1531" i="1"/>
  <c r="I1531" i="1"/>
  <c r="H1532" i="1"/>
  <c r="I1532" i="1"/>
  <c r="H1533" i="1"/>
  <c r="I1533" i="1"/>
  <c r="H1534" i="1"/>
  <c r="I1534" i="1"/>
  <c r="H1535" i="1"/>
  <c r="I1535" i="1"/>
  <c r="H1536" i="1"/>
  <c r="I1536" i="1"/>
  <c r="H1537" i="1"/>
  <c r="I1537" i="1"/>
  <c r="H1538" i="1"/>
  <c r="I1538" i="1"/>
  <c r="H1539" i="1"/>
  <c r="I1539" i="1"/>
  <c r="H1540" i="1"/>
  <c r="I1540" i="1"/>
  <c r="H1541" i="1"/>
  <c r="I1541" i="1"/>
  <c r="H1542" i="1"/>
  <c r="I1542" i="1"/>
  <c r="H1543" i="1"/>
  <c r="I1543" i="1"/>
  <c r="H1544" i="1"/>
  <c r="I1544" i="1"/>
  <c r="H1545" i="1"/>
  <c r="I1545" i="1"/>
  <c r="H1546" i="1"/>
  <c r="I1546" i="1"/>
  <c r="H1547" i="1"/>
  <c r="I1547" i="1"/>
  <c r="H1548" i="1"/>
  <c r="I1548" i="1"/>
  <c r="H1549" i="1"/>
  <c r="I1549" i="1"/>
  <c r="H1550" i="1"/>
  <c r="I1550" i="1"/>
  <c r="H1551" i="1"/>
  <c r="I1551" i="1"/>
  <c r="H1552" i="1"/>
  <c r="I1552" i="1"/>
  <c r="H1553" i="1"/>
  <c r="I1553" i="1"/>
  <c r="H1554" i="1"/>
  <c r="I1554" i="1"/>
  <c r="H1555" i="1"/>
  <c r="I1555" i="1"/>
  <c r="H1556" i="1"/>
  <c r="I1556" i="1"/>
  <c r="H1557" i="1"/>
  <c r="I1557" i="1"/>
  <c r="H1558" i="1"/>
  <c r="I1558" i="1"/>
  <c r="H1559" i="1"/>
  <c r="I1559" i="1"/>
  <c r="H1560" i="1"/>
  <c r="I1560" i="1"/>
  <c r="H1561" i="1"/>
  <c r="I1561" i="1"/>
  <c r="H1562" i="1"/>
  <c r="I1562" i="1"/>
  <c r="H1563" i="1"/>
  <c r="I1563" i="1"/>
  <c r="H1564" i="1"/>
  <c r="I1564" i="1"/>
  <c r="H1565" i="1"/>
  <c r="I1565" i="1"/>
  <c r="H1566" i="1"/>
  <c r="I1566" i="1"/>
  <c r="H1567" i="1"/>
  <c r="I1567" i="1"/>
  <c r="H1568" i="1"/>
  <c r="I1568" i="1"/>
  <c r="H1569" i="1"/>
  <c r="I1569" i="1"/>
  <c r="H1570" i="1"/>
  <c r="I1570" i="1"/>
  <c r="H1571" i="1"/>
  <c r="I1571" i="1"/>
  <c r="H1572" i="1"/>
  <c r="I1572" i="1"/>
  <c r="H1573" i="1"/>
  <c r="I1573" i="1"/>
  <c r="H1574" i="1"/>
  <c r="I1574" i="1"/>
  <c r="H1575" i="1"/>
  <c r="I1575" i="1"/>
  <c r="H1576" i="1"/>
  <c r="I1576" i="1"/>
  <c r="H1577" i="1"/>
  <c r="I1577" i="1"/>
  <c r="H1578" i="1"/>
  <c r="I1578" i="1"/>
  <c r="H1579" i="1"/>
  <c r="I1579" i="1"/>
  <c r="H1580" i="1"/>
  <c r="I1580" i="1"/>
  <c r="H1581" i="1"/>
  <c r="I1581" i="1"/>
  <c r="H1582" i="1"/>
  <c r="I1582" i="1"/>
  <c r="H1583" i="1"/>
  <c r="I1583" i="1"/>
  <c r="H1584" i="1"/>
  <c r="I1584" i="1"/>
  <c r="H1585" i="1"/>
  <c r="I1585" i="1"/>
  <c r="H1586" i="1"/>
  <c r="I1586" i="1"/>
  <c r="H1587" i="1"/>
  <c r="I1587" i="1"/>
  <c r="H1588" i="1"/>
  <c r="I1588" i="1"/>
  <c r="H1589" i="1"/>
  <c r="I1589" i="1"/>
  <c r="H1590" i="1"/>
  <c r="I1590" i="1"/>
  <c r="H1591" i="1"/>
  <c r="I1591" i="1"/>
  <c r="H1592" i="1"/>
  <c r="I1592" i="1"/>
  <c r="H1593" i="1"/>
  <c r="I1593" i="1"/>
  <c r="H1594" i="1"/>
  <c r="I1594" i="1"/>
  <c r="H1595" i="1"/>
  <c r="I1595" i="1"/>
  <c r="H1596" i="1"/>
  <c r="I1596" i="1"/>
  <c r="H1597" i="1"/>
  <c r="I1597" i="1"/>
  <c r="H1598" i="1"/>
  <c r="I1598" i="1"/>
  <c r="H1599" i="1"/>
  <c r="I1599" i="1"/>
  <c r="H1600" i="1"/>
  <c r="I1600" i="1"/>
  <c r="H1601" i="1"/>
  <c r="I1601" i="1"/>
  <c r="H1602" i="1"/>
  <c r="I1602" i="1"/>
  <c r="H1603" i="1"/>
  <c r="I1603" i="1"/>
  <c r="H1604" i="1"/>
  <c r="I1604" i="1"/>
  <c r="H1605" i="1"/>
  <c r="I1605" i="1"/>
  <c r="H1606" i="1"/>
  <c r="I1606" i="1"/>
  <c r="H1607" i="1"/>
  <c r="I1607" i="1"/>
  <c r="H1608" i="1"/>
  <c r="I1608" i="1"/>
  <c r="H1609" i="1"/>
  <c r="I1609" i="1"/>
  <c r="H1610" i="1"/>
  <c r="I1610" i="1"/>
  <c r="H1611" i="1"/>
  <c r="I1611" i="1"/>
  <c r="H1612" i="1"/>
  <c r="I1612" i="1"/>
  <c r="H1613" i="1"/>
  <c r="I1613" i="1"/>
  <c r="H1614" i="1"/>
  <c r="I1614" i="1"/>
  <c r="H1615" i="1"/>
  <c r="I1615" i="1"/>
  <c r="H1616" i="1"/>
  <c r="I1616" i="1"/>
  <c r="H1617" i="1"/>
  <c r="I1617" i="1"/>
  <c r="H1618" i="1"/>
  <c r="I1618" i="1"/>
  <c r="H1619" i="1"/>
  <c r="I1619" i="1"/>
  <c r="H1620" i="1"/>
  <c r="I1620" i="1"/>
  <c r="H1621" i="1"/>
  <c r="I1621" i="1"/>
  <c r="H1622" i="1"/>
  <c r="I1622" i="1"/>
  <c r="H1623" i="1"/>
  <c r="I1623" i="1"/>
  <c r="H1624" i="1"/>
  <c r="I1624" i="1"/>
  <c r="H1625" i="1"/>
  <c r="I1625" i="1"/>
  <c r="H1626" i="1"/>
  <c r="I1626" i="1"/>
  <c r="H1627" i="1"/>
  <c r="I1627" i="1"/>
  <c r="H1628" i="1"/>
  <c r="I1628" i="1"/>
  <c r="H1629" i="1"/>
  <c r="I1629" i="1"/>
  <c r="H1630" i="1"/>
  <c r="I1630" i="1"/>
  <c r="H1631" i="1"/>
  <c r="I1631" i="1"/>
  <c r="H1632" i="1"/>
  <c r="I1632" i="1"/>
  <c r="H1633" i="1"/>
  <c r="I1633" i="1"/>
  <c r="H1634" i="1"/>
  <c r="I1634" i="1"/>
  <c r="H1635" i="1"/>
  <c r="I1635" i="1"/>
  <c r="H1636" i="1"/>
  <c r="I1636" i="1"/>
  <c r="H1637" i="1"/>
  <c r="I1637" i="1"/>
  <c r="H1638" i="1"/>
  <c r="I1638" i="1"/>
  <c r="H1639" i="1"/>
  <c r="I1639" i="1"/>
  <c r="H1640" i="1"/>
  <c r="I1640" i="1"/>
  <c r="H1641" i="1"/>
  <c r="I1641" i="1"/>
  <c r="H1642" i="1"/>
  <c r="I1642" i="1"/>
  <c r="H1643" i="1"/>
  <c r="I1643" i="1"/>
  <c r="H1644" i="1"/>
  <c r="I1644" i="1"/>
  <c r="H1645" i="1"/>
  <c r="I1645" i="1"/>
  <c r="H1646" i="1"/>
  <c r="I1646" i="1"/>
  <c r="H1647" i="1"/>
  <c r="I1647" i="1"/>
  <c r="H1648" i="1"/>
  <c r="I1648" i="1"/>
  <c r="H1649" i="1"/>
  <c r="I1649" i="1"/>
  <c r="H1650" i="1"/>
  <c r="I1650" i="1"/>
  <c r="H1651" i="1"/>
  <c r="I1651" i="1"/>
  <c r="H1652" i="1"/>
  <c r="I1652" i="1"/>
  <c r="H1653" i="1"/>
  <c r="I1653" i="1"/>
  <c r="H1654" i="1"/>
  <c r="I1654" i="1"/>
  <c r="H1655" i="1"/>
  <c r="I1655" i="1"/>
  <c r="H1656" i="1"/>
  <c r="I1656" i="1"/>
  <c r="H1657" i="1"/>
  <c r="I1657" i="1"/>
  <c r="H1658" i="1"/>
  <c r="I1658" i="1"/>
  <c r="H1659" i="1"/>
  <c r="I1659" i="1"/>
  <c r="H1660" i="1"/>
  <c r="I1660" i="1"/>
  <c r="H1661" i="1"/>
  <c r="I1661" i="1"/>
  <c r="H1662" i="1"/>
  <c r="I1662" i="1"/>
  <c r="H1663" i="1"/>
  <c r="I1663" i="1"/>
  <c r="H1664" i="1"/>
  <c r="I1664" i="1"/>
  <c r="H1665" i="1"/>
  <c r="I1665" i="1"/>
  <c r="H1666" i="1"/>
  <c r="I1666" i="1"/>
  <c r="H1667" i="1"/>
  <c r="I1667" i="1"/>
  <c r="H1668" i="1"/>
  <c r="I1668" i="1"/>
  <c r="H1669" i="1"/>
  <c r="I1669" i="1"/>
  <c r="H1670" i="1"/>
  <c r="I1670" i="1"/>
  <c r="H1671" i="1"/>
  <c r="I1671" i="1"/>
  <c r="H1672" i="1"/>
  <c r="I1672" i="1"/>
  <c r="H1673" i="1"/>
  <c r="I1673" i="1"/>
  <c r="H1674" i="1"/>
  <c r="I1674" i="1"/>
  <c r="H1675" i="1"/>
  <c r="I1675" i="1"/>
  <c r="H1676" i="1"/>
  <c r="I1676" i="1"/>
  <c r="H1677" i="1"/>
  <c r="I1677" i="1"/>
  <c r="H1678" i="1"/>
  <c r="I1678" i="1"/>
  <c r="H1679" i="1"/>
  <c r="I1679" i="1"/>
  <c r="H1680" i="1"/>
  <c r="I1680" i="1"/>
  <c r="H1681" i="1"/>
  <c r="I1681" i="1"/>
  <c r="H1682" i="1"/>
  <c r="I1682" i="1"/>
  <c r="H1683" i="1"/>
  <c r="I1683" i="1"/>
  <c r="H1684" i="1"/>
  <c r="I1684" i="1"/>
  <c r="H1685" i="1"/>
  <c r="I1685" i="1"/>
  <c r="H1686" i="1"/>
  <c r="I1686" i="1"/>
  <c r="H1687" i="1"/>
  <c r="I1687" i="1"/>
  <c r="H1688" i="1"/>
  <c r="I1688" i="1"/>
  <c r="H1689" i="1"/>
  <c r="I1689" i="1"/>
  <c r="H1690" i="1"/>
  <c r="I1690" i="1"/>
  <c r="H1691" i="1"/>
  <c r="I1691" i="1"/>
  <c r="H1692" i="1"/>
  <c r="I1692" i="1"/>
  <c r="H1693" i="1"/>
  <c r="I1693" i="1"/>
  <c r="H1694" i="1"/>
  <c r="I1694" i="1"/>
  <c r="H1695" i="1"/>
  <c r="I1695" i="1"/>
  <c r="H1696" i="1"/>
  <c r="I1696" i="1"/>
  <c r="H1697" i="1"/>
  <c r="I1697" i="1"/>
  <c r="H1698" i="1"/>
  <c r="I1698" i="1"/>
  <c r="H1699" i="1"/>
  <c r="I1699" i="1"/>
  <c r="H1700" i="1"/>
  <c r="I1700" i="1"/>
  <c r="H1701" i="1"/>
  <c r="I1701" i="1"/>
  <c r="H1702" i="1"/>
  <c r="I1702" i="1"/>
  <c r="H1703" i="1"/>
  <c r="I1703" i="1"/>
  <c r="H1704" i="1"/>
  <c r="I1704" i="1"/>
  <c r="H1705" i="1"/>
  <c r="I1705" i="1"/>
  <c r="H1706" i="1"/>
  <c r="I1706" i="1"/>
  <c r="H1707" i="1"/>
  <c r="I1707" i="1"/>
  <c r="H1708" i="1"/>
  <c r="I1708" i="1"/>
  <c r="H1709" i="1"/>
  <c r="I1709" i="1"/>
  <c r="H1710" i="1"/>
  <c r="I1710" i="1"/>
  <c r="H1711" i="1"/>
  <c r="I1711" i="1"/>
  <c r="H1712" i="1"/>
  <c r="I1712" i="1"/>
  <c r="H1713" i="1"/>
  <c r="I1713" i="1"/>
  <c r="H1714" i="1"/>
  <c r="I1714" i="1"/>
  <c r="H1715" i="1"/>
  <c r="I1715" i="1"/>
  <c r="H1716" i="1"/>
  <c r="I1716" i="1"/>
  <c r="H1717" i="1"/>
  <c r="I1717" i="1"/>
  <c r="H1718" i="1"/>
  <c r="I1718" i="1"/>
  <c r="H1719" i="1"/>
  <c r="I1719" i="1"/>
  <c r="H1720" i="1"/>
  <c r="I1720" i="1"/>
  <c r="H1721" i="1"/>
  <c r="I1721" i="1"/>
  <c r="H1722" i="1"/>
  <c r="I1722" i="1"/>
  <c r="H1723" i="1"/>
  <c r="I1723" i="1"/>
  <c r="H1724" i="1"/>
  <c r="I1724" i="1"/>
  <c r="H1725" i="1"/>
  <c r="I1725" i="1"/>
  <c r="H1726" i="1"/>
  <c r="I1726" i="1"/>
  <c r="H1727" i="1"/>
  <c r="I1727" i="1"/>
  <c r="H1728" i="1"/>
  <c r="I1728" i="1"/>
  <c r="H1729" i="1"/>
  <c r="I1729" i="1"/>
  <c r="H1730" i="1"/>
  <c r="I1730" i="1"/>
  <c r="H1731" i="1"/>
  <c r="I1731" i="1"/>
  <c r="H1732" i="1"/>
  <c r="I1732" i="1"/>
  <c r="H1733" i="1"/>
  <c r="I1733" i="1"/>
  <c r="H1734" i="1"/>
  <c r="I1734" i="1"/>
  <c r="H1735" i="1"/>
  <c r="I1735" i="1"/>
  <c r="H1736" i="1"/>
  <c r="I1736" i="1"/>
  <c r="H1737" i="1"/>
  <c r="I1737" i="1"/>
  <c r="H1738" i="1"/>
  <c r="I1738" i="1"/>
  <c r="H1739" i="1"/>
  <c r="I1739" i="1"/>
  <c r="H1740" i="1"/>
  <c r="I1740" i="1"/>
  <c r="H1741" i="1"/>
  <c r="I1741" i="1"/>
  <c r="H1742" i="1"/>
  <c r="I1742" i="1"/>
  <c r="H1743" i="1"/>
  <c r="I1743" i="1"/>
  <c r="H1744" i="1"/>
  <c r="I1744" i="1"/>
  <c r="H1745" i="1"/>
  <c r="I1745" i="1"/>
  <c r="H1746" i="1"/>
  <c r="I1746" i="1"/>
  <c r="H1747" i="1"/>
  <c r="I1747" i="1"/>
  <c r="H1748" i="1"/>
  <c r="I1748" i="1"/>
  <c r="H1749" i="1"/>
  <c r="I1749" i="1"/>
  <c r="H1750" i="1"/>
  <c r="I1750" i="1"/>
  <c r="H1751" i="1"/>
  <c r="I1751" i="1"/>
  <c r="H1752" i="1"/>
  <c r="I1752" i="1"/>
  <c r="H1753" i="1"/>
  <c r="I1753" i="1"/>
  <c r="H1754" i="1"/>
  <c r="I1754" i="1"/>
  <c r="H1755" i="1"/>
  <c r="I1755" i="1"/>
  <c r="H1756" i="1"/>
  <c r="I1756" i="1"/>
  <c r="H1757" i="1"/>
  <c r="I1757" i="1"/>
  <c r="H1758" i="1"/>
  <c r="I1758" i="1"/>
  <c r="H1759" i="1"/>
  <c r="I1759" i="1"/>
  <c r="H1760" i="1"/>
  <c r="I1760" i="1"/>
  <c r="H1761" i="1"/>
  <c r="I1761" i="1"/>
  <c r="H1762" i="1"/>
  <c r="I1762" i="1"/>
  <c r="H1763" i="1"/>
  <c r="I1763" i="1"/>
  <c r="H1764" i="1"/>
  <c r="I1764" i="1"/>
  <c r="H1765" i="1"/>
  <c r="I1765" i="1"/>
  <c r="H1766" i="1"/>
  <c r="I1766" i="1"/>
  <c r="H1767" i="1"/>
  <c r="I1767" i="1"/>
  <c r="H1768" i="1"/>
  <c r="I1768" i="1"/>
  <c r="H1769" i="1"/>
  <c r="I1769" i="1"/>
  <c r="H1770" i="1"/>
  <c r="I1770" i="1"/>
  <c r="H1771" i="1"/>
  <c r="I1771" i="1"/>
  <c r="H1772" i="1"/>
  <c r="I1772" i="1"/>
  <c r="H1773" i="1"/>
  <c r="I1773" i="1"/>
  <c r="H1774" i="1"/>
  <c r="I1774" i="1"/>
  <c r="H1775" i="1"/>
  <c r="I1775" i="1"/>
  <c r="H1776" i="1"/>
  <c r="I1776" i="1"/>
  <c r="H1777" i="1"/>
  <c r="I1777" i="1"/>
  <c r="H1778" i="1"/>
  <c r="I1778" i="1"/>
  <c r="H1779" i="1"/>
  <c r="I1779" i="1"/>
  <c r="H1780" i="1"/>
  <c r="I1780" i="1"/>
  <c r="H1781" i="1"/>
  <c r="I1781" i="1"/>
  <c r="H1782" i="1"/>
  <c r="I1782" i="1"/>
  <c r="H1783" i="1"/>
  <c r="I1783" i="1"/>
  <c r="H1784" i="1"/>
  <c r="I1784" i="1"/>
  <c r="H1785" i="1"/>
  <c r="I1785" i="1"/>
  <c r="H1786" i="1"/>
  <c r="I1786" i="1"/>
  <c r="H1787" i="1"/>
  <c r="I1787" i="1"/>
  <c r="H1788" i="1"/>
  <c r="I1788" i="1"/>
  <c r="H1789" i="1"/>
  <c r="I1789" i="1"/>
  <c r="H1790" i="1"/>
  <c r="I1790" i="1"/>
  <c r="H1791" i="1"/>
  <c r="I1791" i="1"/>
  <c r="H1792" i="1"/>
  <c r="I1792" i="1"/>
  <c r="H1793" i="1"/>
  <c r="I1793" i="1"/>
  <c r="H1794" i="1"/>
  <c r="I1794" i="1"/>
  <c r="H1795" i="1"/>
  <c r="I1795" i="1"/>
  <c r="H1796" i="1"/>
  <c r="I1796" i="1"/>
  <c r="H1797" i="1"/>
  <c r="I1797" i="1"/>
  <c r="H1798" i="1"/>
  <c r="I1798" i="1"/>
  <c r="H1799" i="1"/>
  <c r="I1799" i="1"/>
  <c r="H1800" i="1"/>
  <c r="I1800" i="1"/>
  <c r="H1801" i="1"/>
  <c r="I1801" i="1"/>
  <c r="H1802" i="1"/>
  <c r="I1802" i="1"/>
  <c r="H1803" i="1"/>
  <c r="I1803" i="1"/>
  <c r="H1804" i="1"/>
  <c r="I1804" i="1"/>
  <c r="H1805" i="1"/>
  <c r="I1805" i="1"/>
  <c r="H1806" i="1"/>
  <c r="I1806" i="1"/>
  <c r="H1807" i="1"/>
  <c r="I1807" i="1"/>
  <c r="H1808" i="1"/>
  <c r="I1808" i="1"/>
  <c r="H1809" i="1"/>
  <c r="I1809" i="1"/>
  <c r="H1810" i="1"/>
  <c r="I1810" i="1"/>
  <c r="H1811" i="1"/>
  <c r="I1811" i="1"/>
  <c r="H1812" i="1"/>
  <c r="I1812" i="1"/>
  <c r="H1813" i="1"/>
  <c r="I1813" i="1"/>
  <c r="H1814" i="1"/>
  <c r="I1814" i="1"/>
  <c r="H1815" i="1"/>
  <c r="I1815" i="1"/>
  <c r="H1816" i="1"/>
  <c r="I1816" i="1"/>
  <c r="H1817" i="1"/>
  <c r="I1817" i="1"/>
  <c r="H1818" i="1"/>
  <c r="I1818" i="1"/>
  <c r="H1819" i="1"/>
  <c r="I1819" i="1"/>
  <c r="H1820" i="1"/>
  <c r="I1820" i="1"/>
  <c r="H1821" i="1"/>
  <c r="I1821" i="1"/>
  <c r="H1822" i="1"/>
  <c r="I1822" i="1"/>
  <c r="H1823" i="1"/>
  <c r="I1823" i="1"/>
  <c r="H1824" i="1"/>
  <c r="I1824" i="1"/>
  <c r="H1825" i="1"/>
  <c r="I1825" i="1"/>
  <c r="H1826" i="1"/>
  <c r="I1826" i="1"/>
  <c r="H1827" i="1"/>
  <c r="I1827" i="1"/>
  <c r="H1828" i="1"/>
  <c r="I1828" i="1"/>
  <c r="H1829" i="1"/>
  <c r="I1829" i="1"/>
  <c r="H1830" i="1"/>
  <c r="I1830" i="1"/>
  <c r="H1831" i="1"/>
  <c r="I1831" i="1"/>
  <c r="H1832" i="1"/>
  <c r="I1832" i="1"/>
  <c r="H1833" i="1"/>
  <c r="I1833" i="1"/>
  <c r="H1834" i="1"/>
  <c r="I1834" i="1"/>
  <c r="H1835" i="1"/>
  <c r="I1835" i="1"/>
  <c r="H1836" i="1"/>
  <c r="I1836" i="1"/>
  <c r="H1837" i="1"/>
  <c r="I1837" i="1"/>
  <c r="H1838" i="1"/>
  <c r="I1838" i="1"/>
  <c r="H1839" i="1"/>
  <c r="I1839" i="1"/>
  <c r="H1840" i="1"/>
  <c r="I1840" i="1"/>
  <c r="H1841" i="1"/>
  <c r="I1841" i="1"/>
  <c r="H1842" i="1"/>
  <c r="I1842" i="1"/>
  <c r="H1843" i="1"/>
  <c r="I1843" i="1"/>
  <c r="H1844" i="1"/>
  <c r="I1844" i="1"/>
  <c r="H1845" i="1"/>
  <c r="I1845" i="1"/>
  <c r="H1846" i="1"/>
  <c r="I1846" i="1"/>
  <c r="H1847" i="1"/>
  <c r="I1847" i="1"/>
  <c r="H1848" i="1"/>
  <c r="I1848" i="1"/>
  <c r="H1849" i="1"/>
  <c r="I1849" i="1"/>
  <c r="H1850" i="1"/>
  <c r="I1850" i="1"/>
  <c r="H1851" i="1"/>
  <c r="I1851" i="1"/>
  <c r="H1852" i="1"/>
  <c r="I1852" i="1"/>
  <c r="H1853" i="1"/>
  <c r="I1853" i="1"/>
  <c r="H1854" i="1"/>
  <c r="I1854" i="1"/>
  <c r="H1855" i="1"/>
  <c r="I1855" i="1"/>
  <c r="H1856" i="1"/>
  <c r="I1856" i="1"/>
  <c r="H1857" i="1"/>
  <c r="I1857" i="1"/>
  <c r="H1858" i="1"/>
  <c r="I1858" i="1"/>
  <c r="H1859" i="1"/>
  <c r="I1859" i="1"/>
  <c r="H1860" i="1"/>
  <c r="I1860" i="1"/>
  <c r="H1861" i="1"/>
  <c r="I1861" i="1"/>
  <c r="H1862" i="1"/>
  <c r="I1862" i="1"/>
  <c r="H1863" i="1"/>
  <c r="I1863" i="1"/>
  <c r="H1864" i="1"/>
  <c r="I1864" i="1"/>
  <c r="H1865" i="1"/>
  <c r="I1865" i="1"/>
  <c r="H1866" i="1"/>
  <c r="I1866" i="1"/>
  <c r="H1867" i="1"/>
  <c r="I1867" i="1"/>
  <c r="H1868" i="1"/>
  <c r="I1868" i="1"/>
  <c r="H1869" i="1"/>
  <c r="I1869" i="1"/>
  <c r="H1870" i="1"/>
  <c r="I1870" i="1"/>
  <c r="H1871" i="1"/>
  <c r="I1871" i="1"/>
  <c r="H1872" i="1"/>
  <c r="I1872" i="1"/>
  <c r="H1873" i="1"/>
  <c r="I1873" i="1"/>
  <c r="H1874" i="1"/>
  <c r="I1874" i="1"/>
  <c r="H1875" i="1"/>
  <c r="I1875" i="1"/>
  <c r="H1876" i="1"/>
  <c r="I1876" i="1"/>
  <c r="H1877" i="1"/>
  <c r="I1877" i="1"/>
  <c r="H1878" i="1"/>
  <c r="I1878" i="1"/>
  <c r="H1879" i="1"/>
  <c r="I1879" i="1"/>
  <c r="H1880" i="1"/>
  <c r="I1880" i="1"/>
  <c r="H1881" i="1"/>
  <c r="I1881" i="1"/>
  <c r="H1882" i="1"/>
  <c r="I1882" i="1"/>
  <c r="H1883" i="1"/>
  <c r="I1883" i="1"/>
  <c r="H1884" i="1"/>
  <c r="I1884" i="1"/>
  <c r="H1885" i="1"/>
  <c r="I1885" i="1"/>
  <c r="H1886" i="1"/>
  <c r="I1886" i="1"/>
  <c r="H1887" i="1"/>
  <c r="I1887" i="1"/>
  <c r="H1888" i="1"/>
  <c r="I1888" i="1"/>
  <c r="H1889" i="1"/>
  <c r="I1889" i="1"/>
  <c r="H1890" i="1"/>
  <c r="I1890" i="1"/>
  <c r="H1891" i="1"/>
  <c r="I1891" i="1"/>
  <c r="H1892" i="1"/>
  <c r="I1892" i="1"/>
  <c r="H1893" i="1"/>
  <c r="I1893" i="1"/>
  <c r="H1894" i="1"/>
  <c r="I1894" i="1"/>
  <c r="H1895" i="1"/>
  <c r="I1895" i="1"/>
  <c r="H1896" i="1"/>
  <c r="I1896" i="1"/>
  <c r="H1897" i="1"/>
  <c r="I1897" i="1"/>
  <c r="H1898" i="1"/>
  <c r="I1898" i="1"/>
  <c r="H1899" i="1"/>
  <c r="I1899" i="1"/>
  <c r="H1900" i="1"/>
  <c r="I1900" i="1"/>
  <c r="H1901" i="1"/>
  <c r="I1901" i="1"/>
  <c r="H1902" i="1"/>
  <c r="I1902" i="1"/>
  <c r="H1903" i="1"/>
  <c r="I1903" i="1"/>
  <c r="H1904" i="1"/>
  <c r="I1904" i="1"/>
  <c r="H1905" i="1"/>
  <c r="I1905" i="1"/>
  <c r="H1906" i="1"/>
  <c r="I1906" i="1"/>
  <c r="H1907" i="1"/>
  <c r="I1907" i="1"/>
  <c r="H1908" i="1"/>
  <c r="I1908" i="1"/>
  <c r="H1909" i="1"/>
  <c r="I1909" i="1"/>
  <c r="H1910" i="1"/>
  <c r="I1910" i="1"/>
  <c r="H1911" i="1"/>
  <c r="I1911" i="1"/>
  <c r="H1912" i="1"/>
  <c r="I1912" i="1"/>
  <c r="H1913" i="1"/>
  <c r="I1913" i="1"/>
  <c r="H1914" i="1"/>
  <c r="I1914" i="1"/>
  <c r="H1915" i="1"/>
  <c r="I1915" i="1"/>
  <c r="H1916" i="1"/>
  <c r="I1916" i="1"/>
  <c r="H1917" i="1"/>
  <c r="I1917" i="1"/>
  <c r="H1918" i="1"/>
  <c r="I1918" i="1"/>
  <c r="H1919" i="1"/>
  <c r="I1919" i="1"/>
  <c r="H1920" i="1"/>
  <c r="I1920" i="1"/>
  <c r="H1921" i="1"/>
  <c r="I1921" i="1"/>
  <c r="H1922" i="1"/>
  <c r="I1922" i="1"/>
  <c r="H1923" i="1"/>
  <c r="I1923" i="1"/>
  <c r="H1924" i="1"/>
  <c r="I1924" i="1"/>
  <c r="H1925" i="1"/>
  <c r="I1925" i="1"/>
  <c r="H1926" i="1"/>
  <c r="I1926" i="1"/>
  <c r="H1927" i="1"/>
  <c r="I1927" i="1"/>
  <c r="H1928" i="1"/>
  <c r="I1928" i="1"/>
  <c r="H1929" i="1"/>
  <c r="I1929" i="1"/>
  <c r="H1930" i="1"/>
  <c r="I1930" i="1"/>
  <c r="H1931" i="1"/>
  <c r="I1931" i="1"/>
  <c r="H1932" i="1"/>
  <c r="I1932" i="1"/>
  <c r="H1933" i="1"/>
  <c r="I1933" i="1"/>
  <c r="H1934" i="1"/>
  <c r="I1934" i="1"/>
  <c r="H1935" i="1"/>
  <c r="I1935" i="1"/>
  <c r="H1936" i="1"/>
  <c r="I1936" i="1"/>
  <c r="H1937" i="1"/>
  <c r="I1937" i="1"/>
  <c r="H1938" i="1"/>
  <c r="I1938" i="1"/>
  <c r="H1939" i="1"/>
  <c r="I1939" i="1"/>
  <c r="H1940" i="1"/>
  <c r="I1940" i="1"/>
  <c r="H1941" i="1"/>
  <c r="I1941" i="1"/>
  <c r="H1942" i="1"/>
  <c r="I1942" i="1"/>
  <c r="H1943" i="1"/>
  <c r="I1943" i="1"/>
  <c r="H1944" i="1"/>
  <c r="I1944" i="1"/>
  <c r="H1945" i="1"/>
  <c r="I1945" i="1"/>
  <c r="H1946" i="1"/>
  <c r="I1946" i="1"/>
  <c r="H1947" i="1"/>
  <c r="I1947" i="1"/>
  <c r="H1948" i="1"/>
  <c r="I1948" i="1"/>
  <c r="H1949" i="1"/>
  <c r="I1949" i="1"/>
  <c r="H1950" i="1"/>
  <c r="I1950" i="1"/>
  <c r="H1951" i="1"/>
  <c r="I1951" i="1"/>
  <c r="H1952" i="1"/>
  <c r="I1952" i="1"/>
  <c r="H1953" i="1"/>
  <c r="I1953" i="1"/>
  <c r="H1954" i="1"/>
  <c r="I1954" i="1"/>
  <c r="H1955" i="1"/>
  <c r="I1955" i="1"/>
  <c r="H1956" i="1"/>
  <c r="I1956" i="1"/>
  <c r="H1957" i="1"/>
  <c r="I1957" i="1"/>
  <c r="H1958" i="1"/>
  <c r="I1958" i="1"/>
  <c r="H1959" i="1"/>
  <c r="I1959" i="1"/>
  <c r="H1960" i="1"/>
  <c r="I1960" i="1"/>
  <c r="H1961" i="1"/>
  <c r="I1961" i="1"/>
  <c r="H1962" i="1"/>
  <c r="I1962" i="1"/>
  <c r="H1963" i="1"/>
  <c r="I1963" i="1"/>
  <c r="H1964" i="1"/>
  <c r="I1964" i="1"/>
  <c r="H1965" i="1"/>
  <c r="I1965" i="1"/>
  <c r="H1966" i="1"/>
  <c r="I1966" i="1"/>
  <c r="H1967" i="1"/>
  <c r="I1967" i="1"/>
  <c r="H1968" i="1"/>
  <c r="I1968" i="1"/>
  <c r="H1969" i="1"/>
  <c r="I1969" i="1"/>
  <c r="H1970" i="1"/>
  <c r="I1970" i="1"/>
  <c r="H1971" i="1"/>
  <c r="I1971" i="1"/>
  <c r="H1972" i="1"/>
  <c r="I1972" i="1"/>
  <c r="H1973" i="1"/>
  <c r="I1973" i="1"/>
  <c r="H1974" i="1"/>
  <c r="I1974" i="1"/>
  <c r="H1975" i="1"/>
  <c r="I1975" i="1"/>
  <c r="H1976" i="1"/>
  <c r="I1976" i="1"/>
  <c r="H1977" i="1"/>
  <c r="I1977" i="1"/>
  <c r="H1978" i="1"/>
  <c r="I1978" i="1"/>
  <c r="H1979" i="1"/>
  <c r="I1979" i="1"/>
  <c r="H1980" i="1"/>
  <c r="I1980" i="1"/>
  <c r="H1981" i="1"/>
  <c r="I1981" i="1"/>
  <c r="H1982" i="1"/>
  <c r="I1982" i="1"/>
  <c r="H1983" i="1"/>
  <c r="I1983" i="1"/>
  <c r="H1984" i="1"/>
  <c r="I1984" i="1"/>
  <c r="H1985" i="1"/>
  <c r="I1985" i="1"/>
  <c r="H1986" i="1"/>
  <c r="I1986" i="1"/>
  <c r="H1987" i="1"/>
  <c r="I1987" i="1"/>
  <c r="H1988" i="1"/>
  <c r="I1988" i="1"/>
  <c r="H1989" i="1"/>
  <c r="I1989" i="1"/>
  <c r="H1990" i="1"/>
  <c r="I1990" i="1"/>
  <c r="H1991" i="1"/>
  <c r="I1991" i="1"/>
  <c r="H1992" i="1"/>
  <c r="I1992" i="1"/>
  <c r="H1993" i="1"/>
  <c r="I1993" i="1"/>
  <c r="H1994" i="1"/>
  <c r="I1994" i="1"/>
  <c r="H1995" i="1"/>
  <c r="I1995" i="1"/>
  <c r="H1996" i="1"/>
  <c r="I1996" i="1"/>
  <c r="H1997" i="1"/>
  <c r="I1997" i="1"/>
  <c r="H1998" i="1"/>
  <c r="I1998" i="1"/>
  <c r="H1999" i="1"/>
  <c r="I1999" i="1"/>
  <c r="H2000" i="1"/>
  <c r="I2000" i="1"/>
  <c r="H2001" i="1"/>
  <c r="I2001" i="1"/>
  <c r="H2002" i="1"/>
  <c r="I2002" i="1"/>
  <c r="H2003" i="1"/>
  <c r="I2003" i="1"/>
  <c r="H2004" i="1"/>
  <c r="I2004" i="1"/>
  <c r="H2005" i="1"/>
  <c r="I2005" i="1"/>
  <c r="H2006" i="1"/>
  <c r="I2006" i="1"/>
  <c r="H2007" i="1"/>
  <c r="I2007" i="1"/>
  <c r="H2008" i="1"/>
  <c r="I2008" i="1"/>
  <c r="H2009" i="1"/>
  <c r="I2009" i="1"/>
  <c r="H2010" i="1"/>
  <c r="I2010" i="1"/>
  <c r="H2011" i="1"/>
  <c r="I2011" i="1"/>
  <c r="H2012" i="1"/>
  <c r="I2012" i="1"/>
  <c r="H2013" i="1"/>
  <c r="I2013" i="1"/>
  <c r="H2014" i="1"/>
  <c r="I2014" i="1"/>
  <c r="H2015" i="1"/>
  <c r="I2015" i="1"/>
  <c r="H2016" i="1"/>
  <c r="I2016" i="1"/>
  <c r="H2017" i="1"/>
  <c r="I2017" i="1"/>
  <c r="H2018" i="1"/>
  <c r="I2018" i="1"/>
  <c r="H2019" i="1"/>
  <c r="I2019" i="1"/>
  <c r="H2020" i="1"/>
  <c r="I2020" i="1"/>
  <c r="H2021" i="1"/>
  <c r="I2021" i="1"/>
  <c r="H2022" i="1"/>
  <c r="I2022" i="1"/>
  <c r="H2023" i="1"/>
  <c r="I2023" i="1"/>
  <c r="H2024" i="1"/>
  <c r="I2024" i="1"/>
  <c r="H2025" i="1"/>
  <c r="I2025" i="1"/>
  <c r="H2026" i="1"/>
  <c r="I2026" i="1"/>
  <c r="H2027" i="1"/>
  <c r="I2027" i="1"/>
  <c r="H2028" i="1"/>
  <c r="I2028" i="1"/>
  <c r="H2029" i="1"/>
  <c r="I2029" i="1"/>
  <c r="H2030" i="1"/>
  <c r="I2030" i="1"/>
  <c r="H2031" i="1"/>
  <c r="I2031" i="1"/>
  <c r="H2032" i="1"/>
  <c r="I2032" i="1"/>
  <c r="H2033" i="1"/>
  <c r="I2033" i="1"/>
  <c r="H2034" i="1"/>
  <c r="I2034" i="1"/>
  <c r="H2035" i="1"/>
  <c r="I2035" i="1"/>
  <c r="H2036" i="1"/>
  <c r="I2036" i="1"/>
  <c r="H2037" i="1"/>
  <c r="I2037" i="1"/>
  <c r="H2038" i="1"/>
  <c r="I2038" i="1"/>
  <c r="H2039" i="1"/>
  <c r="I2039" i="1"/>
  <c r="H2040" i="1"/>
  <c r="I2040" i="1"/>
  <c r="H2041" i="1"/>
  <c r="I2041" i="1"/>
  <c r="H2042" i="1"/>
  <c r="I2042" i="1"/>
  <c r="H2043" i="1"/>
  <c r="I2043" i="1"/>
  <c r="H2044" i="1"/>
  <c r="I2044" i="1"/>
  <c r="H2045" i="1"/>
  <c r="I2045" i="1"/>
  <c r="H2046" i="1"/>
  <c r="I2046" i="1"/>
  <c r="H2047" i="1"/>
  <c r="I2047" i="1"/>
  <c r="H2048" i="1"/>
  <c r="I2048" i="1"/>
  <c r="H2049" i="1"/>
  <c r="I2049" i="1"/>
  <c r="H2050" i="1"/>
  <c r="I2050" i="1"/>
  <c r="H2051" i="1"/>
  <c r="I2051" i="1"/>
  <c r="H2052" i="1"/>
  <c r="I2052" i="1"/>
  <c r="H2053" i="1"/>
  <c r="I2053" i="1"/>
  <c r="H2054" i="1"/>
  <c r="I2054" i="1"/>
  <c r="H2055" i="1"/>
  <c r="I2055" i="1"/>
  <c r="H2056" i="1"/>
  <c r="I2056" i="1"/>
  <c r="H2057" i="1"/>
  <c r="I2057" i="1"/>
  <c r="H2058" i="1"/>
  <c r="I2058" i="1"/>
  <c r="H2059" i="1"/>
  <c r="I2059" i="1"/>
  <c r="H2060" i="1"/>
  <c r="I2060" i="1"/>
  <c r="H2061" i="1"/>
  <c r="I2061" i="1"/>
  <c r="H2062" i="1"/>
  <c r="I2062" i="1"/>
  <c r="H2063" i="1"/>
  <c r="I2063" i="1"/>
  <c r="H2064" i="1"/>
  <c r="I2064" i="1"/>
  <c r="H2065" i="1"/>
  <c r="I2065" i="1"/>
  <c r="H2066" i="1"/>
  <c r="I2066" i="1"/>
  <c r="H2067" i="1"/>
  <c r="I2067" i="1"/>
  <c r="H2068" i="1"/>
  <c r="I2068" i="1"/>
  <c r="H2069" i="1"/>
  <c r="I2069" i="1"/>
  <c r="H2070" i="1"/>
  <c r="I2070" i="1"/>
  <c r="H2071" i="1"/>
  <c r="I2071" i="1"/>
  <c r="H2072" i="1"/>
  <c r="I2072" i="1"/>
  <c r="H2073" i="1"/>
  <c r="I2073" i="1"/>
  <c r="H2074" i="1"/>
  <c r="I2074" i="1"/>
  <c r="H2075" i="1"/>
  <c r="I2075" i="1"/>
  <c r="H2076" i="1"/>
  <c r="I2076" i="1"/>
  <c r="H2077" i="1"/>
  <c r="I2077" i="1"/>
  <c r="H2078" i="1"/>
  <c r="I2078" i="1"/>
  <c r="H2079" i="1"/>
  <c r="I2079" i="1"/>
  <c r="H2080" i="1"/>
  <c r="I2080" i="1"/>
  <c r="H2081" i="1"/>
  <c r="I2081" i="1"/>
  <c r="H2082" i="1"/>
  <c r="I2082" i="1"/>
  <c r="H2083" i="1"/>
  <c r="I2083" i="1"/>
  <c r="H2084" i="1"/>
  <c r="I2084" i="1"/>
  <c r="H2085" i="1"/>
  <c r="I2085" i="1"/>
  <c r="H2086" i="1"/>
  <c r="I2086" i="1"/>
  <c r="H2087" i="1"/>
  <c r="I2087" i="1"/>
  <c r="H2088" i="1"/>
  <c r="I2088" i="1"/>
  <c r="H2089" i="1"/>
  <c r="I2089" i="1"/>
  <c r="H2090" i="1"/>
  <c r="I2090" i="1"/>
  <c r="H2091" i="1"/>
  <c r="I2091" i="1"/>
  <c r="H2092" i="1"/>
  <c r="I2092" i="1"/>
  <c r="H2093" i="1"/>
  <c r="I2093" i="1"/>
  <c r="H2094" i="1"/>
  <c r="I2094" i="1"/>
  <c r="H2095" i="1"/>
  <c r="I2095" i="1"/>
  <c r="H2096" i="1"/>
  <c r="I2096" i="1"/>
  <c r="H2097" i="1"/>
  <c r="I2097" i="1"/>
  <c r="H2098" i="1"/>
  <c r="I2098" i="1"/>
  <c r="H2099" i="1"/>
  <c r="I2099" i="1"/>
  <c r="H2100" i="1"/>
  <c r="I2100" i="1"/>
  <c r="H2101" i="1"/>
  <c r="I2101" i="1"/>
  <c r="H2102" i="1"/>
  <c r="I2102" i="1"/>
  <c r="H2103" i="1"/>
  <c r="I2103" i="1"/>
  <c r="H2104" i="1"/>
  <c r="I2104" i="1"/>
  <c r="H2105" i="1"/>
  <c r="I2105" i="1"/>
  <c r="H2106" i="1"/>
  <c r="I2106" i="1"/>
  <c r="H2107" i="1"/>
  <c r="I2107" i="1"/>
  <c r="H2108" i="1"/>
  <c r="I2108" i="1"/>
  <c r="H2109" i="1"/>
  <c r="I2109" i="1"/>
  <c r="H2110" i="1"/>
  <c r="I2110" i="1"/>
  <c r="H2111" i="1"/>
  <c r="I2111" i="1"/>
  <c r="H2112" i="1"/>
  <c r="I2112" i="1"/>
  <c r="H2113" i="1"/>
  <c r="I2113" i="1"/>
  <c r="H2114" i="1"/>
  <c r="I2114" i="1"/>
  <c r="H2115" i="1"/>
  <c r="I2115" i="1"/>
  <c r="H2116" i="1"/>
  <c r="I2116" i="1"/>
  <c r="H2117" i="1"/>
  <c r="I2117" i="1"/>
  <c r="H2118" i="1"/>
  <c r="I2118" i="1"/>
  <c r="H2119" i="1"/>
  <c r="I2119" i="1"/>
  <c r="H2120" i="1"/>
  <c r="I2120" i="1"/>
  <c r="H2121" i="1"/>
  <c r="I2121" i="1"/>
  <c r="H2122" i="1"/>
  <c r="I2122" i="1"/>
  <c r="H2123" i="1"/>
  <c r="I2123" i="1"/>
  <c r="H2124" i="1"/>
  <c r="I2124" i="1"/>
  <c r="H2125" i="1"/>
  <c r="I2125" i="1"/>
  <c r="H2126" i="1"/>
  <c r="I2126" i="1"/>
  <c r="H2127" i="1"/>
  <c r="I2127" i="1"/>
  <c r="H2128" i="1"/>
  <c r="I2128" i="1"/>
  <c r="H2129" i="1"/>
  <c r="I2129" i="1"/>
  <c r="H2130" i="1"/>
  <c r="I2130" i="1"/>
  <c r="H2131" i="1"/>
  <c r="I2131" i="1"/>
  <c r="H2132" i="1"/>
  <c r="I2132" i="1"/>
  <c r="H2133" i="1"/>
  <c r="I2133" i="1"/>
  <c r="H2134" i="1"/>
  <c r="I2134" i="1"/>
  <c r="H2135" i="1"/>
  <c r="I2135" i="1"/>
  <c r="H2136" i="1"/>
  <c r="I2136" i="1"/>
  <c r="H2137" i="1"/>
  <c r="I2137" i="1"/>
  <c r="H2138" i="1"/>
  <c r="I2138" i="1"/>
  <c r="H2139" i="1"/>
  <c r="I2139" i="1"/>
  <c r="H2140" i="1"/>
  <c r="I2140" i="1"/>
  <c r="H2141" i="1"/>
  <c r="I2141" i="1"/>
  <c r="H2142" i="1"/>
  <c r="I2142" i="1"/>
  <c r="H2143" i="1"/>
  <c r="I2143" i="1"/>
  <c r="H2144" i="1"/>
  <c r="I2144" i="1"/>
  <c r="H2145" i="1"/>
  <c r="I2145" i="1"/>
  <c r="H2146" i="1"/>
  <c r="I2146" i="1"/>
  <c r="H2147" i="1"/>
  <c r="I2147" i="1"/>
  <c r="H2148" i="1"/>
  <c r="I2148" i="1"/>
  <c r="H2149" i="1"/>
  <c r="I2149" i="1"/>
  <c r="H2150" i="1"/>
  <c r="I2150" i="1"/>
  <c r="H2151" i="1"/>
  <c r="I2151" i="1"/>
  <c r="H2152" i="1"/>
  <c r="I2152" i="1"/>
  <c r="H2153" i="1"/>
  <c r="I2153" i="1"/>
  <c r="H2154" i="1"/>
  <c r="I2154" i="1"/>
  <c r="H2155" i="1"/>
  <c r="I2155" i="1"/>
  <c r="H2156" i="1"/>
  <c r="I2156" i="1"/>
  <c r="H2157" i="1"/>
  <c r="I2157" i="1"/>
  <c r="H2158" i="1"/>
  <c r="I2158" i="1"/>
  <c r="H2159" i="1"/>
  <c r="I2159" i="1"/>
  <c r="H2160" i="1"/>
  <c r="I2160" i="1"/>
  <c r="H2161" i="1"/>
  <c r="I2161" i="1"/>
  <c r="H2162" i="1"/>
  <c r="I2162" i="1"/>
  <c r="H2163" i="1"/>
  <c r="I2163" i="1"/>
  <c r="H2164" i="1"/>
  <c r="I2164" i="1"/>
  <c r="H2165" i="1"/>
  <c r="I2165" i="1"/>
  <c r="H2166" i="1"/>
  <c r="I2166" i="1"/>
  <c r="H2167" i="1"/>
  <c r="I2167" i="1"/>
  <c r="H2168" i="1"/>
  <c r="I2168" i="1"/>
  <c r="H2169" i="1"/>
  <c r="I2169" i="1"/>
  <c r="H2170" i="1"/>
  <c r="I2170" i="1"/>
  <c r="H2171" i="1"/>
  <c r="I2171" i="1"/>
  <c r="H2172" i="1"/>
  <c r="I2172" i="1"/>
  <c r="H2173" i="1"/>
  <c r="I2173" i="1"/>
  <c r="H2174" i="1"/>
  <c r="I2174" i="1"/>
  <c r="H2175" i="1"/>
  <c r="I2175" i="1"/>
  <c r="H2176" i="1"/>
  <c r="I2176" i="1"/>
  <c r="H2177" i="1"/>
  <c r="I2177" i="1"/>
  <c r="H2178" i="1"/>
  <c r="I2178" i="1"/>
  <c r="H2179" i="1"/>
  <c r="I2179" i="1"/>
  <c r="H2180" i="1"/>
  <c r="I2180" i="1"/>
  <c r="H2181" i="1"/>
  <c r="I2181" i="1"/>
  <c r="H2182" i="1"/>
  <c r="I2182" i="1"/>
  <c r="H2183" i="1"/>
  <c r="I2183" i="1"/>
  <c r="H2184" i="1"/>
  <c r="I2184" i="1"/>
  <c r="H2185" i="1"/>
  <c r="I2185" i="1"/>
  <c r="H2186" i="1"/>
  <c r="I2186" i="1"/>
  <c r="H2187" i="1"/>
  <c r="I2187" i="1"/>
  <c r="H2188" i="1"/>
  <c r="I2188" i="1"/>
  <c r="H2189" i="1"/>
  <c r="I2189" i="1"/>
  <c r="H2190" i="1"/>
  <c r="I2190" i="1"/>
  <c r="H2191" i="1"/>
  <c r="I2191" i="1"/>
  <c r="H2192" i="1"/>
  <c r="I2192" i="1"/>
  <c r="H2193" i="1"/>
  <c r="I2193" i="1"/>
  <c r="H2194" i="1"/>
  <c r="I2194" i="1"/>
  <c r="H2195" i="1"/>
  <c r="I2195" i="1"/>
  <c r="H2196" i="1"/>
  <c r="I2196" i="1"/>
  <c r="H2197" i="1"/>
  <c r="I2197" i="1"/>
  <c r="H2198" i="1"/>
  <c r="I2198" i="1"/>
  <c r="H2199" i="1"/>
  <c r="I2199" i="1"/>
  <c r="H2200" i="1"/>
  <c r="I2200" i="1"/>
  <c r="H2201" i="1"/>
  <c r="I2201" i="1"/>
  <c r="H2202" i="1"/>
  <c r="I2202" i="1"/>
  <c r="H2203" i="1"/>
  <c r="I2203" i="1"/>
  <c r="H2204" i="1"/>
  <c r="I2204" i="1"/>
  <c r="H2205" i="1"/>
  <c r="I2205" i="1"/>
  <c r="H2206" i="1"/>
  <c r="I2206" i="1"/>
  <c r="H2207" i="1"/>
  <c r="I2207" i="1"/>
  <c r="H2208" i="1"/>
  <c r="I2208" i="1"/>
  <c r="H2209" i="1"/>
  <c r="I2209" i="1"/>
  <c r="H2210" i="1"/>
  <c r="I2210" i="1"/>
  <c r="H2211" i="1"/>
  <c r="I2211" i="1"/>
  <c r="H2212" i="1"/>
  <c r="I2212" i="1"/>
  <c r="H2213" i="1"/>
  <c r="I2213" i="1"/>
  <c r="H2214" i="1"/>
  <c r="I2214" i="1"/>
  <c r="H2215" i="1"/>
  <c r="I2215" i="1"/>
  <c r="H2216" i="1"/>
  <c r="I2216" i="1"/>
  <c r="H2217" i="1"/>
  <c r="I2217" i="1"/>
  <c r="H2218" i="1"/>
  <c r="I2218" i="1"/>
  <c r="H2219" i="1"/>
  <c r="I2219" i="1"/>
  <c r="H2220" i="1"/>
  <c r="I2220" i="1"/>
  <c r="H2221" i="1"/>
  <c r="I2221" i="1"/>
  <c r="H2222" i="1"/>
  <c r="I2222" i="1"/>
  <c r="H2223" i="1"/>
  <c r="I2223" i="1"/>
  <c r="H2224" i="1"/>
  <c r="I2224" i="1"/>
  <c r="H2225" i="1"/>
  <c r="I2225" i="1"/>
  <c r="H2226" i="1"/>
  <c r="I2226" i="1"/>
  <c r="H2227" i="1"/>
  <c r="I2227" i="1"/>
  <c r="H2228" i="1"/>
  <c r="I2228" i="1"/>
  <c r="H2229" i="1"/>
  <c r="I2229" i="1"/>
  <c r="H2230" i="1"/>
  <c r="I2230" i="1"/>
  <c r="H2231" i="1"/>
  <c r="I2231" i="1"/>
  <c r="H2232" i="1"/>
  <c r="I2232" i="1"/>
  <c r="H2233" i="1"/>
  <c r="I2233" i="1"/>
  <c r="H2234" i="1"/>
  <c r="I2234" i="1"/>
  <c r="H2235" i="1"/>
  <c r="I2235" i="1"/>
  <c r="H2236" i="1"/>
  <c r="I2236" i="1"/>
  <c r="H2237" i="1"/>
  <c r="I2237" i="1"/>
  <c r="H2238" i="1"/>
  <c r="I2238" i="1"/>
  <c r="H2239" i="1"/>
  <c r="I2239" i="1"/>
  <c r="H2240" i="1"/>
  <c r="I2240" i="1"/>
  <c r="H2241" i="1"/>
  <c r="I2241" i="1"/>
  <c r="H2242" i="1"/>
  <c r="I2242" i="1"/>
  <c r="H2243" i="1"/>
  <c r="I2243" i="1"/>
  <c r="H2244" i="1"/>
  <c r="I2244" i="1"/>
  <c r="H2245" i="1"/>
  <c r="I2245" i="1"/>
  <c r="H2246" i="1"/>
  <c r="I2246" i="1"/>
  <c r="H2247" i="1"/>
  <c r="I2247" i="1"/>
  <c r="H2248" i="1"/>
  <c r="I2248" i="1"/>
  <c r="H2249" i="1"/>
  <c r="I2249" i="1"/>
  <c r="H2250" i="1"/>
  <c r="I2250" i="1"/>
  <c r="H2251" i="1"/>
  <c r="I2251" i="1"/>
  <c r="H2252" i="1"/>
  <c r="I2252" i="1"/>
  <c r="H2253" i="1"/>
  <c r="I2253" i="1"/>
  <c r="H2254" i="1"/>
  <c r="I2254" i="1"/>
  <c r="H2255" i="1"/>
  <c r="I2255" i="1"/>
  <c r="H2256" i="1"/>
  <c r="I2256" i="1"/>
  <c r="H2257" i="1"/>
  <c r="I2257" i="1"/>
  <c r="H2258" i="1"/>
  <c r="I2258" i="1"/>
  <c r="H2259" i="1"/>
  <c r="I2259" i="1"/>
  <c r="H2260" i="1"/>
  <c r="I2260" i="1"/>
  <c r="H2261" i="1"/>
  <c r="I2261" i="1"/>
  <c r="H2262" i="1"/>
  <c r="I2262" i="1"/>
  <c r="H2263" i="1"/>
  <c r="I2263" i="1"/>
  <c r="H2264" i="1"/>
  <c r="I2264" i="1"/>
  <c r="H2265" i="1"/>
  <c r="I2265" i="1"/>
  <c r="H2266" i="1"/>
  <c r="I2266" i="1"/>
  <c r="H2267" i="1"/>
  <c r="I2267" i="1"/>
  <c r="H2268" i="1"/>
  <c r="I2268" i="1"/>
  <c r="H2269" i="1"/>
  <c r="I2269" i="1"/>
  <c r="H2270" i="1"/>
  <c r="I2270" i="1"/>
  <c r="H2271" i="1"/>
  <c r="I2271" i="1"/>
  <c r="H2272" i="1"/>
  <c r="I2272" i="1"/>
  <c r="H2273" i="1"/>
  <c r="I2273" i="1"/>
  <c r="H2274" i="1"/>
  <c r="I2274" i="1"/>
  <c r="H2275" i="1"/>
  <c r="I2275" i="1"/>
  <c r="H2276" i="1"/>
  <c r="I2276" i="1"/>
  <c r="H2277" i="1"/>
  <c r="I2277" i="1"/>
  <c r="H2278" i="1"/>
  <c r="I2278" i="1"/>
  <c r="H2279" i="1"/>
  <c r="I2279" i="1"/>
  <c r="H2280" i="1"/>
  <c r="I2280" i="1"/>
  <c r="H2281" i="1"/>
  <c r="I2281" i="1"/>
  <c r="H2282" i="1"/>
  <c r="I2282" i="1"/>
  <c r="H2283" i="1"/>
  <c r="I2283" i="1"/>
  <c r="H2284" i="1"/>
  <c r="I2284" i="1"/>
  <c r="H2285" i="1"/>
  <c r="I2285" i="1"/>
  <c r="H2286" i="1"/>
  <c r="I2286" i="1"/>
  <c r="H2287" i="1"/>
  <c r="I2287" i="1"/>
  <c r="H2288" i="1"/>
  <c r="I2288" i="1"/>
  <c r="H2289" i="1"/>
  <c r="I2289" i="1"/>
  <c r="H2290" i="1"/>
  <c r="I2290" i="1"/>
  <c r="H2291" i="1"/>
  <c r="I2291" i="1"/>
  <c r="H2292" i="1"/>
  <c r="I2292" i="1"/>
  <c r="H2293" i="1"/>
  <c r="I2293" i="1"/>
  <c r="H2294" i="1"/>
  <c r="I2294" i="1"/>
  <c r="H2295" i="1"/>
  <c r="I2295" i="1"/>
  <c r="H2296" i="1"/>
  <c r="I2296" i="1"/>
  <c r="H2297" i="1"/>
  <c r="I2297" i="1"/>
  <c r="H2298" i="1"/>
  <c r="I2298" i="1"/>
  <c r="H2299" i="1"/>
  <c r="I2299" i="1"/>
  <c r="H2300" i="1"/>
  <c r="I2300" i="1"/>
  <c r="H2301" i="1"/>
  <c r="I2301" i="1"/>
  <c r="H2302" i="1"/>
  <c r="I2302" i="1"/>
  <c r="H2303" i="1"/>
  <c r="I2303" i="1"/>
  <c r="H2304" i="1"/>
  <c r="I2304" i="1"/>
  <c r="H2305" i="1"/>
  <c r="I2305" i="1"/>
  <c r="H2306" i="1"/>
  <c r="I2306" i="1"/>
  <c r="H2307" i="1"/>
  <c r="I2307" i="1"/>
  <c r="H2308" i="1"/>
  <c r="I2308" i="1"/>
  <c r="H2309" i="1"/>
  <c r="I2309" i="1"/>
  <c r="H2310" i="1"/>
  <c r="I2310" i="1"/>
  <c r="H2311" i="1"/>
  <c r="I2311" i="1"/>
  <c r="H2312" i="1"/>
  <c r="I2312" i="1"/>
  <c r="H2313" i="1"/>
  <c r="I2313" i="1"/>
  <c r="H2314" i="1"/>
  <c r="I2314" i="1"/>
  <c r="H2315" i="1"/>
  <c r="I2315" i="1"/>
  <c r="H2316" i="1"/>
  <c r="I2316" i="1"/>
  <c r="H2317" i="1"/>
  <c r="I2317" i="1"/>
  <c r="H2318" i="1"/>
  <c r="I2318" i="1"/>
  <c r="H2319" i="1"/>
  <c r="I2319" i="1"/>
  <c r="H2320" i="1"/>
  <c r="I2320" i="1"/>
  <c r="H2321" i="1"/>
  <c r="I2321" i="1"/>
  <c r="H2322" i="1"/>
  <c r="I2322" i="1"/>
  <c r="H2323" i="1"/>
  <c r="I2323" i="1"/>
  <c r="H2324" i="1"/>
  <c r="I2324" i="1"/>
  <c r="H2325" i="1"/>
  <c r="I2325" i="1"/>
  <c r="H2326" i="1"/>
  <c r="I2326" i="1"/>
  <c r="H2327" i="1"/>
  <c r="I2327" i="1"/>
  <c r="H2328" i="1"/>
  <c r="I2328" i="1"/>
  <c r="H2329" i="1"/>
  <c r="I2329" i="1"/>
  <c r="H2330" i="1"/>
  <c r="I2330" i="1"/>
  <c r="H2331" i="1"/>
  <c r="I2331" i="1"/>
  <c r="H2332" i="1"/>
  <c r="I2332" i="1"/>
  <c r="H2333" i="1"/>
  <c r="I2333" i="1"/>
  <c r="H2334" i="1"/>
  <c r="I2334" i="1"/>
  <c r="H2335" i="1"/>
  <c r="I2335" i="1"/>
  <c r="H2336" i="1"/>
  <c r="I2336" i="1"/>
  <c r="H2337" i="1"/>
  <c r="I2337" i="1"/>
  <c r="H2338" i="1"/>
  <c r="I2338" i="1"/>
  <c r="H2339" i="1"/>
  <c r="I2339" i="1"/>
  <c r="H2340" i="1"/>
  <c r="I2340" i="1"/>
  <c r="H2341" i="1"/>
  <c r="I2341" i="1"/>
  <c r="H2342" i="1"/>
  <c r="I2342" i="1"/>
  <c r="H2343" i="1"/>
  <c r="I2343" i="1"/>
  <c r="H2344" i="1"/>
  <c r="I2344" i="1"/>
  <c r="H2345" i="1"/>
  <c r="I2345" i="1"/>
  <c r="H2346" i="1"/>
  <c r="I2346" i="1"/>
  <c r="H2347" i="1"/>
  <c r="I2347" i="1"/>
  <c r="H2348" i="1"/>
  <c r="I2348" i="1"/>
  <c r="H2349" i="1"/>
  <c r="I2349" i="1"/>
  <c r="H2350" i="1"/>
  <c r="I2350" i="1"/>
  <c r="H2351" i="1"/>
  <c r="I2351" i="1"/>
  <c r="H2352" i="1"/>
  <c r="I2352" i="1"/>
  <c r="H2353" i="1"/>
  <c r="I2353" i="1"/>
  <c r="H2354" i="1"/>
  <c r="I2354" i="1"/>
  <c r="H2355" i="1"/>
  <c r="I2355" i="1"/>
  <c r="H2356" i="1"/>
  <c r="I2356" i="1"/>
  <c r="H2357" i="1"/>
  <c r="I2357" i="1"/>
  <c r="H2358" i="1"/>
  <c r="I2358" i="1"/>
  <c r="H2359" i="1"/>
  <c r="I2359" i="1"/>
  <c r="H2360" i="1"/>
  <c r="I2360" i="1"/>
  <c r="H2361" i="1"/>
  <c r="I2361" i="1"/>
  <c r="H2362" i="1"/>
  <c r="I2362" i="1"/>
  <c r="H2363" i="1"/>
  <c r="I2363" i="1"/>
  <c r="H2364" i="1"/>
  <c r="I2364" i="1"/>
  <c r="H2365" i="1"/>
  <c r="I2365" i="1"/>
  <c r="H2366" i="1"/>
  <c r="I2366" i="1"/>
  <c r="H2367" i="1"/>
  <c r="I2367" i="1"/>
  <c r="H2368" i="1"/>
  <c r="I2368" i="1"/>
  <c r="H2369" i="1"/>
  <c r="I2369" i="1"/>
  <c r="H2370" i="1"/>
  <c r="I2370" i="1"/>
  <c r="H2371" i="1"/>
  <c r="I2371" i="1"/>
  <c r="H2372" i="1"/>
  <c r="I2372" i="1"/>
  <c r="H2373" i="1"/>
  <c r="I2373" i="1"/>
  <c r="H2374" i="1"/>
  <c r="I2374" i="1"/>
  <c r="H2375" i="1"/>
  <c r="I2375" i="1"/>
  <c r="H2376" i="1"/>
  <c r="I2376" i="1"/>
  <c r="H2377" i="1"/>
  <c r="I2377" i="1"/>
  <c r="H2378" i="1"/>
  <c r="I2378" i="1"/>
  <c r="H2379" i="1"/>
  <c r="I2379" i="1"/>
  <c r="H2380" i="1"/>
  <c r="I2380" i="1"/>
  <c r="H2381" i="1"/>
  <c r="I2381" i="1"/>
  <c r="H2382" i="1"/>
  <c r="I2382" i="1"/>
  <c r="H2383" i="1"/>
  <c r="I2383" i="1"/>
  <c r="H2384" i="1"/>
  <c r="I2384" i="1"/>
  <c r="H2385" i="1"/>
  <c r="I2385" i="1"/>
  <c r="H2386" i="1"/>
  <c r="I2386" i="1"/>
  <c r="H2387" i="1"/>
  <c r="I2387" i="1"/>
  <c r="H2388" i="1"/>
  <c r="I2388" i="1"/>
  <c r="H2389" i="1"/>
  <c r="I2389" i="1"/>
  <c r="H2390" i="1"/>
  <c r="I2390" i="1"/>
  <c r="H2391" i="1"/>
  <c r="I2391" i="1"/>
  <c r="H2392" i="1"/>
  <c r="I2392" i="1"/>
  <c r="H2393" i="1"/>
  <c r="I2393" i="1"/>
  <c r="H2394" i="1"/>
  <c r="I2394" i="1"/>
  <c r="H2395" i="1"/>
  <c r="I2395" i="1"/>
  <c r="H2396" i="1"/>
  <c r="I2396" i="1"/>
  <c r="H2397" i="1"/>
  <c r="I2397" i="1"/>
  <c r="H2398" i="1"/>
  <c r="I2398" i="1"/>
  <c r="H2399" i="1"/>
  <c r="I2399" i="1"/>
  <c r="H2400" i="1"/>
  <c r="I2400" i="1"/>
  <c r="H2401" i="1"/>
  <c r="I2401" i="1"/>
  <c r="H2402" i="1"/>
  <c r="I2402" i="1"/>
  <c r="H2403" i="1"/>
  <c r="I2403" i="1"/>
  <c r="H2404" i="1"/>
  <c r="I2404" i="1"/>
  <c r="H2405" i="1"/>
  <c r="I2405" i="1"/>
  <c r="H2406" i="1"/>
  <c r="I2406" i="1"/>
  <c r="H2407" i="1"/>
  <c r="I2407" i="1"/>
  <c r="H2408" i="1"/>
  <c r="I2408" i="1"/>
  <c r="H2409" i="1"/>
  <c r="I2409" i="1"/>
  <c r="H2410" i="1"/>
  <c r="I2410" i="1"/>
  <c r="H2411" i="1"/>
  <c r="I2411" i="1"/>
  <c r="H2412" i="1"/>
  <c r="I2412" i="1"/>
  <c r="H2413" i="1"/>
  <c r="I2413" i="1"/>
  <c r="H2414" i="1"/>
  <c r="I2414" i="1"/>
  <c r="H2415" i="1"/>
  <c r="I2415" i="1"/>
  <c r="H2416" i="1"/>
  <c r="I2416" i="1"/>
  <c r="H2417" i="1"/>
  <c r="I2417" i="1"/>
  <c r="H2418" i="1"/>
  <c r="I2418" i="1"/>
  <c r="H2419" i="1"/>
  <c r="I2419" i="1"/>
  <c r="H2420" i="1"/>
  <c r="I2420" i="1"/>
  <c r="H2421" i="1"/>
  <c r="I2421" i="1"/>
  <c r="H2422" i="1"/>
  <c r="I2422" i="1"/>
  <c r="H2423" i="1"/>
  <c r="I2423" i="1"/>
  <c r="H2424" i="1"/>
  <c r="I2424" i="1"/>
  <c r="H2425" i="1"/>
  <c r="I2425" i="1"/>
  <c r="H2426" i="1"/>
  <c r="I2426" i="1"/>
  <c r="H2427" i="1"/>
  <c r="I2427" i="1"/>
  <c r="H2428" i="1"/>
  <c r="I2428" i="1"/>
  <c r="H2429" i="1"/>
  <c r="I2429" i="1"/>
  <c r="H2430" i="1"/>
  <c r="I2430" i="1"/>
  <c r="H2431" i="1"/>
  <c r="I2431" i="1"/>
  <c r="H2432" i="1"/>
  <c r="I2432" i="1"/>
  <c r="H2433" i="1"/>
  <c r="I2433" i="1"/>
  <c r="H2434" i="1"/>
  <c r="I2434" i="1"/>
  <c r="H2435" i="1"/>
  <c r="I2435" i="1"/>
  <c r="H2436" i="1"/>
  <c r="I2436" i="1"/>
  <c r="H2437" i="1"/>
  <c r="I2437" i="1"/>
  <c r="H2438" i="1"/>
  <c r="I2438" i="1"/>
  <c r="H2439" i="1"/>
  <c r="I2439" i="1"/>
  <c r="H2440" i="1"/>
  <c r="I2440" i="1"/>
  <c r="H2441" i="1"/>
  <c r="I2441" i="1"/>
  <c r="H2442" i="1"/>
  <c r="I2442" i="1"/>
  <c r="H2443" i="1"/>
  <c r="I2443" i="1"/>
  <c r="H2444" i="1"/>
  <c r="I2444" i="1"/>
  <c r="H2445" i="1"/>
  <c r="I2445" i="1"/>
  <c r="H2446" i="1"/>
  <c r="I2446" i="1"/>
  <c r="H2447" i="1"/>
  <c r="I2447" i="1"/>
  <c r="H2448" i="1"/>
  <c r="I2448" i="1"/>
  <c r="H2449" i="1"/>
  <c r="I2449" i="1"/>
  <c r="H2450" i="1"/>
  <c r="I2450" i="1"/>
  <c r="H2451" i="1"/>
  <c r="I2451" i="1"/>
  <c r="H2452" i="1"/>
  <c r="I2452" i="1"/>
  <c r="H2453" i="1"/>
  <c r="I2453" i="1"/>
  <c r="H2454" i="1"/>
  <c r="I2454" i="1"/>
  <c r="H2455" i="1"/>
  <c r="I2455" i="1"/>
  <c r="H2456" i="1"/>
  <c r="I2456" i="1"/>
  <c r="H2457" i="1"/>
  <c r="I2457" i="1"/>
  <c r="H2458" i="1"/>
  <c r="I2458" i="1"/>
  <c r="H2459" i="1"/>
  <c r="I2459" i="1"/>
  <c r="H2460" i="1"/>
  <c r="I2460" i="1"/>
  <c r="H2461" i="1"/>
  <c r="I2461" i="1"/>
  <c r="H2462" i="1"/>
  <c r="I2462" i="1"/>
  <c r="H2463" i="1"/>
  <c r="I2463" i="1"/>
  <c r="H2464" i="1"/>
  <c r="I2464" i="1"/>
  <c r="H2465" i="1"/>
  <c r="I2465" i="1"/>
  <c r="H2466" i="1"/>
  <c r="I2466" i="1"/>
  <c r="H2467" i="1"/>
  <c r="I2467" i="1"/>
  <c r="H2468" i="1"/>
  <c r="I2468" i="1"/>
  <c r="H2469" i="1"/>
  <c r="I2469" i="1"/>
  <c r="H2470" i="1"/>
  <c r="I2470" i="1"/>
  <c r="H2471" i="1"/>
  <c r="I2471" i="1"/>
  <c r="H2472" i="1"/>
  <c r="I2472" i="1"/>
  <c r="H2473" i="1"/>
  <c r="I2473" i="1"/>
  <c r="H2474" i="1"/>
  <c r="I2474" i="1"/>
  <c r="H2475" i="1"/>
  <c r="I2475" i="1"/>
  <c r="H2476" i="1"/>
  <c r="I2476" i="1"/>
  <c r="H2477" i="1"/>
  <c r="I2477" i="1"/>
  <c r="H2478" i="1"/>
  <c r="I2478" i="1"/>
  <c r="H2479" i="1"/>
  <c r="I2479" i="1"/>
  <c r="H2480" i="1"/>
  <c r="I2480" i="1"/>
  <c r="H2481" i="1"/>
  <c r="I2481" i="1"/>
  <c r="H2482" i="1"/>
  <c r="I2482" i="1"/>
  <c r="H2483" i="1"/>
  <c r="I2483" i="1"/>
  <c r="H2484" i="1"/>
  <c r="I2484" i="1"/>
  <c r="H2485" i="1"/>
  <c r="I2485" i="1"/>
  <c r="H2486" i="1"/>
  <c r="I2486" i="1"/>
  <c r="H2487" i="1"/>
  <c r="I2487" i="1"/>
  <c r="H2488" i="1"/>
  <c r="I2488" i="1"/>
  <c r="H2489" i="1"/>
  <c r="I2489" i="1"/>
  <c r="H2490" i="1"/>
  <c r="I2490" i="1"/>
  <c r="H2491" i="1"/>
  <c r="I2491" i="1"/>
  <c r="H2492" i="1"/>
  <c r="I2492" i="1"/>
  <c r="H2493" i="1"/>
  <c r="I2493" i="1"/>
  <c r="H2494" i="1"/>
  <c r="I2494" i="1"/>
  <c r="H2495" i="1"/>
  <c r="I2495" i="1"/>
  <c r="H2496" i="1"/>
  <c r="I2496" i="1"/>
  <c r="H2497" i="1"/>
  <c r="I2497" i="1"/>
  <c r="H2498" i="1"/>
  <c r="I2498" i="1"/>
  <c r="H2499" i="1"/>
  <c r="I2499" i="1"/>
  <c r="H2500" i="1"/>
  <c r="I2500" i="1"/>
  <c r="H2501" i="1"/>
  <c r="I2501" i="1"/>
  <c r="H2502" i="1"/>
  <c r="I2502" i="1"/>
  <c r="H2503" i="1"/>
  <c r="I2503" i="1"/>
  <c r="H2504" i="1"/>
  <c r="I2504" i="1"/>
  <c r="H2505" i="1"/>
  <c r="I2505" i="1"/>
  <c r="H2506" i="1"/>
  <c r="I2506" i="1"/>
  <c r="H2507" i="1"/>
  <c r="I2507" i="1"/>
  <c r="H2508" i="1"/>
  <c r="I2508" i="1"/>
  <c r="H2509" i="1"/>
  <c r="I2509" i="1"/>
  <c r="H2510" i="1"/>
  <c r="I2510" i="1"/>
  <c r="H2511" i="1"/>
  <c r="I2511" i="1"/>
  <c r="H2512" i="1"/>
  <c r="I2512" i="1"/>
  <c r="H2513" i="1"/>
  <c r="I2513" i="1"/>
  <c r="H2514" i="1"/>
  <c r="I2514" i="1"/>
  <c r="H2515" i="1"/>
  <c r="I2515" i="1"/>
  <c r="H2516" i="1"/>
  <c r="I2516" i="1"/>
  <c r="H2517" i="1"/>
  <c r="I2517" i="1"/>
  <c r="H2518" i="1"/>
  <c r="I2518" i="1"/>
  <c r="H2519" i="1"/>
  <c r="I2519" i="1"/>
  <c r="H2520" i="1"/>
  <c r="I2520" i="1"/>
  <c r="H2521" i="1"/>
  <c r="I2521" i="1"/>
  <c r="H2522" i="1"/>
  <c r="I2522" i="1"/>
  <c r="H2523" i="1"/>
  <c r="I2523" i="1"/>
  <c r="H2524" i="1"/>
  <c r="I2524" i="1"/>
  <c r="H2525" i="1"/>
  <c r="I2525" i="1"/>
  <c r="H2526" i="1"/>
  <c r="I2526" i="1"/>
  <c r="H2527" i="1"/>
  <c r="I2527" i="1"/>
  <c r="H2528" i="1"/>
  <c r="I2528" i="1"/>
  <c r="H2529" i="1"/>
  <c r="I2529" i="1"/>
  <c r="H2530" i="1"/>
  <c r="I2530" i="1"/>
  <c r="H2531" i="1"/>
  <c r="I2531" i="1"/>
  <c r="H2532" i="1"/>
  <c r="I2532" i="1"/>
  <c r="H2533" i="1"/>
  <c r="I2533" i="1"/>
  <c r="H2534" i="1"/>
  <c r="I2534" i="1"/>
  <c r="H2535" i="1"/>
  <c r="I2535" i="1"/>
  <c r="H2536" i="1"/>
  <c r="I2536" i="1"/>
  <c r="H2537" i="1"/>
  <c r="I2537" i="1"/>
  <c r="H2538" i="1"/>
  <c r="I2538" i="1"/>
  <c r="H2539" i="1"/>
  <c r="I2539" i="1"/>
  <c r="H2540" i="1"/>
  <c r="I2540" i="1"/>
  <c r="H2541" i="1"/>
  <c r="I2541" i="1"/>
  <c r="H2542" i="1"/>
  <c r="I2542" i="1"/>
  <c r="H2543" i="1"/>
  <c r="I2543" i="1"/>
  <c r="H2544" i="1"/>
  <c r="I2544" i="1"/>
  <c r="H2545" i="1"/>
  <c r="I2545" i="1"/>
  <c r="H2546" i="1"/>
  <c r="I2546" i="1"/>
  <c r="H2547" i="1"/>
  <c r="I2547" i="1"/>
  <c r="H2548" i="1"/>
  <c r="I2548" i="1"/>
  <c r="H2549" i="1"/>
  <c r="I2549" i="1"/>
  <c r="H2550" i="1"/>
  <c r="I2550" i="1"/>
  <c r="H2551" i="1"/>
  <c r="I2551" i="1"/>
  <c r="H2552" i="1"/>
  <c r="I2552" i="1"/>
  <c r="H2553" i="1"/>
  <c r="I2553" i="1"/>
  <c r="H2554" i="1"/>
  <c r="I2554" i="1"/>
  <c r="H2555" i="1"/>
  <c r="I2555" i="1"/>
  <c r="H2556" i="1"/>
  <c r="I2556" i="1"/>
  <c r="H2557" i="1"/>
  <c r="I2557" i="1"/>
  <c r="H2558" i="1"/>
  <c r="I2558" i="1"/>
  <c r="H2559" i="1"/>
  <c r="I2559" i="1"/>
  <c r="H2560" i="1"/>
  <c r="I2560" i="1"/>
  <c r="H2561" i="1"/>
  <c r="I2561" i="1"/>
  <c r="H2562" i="1"/>
  <c r="I2562" i="1"/>
  <c r="H2563" i="1"/>
  <c r="I2563" i="1"/>
  <c r="H2564" i="1"/>
  <c r="I2564" i="1"/>
  <c r="H2565" i="1"/>
  <c r="I2565" i="1"/>
  <c r="H2566" i="1"/>
  <c r="I2566" i="1"/>
  <c r="H2567" i="1"/>
  <c r="I2567" i="1"/>
  <c r="H2568" i="1"/>
  <c r="I2568" i="1"/>
  <c r="H2569" i="1"/>
  <c r="I2569" i="1"/>
  <c r="H2570" i="1"/>
  <c r="I2570" i="1"/>
  <c r="H2571" i="1"/>
  <c r="I2571" i="1"/>
  <c r="H2572" i="1"/>
  <c r="I2572" i="1"/>
  <c r="H2573" i="1"/>
  <c r="I2573" i="1"/>
  <c r="H2574" i="1"/>
  <c r="I2574" i="1"/>
  <c r="H2575" i="1"/>
  <c r="I2575" i="1"/>
  <c r="H2576" i="1"/>
  <c r="I2576" i="1"/>
  <c r="H2577" i="1"/>
  <c r="I2577" i="1"/>
  <c r="H2578" i="1"/>
  <c r="I2578" i="1"/>
  <c r="H2579" i="1"/>
  <c r="I2579" i="1"/>
  <c r="H2580" i="1"/>
  <c r="I2580" i="1"/>
  <c r="H2581" i="1"/>
  <c r="I2581" i="1"/>
  <c r="H2582" i="1"/>
  <c r="I2582" i="1"/>
  <c r="H2583" i="1"/>
  <c r="I2583" i="1"/>
  <c r="H2584" i="1"/>
  <c r="I2584" i="1"/>
  <c r="H2585" i="1"/>
  <c r="I2585" i="1"/>
  <c r="H2586" i="1"/>
  <c r="I2586" i="1"/>
  <c r="H2587" i="1"/>
  <c r="I2587" i="1"/>
  <c r="H2588" i="1"/>
  <c r="I2588" i="1"/>
  <c r="H2589" i="1"/>
  <c r="I2589" i="1"/>
  <c r="H2590" i="1"/>
  <c r="I2590" i="1"/>
  <c r="H2591" i="1"/>
  <c r="I2591" i="1"/>
  <c r="H2592" i="1"/>
  <c r="I2592" i="1"/>
  <c r="H2593" i="1"/>
  <c r="I2593" i="1"/>
  <c r="H2594" i="1"/>
  <c r="I2594" i="1"/>
  <c r="H2595" i="1"/>
  <c r="I2595" i="1"/>
  <c r="H2596" i="1"/>
  <c r="I2596" i="1"/>
  <c r="H2597" i="1"/>
  <c r="I2597" i="1"/>
  <c r="H2598" i="1"/>
  <c r="I2598" i="1"/>
  <c r="H2599" i="1"/>
  <c r="I2599" i="1"/>
  <c r="H2600" i="1"/>
  <c r="I2600" i="1"/>
  <c r="H2601" i="1"/>
  <c r="I2601" i="1"/>
  <c r="H2602" i="1"/>
  <c r="I2602" i="1"/>
  <c r="H2603" i="1"/>
  <c r="I2603" i="1"/>
  <c r="H2604" i="1"/>
  <c r="I2604" i="1"/>
  <c r="H2605" i="1"/>
  <c r="I2605" i="1"/>
  <c r="H2606" i="1"/>
  <c r="I2606" i="1"/>
  <c r="H2607" i="1"/>
  <c r="I2607" i="1"/>
  <c r="H2608" i="1"/>
  <c r="I2608" i="1"/>
  <c r="H2609" i="1"/>
  <c r="I2609" i="1"/>
  <c r="H2610" i="1"/>
  <c r="I2610" i="1"/>
  <c r="H2611" i="1"/>
  <c r="I2611" i="1"/>
  <c r="H2612" i="1"/>
  <c r="I2612" i="1"/>
  <c r="H2613" i="1"/>
  <c r="I2613" i="1"/>
  <c r="H2614" i="1"/>
  <c r="I2614" i="1"/>
  <c r="H2615" i="1"/>
  <c r="I2615" i="1"/>
  <c r="H2616" i="1"/>
  <c r="I2616" i="1"/>
  <c r="H2617" i="1"/>
  <c r="I2617" i="1"/>
  <c r="H2618" i="1"/>
  <c r="I2618" i="1"/>
  <c r="H2619" i="1"/>
  <c r="I2619" i="1"/>
  <c r="H2620" i="1"/>
  <c r="I2620" i="1"/>
  <c r="H2621" i="1"/>
  <c r="I2621" i="1"/>
  <c r="H2622" i="1"/>
  <c r="I2622" i="1"/>
  <c r="H2623" i="1"/>
  <c r="I2623" i="1"/>
  <c r="H2624" i="1"/>
  <c r="I2624" i="1"/>
  <c r="H2625" i="1"/>
  <c r="I2625" i="1"/>
  <c r="H2626" i="1"/>
  <c r="I2626" i="1"/>
  <c r="H2627" i="1"/>
  <c r="I2627" i="1"/>
  <c r="H2628" i="1"/>
  <c r="I2628" i="1"/>
  <c r="H2629" i="1"/>
  <c r="I2629" i="1"/>
  <c r="H2630" i="1"/>
  <c r="I2630" i="1"/>
  <c r="H2631" i="1"/>
  <c r="I2631" i="1"/>
  <c r="H2632" i="1"/>
  <c r="I2632" i="1"/>
  <c r="H2633" i="1"/>
  <c r="I2633" i="1"/>
  <c r="H2634" i="1"/>
  <c r="I2634" i="1"/>
  <c r="H2635" i="1"/>
  <c r="I2635" i="1"/>
  <c r="H2636" i="1"/>
  <c r="I2636" i="1"/>
  <c r="H2637" i="1"/>
  <c r="I2637" i="1"/>
  <c r="H2638" i="1"/>
  <c r="I2638" i="1"/>
  <c r="H2639" i="1"/>
  <c r="I2639" i="1"/>
  <c r="H2640" i="1"/>
  <c r="I2640" i="1"/>
  <c r="H2641" i="1"/>
  <c r="I2641" i="1"/>
  <c r="H2642" i="1"/>
  <c r="I2642" i="1"/>
  <c r="H2643" i="1"/>
  <c r="I2643" i="1"/>
  <c r="H2644" i="1"/>
  <c r="I2644" i="1"/>
  <c r="H2645" i="1"/>
  <c r="I2645" i="1"/>
  <c r="H2646" i="1"/>
  <c r="I2646" i="1"/>
  <c r="H2647" i="1"/>
  <c r="I2647" i="1"/>
  <c r="H2648" i="1"/>
  <c r="I2648" i="1"/>
  <c r="H2649" i="1"/>
  <c r="I2649" i="1"/>
  <c r="H2650" i="1"/>
  <c r="I2650" i="1"/>
  <c r="H2651" i="1"/>
  <c r="I2651" i="1"/>
  <c r="H2652" i="1"/>
  <c r="I2652" i="1"/>
  <c r="H2653" i="1"/>
  <c r="I2653" i="1"/>
  <c r="H2654" i="1"/>
  <c r="I2654" i="1"/>
  <c r="H2655" i="1"/>
  <c r="I2655" i="1"/>
  <c r="H2656" i="1"/>
  <c r="I2656" i="1"/>
  <c r="H2657" i="1"/>
  <c r="I2657" i="1"/>
  <c r="H2658" i="1"/>
  <c r="I2658" i="1"/>
  <c r="H2659" i="1"/>
  <c r="I2659" i="1"/>
  <c r="H2660" i="1"/>
  <c r="I2660" i="1"/>
  <c r="H2661" i="1"/>
  <c r="I2661" i="1"/>
  <c r="H2662" i="1"/>
  <c r="I2662" i="1"/>
  <c r="H2663" i="1"/>
  <c r="I2663" i="1"/>
  <c r="H2664" i="1"/>
  <c r="I2664" i="1"/>
  <c r="H2665" i="1"/>
  <c r="I2665" i="1"/>
  <c r="H2666" i="1"/>
  <c r="I2666" i="1"/>
  <c r="H2667" i="1"/>
  <c r="I2667" i="1"/>
  <c r="H2668" i="1"/>
  <c r="I2668" i="1"/>
  <c r="H2669" i="1"/>
  <c r="I2669" i="1"/>
  <c r="H2670" i="1"/>
  <c r="I2670" i="1"/>
  <c r="H2671" i="1"/>
  <c r="I2671" i="1"/>
  <c r="H2672" i="1"/>
  <c r="I2672" i="1"/>
  <c r="H2673" i="1"/>
  <c r="I2673" i="1"/>
  <c r="H2674" i="1"/>
  <c r="I2674" i="1"/>
  <c r="H2675" i="1"/>
  <c r="I2675" i="1"/>
  <c r="H2676" i="1"/>
  <c r="I2676" i="1"/>
  <c r="H2677" i="1"/>
  <c r="I2677" i="1"/>
  <c r="H2678" i="1"/>
  <c r="I2678" i="1"/>
  <c r="H2679" i="1"/>
  <c r="I2679" i="1"/>
  <c r="H2680" i="1"/>
  <c r="I2680" i="1"/>
  <c r="H2681" i="1"/>
  <c r="I2681" i="1"/>
  <c r="H2682" i="1"/>
  <c r="I2682" i="1"/>
  <c r="H2683" i="1"/>
  <c r="I2683" i="1"/>
  <c r="H2684" i="1"/>
  <c r="I2684" i="1"/>
  <c r="H2685" i="1"/>
  <c r="I2685" i="1"/>
  <c r="H2686" i="1"/>
  <c r="I2686" i="1"/>
  <c r="H2687" i="1"/>
  <c r="I2687" i="1"/>
  <c r="H2688" i="1"/>
  <c r="I2688" i="1"/>
  <c r="H2689" i="1"/>
  <c r="I2689" i="1"/>
  <c r="H2690" i="1"/>
  <c r="I2690" i="1"/>
  <c r="H2691" i="1"/>
  <c r="I2691" i="1"/>
  <c r="H2692" i="1"/>
  <c r="I2692" i="1"/>
  <c r="H2693" i="1"/>
  <c r="I2693" i="1"/>
  <c r="H2694" i="1"/>
  <c r="I2694" i="1"/>
  <c r="H2695" i="1"/>
  <c r="I2695" i="1"/>
  <c r="H2696" i="1"/>
  <c r="I2696" i="1"/>
  <c r="H2697" i="1"/>
  <c r="I2697" i="1"/>
  <c r="H2698" i="1"/>
  <c r="I2698" i="1"/>
  <c r="H2699" i="1"/>
  <c r="I2699" i="1"/>
  <c r="H2700" i="1"/>
  <c r="I2700" i="1"/>
  <c r="H2701" i="1"/>
  <c r="I2701" i="1"/>
  <c r="H2702" i="1"/>
  <c r="I2702" i="1"/>
  <c r="H2703" i="1"/>
  <c r="I2703" i="1"/>
  <c r="H2704" i="1"/>
  <c r="I2704" i="1"/>
  <c r="H2705" i="1"/>
  <c r="I2705" i="1"/>
  <c r="H2706" i="1"/>
  <c r="I2706" i="1"/>
  <c r="H2707" i="1"/>
  <c r="I2707" i="1"/>
  <c r="H2708" i="1"/>
  <c r="I2708" i="1"/>
  <c r="H2709" i="1"/>
  <c r="I2709" i="1"/>
  <c r="H2710" i="1"/>
  <c r="I2710" i="1"/>
  <c r="H2711" i="1"/>
  <c r="I2711" i="1"/>
  <c r="H2712" i="1"/>
  <c r="I2712" i="1"/>
  <c r="H2713" i="1"/>
  <c r="I2713" i="1"/>
  <c r="H2714" i="1"/>
  <c r="I2714" i="1"/>
  <c r="H2715" i="1"/>
  <c r="I2715" i="1"/>
  <c r="H2716" i="1"/>
  <c r="I2716" i="1"/>
  <c r="H2717" i="1"/>
  <c r="I2717" i="1"/>
  <c r="H2718" i="1"/>
  <c r="I2718" i="1"/>
  <c r="H2719" i="1"/>
  <c r="I2719" i="1"/>
  <c r="H2720" i="1"/>
  <c r="I2720" i="1"/>
  <c r="H2721" i="1"/>
  <c r="I2721" i="1"/>
  <c r="H2722" i="1"/>
  <c r="I2722" i="1"/>
  <c r="H2723" i="1"/>
  <c r="I2723" i="1"/>
  <c r="H2724" i="1"/>
  <c r="I2724" i="1"/>
  <c r="H2725" i="1"/>
  <c r="I2725" i="1"/>
  <c r="H2726" i="1"/>
  <c r="I2726" i="1"/>
  <c r="H2727" i="1"/>
  <c r="I2727" i="1"/>
  <c r="H2728" i="1"/>
  <c r="I2728" i="1"/>
  <c r="H2729" i="1"/>
  <c r="I2729" i="1"/>
  <c r="H2730" i="1"/>
  <c r="I2730" i="1"/>
  <c r="H2731" i="1"/>
  <c r="I2731" i="1"/>
  <c r="H2732" i="1"/>
  <c r="I2732" i="1"/>
  <c r="H2733" i="1"/>
  <c r="I2733" i="1"/>
  <c r="H2734" i="1"/>
  <c r="I2734" i="1"/>
  <c r="H2735" i="1"/>
  <c r="I2735" i="1"/>
  <c r="H2736" i="1"/>
  <c r="I2736" i="1"/>
  <c r="H2737" i="1"/>
  <c r="I2737" i="1"/>
  <c r="H2738" i="1"/>
  <c r="I2738" i="1"/>
  <c r="H2739" i="1"/>
  <c r="I2739" i="1"/>
  <c r="H2740" i="1"/>
  <c r="I2740" i="1"/>
  <c r="H2741" i="1"/>
  <c r="I2741" i="1"/>
  <c r="H2742" i="1"/>
  <c r="I2742" i="1"/>
  <c r="H2743" i="1"/>
  <c r="I2743" i="1"/>
  <c r="H2744" i="1"/>
  <c r="I2744" i="1"/>
  <c r="H2745" i="1"/>
  <c r="I2745" i="1"/>
  <c r="H2746" i="1"/>
  <c r="I2746" i="1"/>
  <c r="H2747" i="1"/>
  <c r="I2747" i="1"/>
  <c r="H2748" i="1"/>
  <c r="I2748" i="1"/>
  <c r="H2749" i="1"/>
  <c r="I2749" i="1"/>
  <c r="H2750" i="1"/>
  <c r="I2750" i="1"/>
  <c r="H2751" i="1"/>
  <c r="I2751" i="1"/>
  <c r="H2752" i="1"/>
  <c r="I2752" i="1"/>
  <c r="H2753" i="1"/>
  <c r="I2753" i="1"/>
  <c r="H2754" i="1"/>
  <c r="I2754" i="1"/>
  <c r="H2755" i="1"/>
  <c r="I2755" i="1"/>
  <c r="H2756" i="1"/>
  <c r="I2756" i="1"/>
  <c r="H2757" i="1"/>
  <c r="I2757" i="1"/>
  <c r="H2758" i="1"/>
  <c r="I2758" i="1"/>
  <c r="H2759" i="1"/>
  <c r="I2759" i="1"/>
  <c r="H2760" i="1"/>
  <c r="I2760" i="1"/>
  <c r="H2761" i="1"/>
  <c r="I2761" i="1"/>
  <c r="H2762" i="1"/>
  <c r="I2762" i="1"/>
  <c r="H2763" i="1"/>
  <c r="I2763" i="1"/>
  <c r="H2764" i="1"/>
  <c r="I2764" i="1"/>
  <c r="H2765" i="1"/>
  <c r="I2765" i="1"/>
  <c r="H2766" i="1"/>
  <c r="I2766" i="1"/>
  <c r="H2767" i="1"/>
  <c r="I2767" i="1"/>
  <c r="H2768" i="1"/>
  <c r="I2768" i="1"/>
  <c r="H2769" i="1"/>
  <c r="I2769" i="1"/>
  <c r="H2770" i="1"/>
  <c r="I2770" i="1"/>
  <c r="H2771" i="1"/>
  <c r="I2771" i="1"/>
  <c r="H2772" i="1"/>
  <c r="I2772" i="1"/>
  <c r="H2773" i="1"/>
  <c r="I2773" i="1"/>
  <c r="H2774" i="1"/>
  <c r="I2774" i="1"/>
  <c r="H2775" i="1"/>
  <c r="I2775" i="1"/>
  <c r="H2776" i="1"/>
  <c r="I2776" i="1"/>
  <c r="H2777" i="1"/>
  <c r="I2777" i="1"/>
  <c r="H2778" i="1"/>
  <c r="I2778" i="1"/>
  <c r="H2779" i="1"/>
  <c r="I2779" i="1"/>
  <c r="H2780" i="1"/>
  <c r="I2780" i="1"/>
  <c r="H2781" i="1"/>
  <c r="I2781" i="1"/>
  <c r="H2782" i="1"/>
  <c r="I2782" i="1"/>
  <c r="H2783" i="1"/>
  <c r="I2783" i="1"/>
  <c r="H2784" i="1"/>
  <c r="I2784" i="1"/>
  <c r="H2785" i="1"/>
  <c r="I2785" i="1"/>
  <c r="H2786" i="1"/>
  <c r="I2786" i="1"/>
  <c r="H2787" i="1"/>
  <c r="I2787" i="1"/>
  <c r="H2788" i="1"/>
  <c r="I2788" i="1"/>
  <c r="H2789" i="1"/>
  <c r="I2789" i="1"/>
  <c r="H2790" i="1"/>
  <c r="I2790" i="1"/>
  <c r="H2791" i="1"/>
  <c r="I2791" i="1"/>
  <c r="H2792" i="1"/>
  <c r="I2792" i="1"/>
  <c r="H2793" i="1"/>
  <c r="I2793" i="1"/>
  <c r="H2794" i="1"/>
  <c r="I2794" i="1"/>
  <c r="H2795" i="1"/>
  <c r="I2795" i="1"/>
  <c r="H2796" i="1"/>
  <c r="I2796" i="1"/>
  <c r="H2797" i="1"/>
  <c r="I2797" i="1"/>
  <c r="H2798" i="1"/>
  <c r="I2798" i="1"/>
  <c r="H2799" i="1"/>
  <c r="I2799" i="1"/>
  <c r="H2800" i="1"/>
  <c r="I2800" i="1"/>
  <c r="H2801" i="1"/>
  <c r="I2801" i="1"/>
  <c r="H2802" i="1"/>
  <c r="I2802" i="1"/>
  <c r="H2803" i="1"/>
  <c r="I2803" i="1"/>
  <c r="H2804" i="1"/>
  <c r="I2804" i="1"/>
  <c r="H2805" i="1"/>
  <c r="I2805" i="1"/>
  <c r="H2806" i="1"/>
  <c r="I2806" i="1"/>
  <c r="H2807" i="1"/>
  <c r="I2807" i="1"/>
  <c r="H2808" i="1"/>
  <c r="I2808" i="1"/>
  <c r="H2809" i="1"/>
  <c r="I2809" i="1"/>
  <c r="H2810" i="1"/>
  <c r="I2810" i="1"/>
  <c r="H2811" i="1"/>
  <c r="I2811" i="1"/>
  <c r="H2812" i="1"/>
  <c r="I2812" i="1"/>
  <c r="H2813" i="1"/>
  <c r="I2813" i="1"/>
  <c r="H2814" i="1"/>
  <c r="I2814" i="1"/>
  <c r="H2815" i="1"/>
  <c r="I2815" i="1"/>
  <c r="H2816" i="1"/>
  <c r="I2816" i="1"/>
  <c r="H2817" i="1"/>
  <c r="I2817" i="1"/>
  <c r="H2818" i="1"/>
  <c r="I2818" i="1"/>
  <c r="H2819" i="1"/>
  <c r="I2819" i="1"/>
  <c r="H2820" i="1"/>
  <c r="I2820" i="1"/>
  <c r="H2821" i="1"/>
  <c r="I2821" i="1"/>
  <c r="H2822" i="1"/>
  <c r="I2822" i="1"/>
  <c r="H2823" i="1"/>
  <c r="I2823" i="1"/>
  <c r="H2824" i="1"/>
  <c r="I2824" i="1"/>
  <c r="H2825" i="1"/>
  <c r="I2825" i="1"/>
  <c r="H2826" i="1"/>
  <c r="I2826" i="1"/>
  <c r="H2827" i="1"/>
  <c r="I2827" i="1"/>
  <c r="H2828" i="1"/>
  <c r="I2828" i="1"/>
  <c r="H2829" i="1"/>
  <c r="I2829" i="1"/>
  <c r="H2830" i="1"/>
  <c r="I2830" i="1"/>
  <c r="H2831" i="1"/>
  <c r="I2831" i="1"/>
  <c r="H2832" i="1"/>
  <c r="I2832" i="1"/>
  <c r="H2833" i="1"/>
  <c r="I2833" i="1"/>
  <c r="H2834" i="1"/>
  <c r="I2834" i="1"/>
  <c r="H2835" i="1"/>
  <c r="I2835" i="1"/>
  <c r="H2836" i="1"/>
  <c r="I2836" i="1"/>
  <c r="H2837" i="1"/>
  <c r="I2837" i="1"/>
  <c r="H2838" i="1"/>
  <c r="I2838" i="1"/>
  <c r="H2839" i="1"/>
  <c r="I2839" i="1"/>
  <c r="H2840" i="1"/>
  <c r="I2840" i="1"/>
  <c r="H2841" i="1"/>
  <c r="I2841" i="1"/>
  <c r="H2842" i="1"/>
  <c r="I2842" i="1"/>
  <c r="H2843" i="1"/>
  <c r="I2843" i="1"/>
  <c r="H2844" i="1"/>
  <c r="I2844" i="1"/>
  <c r="H2845" i="1"/>
  <c r="I2845" i="1"/>
  <c r="H2846" i="1"/>
  <c r="I2846" i="1"/>
  <c r="H2847" i="1"/>
  <c r="I2847" i="1"/>
  <c r="H2848" i="1"/>
  <c r="I2848" i="1"/>
  <c r="H2849" i="1"/>
  <c r="I2849" i="1"/>
  <c r="H2850" i="1"/>
  <c r="I2850" i="1"/>
  <c r="H2851" i="1"/>
  <c r="I2851" i="1"/>
  <c r="H2852" i="1"/>
  <c r="I2852" i="1"/>
  <c r="H2853" i="1"/>
  <c r="I2853" i="1"/>
  <c r="H2854" i="1"/>
  <c r="I2854" i="1"/>
  <c r="H2855" i="1"/>
  <c r="I2855" i="1"/>
  <c r="H2856" i="1"/>
  <c r="I2856" i="1"/>
  <c r="H2857" i="1"/>
  <c r="I2857" i="1"/>
  <c r="H2858" i="1"/>
  <c r="I2858" i="1"/>
  <c r="H2859" i="1"/>
  <c r="I2859" i="1"/>
  <c r="H2860" i="1"/>
  <c r="I2860" i="1"/>
  <c r="H2861" i="1"/>
  <c r="I2861" i="1"/>
  <c r="H2862" i="1"/>
  <c r="I2862" i="1"/>
  <c r="H2863" i="1"/>
  <c r="I2863" i="1"/>
  <c r="H2864" i="1"/>
  <c r="I2864" i="1"/>
  <c r="H2865" i="1"/>
  <c r="I2865" i="1"/>
  <c r="H2866" i="1"/>
  <c r="I2866" i="1"/>
  <c r="H2867" i="1"/>
  <c r="I2867" i="1"/>
  <c r="H2868" i="1"/>
  <c r="I2868" i="1"/>
  <c r="H2869" i="1"/>
  <c r="I2869" i="1"/>
  <c r="H2870" i="1"/>
  <c r="I2870" i="1"/>
  <c r="H2871" i="1"/>
  <c r="I2871" i="1"/>
  <c r="H2872" i="1"/>
  <c r="I2872" i="1"/>
  <c r="H2873" i="1"/>
  <c r="I2873" i="1"/>
  <c r="H2874" i="1"/>
  <c r="I2874" i="1"/>
  <c r="H2875" i="1"/>
  <c r="I2875" i="1"/>
  <c r="H2876" i="1"/>
  <c r="I2876" i="1"/>
  <c r="H2877" i="1"/>
  <c r="I2877" i="1"/>
  <c r="H2878" i="1"/>
  <c r="I2878" i="1"/>
  <c r="H2879" i="1"/>
  <c r="I2879" i="1"/>
  <c r="H2880" i="1"/>
  <c r="I2880" i="1"/>
  <c r="H2881" i="1"/>
  <c r="I2881" i="1"/>
  <c r="H2882" i="1"/>
  <c r="I2882" i="1"/>
  <c r="H2883" i="1"/>
  <c r="I2883" i="1"/>
  <c r="H2884" i="1"/>
  <c r="I2884" i="1"/>
  <c r="H2885" i="1"/>
  <c r="I2885" i="1"/>
  <c r="H2886" i="1"/>
  <c r="I2886" i="1"/>
  <c r="H2887" i="1"/>
  <c r="I2887" i="1"/>
  <c r="H2888" i="1"/>
  <c r="I2888" i="1"/>
  <c r="H2889" i="1"/>
  <c r="I2889" i="1"/>
  <c r="H2890" i="1"/>
  <c r="I2890" i="1"/>
  <c r="H2891" i="1"/>
  <c r="I2891" i="1"/>
  <c r="H2892" i="1"/>
  <c r="I2892" i="1"/>
  <c r="H2893" i="1"/>
  <c r="I2893" i="1"/>
  <c r="H2894" i="1"/>
  <c r="I2894" i="1"/>
  <c r="H2895" i="1"/>
  <c r="I2895" i="1"/>
  <c r="H2896" i="1"/>
  <c r="I2896" i="1"/>
  <c r="H2897" i="1"/>
  <c r="I2897" i="1"/>
  <c r="H2898" i="1"/>
  <c r="I2898" i="1"/>
  <c r="H2899" i="1"/>
  <c r="I2899" i="1"/>
  <c r="H2900" i="1"/>
  <c r="I2900" i="1"/>
  <c r="H2901" i="1"/>
  <c r="I2901" i="1"/>
  <c r="H2902" i="1"/>
  <c r="I2902" i="1"/>
  <c r="H2903" i="1"/>
  <c r="I2903" i="1"/>
  <c r="H2904" i="1"/>
  <c r="I2904" i="1"/>
  <c r="H2905" i="1"/>
  <c r="I2905" i="1"/>
  <c r="H2906" i="1"/>
  <c r="I2906" i="1"/>
  <c r="H2907" i="1"/>
  <c r="I2907" i="1"/>
  <c r="H2908" i="1"/>
  <c r="I2908" i="1"/>
  <c r="H2909" i="1"/>
  <c r="I2909" i="1"/>
  <c r="H2910" i="1"/>
  <c r="I2910" i="1"/>
  <c r="H2911" i="1"/>
  <c r="I2911" i="1"/>
  <c r="H2912" i="1"/>
  <c r="I2912" i="1"/>
  <c r="H2913" i="1"/>
  <c r="I2913" i="1"/>
  <c r="H2914" i="1"/>
  <c r="I2914" i="1"/>
  <c r="H2915" i="1"/>
  <c r="I2915" i="1"/>
  <c r="H2916" i="1"/>
  <c r="I2916" i="1"/>
  <c r="H2917" i="1"/>
  <c r="I2917" i="1"/>
  <c r="H2918" i="1"/>
  <c r="I2918" i="1"/>
  <c r="H2919" i="1"/>
  <c r="I2919" i="1"/>
  <c r="H2920" i="1"/>
  <c r="I2920" i="1"/>
  <c r="H2921" i="1"/>
  <c r="I2921" i="1"/>
  <c r="H2922" i="1"/>
  <c r="I2922" i="1"/>
  <c r="H2923" i="1"/>
  <c r="I2923" i="1"/>
  <c r="H2924" i="1"/>
  <c r="I2924" i="1"/>
  <c r="H2925" i="1"/>
  <c r="I2925" i="1"/>
  <c r="H2926" i="1"/>
  <c r="I2926" i="1"/>
  <c r="H2927" i="1"/>
  <c r="I2927" i="1"/>
  <c r="H2928" i="1"/>
  <c r="I2928" i="1"/>
  <c r="H2929" i="1"/>
  <c r="I2929" i="1"/>
  <c r="H2930" i="1"/>
  <c r="I2930" i="1"/>
  <c r="H2931" i="1"/>
  <c r="I2931" i="1"/>
  <c r="H2932" i="1"/>
  <c r="I2932" i="1"/>
  <c r="H2933" i="1"/>
  <c r="I2933" i="1"/>
  <c r="H2934" i="1"/>
  <c r="I2934" i="1"/>
  <c r="H2935" i="1"/>
  <c r="I2935" i="1"/>
  <c r="H2936" i="1"/>
  <c r="I2936" i="1"/>
  <c r="H2937" i="1"/>
  <c r="I2937" i="1"/>
  <c r="H2938" i="1"/>
  <c r="I2938" i="1"/>
  <c r="H2939" i="1"/>
  <c r="I2939" i="1"/>
  <c r="H2940" i="1"/>
  <c r="I2940" i="1"/>
  <c r="H2941" i="1"/>
  <c r="I2941" i="1"/>
  <c r="H2942" i="1"/>
  <c r="I2942" i="1"/>
  <c r="H2943" i="1"/>
  <c r="I2943" i="1"/>
  <c r="H2944" i="1"/>
  <c r="I2944" i="1"/>
  <c r="H2945" i="1"/>
  <c r="I2945" i="1"/>
  <c r="H2946" i="1"/>
  <c r="I2946" i="1"/>
  <c r="H2947" i="1"/>
  <c r="I2947" i="1"/>
  <c r="H2948" i="1"/>
  <c r="I2948" i="1"/>
  <c r="H2949" i="1"/>
  <c r="I2949" i="1"/>
  <c r="H2950" i="1"/>
  <c r="I2950" i="1"/>
  <c r="H2951" i="1"/>
  <c r="I2951" i="1"/>
  <c r="H2952" i="1"/>
  <c r="I2952" i="1"/>
  <c r="H2953" i="1"/>
  <c r="I2953" i="1"/>
  <c r="H2954" i="1"/>
  <c r="I2954" i="1"/>
  <c r="H2955" i="1"/>
  <c r="I2955" i="1"/>
  <c r="H2956" i="1"/>
  <c r="I2956" i="1"/>
  <c r="H2957" i="1"/>
  <c r="I2957" i="1"/>
  <c r="H2958" i="1"/>
  <c r="I2958" i="1"/>
  <c r="H2959" i="1"/>
  <c r="I2959" i="1"/>
  <c r="H2960" i="1"/>
  <c r="I2960" i="1"/>
  <c r="H2961" i="1"/>
  <c r="I2961" i="1"/>
  <c r="H2962" i="1"/>
  <c r="I2962" i="1"/>
  <c r="H2963" i="1"/>
  <c r="I2963" i="1"/>
  <c r="H2964" i="1"/>
  <c r="I2964" i="1"/>
  <c r="H2965" i="1"/>
  <c r="I2965" i="1"/>
  <c r="H2966" i="1"/>
  <c r="I2966" i="1"/>
  <c r="H2967" i="1"/>
  <c r="I2967" i="1"/>
  <c r="H2968" i="1"/>
  <c r="I2968" i="1"/>
  <c r="H2969" i="1"/>
  <c r="I2969" i="1"/>
  <c r="H2970" i="1"/>
  <c r="I2970" i="1"/>
  <c r="H2971" i="1"/>
  <c r="I2971" i="1"/>
  <c r="H2972" i="1"/>
  <c r="I2972" i="1"/>
  <c r="H2973" i="1"/>
  <c r="I2973" i="1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C37" i="14"/>
  <c r="C56" i="14"/>
  <c r="C50" i="14"/>
  <c r="C68" i="14"/>
  <c r="C62" i="14"/>
  <c r="B60" i="14"/>
  <c r="B61" i="14"/>
  <c r="B57" i="14"/>
  <c r="B58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B54" i="14"/>
  <c r="B53" i="14"/>
  <c r="B52" i="14"/>
  <c r="B51" i="14"/>
  <c r="B50" i="14"/>
  <c r="B49" i="14"/>
  <c r="B48" i="14"/>
  <c r="B47" i="14"/>
  <c r="B46" i="14"/>
  <c r="C46" i="14"/>
  <c r="C38" i="14"/>
  <c r="C47" i="14"/>
  <c r="C39" i="14"/>
  <c r="C48" i="14"/>
  <c r="C49" i="14"/>
  <c r="C51" i="14"/>
  <c r="C52" i="14"/>
  <c r="C53" i="14"/>
  <c r="C54" i="14"/>
  <c r="L7" i="14"/>
  <c r="I21" i="14"/>
  <c r="J21" i="14"/>
  <c r="K21" i="14"/>
  <c r="L21" i="14"/>
  <c r="M21" i="14"/>
  <c r="N21" i="14"/>
  <c r="O21" i="14"/>
  <c r="P21" i="14"/>
  <c r="Q21" i="14"/>
  <c r="I20" i="14"/>
  <c r="J20" i="14"/>
  <c r="K20" i="14"/>
  <c r="L20" i="14"/>
  <c r="M20" i="14"/>
  <c r="N20" i="14"/>
  <c r="O20" i="14"/>
  <c r="P20" i="14"/>
  <c r="Q20" i="14"/>
  <c r="I19" i="14"/>
  <c r="J19" i="14"/>
  <c r="K19" i="14"/>
  <c r="L19" i="14"/>
  <c r="M19" i="14"/>
  <c r="N19" i="14"/>
  <c r="O19" i="14"/>
  <c r="P19" i="14"/>
  <c r="Q19" i="14"/>
  <c r="C15" i="14"/>
  <c r="C18" i="14"/>
  <c r="C14" i="14"/>
  <c r="C17" i="14"/>
  <c r="C13" i="14"/>
  <c r="C16" i="14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I19" i="13"/>
  <c r="J19" i="13"/>
  <c r="K19" i="13"/>
  <c r="L19" i="13"/>
  <c r="M19" i="13"/>
  <c r="N19" i="13"/>
  <c r="O19" i="13"/>
  <c r="P19" i="13"/>
  <c r="Q19" i="13"/>
  <c r="I20" i="13"/>
  <c r="J20" i="13"/>
  <c r="K20" i="13"/>
  <c r="L20" i="13"/>
  <c r="M20" i="13"/>
  <c r="N20" i="13"/>
  <c r="O20" i="13"/>
  <c r="P20" i="13"/>
  <c r="Q20" i="13"/>
  <c r="I21" i="13"/>
  <c r="J21" i="13"/>
  <c r="K21" i="13"/>
  <c r="L21" i="13"/>
  <c r="M21" i="13"/>
  <c r="N21" i="13"/>
  <c r="O21" i="13"/>
  <c r="P21" i="13"/>
  <c r="Q21" i="13"/>
  <c r="C15" i="13"/>
  <c r="C18" i="13"/>
  <c r="C14" i="13"/>
  <c r="C17" i="13"/>
  <c r="C13" i="13"/>
  <c r="C16" i="13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I11" i="11"/>
  <c r="J11" i="11"/>
  <c r="K11" i="11"/>
  <c r="L11" i="11"/>
  <c r="M11" i="11"/>
  <c r="N11" i="11"/>
  <c r="O11" i="11"/>
  <c r="P11" i="11"/>
  <c r="Q11" i="11"/>
  <c r="I12" i="11"/>
  <c r="J12" i="11"/>
  <c r="K12" i="11"/>
  <c r="L12" i="11"/>
  <c r="M12" i="11"/>
  <c r="N12" i="11"/>
  <c r="O12" i="11"/>
  <c r="P12" i="11"/>
  <c r="Q12" i="11"/>
  <c r="I10" i="11"/>
  <c r="J10" i="11"/>
  <c r="K10" i="11"/>
  <c r="L10" i="11"/>
  <c r="M10" i="11"/>
  <c r="N10" i="11"/>
  <c r="O10" i="11"/>
  <c r="P10" i="11"/>
  <c r="Q10" i="11"/>
  <c r="I30" i="11"/>
  <c r="J30" i="11"/>
  <c r="K30" i="11"/>
  <c r="L30" i="11"/>
  <c r="M30" i="11"/>
  <c r="N30" i="11"/>
  <c r="O30" i="11"/>
  <c r="P30" i="11"/>
  <c r="Q30" i="11"/>
  <c r="I31" i="11"/>
  <c r="J31" i="11"/>
  <c r="K31" i="11"/>
  <c r="L31" i="11"/>
  <c r="M31" i="11"/>
  <c r="N31" i="11"/>
  <c r="O31" i="11"/>
  <c r="P31" i="11"/>
  <c r="Q31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C15" i="11"/>
  <c r="C18" i="11"/>
  <c r="C14" i="11"/>
  <c r="C17" i="11"/>
  <c r="C13" i="11"/>
  <c r="C16" i="1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A2001" i="1"/>
  <c r="A2002" i="1"/>
  <c r="A2003" i="1"/>
  <c r="A2004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J11" i="6"/>
  <c r="K11" i="6"/>
  <c r="L11" i="6"/>
  <c r="N11" i="6"/>
  <c r="P11" i="6"/>
  <c r="M11" i="6"/>
  <c r="O11" i="6"/>
  <c r="Q11" i="6"/>
  <c r="J12" i="6"/>
  <c r="K12" i="6"/>
  <c r="L12" i="6"/>
  <c r="N12" i="6"/>
  <c r="P12" i="6"/>
  <c r="M12" i="6"/>
  <c r="O12" i="6"/>
  <c r="Q12" i="6"/>
  <c r="K10" i="6"/>
  <c r="J10" i="6"/>
  <c r="L10" i="6"/>
  <c r="N10" i="6"/>
  <c r="P10" i="6"/>
  <c r="M10" i="6"/>
  <c r="O10" i="6"/>
  <c r="Q10" i="6"/>
  <c r="I27" i="6"/>
  <c r="J27" i="6"/>
  <c r="K27" i="6"/>
  <c r="L27" i="6"/>
  <c r="M27" i="6"/>
  <c r="N27" i="6"/>
  <c r="O27" i="6"/>
  <c r="P27" i="6"/>
  <c r="Q27" i="6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5" i="2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I28" i="6"/>
  <c r="J28" i="6"/>
  <c r="K28" i="6"/>
  <c r="L28" i="6"/>
  <c r="M28" i="6"/>
  <c r="N28" i="6"/>
  <c r="O28" i="6"/>
  <c r="P28" i="6"/>
  <c r="Q28" i="6"/>
  <c r="I2" i="4"/>
  <c r="I3" i="4"/>
  <c r="I29" i="6"/>
  <c r="J29" i="6"/>
  <c r="K29" i="6"/>
  <c r="L29" i="6"/>
  <c r="M29" i="6"/>
  <c r="N29" i="6"/>
  <c r="O29" i="6"/>
  <c r="P29" i="6"/>
  <c r="Q29" i="6"/>
  <c r="Q15" i="6"/>
  <c r="P15" i="6"/>
  <c r="O15" i="6"/>
  <c r="N15" i="6"/>
  <c r="M15" i="6"/>
  <c r="L15" i="6"/>
  <c r="K15" i="6"/>
  <c r="J15" i="6"/>
  <c r="I15" i="6"/>
  <c r="H15" i="6"/>
  <c r="Q14" i="6"/>
  <c r="P14" i="6"/>
  <c r="O14" i="6"/>
  <c r="N14" i="6"/>
  <c r="M14" i="6"/>
  <c r="L14" i="6"/>
  <c r="K14" i="6"/>
  <c r="J14" i="6"/>
  <c r="I14" i="6"/>
  <c r="H14" i="6"/>
  <c r="Q13" i="6"/>
  <c r="P13" i="6"/>
  <c r="O13" i="6"/>
  <c r="N13" i="6"/>
  <c r="M13" i="6"/>
  <c r="L13" i="6"/>
  <c r="K13" i="6"/>
  <c r="J13" i="6"/>
  <c r="I13" i="6"/>
  <c r="J7" i="6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I33" i="9"/>
  <c r="J33" i="9"/>
  <c r="K33" i="9"/>
  <c r="L33" i="9"/>
  <c r="M33" i="9"/>
  <c r="N33" i="9"/>
  <c r="O33" i="9"/>
  <c r="P33" i="9"/>
  <c r="Q33" i="9"/>
  <c r="I32" i="9"/>
  <c r="J32" i="9"/>
  <c r="K32" i="9"/>
  <c r="L32" i="9"/>
  <c r="M32" i="9"/>
  <c r="N32" i="9"/>
  <c r="O32" i="9"/>
  <c r="P32" i="9"/>
  <c r="Q32" i="9"/>
  <c r="I31" i="9"/>
  <c r="J31" i="9"/>
  <c r="K31" i="9"/>
  <c r="L31" i="9"/>
  <c r="M31" i="9"/>
  <c r="N31" i="9"/>
  <c r="O31" i="9"/>
  <c r="P31" i="9"/>
  <c r="Q31" i="9"/>
  <c r="I30" i="9"/>
  <c r="J30" i="9"/>
  <c r="K30" i="9"/>
  <c r="L30" i="9"/>
  <c r="M30" i="9"/>
  <c r="N30" i="9"/>
  <c r="O30" i="9"/>
  <c r="P30" i="9"/>
  <c r="Q30" i="9"/>
  <c r="I29" i="9"/>
  <c r="J29" i="9"/>
  <c r="K29" i="9"/>
  <c r="L29" i="9"/>
  <c r="M29" i="9"/>
  <c r="N29" i="9"/>
  <c r="O29" i="9"/>
  <c r="P29" i="9"/>
  <c r="Q29" i="9"/>
  <c r="I28" i="9"/>
  <c r="J28" i="9"/>
  <c r="K28" i="9"/>
  <c r="L28" i="9"/>
  <c r="M28" i="9"/>
  <c r="N28" i="9"/>
  <c r="O28" i="9"/>
  <c r="P28" i="9"/>
  <c r="Q28" i="9"/>
  <c r="Q20" i="9"/>
  <c r="P20" i="9"/>
  <c r="O20" i="9"/>
  <c r="N20" i="9"/>
  <c r="M20" i="9"/>
  <c r="L20" i="9"/>
  <c r="K20" i="9"/>
  <c r="J20" i="9"/>
  <c r="I20" i="9"/>
  <c r="H20" i="9"/>
  <c r="Q19" i="9"/>
  <c r="P19" i="9"/>
  <c r="O19" i="9"/>
  <c r="N19" i="9"/>
  <c r="M19" i="9"/>
  <c r="L19" i="9"/>
  <c r="K19" i="9"/>
  <c r="J19" i="9"/>
  <c r="I19" i="9"/>
  <c r="H19" i="9"/>
  <c r="Q18" i="9"/>
  <c r="P18" i="9"/>
  <c r="O18" i="9"/>
  <c r="N18" i="9"/>
  <c r="M18" i="9"/>
  <c r="L18" i="9"/>
  <c r="K18" i="9"/>
  <c r="J18" i="9"/>
  <c r="I18" i="9"/>
  <c r="H18" i="9"/>
  <c r="C14" i="9"/>
  <c r="C17" i="9"/>
  <c r="C13" i="9"/>
  <c r="C16" i="9"/>
  <c r="C12" i="9"/>
  <c r="C15" i="9"/>
  <c r="N11" i="9"/>
  <c r="Q11" i="9"/>
  <c r="M11" i="9"/>
  <c r="P11" i="9"/>
  <c r="L11" i="9"/>
  <c r="O11" i="9"/>
  <c r="N10" i="9"/>
  <c r="Q10" i="9"/>
  <c r="M10" i="9"/>
  <c r="P10" i="9"/>
  <c r="L10" i="9"/>
  <c r="O10" i="9"/>
  <c r="N9" i="9"/>
  <c r="Q9" i="9"/>
  <c r="M9" i="9"/>
  <c r="P9" i="9"/>
  <c r="L9" i="9"/>
  <c r="O9" i="9"/>
  <c r="J6" i="9"/>
  <c r="L11" i="4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C15" i="8"/>
  <c r="C18" i="8"/>
  <c r="C14" i="8"/>
  <c r="C17" i="8"/>
  <c r="C13" i="8"/>
  <c r="C16" i="8"/>
  <c r="L10" i="7"/>
  <c r="M10" i="7"/>
  <c r="N10" i="7"/>
  <c r="P10" i="7"/>
  <c r="Q10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I28" i="7"/>
  <c r="J28" i="7"/>
  <c r="K28" i="7"/>
  <c r="L28" i="7"/>
  <c r="M28" i="7"/>
  <c r="N28" i="7"/>
  <c r="O28" i="7"/>
  <c r="P28" i="7"/>
  <c r="Q28" i="7"/>
  <c r="I27" i="7"/>
  <c r="J27" i="7"/>
  <c r="K27" i="7"/>
  <c r="L27" i="7"/>
  <c r="M27" i="7"/>
  <c r="N27" i="7"/>
  <c r="O27" i="7"/>
  <c r="P27" i="7"/>
  <c r="Q27" i="7"/>
  <c r="I26" i="7"/>
  <c r="J26" i="7"/>
  <c r="K26" i="7"/>
  <c r="L26" i="7"/>
  <c r="M26" i="7"/>
  <c r="N26" i="7"/>
  <c r="O26" i="7"/>
  <c r="P26" i="7"/>
  <c r="Q26" i="7"/>
  <c r="I25" i="7"/>
  <c r="J25" i="7"/>
  <c r="K25" i="7"/>
  <c r="L25" i="7"/>
  <c r="M25" i="7"/>
  <c r="N25" i="7"/>
  <c r="O25" i="7"/>
  <c r="P25" i="7"/>
  <c r="Q25" i="7"/>
  <c r="I24" i="7"/>
  <c r="J24" i="7"/>
  <c r="K24" i="7"/>
  <c r="L24" i="7"/>
  <c r="M24" i="7"/>
  <c r="N24" i="7"/>
  <c r="O24" i="7"/>
  <c r="P24" i="7"/>
  <c r="Q24" i="7"/>
  <c r="I23" i="7"/>
  <c r="J23" i="7"/>
  <c r="K23" i="7"/>
  <c r="L23" i="7"/>
  <c r="M23" i="7"/>
  <c r="N23" i="7"/>
  <c r="O23" i="7"/>
  <c r="P23" i="7"/>
  <c r="Q23" i="7"/>
  <c r="C15" i="7"/>
  <c r="C18" i="7"/>
  <c r="C14" i="7"/>
  <c r="C17" i="7"/>
  <c r="C13" i="7"/>
  <c r="C16" i="7"/>
  <c r="N12" i="7"/>
  <c r="Q12" i="7"/>
  <c r="M12" i="7"/>
  <c r="P12" i="7"/>
  <c r="L12" i="7"/>
  <c r="O12" i="7"/>
  <c r="N11" i="7"/>
  <c r="Q11" i="7"/>
  <c r="M11" i="7"/>
  <c r="P11" i="7"/>
  <c r="L11" i="7"/>
  <c r="O11" i="7"/>
  <c r="C15" i="6"/>
  <c r="C18" i="6"/>
  <c r="C14" i="6"/>
  <c r="C17" i="6"/>
  <c r="C13" i="6"/>
  <c r="C16" i="6"/>
  <c r="C16" i="5"/>
  <c r="C17" i="5"/>
  <c r="C18" i="5"/>
  <c r="K12" i="4"/>
  <c r="M10" i="4"/>
  <c r="N10" i="4"/>
  <c r="M11" i="4"/>
  <c r="K14" i="2"/>
  <c r="L14" i="2"/>
  <c r="E2973" i="1"/>
  <c r="D2973" i="1"/>
  <c r="C2973" i="1"/>
  <c r="E2972" i="1"/>
  <c r="D2972" i="1"/>
  <c r="C2972" i="1"/>
  <c r="E2971" i="1"/>
  <c r="D2971" i="1"/>
  <c r="C2971" i="1"/>
  <c r="E2970" i="1"/>
  <c r="D2970" i="1"/>
  <c r="C2970" i="1"/>
  <c r="E2969" i="1"/>
  <c r="D2969" i="1"/>
  <c r="C2969" i="1"/>
  <c r="E2968" i="1"/>
  <c r="D2968" i="1"/>
  <c r="C2968" i="1"/>
  <c r="E2967" i="1"/>
  <c r="D2967" i="1"/>
  <c r="C2967" i="1"/>
  <c r="E2966" i="1"/>
  <c r="D2966" i="1"/>
  <c r="C2966" i="1"/>
  <c r="E2965" i="1"/>
  <c r="D2965" i="1"/>
  <c r="C2965" i="1"/>
  <c r="E2964" i="1"/>
  <c r="D2964" i="1"/>
  <c r="C2964" i="1"/>
  <c r="E2963" i="1"/>
  <c r="D2963" i="1"/>
  <c r="C2963" i="1"/>
  <c r="E2962" i="1"/>
  <c r="D2962" i="1"/>
  <c r="C2962" i="1"/>
  <c r="E2961" i="1"/>
  <c r="D2961" i="1"/>
  <c r="C2961" i="1"/>
  <c r="E2960" i="1"/>
  <c r="D2960" i="1"/>
  <c r="C2960" i="1"/>
  <c r="E2959" i="1"/>
  <c r="D2959" i="1"/>
  <c r="C2959" i="1"/>
  <c r="E2958" i="1"/>
  <c r="D2958" i="1"/>
  <c r="C2958" i="1"/>
  <c r="E2957" i="1"/>
  <c r="D2957" i="1"/>
  <c r="C2957" i="1"/>
  <c r="E2956" i="1"/>
  <c r="D2956" i="1"/>
  <c r="C2956" i="1"/>
  <c r="E2955" i="1"/>
  <c r="D2955" i="1"/>
  <c r="C2955" i="1"/>
  <c r="E2954" i="1"/>
  <c r="D2954" i="1"/>
  <c r="C2954" i="1"/>
  <c r="E2953" i="1"/>
  <c r="D2953" i="1"/>
  <c r="C2953" i="1"/>
  <c r="E2952" i="1"/>
  <c r="D2952" i="1"/>
  <c r="C2952" i="1"/>
  <c r="E2951" i="1"/>
  <c r="D2951" i="1"/>
  <c r="C2951" i="1"/>
  <c r="E2950" i="1"/>
  <c r="D2950" i="1"/>
  <c r="C2950" i="1"/>
  <c r="E2949" i="1"/>
  <c r="D2949" i="1"/>
  <c r="C2949" i="1"/>
  <c r="E2948" i="1"/>
  <c r="D2948" i="1"/>
  <c r="C2948" i="1"/>
  <c r="E2947" i="1"/>
  <c r="D2947" i="1"/>
  <c r="C2947" i="1"/>
  <c r="E2946" i="1"/>
  <c r="D2946" i="1"/>
  <c r="C2946" i="1"/>
  <c r="E2945" i="1"/>
  <c r="D2945" i="1"/>
  <c r="C2945" i="1"/>
  <c r="E2944" i="1"/>
  <c r="D2944" i="1"/>
  <c r="C2944" i="1"/>
  <c r="E2943" i="1"/>
  <c r="D2943" i="1"/>
  <c r="C2943" i="1"/>
  <c r="E2942" i="1"/>
  <c r="D2942" i="1"/>
  <c r="C2942" i="1"/>
  <c r="E2941" i="1"/>
  <c r="D2941" i="1"/>
  <c r="C2941" i="1"/>
  <c r="E2940" i="1"/>
  <c r="D2940" i="1"/>
  <c r="C2940" i="1"/>
  <c r="E2939" i="1"/>
  <c r="D2939" i="1"/>
  <c r="C2939" i="1"/>
  <c r="E2938" i="1"/>
  <c r="D2938" i="1"/>
  <c r="C2938" i="1"/>
  <c r="E2937" i="1"/>
  <c r="D2937" i="1"/>
  <c r="C2937" i="1"/>
  <c r="E2936" i="1"/>
  <c r="D2936" i="1"/>
  <c r="C2936" i="1"/>
  <c r="E2935" i="1"/>
  <c r="D2935" i="1"/>
  <c r="C2935" i="1"/>
  <c r="E2934" i="1"/>
  <c r="D2934" i="1"/>
  <c r="C2934" i="1"/>
  <c r="E2933" i="1"/>
  <c r="D2933" i="1"/>
  <c r="C2933" i="1"/>
  <c r="E2932" i="1"/>
  <c r="D2932" i="1"/>
  <c r="C2932" i="1"/>
  <c r="E2931" i="1"/>
  <c r="D2931" i="1"/>
  <c r="C2931" i="1"/>
  <c r="E2930" i="1"/>
  <c r="D2930" i="1"/>
  <c r="C2930" i="1"/>
  <c r="E2929" i="1"/>
  <c r="D2929" i="1"/>
  <c r="C2929" i="1"/>
  <c r="E2928" i="1"/>
  <c r="D2928" i="1"/>
  <c r="C2928" i="1"/>
  <c r="E2927" i="1"/>
  <c r="D2927" i="1"/>
  <c r="C2927" i="1"/>
  <c r="E2926" i="1"/>
  <c r="D2926" i="1"/>
  <c r="C2926" i="1"/>
  <c r="E2925" i="1"/>
  <c r="D2925" i="1"/>
  <c r="C2925" i="1"/>
  <c r="E2924" i="1"/>
  <c r="D2924" i="1"/>
  <c r="C2924" i="1"/>
  <c r="E2923" i="1"/>
  <c r="D2923" i="1"/>
  <c r="C2923" i="1"/>
  <c r="E2922" i="1"/>
  <c r="D2922" i="1"/>
  <c r="C2922" i="1"/>
  <c r="E2921" i="1"/>
  <c r="D2921" i="1"/>
  <c r="C2921" i="1"/>
  <c r="E2920" i="1"/>
  <c r="D2920" i="1"/>
  <c r="C2920" i="1"/>
  <c r="E2919" i="1"/>
  <c r="D2919" i="1"/>
  <c r="C2919" i="1"/>
  <c r="E2918" i="1"/>
  <c r="D2918" i="1"/>
  <c r="C2918" i="1"/>
  <c r="E2917" i="1"/>
  <c r="D2917" i="1"/>
  <c r="C2917" i="1"/>
  <c r="E2916" i="1"/>
  <c r="D2916" i="1"/>
  <c r="C2916" i="1"/>
  <c r="E2915" i="1"/>
  <c r="D2915" i="1"/>
  <c r="C2915" i="1"/>
  <c r="E2914" i="1"/>
  <c r="D2914" i="1"/>
  <c r="C2914" i="1"/>
  <c r="E2913" i="1"/>
  <c r="D2913" i="1"/>
  <c r="C2913" i="1"/>
  <c r="E2912" i="1"/>
  <c r="D2912" i="1"/>
  <c r="C2912" i="1"/>
  <c r="E2911" i="1"/>
  <c r="D2911" i="1"/>
  <c r="C2911" i="1"/>
  <c r="E2910" i="1"/>
  <c r="D2910" i="1"/>
  <c r="C2910" i="1"/>
  <c r="E2909" i="1"/>
  <c r="D2909" i="1"/>
  <c r="C2909" i="1"/>
  <c r="E2908" i="1"/>
  <c r="D2908" i="1"/>
  <c r="C2908" i="1"/>
  <c r="E2907" i="1"/>
  <c r="D2907" i="1"/>
  <c r="C2907" i="1"/>
  <c r="E2906" i="1"/>
  <c r="D2906" i="1"/>
  <c r="C2906" i="1"/>
  <c r="E2905" i="1"/>
  <c r="D2905" i="1"/>
  <c r="C2905" i="1"/>
  <c r="E2904" i="1"/>
  <c r="D2904" i="1"/>
  <c r="C2904" i="1"/>
  <c r="E2903" i="1"/>
  <c r="D2903" i="1"/>
  <c r="C2903" i="1"/>
  <c r="E2902" i="1"/>
  <c r="D2902" i="1"/>
  <c r="C2902" i="1"/>
  <c r="E2901" i="1"/>
  <c r="D2901" i="1"/>
  <c r="C2901" i="1"/>
  <c r="E2900" i="1"/>
  <c r="D2900" i="1"/>
  <c r="C2900" i="1"/>
  <c r="E2899" i="1"/>
  <c r="D2899" i="1"/>
  <c r="C2899" i="1"/>
  <c r="E2898" i="1"/>
  <c r="D2898" i="1"/>
  <c r="C2898" i="1"/>
  <c r="E2897" i="1"/>
  <c r="D2897" i="1"/>
  <c r="C2897" i="1"/>
  <c r="E2896" i="1"/>
  <c r="D2896" i="1"/>
  <c r="C2896" i="1"/>
  <c r="E2895" i="1"/>
  <c r="D2895" i="1"/>
  <c r="C2895" i="1"/>
  <c r="E2894" i="1"/>
  <c r="D2894" i="1"/>
  <c r="C2894" i="1"/>
  <c r="E2893" i="1"/>
  <c r="D2893" i="1"/>
  <c r="C2893" i="1"/>
  <c r="E2892" i="1"/>
  <c r="D2892" i="1"/>
  <c r="C2892" i="1"/>
  <c r="E2891" i="1"/>
  <c r="D2891" i="1"/>
  <c r="C2891" i="1"/>
  <c r="E2890" i="1"/>
  <c r="D2890" i="1"/>
  <c r="C2890" i="1"/>
  <c r="E2889" i="1"/>
  <c r="D2889" i="1"/>
  <c r="C2889" i="1"/>
  <c r="E2888" i="1"/>
  <c r="D2888" i="1"/>
  <c r="C2888" i="1"/>
  <c r="E2887" i="1"/>
  <c r="D2887" i="1"/>
  <c r="C2887" i="1"/>
  <c r="E2886" i="1"/>
  <c r="D2886" i="1"/>
  <c r="C2886" i="1"/>
  <c r="E2885" i="1"/>
  <c r="D2885" i="1"/>
  <c r="C2885" i="1"/>
  <c r="E2884" i="1"/>
  <c r="D2884" i="1"/>
  <c r="C2884" i="1"/>
  <c r="E2883" i="1"/>
  <c r="D2883" i="1"/>
  <c r="C2883" i="1"/>
  <c r="E2882" i="1"/>
  <c r="D2882" i="1"/>
  <c r="C2882" i="1"/>
  <c r="E2881" i="1"/>
  <c r="D2881" i="1"/>
  <c r="C2881" i="1"/>
  <c r="E2880" i="1"/>
  <c r="D2880" i="1"/>
  <c r="C2880" i="1"/>
  <c r="E2879" i="1"/>
  <c r="D2879" i="1"/>
  <c r="C2879" i="1"/>
  <c r="E2878" i="1"/>
  <c r="D2878" i="1"/>
  <c r="C2878" i="1"/>
  <c r="E2877" i="1"/>
  <c r="D2877" i="1"/>
  <c r="C2877" i="1"/>
  <c r="E2876" i="1"/>
  <c r="D2876" i="1"/>
  <c r="C2876" i="1"/>
  <c r="E2875" i="1"/>
  <c r="D2875" i="1"/>
  <c r="C2875" i="1"/>
  <c r="E2874" i="1"/>
  <c r="D2874" i="1"/>
  <c r="C2874" i="1"/>
  <c r="E2873" i="1"/>
  <c r="D2873" i="1"/>
  <c r="C2873" i="1"/>
  <c r="E2872" i="1"/>
  <c r="D2872" i="1"/>
  <c r="C2872" i="1"/>
  <c r="E2871" i="1"/>
  <c r="D2871" i="1"/>
  <c r="C2871" i="1"/>
  <c r="E2870" i="1"/>
  <c r="D2870" i="1"/>
  <c r="C2870" i="1"/>
  <c r="E2869" i="1"/>
  <c r="D2869" i="1"/>
  <c r="C2869" i="1"/>
  <c r="E2868" i="1"/>
  <c r="D2868" i="1"/>
  <c r="C2868" i="1"/>
  <c r="E2867" i="1"/>
  <c r="D2867" i="1"/>
  <c r="C2867" i="1"/>
  <c r="E2866" i="1"/>
  <c r="D2866" i="1"/>
  <c r="C2866" i="1"/>
  <c r="E2865" i="1"/>
  <c r="D2865" i="1"/>
  <c r="C2865" i="1"/>
  <c r="E2864" i="1"/>
  <c r="D2864" i="1"/>
  <c r="C2864" i="1"/>
  <c r="E2863" i="1"/>
  <c r="D2863" i="1"/>
  <c r="C2863" i="1"/>
  <c r="E2862" i="1"/>
  <c r="D2862" i="1"/>
  <c r="C2862" i="1"/>
  <c r="E2861" i="1"/>
  <c r="D2861" i="1"/>
  <c r="C2861" i="1"/>
  <c r="E2860" i="1"/>
  <c r="D2860" i="1"/>
  <c r="C2860" i="1"/>
  <c r="E2859" i="1"/>
  <c r="D2859" i="1"/>
  <c r="C2859" i="1"/>
  <c r="E2858" i="1"/>
  <c r="D2858" i="1"/>
  <c r="C2858" i="1"/>
  <c r="E2857" i="1"/>
  <c r="D2857" i="1"/>
  <c r="C2857" i="1"/>
  <c r="E2856" i="1"/>
  <c r="D2856" i="1"/>
  <c r="C2856" i="1"/>
  <c r="E2855" i="1"/>
  <c r="D2855" i="1"/>
  <c r="C2855" i="1"/>
  <c r="E2854" i="1"/>
  <c r="D2854" i="1"/>
  <c r="C2854" i="1"/>
  <c r="E2853" i="1"/>
  <c r="D2853" i="1"/>
  <c r="C2853" i="1"/>
  <c r="E2852" i="1"/>
  <c r="D2852" i="1"/>
  <c r="C2852" i="1"/>
  <c r="E2851" i="1"/>
  <c r="D2851" i="1"/>
  <c r="C2851" i="1"/>
  <c r="E2850" i="1"/>
  <c r="D2850" i="1"/>
  <c r="C2850" i="1"/>
  <c r="E2849" i="1"/>
  <c r="D2849" i="1"/>
  <c r="C2849" i="1"/>
  <c r="E2848" i="1"/>
  <c r="D2848" i="1"/>
  <c r="C2848" i="1"/>
  <c r="E2847" i="1"/>
  <c r="D2847" i="1"/>
  <c r="C2847" i="1"/>
  <c r="E2846" i="1"/>
  <c r="D2846" i="1"/>
  <c r="C2846" i="1"/>
  <c r="E2845" i="1"/>
  <c r="D2845" i="1"/>
  <c r="C2845" i="1"/>
  <c r="E2844" i="1"/>
  <c r="D2844" i="1"/>
  <c r="C2844" i="1"/>
  <c r="E2843" i="1"/>
  <c r="D2843" i="1"/>
  <c r="C2843" i="1"/>
  <c r="E2842" i="1"/>
  <c r="D2842" i="1"/>
  <c r="C2842" i="1"/>
  <c r="E2841" i="1"/>
  <c r="D2841" i="1"/>
  <c r="C2841" i="1"/>
  <c r="E2840" i="1"/>
  <c r="D2840" i="1"/>
  <c r="C2840" i="1"/>
  <c r="E2839" i="1"/>
  <c r="D2839" i="1"/>
  <c r="C2839" i="1"/>
  <c r="E2838" i="1"/>
  <c r="D2838" i="1"/>
  <c r="C2838" i="1"/>
  <c r="E2837" i="1"/>
  <c r="D2837" i="1"/>
  <c r="C2837" i="1"/>
  <c r="E2836" i="1"/>
  <c r="D2836" i="1"/>
  <c r="C2836" i="1"/>
  <c r="E2835" i="1"/>
  <c r="D2835" i="1"/>
  <c r="C2835" i="1"/>
  <c r="E2834" i="1"/>
  <c r="D2834" i="1"/>
  <c r="C2834" i="1"/>
  <c r="E2833" i="1"/>
  <c r="D2833" i="1"/>
  <c r="C2833" i="1"/>
  <c r="E2832" i="1"/>
  <c r="D2832" i="1"/>
  <c r="C2832" i="1"/>
  <c r="E2831" i="1"/>
  <c r="D2831" i="1"/>
  <c r="C2831" i="1"/>
  <c r="E2830" i="1"/>
  <c r="D2830" i="1"/>
  <c r="C2830" i="1"/>
  <c r="E2829" i="1"/>
  <c r="D2829" i="1"/>
  <c r="C2829" i="1"/>
  <c r="E2828" i="1"/>
  <c r="D2828" i="1"/>
  <c r="C2828" i="1"/>
  <c r="E2827" i="1"/>
  <c r="D2827" i="1"/>
  <c r="C2827" i="1"/>
  <c r="E2826" i="1"/>
  <c r="D2826" i="1"/>
  <c r="C2826" i="1"/>
  <c r="E2825" i="1"/>
  <c r="D2825" i="1"/>
  <c r="C2825" i="1"/>
  <c r="E2824" i="1"/>
  <c r="D2824" i="1"/>
  <c r="C2824" i="1"/>
  <c r="E2823" i="1"/>
  <c r="D2823" i="1"/>
  <c r="C2823" i="1"/>
  <c r="E2822" i="1"/>
  <c r="D2822" i="1"/>
  <c r="C2822" i="1"/>
  <c r="E2821" i="1"/>
  <c r="D2821" i="1"/>
  <c r="C2821" i="1"/>
  <c r="E2820" i="1"/>
  <c r="D2820" i="1"/>
  <c r="C2820" i="1"/>
  <c r="E2819" i="1"/>
  <c r="D2819" i="1"/>
  <c r="C2819" i="1"/>
  <c r="E2818" i="1"/>
  <c r="D2818" i="1"/>
  <c r="C2818" i="1"/>
  <c r="E2817" i="1"/>
  <c r="D2817" i="1"/>
  <c r="C2817" i="1"/>
  <c r="E2816" i="1"/>
  <c r="D2816" i="1"/>
  <c r="C2816" i="1"/>
  <c r="E2815" i="1"/>
  <c r="D2815" i="1"/>
  <c r="C2815" i="1"/>
  <c r="E2814" i="1"/>
  <c r="D2814" i="1"/>
  <c r="C2814" i="1"/>
  <c r="E2813" i="1"/>
  <c r="D2813" i="1"/>
  <c r="C2813" i="1"/>
  <c r="E2812" i="1"/>
  <c r="D2812" i="1"/>
  <c r="C2812" i="1"/>
  <c r="E2811" i="1"/>
  <c r="D2811" i="1"/>
  <c r="C2811" i="1"/>
  <c r="E2810" i="1"/>
  <c r="D2810" i="1"/>
  <c r="C2810" i="1"/>
  <c r="E2809" i="1"/>
  <c r="D2809" i="1"/>
  <c r="C2809" i="1"/>
  <c r="E2808" i="1"/>
  <c r="D2808" i="1"/>
  <c r="C2808" i="1"/>
  <c r="E2807" i="1"/>
  <c r="D2807" i="1"/>
  <c r="C2807" i="1"/>
  <c r="E2806" i="1"/>
  <c r="D2806" i="1"/>
  <c r="C2806" i="1"/>
  <c r="E2805" i="1"/>
  <c r="D2805" i="1"/>
  <c r="C2805" i="1"/>
  <c r="E2804" i="1"/>
  <c r="D2804" i="1"/>
  <c r="C2804" i="1"/>
  <c r="E2803" i="1"/>
  <c r="D2803" i="1"/>
  <c r="C2803" i="1"/>
  <c r="E2802" i="1"/>
  <c r="D2802" i="1"/>
  <c r="C2802" i="1"/>
  <c r="E2801" i="1"/>
  <c r="D2801" i="1"/>
  <c r="C2801" i="1"/>
  <c r="E2800" i="1"/>
  <c r="D2800" i="1"/>
  <c r="C2800" i="1"/>
  <c r="E2799" i="1"/>
  <c r="D2799" i="1"/>
  <c r="C2799" i="1"/>
  <c r="E2798" i="1"/>
  <c r="D2798" i="1"/>
  <c r="C2798" i="1"/>
  <c r="E2797" i="1"/>
  <c r="D2797" i="1"/>
  <c r="C2797" i="1"/>
  <c r="E2796" i="1"/>
  <c r="D2796" i="1"/>
  <c r="C2796" i="1"/>
  <c r="E2795" i="1"/>
  <c r="D2795" i="1"/>
  <c r="C2795" i="1"/>
  <c r="E2794" i="1"/>
  <c r="D2794" i="1"/>
  <c r="C2794" i="1"/>
  <c r="E2793" i="1"/>
  <c r="D2793" i="1"/>
  <c r="C2793" i="1"/>
  <c r="E2792" i="1"/>
  <c r="D2792" i="1"/>
  <c r="C2792" i="1"/>
  <c r="E2791" i="1"/>
  <c r="D2791" i="1"/>
  <c r="C2791" i="1"/>
  <c r="E2790" i="1"/>
  <c r="D2790" i="1"/>
  <c r="C2790" i="1"/>
  <c r="E2789" i="1"/>
  <c r="D2789" i="1"/>
  <c r="C2789" i="1"/>
  <c r="E2788" i="1"/>
  <c r="D2788" i="1"/>
  <c r="C2788" i="1"/>
  <c r="E2787" i="1"/>
  <c r="D2787" i="1"/>
  <c r="C2787" i="1"/>
  <c r="E2786" i="1"/>
  <c r="D2786" i="1"/>
  <c r="C2786" i="1"/>
  <c r="E2785" i="1"/>
  <c r="D2785" i="1"/>
  <c r="C2785" i="1"/>
  <c r="E2784" i="1"/>
  <c r="D2784" i="1"/>
  <c r="C2784" i="1"/>
  <c r="E2783" i="1"/>
  <c r="D2783" i="1"/>
  <c r="C2783" i="1"/>
  <c r="E2782" i="1"/>
  <c r="D2782" i="1"/>
  <c r="C2782" i="1"/>
  <c r="E2781" i="1"/>
  <c r="D2781" i="1"/>
  <c r="C2781" i="1"/>
  <c r="E2780" i="1"/>
  <c r="D2780" i="1"/>
  <c r="C2780" i="1"/>
  <c r="E2779" i="1"/>
  <c r="D2779" i="1"/>
  <c r="C2779" i="1"/>
  <c r="E2778" i="1"/>
  <c r="D2778" i="1"/>
  <c r="C2778" i="1"/>
  <c r="E2777" i="1"/>
  <c r="D2777" i="1"/>
  <c r="C2777" i="1"/>
  <c r="E2776" i="1"/>
  <c r="D2776" i="1"/>
  <c r="C2776" i="1"/>
  <c r="E2775" i="1"/>
  <c r="D2775" i="1"/>
  <c r="C2775" i="1"/>
  <c r="E2774" i="1"/>
  <c r="D2774" i="1"/>
  <c r="C2774" i="1"/>
  <c r="E2773" i="1"/>
  <c r="D2773" i="1"/>
  <c r="C2773" i="1"/>
  <c r="E2772" i="1"/>
  <c r="D2772" i="1"/>
  <c r="C2772" i="1"/>
  <c r="E2771" i="1"/>
  <c r="D2771" i="1"/>
  <c r="C2771" i="1"/>
  <c r="E2770" i="1"/>
  <c r="D2770" i="1"/>
  <c r="C2770" i="1"/>
  <c r="E2769" i="1"/>
  <c r="D2769" i="1"/>
  <c r="C2769" i="1"/>
  <c r="E2768" i="1"/>
  <c r="D2768" i="1"/>
  <c r="C2768" i="1"/>
  <c r="E2767" i="1"/>
  <c r="D2767" i="1"/>
  <c r="C2767" i="1"/>
  <c r="E2766" i="1"/>
  <c r="D2766" i="1"/>
  <c r="C2766" i="1"/>
  <c r="E2765" i="1"/>
  <c r="D2765" i="1"/>
  <c r="C2765" i="1"/>
  <c r="E2764" i="1"/>
  <c r="D2764" i="1"/>
  <c r="C2764" i="1"/>
  <c r="E2763" i="1"/>
  <c r="D2763" i="1"/>
  <c r="C2763" i="1"/>
  <c r="E2762" i="1"/>
  <c r="D2762" i="1"/>
  <c r="C2762" i="1"/>
  <c r="E2761" i="1"/>
  <c r="D2761" i="1"/>
  <c r="C2761" i="1"/>
  <c r="E2760" i="1"/>
  <c r="D2760" i="1"/>
  <c r="C2760" i="1"/>
  <c r="E2759" i="1"/>
  <c r="D2759" i="1"/>
  <c r="C2759" i="1"/>
  <c r="E2758" i="1"/>
  <c r="D2758" i="1"/>
  <c r="C2758" i="1"/>
  <c r="E2757" i="1"/>
  <c r="D2757" i="1"/>
  <c r="C2757" i="1"/>
  <c r="E2756" i="1"/>
  <c r="D2756" i="1"/>
  <c r="C2756" i="1"/>
  <c r="E2755" i="1"/>
  <c r="D2755" i="1"/>
  <c r="C2755" i="1"/>
  <c r="E2754" i="1"/>
  <c r="D2754" i="1"/>
  <c r="C2754" i="1"/>
  <c r="E2753" i="1"/>
  <c r="D2753" i="1"/>
  <c r="C2753" i="1"/>
  <c r="E2752" i="1"/>
  <c r="D2752" i="1"/>
  <c r="C2752" i="1"/>
  <c r="E2751" i="1"/>
  <c r="D2751" i="1"/>
  <c r="C2751" i="1"/>
  <c r="E2750" i="1"/>
  <c r="D2750" i="1"/>
  <c r="C2750" i="1"/>
  <c r="E2749" i="1"/>
  <c r="D2749" i="1"/>
  <c r="C2749" i="1"/>
  <c r="E2748" i="1"/>
  <c r="D2748" i="1"/>
  <c r="C2748" i="1"/>
  <c r="E2747" i="1"/>
  <c r="D2747" i="1"/>
  <c r="C2747" i="1"/>
  <c r="E2746" i="1"/>
  <c r="D2746" i="1"/>
  <c r="C2746" i="1"/>
  <c r="E2745" i="1"/>
  <c r="D2745" i="1"/>
  <c r="C2745" i="1"/>
  <c r="E2744" i="1"/>
  <c r="D2744" i="1"/>
  <c r="C2744" i="1"/>
  <c r="E2743" i="1"/>
  <c r="D2743" i="1"/>
  <c r="C2743" i="1"/>
  <c r="E2742" i="1"/>
  <c r="D2742" i="1"/>
  <c r="C2742" i="1"/>
  <c r="E2741" i="1"/>
  <c r="D2741" i="1"/>
  <c r="C2741" i="1"/>
  <c r="E2740" i="1"/>
  <c r="D2740" i="1"/>
  <c r="C2740" i="1"/>
  <c r="E2739" i="1"/>
  <c r="D2739" i="1"/>
  <c r="C2739" i="1"/>
  <c r="E2738" i="1"/>
  <c r="D2738" i="1"/>
  <c r="C2738" i="1"/>
  <c r="E2737" i="1"/>
  <c r="D2737" i="1"/>
  <c r="C2737" i="1"/>
  <c r="E2736" i="1"/>
  <c r="D2736" i="1"/>
  <c r="C2736" i="1"/>
  <c r="E2735" i="1"/>
  <c r="D2735" i="1"/>
  <c r="C2735" i="1"/>
  <c r="E2734" i="1"/>
  <c r="D2734" i="1"/>
  <c r="C2734" i="1"/>
  <c r="E2733" i="1"/>
  <c r="D2733" i="1"/>
  <c r="C2733" i="1"/>
  <c r="E2732" i="1"/>
  <c r="D2732" i="1"/>
  <c r="C2732" i="1"/>
  <c r="E2731" i="1"/>
  <c r="D2731" i="1"/>
  <c r="C2731" i="1"/>
  <c r="E2730" i="1"/>
  <c r="D2730" i="1"/>
  <c r="C2730" i="1"/>
  <c r="E2729" i="1"/>
  <c r="D2729" i="1"/>
  <c r="C2729" i="1"/>
  <c r="E2728" i="1"/>
  <c r="D2728" i="1"/>
  <c r="C2728" i="1"/>
  <c r="E2727" i="1"/>
  <c r="D2727" i="1"/>
  <c r="C2727" i="1"/>
  <c r="E2726" i="1"/>
  <c r="D2726" i="1"/>
  <c r="C2726" i="1"/>
  <c r="E2725" i="1"/>
  <c r="D2725" i="1"/>
  <c r="C2725" i="1"/>
  <c r="E2724" i="1"/>
  <c r="D2724" i="1"/>
  <c r="C2724" i="1"/>
  <c r="E2723" i="1"/>
  <c r="D2723" i="1"/>
  <c r="C2723" i="1"/>
  <c r="E2722" i="1"/>
  <c r="D2722" i="1"/>
  <c r="C2722" i="1"/>
  <c r="E2721" i="1"/>
  <c r="D2721" i="1"/>
  <c r="C2721" i="1"/>
  <c r="E2720" i="1"/>
  <c r="D2720" i="1"/>
  <c r="C2720" i="1"/>
  <c r="E2719" i="1"/>
  <c r="D2719" i="1"/>
  <c r="C2719" i="1"/>
  <c r="E2718" i="1"/>
  <c r="D2718" i="1"/>
  <c r="C2718" i="1"/>
  <c r="E2717" i="1"/>
  <c r="D2717" i="1"/>
  <c r="C2717" i="1"/>
  <c r="E2716" i="1"/>
  <c r="D2716" i="1"/>
  <c r="C2716" i="1"/>
  <c r="E2715" i="1"/>
  <c r="D2715" i="1"/>
  <c r="C2715" i="1"/>
  <c r="E2714" i="1"/>
  <c r="D2714" i="1"/>
  <c r="C2714" i="1"/>
  <c r="E2713" i="1"/>
  <c r="D2713" i="1"/>
  <c r="C2713" i="1"/>
  <c r="E2712" i="1"/>
  <c r="D2712" i="1"/>
  <c r="C2712" i="1"/>
  <c r="E2711" i="1"/>
  <c r="D2711" i="1"/>
  <c r="C2711" i="1"/>
  <c r="E2710" i="1"/>
  <c r="D2710" i="1"/>
  <c r="C2710" i="1"/>
  <c r="E2709" i="1"/>
  <c r="D2709" i="1"/>
  <c r="C2709" i="1"/>
  <c r="E2708" i="1"/>
  <c r="D2708" i="1"/>
  <c r="C2708" i="1"/>
  <c r="E2707" i="1"/>
  <c r="D2707" i="1"/>
  <c r="C2707" i="1"/>
  <c r="E2706" i="1"/>
  <c r="D2706" i="1"/>
  <c r="C2706" i="1"/>
  <c r="E2705" i="1"/>
  <c r="D2705" i="1"/>
  <c r="C2705" i="1"/>
  <c r="E2704" i="1"/>
  <c r="D2704" i="1"/>
  <c r="C2704" i="1"/>
  <c r="E2703" i="1"/>
  <c r="D2703" i="1"/>
  <c r="C2703" i="1"/>
  <c r="E2702" i="1"/>
  <c r="D2702" i="1"/>
  <c r="C2702" i="1"/>
  <c r="E2701" i="1"/>
  <c r="D2701" i="1"/>
  <c r="C2701" i="1"/>
  <c r="E2700" i="1"/>
  <c r="D2700" i="1"/>
  <c r="C2700" i="1"/>
  <c r="E2699" i="1"/>
  <c r="D2699" i="1"/>
  <c r="C2699" i="1"/>
  <c r="E2698" i="1"/>
  <c r="D2698" i="1"/>
  <c r="C2698" i="1"/>
  <c r="E2697" i="1"/>
  <c r="D2697" i="1"/>
  <c r="C2697" i="1"/>
  <c r="E2696" i="1"/>
  <c r="D2696" i="1"/>
  <c r="C2696" i="1"/>
  <c r="E2695" i="1"/>
  <c r="D2695" i="1"/>
  <c r="C2695" i="1"/>
  <c r="E2694" i="1"/>
  <c r="D2694" i="1"/>
  <c r="C2694" i="1"/>
  <c r="E2693" i="1"/>
  <c r="D2693" i="1"/>
  <c r="C2693" i="1"/>
  <c r="E2692" i="1"/>
  <c r="D2692" i="1"/>
  <c r="C2692" i="1"/>
  <c r="E2691" i="1"/>
  <c r="D2691" i="1"/>
  <c r="C2691" i="1"/>
  <c r="E2690" i="1"/>
  <c r="D2690" i="1"/>
  <c r="C2690" i="1"/>
  <c r="E2689" i="1"/>
  <c r="D2689" i="1"/>
  <c r="C2689" i="1"/>
  <c r="E2688" i="1"/>
  <c r="D2688" i="1"/>
  <c r="C2688" i="1"/>
  <c r="E2687" i="1"/>
  <c r="D2687" i="1"/>
  <c r="C2687" i="1"/>
  <c r="E2686" i="1"/>
  <c r="D2686" i="1"/>
  <c r="C2686" i="1"/>
  <c r="E2685" i="1"/>
  <c r="D2685" i="1"/>
  <c r="C2685" i="1"/>
  <c r="E2684" i="1"/>
  <c r="D2684" i="1"/>
  <c r="C2684" i="1"/>
  <c r="E2683" i="1"/>
  <c r="D2683" i="1"/>
  <c r="C2683" i="1"/>
  <c r="E2682" i="1"/>
  <c r="D2682" i="1"/>
  <c r="C2682" i="1"/>
  <c r="E2681" i="1"/>
  <c r="D2681" i="1"/>
  <c r="C2681" i="1"/>
  <c r="E2680" i="1"/>
  <c r="D2680" i="1"/>
  <c r="C2680" i="1"/>
  <c r="E2679" i="1"/>
  <c r="D2679" i="1"/>
  <c r="C2679" i="1"/>
  <c r="E2678" i="1"/>
  <c r="D2678" i="1"/>
  <c r="C2678" i="1"/>
  <c r="E2677" i="1"/>
  <c r="D2677" i="1"/>
  <c r="C2677" i="1"/>
  <c r="E2676" i="1"/>
  <c r="D2676" i="1"/>
  <c r="C2676" i="1"/>
  <c r="E2675" i="1"/>
  <c r="D2675" i="1"/>
  <c r="C2675" i="1"/>
  <c r="E2674" i="1"/>
  <c r="D2674" i="1"/>
  <c r="C2674" i="1"/>
  <c r="E2673" i="1"/>
  <c r="D2673" i="1"/>
  <c r="C2673" i="1"/>
  <c r="E2672" i="1"/>
  <c r="D2672" i="1"/>
  <c r="C2672" i="1"/>
  <c r="E2671" i="1"/>
  <c r="D2671" i="1"/>
  <c r="C2671" i="1"/>
  <c r="E2670" i="1"/>
  <c r="D2670" i="1"/>
  <c r="C2670" i="1"/>
  <c r="E2669" i="1"/>
  <c r="D2669" i="1"/>
  <c r="C2669" i="1"/>
  <c r="E2668" i="1"/>
  <c r="D2668" i="1"/>
  <c r="C2668" i="1"/>
  <c r="E2667" i="1"/>
  <c r="D2667" i="1"/>
  <c r="C2667" i="1"/>
  <c r="E2666" i="1"/>
  <c r="D2666" i="1"/>
  <c r="C2666" i="1"/>
  <c r="E2665" i="1"/>
  <c r="D2665" i="1"/>
  <c r="C2665" i="1"/>
  <c r="E2664" i="1"/>
  <c r="D2664" i="1"/>
  <c r="C2664" i="1"/>
  <c r="E2663" i="1"/>
  <c r="D2663" i="1"/>
  <c r="C2663" i="1"/>
  <c r="E2662" i="1"/>
  <c r="D2662" i="1"/>
  <c r="C2662" i="1"/>
  <c r="E2661" i="1"/>
  <c r="D2661" i="1"/>
  <c r="C2661" i="1"/>
  <c r="E2660" i="1"/>
  <c r="D2660" i="1"/>
  <c r="C2660" i="1"/>
  <c r="E2659" i="1"/>
  <c r="D2659" i="1"/>
  <c r="C2659" i="1"/>
  <c r="E2658" i="1"/>
  <c r="D2658" i="1"/>
  <c r="C2658" i="1"/>
  <c r="E2657" i="1"/>
  <c r="D2657" i="1"/>
  <c r="C2657" i="1"/>
  <c r="E2656" i="1"/>
  <c r="D2656" i="1"/>
  <c r="C2656" i="1"/>
  <c r="E2655" i="1"/>
  <c r="D2655" i="1"/>
  <c r="C2655" i="1"/>
  <c r="E2654" i="1"/>
  <c r="D2654" i="1"/>
  <c r="C2654" i="1"/>
  <c r="E2653" i="1"/>
  <c r="D2653" i="1"/>
  <c r="C2653" i="1"/>
  <c r="E2652" i="1"/>
  <c r="D2652" i="1"/>
  <c r="C2652" i="1"/>
  <c r="E2651" i="1"/>
  <c r="D2651" i="1"/>
  <c r="C2651" i="1"/>
  <c r="E2650" i="1"/>
  <c r="D2650" i="1"/>
  <c r="C2650" i="1"/>
  <c r="E2649" i="1"/>
  <c r="D2649" i="1"/>
  <c r="C2649" i="1"/>
  <c r="E2648" i="1"/>
  <c r="D2648" i="1"/>
  <c r="C2648" i="1"/>
  <c r="E2647" i="1"/>
  <c r="D2647" i="1"/>
  <c r="C2647" i="1"/>
  <c r="E2646" i="1"/>
  <c r="D2646" i="1"/>
  <c r="C2646" i="1"/>
  <c r="E2645" i="1"/>
  <c r="D2645" i="1"/>
  <c r="C2645" i="1"/>
  <c r="E2644" i="1"/>
  <c r="D2644" i="1"/>
  <c r="C2644" i="1"/>
  <c r="E2643" i="1"/>
  <c r="D2643" i="1"/>
  <c r="C2643" i="1"/>
  <c r="E2642" i="1"/>
  <c r="D2642" i="1"/>
  <c r="C2642" i="1"/>
  <c r="E2641" i="1"/>
  <c r="D2641" i="1"/>
  <c r="C2641" i="1"/>
  <c r="E2640" i="1"/>
  <c r="D2640" i="1"/>
  <c r="C2640" i="1"/>
  <c r="E2639" i="1"/>
  <c r="D2639" i="1"/>
  <c r="C2639" i="1"/>
  <c r="E2638" i="1"/>
  <c r="D2638" i="1"/>
  <c r="C2638" i="1"/>
  <c r="E2637" i="1"/>
  <c r="D2637" i="1"/>
  <c r="C2637" i="1"/>
  <c r="E2636" i="1"/>
  <c r="D2636" i="1"/>
  <c r="C2636" i="1"/>
  <c r="E2635" i="1"/>
  <c r="D2635" i="1"/>
  <c r="C2635" i="1"/>
  <c r="E2634" i="1"/>
  <c r="D2634" i="1"/>
  <c r="C2634" i="1"/>
  <c r="E2633" i="1"/>
  <c r="D2633" i="1"/>
  <c r="C2633" i="1"/>
  <c r="E2632" i="1"/>
  <c r="D2632" i="1"/>
  <c r="C2632" i="1"/>
  <c r="E2631" i="1"/>
  <c r="D2631" i="1"/>
  <c r="C2631" i="1"/>
  <c r="E2630" i="1"/>
  <c r="D2630" i="1"/>
  <c r="C2630" i="1"/>
  <c r="E2629" i="1"/>
  <c r="D2629" i="1"/>
  <c r="C2629" i="1"/>
  <c r="E2628" i="1"/>
  <c r="D2628" i="1"/>
  <c r="C2628" i="1"/>
  <c r="E2627" i="1"/>
  <c r="D2627" i="1"/>
  <c r="C2627" i="1"/>
  <c r="E2626" i="1"/>
  <c r="D2626" i="1"/>
  <c r="C2626" i="1"/>
  <c r="E2625" i="1"/>
  <c r="D2625" i="1"/>
  <c r="C2625" i="1"/>
  <c r="E2624" i="1"/>
  <c r="D2624" i="1"/>
  <c r="C2624" i="1"/>
  <c r="E2623" i="1"/>
  <c r="D2623" i="1"/>
  <c r="C2623" i="1"/>
  <c r="E2622" i="1"/>
  <c r="D2622" i="1"/>
  <c r="C2622" i="1"/>
  <c r="E2621" i="1"/>
  <c r="D2621" i="1"/>
  <c r="C2621" i="1"/>
  <c r="E2620" i="1"/>
  <c r="D2620" i="1"/>
  <c r="C2620" i="1"/>
  <c r="E2619" i="1"/>
  <c r="D2619" i="1"/>
  <c r="C2619" i="1"/>
  <c r="E2618" i="1"/>
  <c r="D2618" i="1"/>
  <c r="C2618" i="1"/>
  <c r="E2617" i="1"/>
  <c r="D2617" i="1"/>
  <c r="C2617" i="1"/>
  <c r="E2616" i="1"/>
  <c r="D2616" i="1"/>
  <c r="C2616" i="1"/>
  <c r="E2615" i="1"/>
  <c r="D2615" i="1"/>
  <c r="C2615" i="1"/>
  <c r="E2614" i="1"/>
  <c r="D2614" i="1"/>
  <c r="C2614" i="1"/>
  <c r="E2613" i="1"/>
  <c r="D2613" i="1"/>
  <c r="C2613" i="1"/>
  <c r="E2612" i="1"/>
  <c r="D2612" i="1"/>
  <c r="C2612" i="1"/>
  <c r="E2611" i="1"/>
  <c r="D2611" i="1"/>
  <c r="C2611" i="1"/>
  <c r="E2610" i="1"/>
  <c r="D2610" i="1"/>
  <c r="C2610" i="1"/>
  <c r="E2609" i="1"/>
  <c r="D2609" i="1"/>
  <c r="C2609" i="1"/>
  <c r="E2608" i="1"/>
  <c r="D2608" i="1"/>
  <c r="C2608" i="1"/>
  <c r="E2607" i="1"/>
  <c r="D2607" i="1"/>
  <c r="C2607" i="1"/>
  <c r="E2606" i="1"/>
  <c r="D2606" i="1"/>
  <c r="C2606" i="1"/>
  <c r="E2605" i="1"/>
  <c r="D2605" i="1"/>
  <c r="C2605" i="1"/>
  <c r="E2604" i="1"/>
  <c r="D2604" i="1"/>
  <c r="C2604" i="1"/>
  <c r="E2603" i="1"/>
  <c r="D2603" i="1"/>
  <c r="C2603" i="1"/>
  <c r="E2602" i="1"/>
  <c r="D2602" i="1"/>
  <c r="C2602" i="1"/>
  <c r="E2601" i="1"/>
  <c r="D2601" i="1"/>
  <c r="C2601" i="1"/>
  <c r="E2600" i="1"/>
  <c r="D2600" i="1"/>
  <c r="C2600" i="1"/>
  <c r="E2599" i="1"/>
  <c r="D2599" i="1"/>
  <c r="C2599" i="1"/>
  <c r="E2598" i="1"/>
  <c r="D2598" i="1"/>
  <c r="C2598" i="1"/>
  <c r="E2597" i="1"/>
  <c r="D2597" i="1"/>
  <c r="C2597" i="1"/>
  <c r="E2596" i="1"/>
  <c r="D2596" i="1"/>
  <c r="C2596" i="1"/>
  <c r="E2595" i="1"/>
  <c r="D2595" i="1"/>
  <c r="C2595" i="1"/>
  <c r="E2594" i="1"/>
  <c r="D2594" i="1"/>
  <c r="C2594" i="1"/>
  <c r="E2593" i="1"/>
  <c r="D2593" i="1"/>
  <c r="C2593" i="1"/>
  <c r="E2592" i="1"/>
  <c r="D2592" i="1"/>
  <c r="C2592" i="1"/>
  <c r="E2591" i="1"/>
  <c r="D2591" i="1"/>
  <c r="C2591" i="1"/>
  <c r="E2590" i="1"/>
  <c r="D2590" i="1"/>
  <c r="C2590" i="1"/>
  <c r="E2589" i="1"/>
  <c r="D2589" i="1"/>
  <c r="C2589" i="1"/>
  <c r="E2588" i="1"/>
  <c r="D2588" i="1"/>
  <c r="C2588" i="1"/>
  <c r="E2587" i="1"/>
  <c r="D2587" i="1"/>
  <c r="C2587" i="1"/>
  <c r="E2586" i="1"/>
  <c r="D2586" i="1"/>
  <c r="C2586" i="1"/>
  <c r="E2585" i="1"/>
  <c r="D2585" i="1"/>
  <c r="C2585" i="1"/>
  <c r="E2584" i="1"/>
  <c r="D2584" i="1"/>
  <c r="C2584" i="1"/>
  <c r="E2583" i="1"/>
  <c r="D2583" i="1"/>
  <c r="C2583" i="1"/>
  <c r="E2582" i="1"/>
  <c r="D2582" i="1"/>
  <c r="C2582" i="1"/>
  <c r="E2581" i="1"/>
  <c r="D2581" i="1"/>
  <c r="C2581" i="1"/>
  <c r="E2580" i="1"/>
  <c r="D2580" i="1"/>
  <c r="C2580" i="1"/>
  <c r="E2579" i="1"/>
  <c r="D2579" i="1"/>
  <c r="C2579" i="1"/>
  <c r="E2578" i="1"/>
  <c r="D2578" i="1"/>
  <c r="C2578" i="1"/>
  <c r="E2577" i="1"/>
  <c r="D2577" i="1"/>
  <c r="C2577" i="1"/>
  <c r="E2576" i="1"/>
  <c r="D2576" i="1"/>
  <c r="C2576" i="1"/>
  <c r="E2575" i="1"/>
  <c r="D2575" i="1"/>
  <c r="C2575" i="1"/>
  <c r="E2574" i="1"/>
  <c r="D2574" i="1"/>
  <c r="C2574" i="1"/>
  <c r="E2573" i="1"/>
  <c r="D2573" i="1"/>
  <c r="C2573" i="1"/>
  <c r="E2572" i="1"/>
  <c r="D2572" i="1"/>
  <c r="C2572" i="1"/>
  <c r="E2571" i="1"/>
  <c r="D2571" i="1"/>
  <c r="C2571" i="1"/>
  <c r="E2570" i="1"/>
  <c r="D2570" i="1"/>
  <c r="C2570" i="1"/>
  <c r="E2569" i="1"/>
  <c r="D2569" i="1"/>
  <c r="C2569" i="1"/>
  <c r="E2568" i="1"/>
  <c r="D2568" i="1"/>
  <c r="C2568" i="1"/>
  <c r="E2567" i="1"/>
  <c r="D2567" i="1"/>
  <c r="C2567" i="1"/>
  <c r="E2566" i="1"/>
  <c r="D2566" i="1"/>
  <c r="C2566" i="1"/>
  <c r="E2565" i="1"/>
  <c r="D2565" i="1"/>
  <c r="C2565" i="1"/>
  <c r="E2564" i="1"/>
  <c r="D2564" i="1"/>
  <c r="C2564" i="1"/>
  <c r="E2563" i="1"/>
  <c r="D2563" i="1"/>
  <c r="C2563" i="1"/>
  <c r="E2562" i="1"/>
  <c r="D2562" i="1"/>
  <c r="C2562" i="1"/>
  <c r="E2561" i="1"/>
  <c r="D2561" i="1"/>
  <c r="C2561" i="1"/>
  <c r="E2560" i="1"/>
  <c r="D2560" i="1"/>
  <c r="C2560" i="1"/>
  <c r="E2559" i="1"/>
  <c r="D2559" i="1"/>
  <c r="C2559" i="1"/>
  <c r="E2558" i="1"/>
  <c r="D2558" i="1"/>
  <c r="C2558" i="1"/>
  <c r="E2557" i="1"/>
  <c r="D2557" i="1"/>
  <c r="C2557" i="1"/>
  <c r="E2556" i="1"/>
  <c r="D2556" i="1"/>
  <c r="C2556" i="1"/>
  <c r="E2555" i="1"/>
  <c r="D2555" i="1"/>
  <c r="C2555" i="1"/>
  <c r="E2554" i="1"/>
  <c r="D2554" i="1"/>
  <c r="C2554" i="1"/>
  <c r="E2553" i="1"/>
  <c r="D2553" i="1"/>
  <c r="C2553" i="1"/>
  <c r="E2552" i="1"/>
  <c r="D2552" i="1"/>
  <c r="C2552" i="1"/>
  <c r="E2551" i="1"/>
  <c r="D2551" i="1"/>
  <c r="C2551" i="1"/>
  <c r="E2550" i="1"/>
  <c r="D2550" i="1"/>
  <c r="C2550" i="1"/>
  <c r="E2549" i="1"/>
  <c r="D2549" i="1"/>
  <c r="C2549" i="1"/>
  <c r="E2548" i="1"/>
  <c r="D2548" i="1"/>
  <c r="C2548" i="1"/>
  <c r="E2547" i="1"/>
  <c r="D2547" i="1"/>
  <c r="C2547" i="1"/>
  <c r="E2546" i="1"/>
  <c r="D2546" i="1"/>
  <c r="C2546" i="1"/>
  <c r="E2545" i="1"/>
  <c r="D2545" i="1"/>
  <c r="C2545" i="1"/>
  <c r="E2544" i="1"/>
  <c r="D2544" i="1"/>
  <c r="C2544" i="1"/>
  <c r="E2543" i="1"/>
  <c r="D2543" i="1"/>
  <c r="C2543" i="1"/>
  <c r="E2542" i="1"/>
  <c r="D2542" i="1"/>
  <c r="C2542" i="1"/>
  <c r="E2541" i="1"/>
  <c r="D2541" i="1"/>
  <c r="C2541" i="1"/>
  <c r="E2540" i="1"/>
  <c r="D2540" i="1"/>
  <c r="C2540" i="1"/>
  <c r="E2539" i="1"/>
  <c r="D2539" i="1"/>
  <c r="C2539" i="1"/>
  <c r="E2538" i="1"/>
  <c r="D2538" i="1"/>
  <c r="C2538" i="1"/>
  <c r="E2537" i="1"/>
  <c r="D2537" i="1"/>
  <c r="C2537" i="1"/>
  <c r="E2536" i="1"/>
  <c r="D2536" i="1"/>
  <c r="C2536" i="1"/>
  <c r="E2535" i="1"/>
  <c r="D2535" i="1"/>
  <c r="C2535" i="1"/>
  <c r="E2534" i="1"/>
  <c r="D2534" i="1"/>
  <c r="C2534" i="1"/>
  <c r="E2533" i="1"/>
  <c r="D2533" i="1"/>
  <c r="C2533" i="1"/>
  <c r="E2532" i="1"/>
  <c r="D2532" i="1"/>
  <c r="C2532" i="1"/>
  <c r="E2531" i="1"/>
  <c r="D2531" i="1"/>
  <c r="C2531" i="1"/>
  <c r="E2530" i="1"/>
  <c r="D2530" i="1"/>
  <c r="C2530" i="1"/>
  <c r="E2529" i="1"/>
  <c r="D2529" i="1"/>
  <c r="C2529" i="1"/>
  <c r="E2528" i="1"/>
  <c r="D2528" i="1"/>
  <c r="C2528" i="1"/>
  <c r="E2527" i="1"/>
  <c r="D2527" i="1"/>
  <c r="C2527" i="1"/>
  <c r="E2526" i="1"/>
  <c r="D2526" i="1"/>
  <c r="C2526" i="1"/>
  <c r="E2525" i="1"/>
  <c r="D2525" i="1"/>
  <c r="C2525" i="1"/>
  <c r="E2524" i="1"/>
  <c r="D2524" i="1"/>
  <c r="C2524" i="1"/>
  <c r="E2523" i="1"/>
  <c r="D2523" i="1"/>
  <c r="C2523" i="1"/>
  <c r="E2522" i="1"/>
  <c r="D2522" i="1"/>
  <c r="C2522" i="1"/>
  <c r="E2521" i="1"/>
  <c r="D2521" i="1"/>
  <c r="C2521" i="1"/>
  <c r="E2520" i="1"/>
  <c r="D2520" i="1"/>
  <c r="C2520" i="1"/>
  <c r="E2519" i="1"/>
  <c r="D2519" i="1"/>
  <c r="C2519" i="1"/>
  <c r="E2518" i="1"/>
  <c r="D2518" i="1"/>
  <c r="C2518" i="1"/>
  <c r="E2517" i="1"/>
  <c r="D2517" i="1"/>
  <c r="C2517" i="1"/>
  <c r="E2516" i="1"/>
  <c r="D2516" i="1"/>
  <c r="C2516" i="1"/>
  <c r="E2515" i="1"/>
  <c r="D2515" i="1"/>
  <c r="C2515" i="1"/>
  <c r="E2514" i="1"/>
  <c r="D2514" i="1"/>
  <c r="C2514" i="1"/>
  <c r="E2513" i="1"/>
  <c r="D2513" i="1"/>
  <c r="C2513" i="1"/>
  <c r="E2512" i="1"/>
  <c r="D2512" i="1"/>
  <c r="C2512" i="1"/>
  <c r="E2511" i="1"/>
  <c r="D2511" i="1"/>
  <c r="C2511" i="1"/>
  <c r="E2510" i="1"/>
  <c r="D2510" i="1"/>
  <c r="C2510" i="1"/>
  <c r="E2509" i="1"/>
  <c r="D2509" i="1"/>
  <c r="C2509" i="1"/>
  <c r="E2508" i="1"/>
  <c r="D2508" i="1"/>
  <c r="C2508" i="1"/>
  <c r="E2507" i="1"/>
  <c r="D2507" i="1"/>
  <c r="C2507" i="1"/>
  <c r="E2506" i="1"/>
  <c r="D2506" i="1"/>
  <c r="C2506" i="1"/>
  <c r="E2505" i="1"/>
  <c r="D2505" i="1"/>
  <c r="C2505" i="1"/>
  <c r="E2504" i="1"/>
  <c r="D2504" i="1"/>
  <c r="C2504" i="1"/>
  <c r="E2503" i="1"/>
  <c r="D2503" i="1"/>
  <c r="C2503" i="1"/>
  <c r="E2502" i="1"/>
  <c r="D2502" i="1"/>
  <c r="C2502" i="1"/>
  <c r="E2501" i="1"/>
  <c r="D2501" i="1"/>
  <c r="C2501" i="1"/>
  <c r="E2500" i="1"/>
  <c r="D2500" i="1"/>
  <c r="C2500" i="1"/>
  <c r="E2499" i="1"/>
  <c r="D2499" i="1"/>
  <c r="C2499" i="1"/>
  <c r="E2498" i="1"/>
  <c r="D2498" i="1"/>
  <c r="C2498" i="1"/>
  <c r="E2497" i="1"/>
  <c r="D2497" i="1"/>
  <c r="C2497" i="1"/>
  <c r="E2496" i="1"/>
  <c r="D2496" i="1"/>
  <c r="C2496" i="1"/>
  <c r="E2495" i="1"/>
  <c r="D2495" i="1"/>
  <c r="C2495" i="1"/>
  <c r="E2494" i="1"/>
  <c r="D2494" i="1"/>
  <c r="C2494" i="1"/>
  <c r="E2493" i="1"/>
  <c r="D2493" i="1"/>
  <c r="C2493" i="1"/>
  <c r="E2492" i="1"/>
  <c r="D2492" i="1"/>
  <c r="C2492" i="1"/>
  <c r="E2491" i="1"/>
  <c r="D2491" i="1"/>
  <c r="C2491" i="1"/>
  <c r="E2490" i="1"/>
  <c r="D2490" i="1"/>
  <c r="C2490" i="1"/>
  <c r="E2489" i="1"/>
  <c r="D2489" i="1"/>
  <c r="C2489" i="1"/>
  <c r="E2488" i="1"/>
  <c r="D2488" i="1"/>
  <c r="C2488" i="1"/>
  <c r="E2487" i="1"/>
  <c r="D2487" i="1"/>
  <c r="C2487" i="1"/>
  <c r="E2486" i="1"/>
  <c r="D2486" i="1"/>
  <c r="C2486" i="1"/>
  <c r="E2485" i="1"/>
  <c r="D2485" i="1"/>
  <c r="C2485" i="1"/>
  <c r="E2484" i="1"/>
  <c r="D2484" i="1"/>
  <c r="C2484" i="1"/>
  <c r="E2483" i="1"/>
  <c r="D2483" i="1"/>
  <c r="C2483" i="1"/>
  <c r="E2482" i="1"/>
  <c r="D2482" i="1"/>
  <c r="C2482" i="1"/>
  <c r="E2481" i="1"/>
  <c r="D2481" i="1"/>
  <c r="C2481" i="1"/>
  <c r="E2480" i="1"/>
  <c r="D2480" i="1"/>
  <c r="C2480" i="1"/>
  <c r="E2479" i="1"/>
  <c r="D2479" i="1"/>
  <c r="C2479" i="1"/>
  <c r="E2478" i="1"/>
  <c r="D2478" i="1"/>
  <c r="C2478" i="1"/>
  <c r="E2477" i="1"/>
  <c r="D2477" i="1"/>
  <c r="C2477" i="1"/>
  <c r="E2476" i="1"/>
  <c r="D2476" i="1"/>
  <c r="C2476" i="1"/>
  <c r="E2475" i="1"/>
  <c r="D2475" i="1"/>
  <c r="C2475" i="1"/>
  <c r="E2474" i="1"/>
  <c r="D2474" i="1"/>
  <c r="C2474" i="1"/>
  <c r="E2473" i="1"/>
  <c r="D2473" i="1"/>
  <c r="C2473" i="1"/>
  <c r="E2472" i="1"/>
  <c r="D2472" i="1"/>
  <c r="C2472" i="1"/>
  <c r="E2471" i="1"/>
  <c r="D2471" i="1"/>
  <c r="C2471" i="1"/>
  <c r="E2470" i="1"/>
  <c r="D2470" i="1"/>
  <c r="C2470" i="1"/>
  <c r="E2469" i="1"/>
  <c r="D2469" i="1"/>
  <c r="C2469" i="1"/>
  <c r="E2468" i="1"/>
  <c r="D2468" i="1"/>
  <c r="C2468" i="1"/>
  <c r="E2467" i="1"/>
  <c r="D2467" i="1"/>
  <c r="C2467" i="1"/>
  <c r="E2466" i="1"/>
  <c r="D2466" i="1"/>
  <c r="C2466" i="1"/>
  <c r="E2465" i="1"/>
  <c r="D2465" i="1"/>
  <c r="C2465" i="1"/>
  <c r="E2464" i="1"/>
  <c r="D2464" i="1"/>
  <c r="C2464" i="1"/>
  <c r="E2463" i="1"/>
  <c r="D2463" i="1"/>
  <c r="C2463" i="1"/>
  <c r="E2462" i="1"/>
  <c r="D2462" i="1"/>
  <c r="C2462" i="1"/>
  <c r="E2461" i="1"/>
  <c r="D2461" i="1"/>
  <c r="C2461" i="1"/>
  <c r="E2460" i="1"/>
  <c r="D2460" i="1"/>
  <c r="C2460" i="1"/>
  <c r="E2459" i="1"/>
  <c r="D2459" i="1"/>
  <c r="C2459" i="1"/>
  <c r="E2458" i="1"/>
  <c r="D2458" i="1"/>
  <c r="C2458" i="1"/>
  <c r="E2457" i="1"/>
  <c r="D2457" i="1"/>
  <c r="C2457" i="1"/>
  <c r="E2456" i="1"/>
  <c r="D2456" i="1"/>
  <c r="C2456" i="1"/>
  <c r="E2455" i="1"/>
  <c r="D2455" i="1"/>
  <c r="C2455" i="1"/>
  <c r="E2454" i="1"/>
  <c r="D2454" i="1"/>
  <c r="C2454" i="1"/>
  <c r="E2453" i="1"/>
  <c r="D2453" i="1"/>
  <c r="C2453" i="1"/>
  <c r="E2452" i="1"/>
  <c r="D2452" i="1"/>
  <c r="C2452" i="1"/>
  <c r="E2451" i="1"/>
  <c r="D2451" i="1"/>
  <c r="C2451" i="1"/>
  <c r="E2450" i="1"/>
  <c r="D2450" i="1"/>
  <c r="C2450" i="1"/>
  <c r="E2449" i="1"/>
  <c r="D2449" i="1"/>
  <c r="C2449" i="1"/>
  <c r="E2448" i="1"/>
  <c r="D2448" i="1"/>
  <c r="C2448" i="1"/>
  <c r="E2447" i="1"/>
  <c r="D2447" i="1"/>
  <c r="C2447" i="1"/>
  <c r="E2446" i="1"/>
  <c r="D2446" i="1"/>
  <c r="C2446" i="1"/>
  <c r="E2445" i="1"/>
  <c r="D2445" i="1"/>
  <c r="C2445" i="1"/>
  <c r="E2444" i="1"/>
  <c r="D2444" i="1"/>
  <c r="C2444" i="1"/>
  <c r="E2443" i="1"/>
  <c r="D2443" i="1"/>
  <c r="C2443" i="1"/>
  <c r="E2442" i="1"/>
  <c r="D2442" i="1"/>
  <c r="C2442" i="1"/>
  <c r="E2441" i="1"/>
  <c r="D2441" i="1"/>
  <c r="C2441" i="1"/>
  <c r="E2440" i="1"/>
  <c r="D2440" i="1"/>
  <c r="C2440" i="1"/>
  <c r="E2439" i="1"/>
  <c r="D2439" i="1"/>
  <c r="C2439" i="1"/>
  <c r="E2438" i="1"/>
  <c r="D2438" i="1"/>
  <c r="C2438" i="1"/>
  <c r="E2437" i="1"/>
  <c r="D2437" i="1"/>
  <c r="C2437" i="1"/>
  <c r="E2436" i="1"/>
  <c r="D2436" i="1"/>
  <c r="C2436" i="1"/>
  <c r="E2435" i="1"/>
  <c r="D2435" i="1"/>
  <c r="C2435" i="1"/>
  <c r="E2434" i="1"/>
  <c r="D2434" i="1"/>
  <c r="C2434" i="1"/>
  <c r="E2433" i="1"/>
  <c r="D2433" i="1"/>
  <c r="C2433" i="1"/>
  <c r="E2432" i="1"/>
  <c r="D2432" i="1"/>
  <c r="C2432" i="1"/>
  <c r="E2431" i="1"/>
  <c r="D2431" i="1"/>
  <c r="C2431" i="1"/>
  <c r="E2430" i="1"/>
  <c r="D2430" i="1"/>
  <c r="C2430" i="1"/>
  <c r="E2429" i="1"/>
  <c r="D2429" i="1"/>
  <c r="C2429" i="1"/>
  <c r="E2428" i="1"/>
  <c r="D2428" i="1"/>
  <c r="C2428" i="1"/>
  <c r="E2427" i="1"/>
  <c r="D2427" i="1"/>
  <c r="C2427" i="1"/>
  <c r="E2426" i="1"/>
  <c r="D2426" i="1"/>
  <c r="C2426" i="1"/>
  <c r="E2425" i="1"/>
  <c r="D2425" i="1"/>
  <c r="C2425" i="1"/>
  <c r="E2424" i="1"/>
  <c r="D2424" i="1"/>
  <c r="C2424" i="1"/>
  <c r="E2423" i="1"/>
  <c r="D2423" i="1"/>
  <c r="C2423" i="1"/>
  <c r="E2422" i="1"/>
  <c r="D2422" i="1"/>
  <c r="C2422" i="1"/>
  <c r="E2421" i="1"/>
  <c r="D2421" i="1"/>
  <c r="C2421" i="1"/>
  <c r="E2420" i="1"/>
  <c r="D2420" i="1"/>
  <c r="C2420" i="1"/>
  <c r="E2419" i="1"/>
  <c r="D2419" i="1"/>
  <c r="C2419" i="1"/>
  <c r="E2418" i="1"/>
  <c r="D2418" i="1"/>
  <c r="C2418" i="1"/>
  <c r="E2417" i="1"/>
  <c r="D2417" i="1"/>
  <c r="C2417" i="1"/>
  <c r="E2416" i="1"/>
  <c r="D2416" i="1"/>
  <c r="C2416" i="1"/>
  <c r="E2415" i="1"/>
  <c r="D2415" i="1"/>
  <c r="C2415" i="1"/>
  <c r="E2414" i="1"/>
  <c r="D2414" i="1"/>
  <c r="C2414" i="1"/>
  <c r="E2413" i="1"/>
  <c r="D2413" i="1"/>
  <c r="C2413" i="1"/>
  <c r="E2412" i="1"/>
  <c r="D2412" i="1"/>
  <c r="C2412" i="1"/>
  <c r="E2411" i="1"/>
  <c r="D2411" i="1"/>
  <c r="C2411" i="1"/>
  <c r="E2410" i="1"/>
  <c r="D2410" i="1"/>
  <c r="C2410" i="1"/>
  <c r="E2409" i="1"/>
  <c r="D2409" i="1"/>
  <c r="C2409" i="1"/>
  <c r="E2408" i="1"/>
  <c r="D2408" i="1"/>
  <c r="C2408" i="1"/>
  <c r="E2407" i="1"/>
  <c r="D2407" i="1"/>
  <c r="C2407" i="1"/>
  <c r="E2406" i="1"/>
  <c r="D2406" i="1"/>
  <c r="C2406" i="1"/>
  <c r="E2405" i="1"/>
  <c r="D2405" i="1"/>
  <c r="C2405" i="1"/>
  <c r="E2404" i="1"/>
  <c r="D2404" i="1"/>
  <c r="C2404" i="1"/>
  <c r="E2403" i="1"/>
  <c r="D2403" i="1"/>
  <c r="C2403" i="1"/>
  <c r="E2402" i="1"/>
  <c r="D2402" i="1"/>
  <c r="C2402" i="1"/>
  <c r="E2401" i="1"/>
  <c r="D2401" i="1"/>
  <c r="C2401" i="1"/>
  <c r="E2400" i="1"/>
  <c r="D2400" i="1"/>
  <c r="C2400" i="1"/>
  <c r="E2399" i="1"/>
  <c r="D2399" i="1"/>
  <c r="C2399" i="1"/>
  <c r="E2398" i="1"/>
  <c r="D2398" i="1"/>
  <c r="C2398" i="1"/>
  <c r="E2397" i="1"/>
  <c r="D2397" i="1"/>
  <c r="C2397" i="1"/>
  <c r="E2396" i="1"/>
  <c r="D2396" i="1"/>
  <c r="C2396" i="1"/>
  <c r="E2395" i="1"/>
  <c r="D2395" i="1"/>
  <c r="C2395" i="1"/>
  <c r="E2394" i="1"/>
  <c r="D2394" i="1"/>
  <c r="C2394" i="1"/>
  <c r="E2393" i="1"/>
  <c r="D2393" i="1"/>
  <c r="C2393" i="1"/>
  <c r="E2392" i="1"/>
  <c r="D2392" i="1"/>
  <c r="C2392" i="1"/>
  <c r="E2391" i="1"/>
  <c r="D2391" i="1"/>
  <c r="C2391" i="1"/>
  <c r="E2390" i="1"/>
  <c r="D2390" i="1"/>
  <c r="C2390" i="1"/>
  <c r="E2389" i="1"/>
  <c r="D2389" i="1"/>
  <c r="C2389" i="1"/>
  <c r="E2388" i="1"/>
  <c r="D2388" i="1"/>
  <c r="C2388" i="1"/>
  <c r="E2387" i="1"/>
  <c r="D2387" i="1"/>
  <c r="C2387" i="1"/>
  <c r="E2386" i="1"/>
  <c r="D2386" i="1"/>
  <c r="C2386" i="1"/>
  <c r="E2385" i="1"/>
  <c r="D2385" i="1"/>
  <c r="C2385" i="1"/>
  <c r="E2384" i="1"/>
  <c r="D2384" i="1"/>
  <c r="C2384" i="1"/>
  <c r="E2383" i="1"/>
  <c r="D2383" i="1"/>
  <c r="C2383" i="1"/>
  <c r="E2382" i="1"/>
  <c r="D2382" i="1"/>
  <c r="C2382" i="1"/>
  <c r="E2381" i="1"/>
  <c r="D2381" i="1"/>
  <c r="C2381" i="1"/>
  <c r="E2380" i="1"/>
  <c r="D2380" i="1"/>
  <c r="C2380" i="1"/>
  <c r="E2379" i="1"/>
  <c r="D2379" i="1"/>
  <c r="C2379" i="1"/>
  <c r="E2378" i="1"/>
  <c r="D2378" i="1"/>
  <c r="C2378" i="1"/>
  <c r="E2377" i="1"/>
  <c r="D2377" i="1"/>
  <c r="C2377" i="1"/>
  <c r="E2376" i="1"/>
  <c r="D2376" i="1"/>
  <c r="C2376" i="1"/>
  <c r="E2375" i="1"/>
  <c r="D2375" i="1"/>
  <c r="C2375" i="1"/>
  <c r="E2374" i="1"/>
  <c r="D2374" i="1"/>
  <c r="C2374" i="1"/>
  <c r="E2373" i="1"/>
  <c r="D2373" i="1"/>
  <c r="C2373" i="1"/>
  <c r="E2372" i="1"/>
  <c r="D2372" i="1"/>
  <c r="C2372" i="1"/>
  <c r="E2371" i="1"/>
  <c r="D2371" i="1"/>
  <c r="C2371" i="1"/>
  <c r="E2370" i="1"/>
  <c r="D2370" i="1"/>
  <c r="C2370" i="1"/>
  <c r="E2369" i="1"/>
  <c r="D2369" i="1"/>
  <c r="C2369" i="1"/>
  <c r="E2368" i="1"/>
  <c r="D2368" i="1"/>
  <c r="C2368" i="1"/>
  <c r="E2367" i="1"/>
  <c r="D2367" i="1"/>
  <c r="C2367" i="1"/>
  <c r="E2366" i="1"/>
  <c r="D2366" i="1"/>
  <c r="C2366" i="1"/>
  <c r="E2365" i="1"/>
  <c r="D2365" i="1"/>
  <c r="C2365" i="1"/>
  <c r="E2364" i="1"/>
  <c r="D2364" i="1"/>
  <c r="C2364" i="1"/>
  <c r="E2363" i="1"/>
  <c r="D2363" i="1"/>
  <c r="C2363" i="1"/>
  <c r="E2362" i="1"/>
  <c r="D2362" i="1"/>
  <c r="C2362" i="1"/>
  <c r="E2361" i="1"/>
  <c r="D2361" i="1"/>
  <c r="C2361" i="1"/>
  <c r="E2360" i="1"/>
  <c r="D2360" i="1"/>
  <c r="C2360" i="1"/>
  <c r="E2359" i="1"/>
  <c r="D2359" i="1"/>
  <c r="C2359" i="1"/>
  <c r="E2358" i="1"/>
  <c r="D2358" i="1"/>
  <c r="C2358" i="1"/>
  <c r="E2357" i="1"/>
  <c r="D2357" i="1"/>
  <c r="C2357" i="1"/>
  <c r="E2356" i="1"/>
  <c r="D2356" i="1"/>
  <c r="C2356" i="1"/>
  <c r="E2355" i="1"/>
  <c r="D2355" i="1"/>
  <c r="C2355" i="1"/>
  <c r="E2354" i="1"/>
  <c r="D2354" i="1"/>
  <c r="C2354" i="1"/>
  <c r="E2353" i="1"/>
  <c r="D2353" i="1"/>
  <c r="C2353" i="1"/>
  <c r="E2352" i="1"/>
  <c r="D2352" i="1"/>
  <c r="C2352" i="1"/>
  <c r="E2351" i="1"/>
  <c r="D2351" i="1"/>
  <c r="C2351" i="1"/>
  <c r="E2350" i="1"/>
  <c r="D2350" i="1"/>
  <c r="C2350" i="1"/>
  <c r="E2349" i="1"/>
  <c r="D2349" i="1"/>
  <c r="C2349" i="1"/>
  <c r="E2348" i="1"/>
  <c r="D2348" i="1"/>
  <c r="C2348" i="1"/>
  <c r="E2347" i="1"/>
  <c r="D2347" i="1"/>
  <c r="C2347" i="1"/>
  <c r="E2346" i="1"/>
  <c r="D2346" i="1"/>
  <c r="C2346" i="1"/>
  <c r="E2345" i="1"/>
  <c r="D2345" i="1"/>
  <c r="C2345" i="1"/>
  <c r="E2344" i="1"/>
  <c r="D2344" i="1"/>
  <c r="C2344" i="1"/>
  <c r="E2343" i="1"/>
  <c r="D2343" i="1"/>
  <c r="C2343" i="1"/>
  <c r="E2342" i="1"/>
  <c r="D2342" i="1"/>
  <c r="C2342" i="1"/>
  <c r="E2341" i="1"/>
  <c r="D2341" i="1"/>
  <c r="C2341" i="1"/>
  <c r="E2340" i="1"/>
  <c r="D2340" i="1"/>
  <c r="C2340" i="1"/>
  <c r="E2339" i="1"/>
  <c r="D2339" i="1"/>
  <c r="C2339" i="1"/>
  <c r="E2338" i="1"/>
  <c r="D2338" i="1"/>
  <c r="C2338" i="1"/>
  <c r="E2337" i="1"/>
  <c r="D2337" i="1"/>
  <c r="C2337" i="1"/>
  <c r="E2336" i="1"/>
  <c r="D2336" i="1"/>
  <c r="C2336" i="1"/>
  <c r="E2335" i="1"/>
  <c r="D2335" i="1"/>
  <c r="C2335" i="1"/>
  <c r="E2334" i="1"/>
  <c r="D2334" i="1"/>
  <c r="C2334" i="1"/>
  <c r="E2333" i="1"/>
  <c r="D2333" i="1"/>
  <c r="C2333" i="1"/>
  <c r="E2332" i="1"/>
  <c r="D2332" i="1"/>
  <c r="C2332" i="1"/>
  <c r="E2331" i="1"/>
  <c r="D2331" i="1"/>
  <c r="C2331" i="1"/>
  <c r="E2330" i="1"/>
  <c r="D2330" i="1"/>
  <c r="C2330" i="1"/>
  <c r="E2329" i="1"/>
  <c r="D2329" i="1"/>
  <c r="C2329" i="1"/>
  <c r="E2328" i="1"/>
  <c r="D2328" i="1"/>
  <c r="C2328" i="1"/>
  <c r="E2327" i="1"/>
  <c r="D2327" i="1"/>
  <c r="C2327" i="1"/>
  <c r="E2326" i="1"/>
  <c r="D2326" i="1"/>
  <c r="C2326" i="1"/>
  <c r="E2325" i="1"/>
  <c r="D2325" i="1"/>
  <c r="C2325" i="1"/>
  <c r="E2324" i="1"/>
  <c r="D2324" i="1"/>
  <c r="C2324" i="1"/>
  <c r="E2323" i="1"/>
  <c r="D2323" i="1"/>
  <c r="C2323" i="1"/>
  <c r="E2322" i="1"/>
  <c r="D2322" i="1"/>
  <c r="C2322" i="1"/>
  <c r="E2321" i="1"/>
  <c r="D2321" i="1"/>
  <c r="C2321" i="1"/>
  <c r="E2320" i="1"/>
  <c r="D2320" i="1"/>
  <c r="C2320" i="1"/>
  <c r="E2319" i="1"/>
  <c r="D2319" i="1"/>
  <c r="C2319" i="1"/>
  <c r="E2318" i="1"/>
  <c r="D2318" i="1"/>
  <c r="C2318" i="1"/>
  <c r="E2317" i="1"/>
  <c r="D2317" i="1"/>
  <c r="C2317" i="1"/>
  <c r="E2316" i="1"/>
  <c r="D2316" i="1"/>
  <c r="C2316" i="1"/>
  <c r="E2315" i="1"/>
  <c r="D2315" i="1"/>
  <c r="C2315" i="1"/>
  <c r="E2314" i="1"/>
  <c r="D2314" i="1"/>
  <c r="C2314" i="1"/>
  <c r="E2313" i="1"/>
  <c r="D2313" i="1"/>
  <c r="C2313" i="1"/>
  <c r="E2312" i="1"/>
  <c r="D2312" i="1"/>
  <c r="C2312" i="1"/>
  <c r="E2311" i="1"/>
  <c r="D2311" i="1"/>
  <c r="C2311" i="1"/>
  <c r="E2310" i="1"/>
  <c r="D2310" i="1"/>
  <c r="C2310" i="1"/>
  <c r="E2309" i="1"/>
  <c r="D2309" i="1"/>
  <c r="C2309" i="1"/>
  <c r="E2308" i="1"/>
  <c r="D2308" i="1"/>
  <c r="C2308" i="1"/>
  <c r="E2307" i="1"/>
  <c r="D2307" i="1"/>
  <c r="C2307" i="1"/>
  <c r="E2306" i="1"/>
  <c r="D2306" i="1"/>
  <c r="C2306" i="1"/>
  <c r="E2305" i="1"/>
  <c r="D2305" i="1"/>
  <c r="C2305" i="1"/>
  <c r="E2304" i="1"/>
  <c r="D2304" i="1"/>
  <c r="C2304" i="1"/>
  <c r="E2303" i="1"/>
  <c r="D2303" i="1"/>
  <c r="C2303" i="1"/>
  <c r="E2302" i="1"/>
  <c r="D2302" i="1"/>
  <c r="C2302" i="1"/>
  <c r="E2301" i="1"/>
  <c r="D2301" i="1"/>
  <c r="C2301" i="1"/>
  <c r="E2300" i="1"/>
  <c r="D2300" i="1"/>
  <c r="C2300" i="1"/>
  <c r="E2299" i="1"/>
  <c r="D2299" i="1"/>
  <c r="C2299" i="1"/>
  <c r="E2298" i="1"/>
  <c r="D2298" i="1"/>
  <c r="C2298" i="1"/>
  <c r="E2297" i="1"/>
  <c r="D2297" i="1"/>
  <c r="C2297" i="1"/>
  <c r="E2296" i="1"/>
  <c r="D2296" i="1"/>
  <c r="C2296" i="1"/>
  <c r="E2295" i="1"/>
  <c r="D2295" i="1"/>
  <c r="C2295" i="1"/>
  <c r="E2294" i="1"/>
  <c r="D2294" i="1"/>
  <c r="C2294" i="1"/>
  <c r="E2293" i="1"/>
  <c r="D2293" i="1"/>
  <c r="C2293" i="1"/>
  <c r="E2292" i="1"/>
  <c r="D2292" i="1"/>
  <c r="C2292" i="1"/>
  <c r="E2291" i="1"/>
  <c r="D2291" i="1"/>
  <c r="C2291" i="1"/>
  <c r="E2290" i="1"/>
  <c r="D2290" i="1"/>
  <c r="C2290" i="1"/>
  <c r="E2289" i="1"/>
  <c r="D2289" i="1"/>
  <c r="C2289" i="1"/>
  <c r="E2288" i="1"/>
  <c r="D2288" i="1"/>
  <c r="C2288" i="1"/>
  <c r="E2287" i="1"/>
  <c r="D2287" i="1"/>
  <c r="C2287" i="1"/>
  <c r="E2286" i="1"/>
  <c r="D2286" i="1"/>
  <c r="C2286" i="1"/>
  <c r="E2285" i="1"/>
  <c r="D2285" i="1"/>
  <c r="C2285" i="1"/>
  <c r="E2284" i="1"/>
  <c r="D2284" i="1"/>
  <c r="C2284" i="1"/>
  <c r="E2283" i="1"/>
  <c r="D2283" i="1"/>
  <c r="C2283" i="1"/>
  <c r="E2282" i="1"/>
  <c r="D2282" i="1"/>
  <c r="C2282" i="1"/>
  <c r="E2281" i="1"/>
  <c r="D2281" i="1"/>
  <c r="C2281" i="1"/>
  <c r="E2280" i="1"/>
  <c r="D2280" i="1"/>
  <c r="C2280" i="1"/>
  <c r="E2279" i="1"/>
  <c r="D2279" i="1"/>
  <c r="C2279" i="1"/>
  <c r="E2278" i="1"/>
  <c r="D2278" i="1"/>
  <c r="C2278" i="1"/>
  <c r="E2277" i="1"/>
  <c r="D2277" i="1"/>
  <c r="C2277" i="1"/>
  <c r="E2276" i="1"/>
  <c r="D2276" i="1"/>
  <c r="C2276" i="1"/>
  <c r="E2275" i="1"/>
  <c r="D2275" i="1"/>
  <c r="C2275" i="1"/>
  <c r="E2274" i="1"/>
  <c r="D2274" i="1"/>
  <c r="C2274" i="1"/>
  <c r="E2273" i="1"/>
  <c r="D2273" i="1"/>
  <c r="C2273" i="1"/>
  <c r="E2272" i="1"/>
  <c r="D2272" i="1"/>
  <c r="C2272" i="1"/>
  <c r="E2271" i="1"/>
  <c r="D2271" i="1"/>
  <c r="C2271" i="1"/>
  <c r="E2270" i="1"/>
  <c r="D2270" i="1"/>
  <c r="C2270" i="1"/>
  <c r="E2269" i="1"/>
  <c r="D2269" i="1"/>
  <c r="C2269" i="1"/>
  <c r="E2268" i="1"/>
  <c r="D2268" i="1"/>
  <c r="C2268" i="1"/>
  <c r="E2267" i="1"/>
  <c r="D2267" i="1"/>
  <c r="C2267" i="1"/>
  <c r="E2266" i="1"/>
  <c r="D2266" i="1"/>
  <c r="C2266" i="1"/>
  <c r="E2265" i="1"/>
  <c r="D2265" i="1"/>
  <c r="C2265" i="1"/>
  <c r="E2264" i="1"/>
  <c r="D2264" i="1"/>
  <c r="C2264" i="1"/>
  <c r="E2263" i="1"/>
  <c r="D2263" i="1"/>
  <c r="C2263" i="1"/>
  <c r="E2262" i="1"/>
  <c r="D2262" i="1"/>
  <c r="C2262" i="1"/>
  <c r="E2261" i="1"/>
  <c r="D2261" i="1"/>
  <c r="C2261" i="1"/>
  <c r="E2260" i="1"/>
  <c r="D2260" i="1"/>
  <c r="C2260" i="1"/>
  <c r="E2259" i="1"/>
  <c r="D2259" i="1"/>
  <c r="C2259" i="1"/>
  <c r="E2258" i="1"/>
  <c r="D2258" i="1"/>
  <c r="C2258" i="1"/>
  <c r="E2257" i="1"/>
  <c r="D2257" i="1"/>
  <c r="C2257" i="1"/>
  <c r="E2256" i="1"/>
  <c r="D2256" i="1"/>
  <c r="C2256" i="1"/>
  <c r="E2255" i="1"/>
  <c r="D2255" i="1"/>
  <c r="C2255" i="1"/>
  <c r="E2254" i="1"/>
  <c r="D2254" i="1"/>
  <c r="C2254" i="1"/>
  <c r="E2253" i="1"/>
  <c r="D2253" i="1"/>
  <c r="C2253" i="1"/>
  <c r="E2252" i="1"/>
  <c r="D2252" i="1"/>
  <c r="C2252" i="1"/>
  <c r="E2251" i="1"/>
  <c r="D2251" i="1"/>
  <c r="C2251" i="1"/>
  <c r="E2250" i="1"/>
  <c r="D2250" i="1"/>
  <c r="C2250" i="1"/>
  <c r="E2249" i="1"/>
  <c r="D2249" i="1"/>
  <c r="C2249" i="1"/>
  <c r="E2248" i="1"/>
  <c r="D2248" i="1"/>
  <c r="C2248" i="1"/>
  <c r="E2247" i="1"/>
  <c r="D2247" i="1"/>
  <c r="C2247" i="1"/>
  <c r="E2246" i="1"/>
  <c r="D2246" i="1"/>
  <c r="C2246" i="1"/>
  <c r="E2245" i="1"/>
  <c r="D2245" i="1"/>
  <c r="C2245" i="1"/>
  <c r="E2244" i="1"/>
  <c r="D2244" i="1"/>
  <c r="C2244" i="1"/>
  <c r="E2243" i="1"/>
  <c r="D2243" i="1"/>
  <c r="C2243" i="1"/>
  <c r="E2242" i="1"/>
  <c r="D2242" i="1"/>
  <c r="C2242" i="1"/>
  <c r="E2241" i="1"/>
  <c r="D2241" i="1"/>
  <c r="C2241" i="1"/>
  <c r="E2240" i="1"/>
  <c r="D2240" i="1"/>
  <c r="C2240" i="1"/>
  <c r="E2239" i="1"/>
  <c r="D2239" i="1"/>
  <c r="C2239" i="1"/>
  <c r="E2238" i="1"/>
  <c r="D2238" i="1"/>
  <c r="C2238" i="1"/>
  <c r="E2237" i="1"/>
  <c r="D2237" i="1"/>
  <c r="C2237" i="1"/>
  <c r="E2236" i="1"/>
  <c r="D2236" i="1"/>
  <c r="C2236" i="1"/>
  <c r="E2235" i="1"/>
  <c r="D2235" i="1"/>
  <c r="C2235" i="1"/>
  <c r="E2234" i="1"/>
  <c r="D2234" i="1"/>
  <c r="C2234" i="1"/>
  <c r="E2233" i="1"/>
  <c r="D2233" i="1"/>
  <c r="C2233" i="1"/>
  <c r="E2232" i="1"/>
  <c r="D2232" i="1"/>
  <c r="C2232" i="1"/>
  <c r="E2231" i="1"/>
  <c r="D2231" i="1"/>
  <c r="C2231" i="1"/>
  <c r="E2230" i="1"/>
  <c r="D2230" i="1"/>
  <c r="C2230" i="1"/>
  <c r="E2229" i="1"/>
  <c r="D2229" i="1"/>
  <c r="C2229" i="1"/>
  <c r="E2228" i="1"/>
  <c r="D2228" i="1"/>
  <c r="C2228" i="1"/>
  <c r="E2227" i="1"/>
  <c r="D2227" i="1"/>
  <c r="C2227" i="1"/>
  <c r="E2226" i="1"/>
  <c r="D2226" i="1"/>
  <c r="C2226" i="1"/>
  <c r="E2225" i="1"/>
  <c r="D2225" i="1"/>
  <c r="C2225" i="1"/>
  <c r="E2224" i="1"/>
  <c r="D2224" i="1"/>
  <c r="C2224" i="1"/>
  <c r="E2223" i="1"/>
  <c r="D2223" i="1"/>
  <c r="C2223" i="1"/>
  <c r="E2222" i="1"/>
  <c r="D2222" i="1"/>
  <c r="C2222" i="1"/>
  <c r="E2221" i="1"/>
  <c r="D2221" i="1"/>
  <c r="C2221" i="1"/>
  <c r="E2220" i="1"/>
  <c r="D2220" i="1"/>
  <c r="C2220" i="1"/>
  <c r="E2219" i="1"/>
  <c r="D2219" i="1"/>
  <c r="C2219" i="1"/>
  <c r="E2218" i="1"/>
  <c r="D2218" i="1"/>
  <c r="C2218" i="1"/>
  <c r="E2217" i="1"/>
  <c r="D2217" i="1"/>
  <c r="C2217" i="1"/>
  <c r="E2216" i="1"/>
  <c r="D2216" i="1"/>
  <c r="C2216" i="1"/>
  <c r="E2215" i="1"/>
  <c r="D2215" i="1"/>
  <c r="C2215" i="1"/>
  <c r="E2214" i="1"/>
  <c r="D2214" i="1"/>
  <c r="C2214" i="1"/>
  <c r="E2213" i="1"/>
  <c r="D2213" i="1"/>
  <c r="C2213" i="1"/>
  <c r="E2212" i="1"/>
  <c r="D2212" i="1"/>
  <c r="C2212" i="1"/>
  <c r="E2211" i="1"/>
  <c r="D2211" i="1"/>
  <c r="C2211" i="1"/>
  <c r="E2210" i="1"/>
  <c r="D2210" i="1"/>
  <c r="C2210" i="1"/>
  <c r="E2209" i="1"/>
  <c r="D2209" i="1"/>
  <c r="C2209" i="1"/>
  <c r="E2208" i="1"/>
  <c r="D2208" i="1"/>
  <c r="C2208" i="1"/>
  <c r="E2207" i="1"/>
  <c r="D2207" i="1"/>
  <c r="C2207" i="1"/>
  <c r="E2206" i="1"/>
  <c r="D2206" i="1"/>
  <c r="C2206" i="1"/>
  <c r="E2205" i="1"/>
  <c r="D2205" i="1"/>
  <c r="C2205" i="1"/>
  <c r="E2204" i="1"/>
  <c r="D2204" i="1"/>
  <c r="C2204" i="1"/>
  <c r="E2203" i="1"/>
  <c r="D2203" i="1"/>
  <c r="C2203" i="1"/>
  <c r="E2202" i="1"/>
  <c r="D2202" i="1"/>
  <c r="C2202" i="1"/>
  <c r="E2201" i="1"/>
  <c r="D2201" i="1"/>
  <c r="C2201" i="1"/>
  <c r="E2200" i="1"/>
  <c r="D2200" i="1"/>
  <c r="C2200" i="1"/>
  <c r="E2199" i="1"/>
  <c r="D2199" i="1"/>
  <c r="C2199" i="1"/>
  <c r="E2198" i="1"/>
  <c r="D2198" i="1"/>
  <c r="C2198" i="1"/>
  <c r="E2197" i="1"/>
  <c r="D2197" i="1"/>
  <c r="C2197" i="1"/>
  <c r="E2196" i="1"/>
  <c r="D2196" i="1"/>
  <c r="C2196" i="1"/>
  <c r="E2195" i="1"/>
  <c r="D2195" i="1"/>
  <c r="C2195" i="1"/>
  <c r="E2194" i="1"/>
  <c r="D2194" i="1"/>
  <c r="C2194" i="1"/>
  <c r="E2193" i="1"/>
  <c r="D2193" i="1"/>
  <c r="C2193" i="1"/>
  <c r="E2192" i="1"/>
  <c r="D2192" i="1"/>
  <c r="C2192" i="1"/>
  <c r="E2191" i="1"/>
  <c r="D2191" i="1"/>
  <c r="C2191" i="1"/>
  <c r="E2190" i="1"/>
  <c r="D2190" i="1"/>
  <c r="C2190" i="1"/>
  <c r="E2189" i="1"/>
  <c r="D2189" i="1"/>
  <c r="C2189" i="1"/>
  <c r="E2188" i="1"/>
  <c r="D2188" i="1"/>
  <c r="C2188" i="1"/>
  <c r="E2187" i="1"/>
  <c r="D2187" i="1"/>
  <c r="C2187" i="1"/>
  <c r="E2186" i="1"/>
  <c r="D2186" i="1"/>
  <c r="C2186" i="1"/>
  <c r="E2185" i="1"/>
  <c r="D2185" i="1"/>
  <c r="C2185" i="1"/>
  <c r="E2184" i="1"/>
  <c r="D2184" i="1"/>
  <c r="C2184" i="1"/>
  <c r="E2183" i="1"/>
  <c r="D2183" i="1"/>
  <c r="C2183" i="1"/>
  <c r="E2182" i="1"/>
  <c r="D2182" i="1"/>
  <c r="C2182" i="1"/>
  <c r="E2181" i="1"/>
  <c r="D2181" i="1"/>
  <c r="C2181" i="1"/>
  <c r="E2180" i="1"/>
  <c r="D2180" i="1"/>
  <c r="C2180" i="1"/>
  <c r="E2179" i="1"/>
  <c r="D2179" i="1"/>
  <c r="C2179" i="1"/>
  <c r="E2178" i="1"/>
  <c r="D2178" i="1"/>
  <c r="C2178" i="1"/>
  <c r="E2177" i="1"/>
  <c r="D2177" i="1"/>
  <c r="C2177" i="1"/>
  <c r="E2176" i="1"/>
  <c r="D2176" i="1"/>
  <c r="C2176" i="1"/>
  <c r="E2175" i="1"/>
  <c r="D2175" i="1"/>
  <c r="C2175" i="1"/>
  <c r="E2174" i="1"/>
  <c r="D2174" i="1"/>
  <c r="C2174" i="1"/>
  <c r="E2173" i="1"/>
  <c r="D2173" i="1"/>
  <c r="C2173" i="1"/>
  <c r="E2172" i="1"/>
  <c r="D2172" i="1"/>
  <c r="C2172" i="1"/>
  <c r="E2171" i="1"/>
  <c r="D2171" i="1"/>
  <c r="C2171" i="1"/>
  <c r="E2170" i="1"/>
  <c r="D2170" i="1"/>
  <c r="C2170" i="1"/>
  <c r="E2169" i="1"/>
  <c r="D2169" i="1"/>
  <c r="C2169" i="1"/>
  <c r="E2168" i="1"/>
  <c r="D2168" i="1"/>
  <c r="C2168" i="1"/>
  <c r="E2167" i="1"/>
  <c r="D2167" i="1"/>
  <c r="C2167" i="1"/>
  <c r="E2166" i="1"/>
  <c r="D2166" i="1"/>
  <c r="C2166" i="1"/>
  <c r="E2165" i="1"/>
  <c r="D2165" i="1"/>
  <c r="C2165" i="1"/>
  <c r="E2164" i="1"/>
  <c r="D2164" i="1"/>
  <c r="C2164" i="1"/>
  <c r="E2163" i="1"/>
  <c r="D2163" i="1"/>
  <c r="C2163" i="1"/>
  <c r="E2162" i="1"/>
  <c r="D2162" i="1"/>
  <c r="C2162" i="1"/>
  <c r="E2161" i="1"/>
  <c r="D2161" i="1"/>
  <c r="C2161" i="1"/>
  <c r="E2160" i="1"/>
  <c r="D2160" i="1"/>
  <c r="C2160" i="1"/>
  <c r="E2159" i="1"/>
  <c r="D2159" i="1"/>
  <c r="C2159" i="1"/>
  <c r="E2158" i="1"/>
  <c r="D2158" i="1"/>
  <c r="C2158" i="1"/>
  <c r="E2157" i="1"/>
  <c r="D2157" i="1"/>
  <c r="C2157" i="1"/>
  <c r="E2156" i="1"/>
  <c r="D2156" i="1"/>
  <c r="C2156" i="1"/>
  <c r="E2155" i="1"/>
  <c r="D2155" i="1"/>
  <c r="C2155" i="1"/>
  <c r="E2154" i="1"/>
  <c r="D2154" i="1"/>
  <c r="C2154" i="1"/>
  <c r="E2153" i="1"/>
  <c r="D2153" i="1"/>
  <c r="C2153" i="1"/>
  <c r="E2152" i="1"/>
  <c r="D2152" i="1"/>
  <c r="C2152" i="1"/>
  <c r="E2151" i="1"/>
  <c r="D2151" i="1"/>
  <c r="C2151" i="1"/>
  <c r="E2150" i="1"/>
  <c r="D2150" i="1"/>
  <c r="C2150" i="1"/>
  <c r="E2149" i="1"/>
  <c r="D2149" i="1"/>
  <c r="C2149" i="1"/>
  <c r="E2148" i="1"/>
  <c r="D2148" i="1"/>
  <c r="C2148" i="1"/>
  <c r="E2147" i="1"/>
  <c r="D2147" i="1"/>
  <c r="C2147" i="1"/>
  <c r="E2146" i="1"/>
  <c r="D2146" i="1"/>
  <c r="C2146" i="1"/>
  <c r="E2145" i="1"/>
  <c r="D2145" i="1"/>
  <c r="C2145" i="1"/>
  <c r="E2144" i="1"/>
  <c r="D2144" i="1"/>
  <c r="C2144" i="1"/>
  <c r="E2143" i="1"/>
  <c r="D2143" i="1"/>
  <c r="C2143" i="1"/>
  <c r="E2142" i="1"/>
  <c r="D2142" i="1"/>
  <c r="C2142" i="1"/>
  <c r="E2141" i="1"/>
  <c r="D2141" i="1"/>
  <c r="C2141" i="1"/>
  <c r="E2140" i="1"/>
  <c r="D2140" i="1"/>
  <c r="C2140" i="1"/>
  <c r="E2139" i="1"/>
  <c r="D2139" i="1"/>
  <c r="C2139" i="1"/>
  <c r="E2138" i="1"/>
  <c r="D2138" i="1"/>
  <c r="C2138" i="1"/>
  <c r="E2137" i="1"/>
  <c r="D2137" i="1"/>
  <c r="C2137" i="1"/>
  <c r="E2136" i="1"/>
  <c r="D2136" i="1"/>
  <c r="C2136" i="1"/>
  <c r="E2135" i="1"/>
  <c r="D2135" i="1"/>
  <c r="C2135" i="1"/>
  <c r="E2134" i="1"/>
  <c r="D2134" i="1"/>
  <c r="C2134" i="1"/>
  <c r="E2133" i="1"/>
  <c r="D2133" i="1"/>
  <c r="C2133" i="1"/>
  <c r="E2132" i="1"/>
  <c r="D2132" i="1"/>
  <c r="C2132" i="1"/>
  <c r="E2131" i="1"/>
  <c r="D2131" i="1"/>
  <c r="C2131" i="1"/>
  <c r="E2130" i="1"/>
  <c r="D2130" i="1"/>
  <c r="C2130" i="1"/>
  <c r="E2129" i="1"/>
  <c r="D2129" i="1"/>
  <c r="C2129" i="1"/>
  <c r="E2128" i="1"/>
  <c r="D2128" i="1"/>
  <c r="C2128" i="1"/>
  <c r="E2127" i="1"/>
  <c r="D2127" i="1"/>
  <c r="C2127" i="1"/>
  <c r="E2126" i="1"/>
  <c r="D2126" i="1"/>
  <c r="C2126" i="1"/>
  <c r="E2125" i="1"/>
  <c r="D2125" i="1"/>
  <c r="C2125" i="1"/>
  <c r="E2124" i="1"/>
  <c r="D2124" i="1"/>
  <c r="C2124" i="1"/>
  <c r="E2123" i="1"/>
  <c r="D2123" i="1"/>
  <c r="C2123" i="1"/>
  <c r="E2122" i="1"/>
  <c r="D2122" i="1"/>
  <c r="C2122" i="1"/>
  <c r="E2121" i="1"/>
  <c r="D2121" i="1"/>
  <c r="C2121" i="1"/>
  <c r="E2120" i="1"/>
  <c r="D2120" i="1"/>
  <c r="C2120" i="1"/>
  <c r="E2119" i="1"/>
  <c r="D2119" i="1"/>
  <c r="C2119" i="1"/>
  <c r="E2118" i="1"/>
  <c r="D2118" i="1"/>
  <c r="C2118" i="1"/>
  <c r="E2117" i="1"/>
  <c r="D2117" i="1"/>
  <c r="C2117" i="1"/>
  <c r="E2116" i="1"/>
  <c r="D2116" i="1"/>
  <c r="C2116" i="1"/>
  <c r="E2115" i="1"/>
  <c r="D2115" i="1"/>
  <c r="C2115" i="1"/>
  <c r="E2114" i="1"/>
  <c r="D2114" i="1"/>
  <c r="C2114" i="1"/>
  <c r="E2113" i="1"/>
  <c r="D2113" i="1"/>
  <c r="C2113" i="1"/>
  <c r="E2112" i="1"/>
  <c r="D2112" i="1"/>
  <c r="C2112" i="1"/>
  <c r="E2111" i="1"/>
  <c r="D2111" i="1"/>
  <c r="C2111" i="1"/>
  <c r="E2110" i="1"/>
  <c r="D2110" i="1"/>
  <c r="C2110" i="1"/>
  <c r="E2109" i="1"/>
  <c r="D2109" i="1"/>
  <c r="C2109" i="1"/>
  <c r="E2108" i="1"/>
  <c r="D2108" i="1"/>
  <c r="C2108" i="1"/>
  <c r="E2107" i="1"/>
  <c r="D2107" i="1"/>
  <c r="C2107" i="1"/>
  <c r="E2106" i="1"/>
  <c r="D2106" i="1"/>
  <c r="C2106" i="1"/>
  <c r="E2105" i="1"/>
  <c r="D2105" i="1"/>
  <c r="C2105" i="1"/>
  <c r="E2104" i="1"/>
  <c r="D2104" i="1"/>
  <c r="C2104" i="1"/>
  <c r="E2103" i="1"/>
  <c r="D2103" i="1"/>
  <c r="C2103" i="1"/>
  <c r="E2102" i="1"/>
  <c r="D2102" i="1"/>
  <c r="C2102" i="1"/>
  <c r="E2101" i="1"/>
  <c r="D2101" i="1"/>
  <c r="C2101" i="1"/>
  <c r="E2100" i="1"/>
  <c r="D2100" i="1"/>
  <c r="C2100" i="1"/>
  <c r="E2099" i="1"/>
  <c r="D2099" i="1"/>
  <c r="C2099" i="1"/>
  <c r="E2098" i="1"/>
  <c r="D2098" i="1"/>
  <c r="C2098" i="1"/>
  <c r="E2097" i="1"/>
  <c r="D2097" i="1"/>
  <c r="C2097" i="1"/>
  <c r="E2096" i="1"/>
  <c r="D2096" i="1"/>
  <c r="C2096" i="1"/>
  <c r="E2095" i="1"/>
  <c r="D2095" i="1"/>
  <c r="C2095" i="1"/>
  <c r="E2094" i="1"/>
  <c r="D2094" i="1"/>
  <c r="C2094" i="1"/>
  <c r="E2093" i="1"/>
  <c r="D2093" i="1"/>
  <c r="C2093" i="1"/>
  <c r="E2092" i="1"/>
  <c r="D2092" i="1"/>
  <c r="C2092" i="1"/>
  <c r="E2091" i="1"/>
  <c r="D2091" i="1"/>
  <c r="C2091" i="1"/>
  <c r="E2090" i="1"/>
  <c r="D2090" i="1"/>
  <c r="C2090" i="1"/>
  <c r="E2089" i="1"/>
  <c r="D2089" i="1"/>
  <c r="C2089" i="1"/>
  <c r="E2088" i="1"/>
  <c r="D2088" i="1"/>
  <c r="C2088" i="1"/>
  <c r="E2087" i="1"/>
  <c r="D2087" i="1"/>
  <c r="C2087" i="1"/>
  <c r="E2086" i="1"/>
  <c r="D2086" i="1"/>
  <c r="C2086" i="1"/>
  <c r="E2085" i="1"/>
  <c r="D2085" i="1"/>
  <c r="C2085" i="1"/>
  <c r="E2084" i="1"/>
  <c r="D2084" i="1"/>
  <c r="C2084" i="1"/>
  <c r="E2083" i="1"/>
  <c r="D2083" i="1"/>
  <c r="C2083" i="1"/>
  <c r="E2082" i="1"/>
  <c r="D2082" i="1"/>
  <c r="C2082" i="1"/>
  <c r="E2081" i="1"/>
  <c r="D2081" i="1"/>
  <c r="C2081" i="1"/>
  <c r="E2080" i="1"/>
  <c r="D2080" i="1"/>
  <c r="C2080" i="1"/>
  <c r="E2079" i="1"/>
  <c r="D2079" i="1"/>
  <c r="C2079" i="1"/>
  <c r="E2078" i="1"/>
  <c r="D2078" i="1"/>
  <c r="C2078" i="1"/>
  <c r="E2077" i="1"/>
  <c r="D2077" i="1"/>
  <c r="C2077" i="1"/>
  <c r="E2076" i="1"/>
  <c r="D2076" i="1"/>
  <c r="C2076" i="1"/>
  <c r="E2075" i="1"/>
  <c r="D2075" i="1"/>
  <c r="C2075" i="1"/>
  <c r="E2074" i="1"/>
  <c r="D2074" i="1"/>
  <c r="C2074" i="1"/>
  <c r="E2073" i="1"/>
  <c r="D2073" i="1"/>
  <c r="C2073" i="1"/>
  <c r="E2072" i="1"/>
  <c r="D2072" i="1"/>
  <c r="C2072" i="1"/>
  <c r="E2071" i="1"/>
  <c r="D2071" i="1"/>
  <c r="C2071" i="1"/>
  <c r="E2070" i="1"/>
  <c r="D2070" i="1"/>
  <c r="C2070" i="1"/>
  <c r="E2069" i="1"/>
  <c r="D2069" i="1"/>
  <c r="C2069" i="1"/>
  <c r="E2068" i="1"/>
  <c r="D2068" i="1"/>
  <c r="C2068" i="1"/>
  <c r="E2067" i="1"/>
  <c r="D2067" i="1"/>
  <c r="C2067" i="1"/>
  <c r="E2066" i="1"/>
  <c r="D2066" i="1"/>
  <c r="C2066" i="1"/>
  <c r="E2065" i="1"/>
  <c r="D2065" i="1"/>
  <c r="C2065" i="1"/>
  <c r="E2064" i="1"/>
  <c r="D2064" i="1"/>
  <c r="C2064" i="1"/>
  <c r="E2063" i="1"/>
  <c r="D2063" i="1"/>
  <c r="C2063" i="1"/>
  <c r="E2062" i="1"/>
  <c r="D2062" i="1"/>
  <c r="C2062" i="1"/>
  <c r="E2061" i="1"/>
  <c r="D2061" i="1"/>
  <c r="C2061" i="1"/>
  <c r="E2060" i="1"/>
  <c r="D2060" i="1"/>
  <c r="C2060" i="1"/>
  <c r="E2059" i="1"/>
  <c r="D2059" i="1"/>
  <c r="C2059" i="1"/>
  <c r="E2058" i="1"/>
  <c r="D2058" i="1"/>
  <c r="C2058" i="1"/>
  <c r="E2057" i="1"/>
  <c r="D2057" i="1"/>
  <c r="C2057" i="1"/>
  <c r="E2056" i="1"/>
  <c r="D2056" i="1"/>
  <c r="C2056" i="1"/>
  <c r="E2055" i="1"/>
  <c r="D2055" i="1"/>
  <c r="C2055" i="1"/>
  <c r="E2054" i="1"/>
  <c r="D2054" i="1"/>
  <c r="C2054" i="1"/>
  <c r="E2053" i="1"/>
  <c r="D2053" i="1"/>
  <c r="C2053" i="1"/>
  <c r="E2052" i="1"/>
  <c r="D2052" i="1"/>
  <c r="C2052" i="1"/>
  <c r="E2051" i="1"/>
  <c r="D2051" i="1"/>
  <c r="C2051" i="1"/>
  <c r="E2050" i="1"/>
  <c r="D2050" i="1"/>
  <c r="C2050" i="1"/>
  <c r="E2049" i="1"/>
  <c r="D2049" i="1"/>
  <c r="C2049" i="1"/>
  <c r="E2048" i="1"/>
  <c r="D2048" i="1"/>
  <c r="C2048" i="1"/>
  <c r="E2047" i="1"/>
  <c r="D2047" i="1"/>
  <c r="C2047" i="1"/>
  <c r="E2046" i="1"/>
  <c r="D2046" i="1"/>
  <c r="C2046" i="1"/>
  <c r="E2045" i="1"/>
  <c r="D2045" i="1"/>
  <c r="C2045" i="1"/>
  <c r="E2044" i="1"/>
  <c r="D2044" i="1"/>
  <c r="C2044" i="1"/>
  <c r="E2043" i="1"/>
  <c r="D2043" i="1"/>
  <c r="C2043" i="1"/>
  <c r="E2042" i="1"/>
  <c r="D2042" i="1"/>
  <c r="C2042" i="1"/>
  <c r="E2041" i="1"/>
  <c r="D2041" i="1"/>
  <c r="C2041" i="1"/>
  <c r="E2040" i="1"/>
  <c r="D2040" i="1"/>
  <c r="C2040" i="1"/>
  <c r="E2039" i="1"/>
  <c r="D2039" i="1"/>
  <c r="C2039" i="1"/>
  <c r="E2038" i="1"/>
  <c r="D2038" i="1"/>
  <c r="C2038" i="1"/>
  <c r="E2037" i="1"/>
  <c r="D2037" i="1"/>
  <c r="C2037" i="1"/>
  <c r="E2036" i="1"/>
  <c r="D2036" i="1"/>
  <c r="C2036" i="1"/>
  <c r="E2035" i="1"/>
  <c r="D2035" i="1"/>
  <c r="C2035" i="1"/>
  <c r="E2034" i="1"/>
  <c r="D2034" i="1"/>
  <c r="C2034" i="1"/>
  <c r="E2033" i="1"/>
  <c r="D2033" i="1"/>
  <c r="C2033" i="1"/>
  <c r="E2032" i="1"/>
  <c r="D2032" i="1"/>
  <c r="C2032" i="1"/>
  <c r="E2031" i="1"/>
  <c r="D2031" i="1"/>
  <c r="C2031" i="1"/>
  <c r="E2030" i="1"/>
  <c r="D2030" i="1"/>
  <c r="C2030" i="1"/>
  <c r="E2029" i="1"/>
  <c r="D2029" i="1"/>
  <c r="C2029" i="1"/>
  <c r="E2028" i="1"/>
  <c r="D2028" i="1"/>
  <c r="C2028" i="1"/>
  <c r="E2027" i="1"/>
  <c r="D2027" i="1"/>
  <c r="C2027" i="1"/>
  <c r="E2026" i="1"/>
  <c r="D2026" i="1"/>
  <c r="C2026" i="1"/>
  <c r="E2025" i="1"/>
  <c r="D2025" i="1"/>
  <c r="C2025" i="1"/>
  <c r="E2024" i="1"/>
  <c r="D2024" i="1"/>
  <c r="C2024" i="1"/>
  <c r="E2023" i="1"/>
  <c r="D2023" i="1"/>
  <c r="C2023" i="1"/>
  <c r="E2022" i="1"/>
  <c r="D2022" i="1"/>
  <c r="C2022" i="1"/>
  <c r="E2021" i="1"/>
  <c r="D2021" i="1"/>
  <c r="C2021" i="1"/>
  <c r="E2020" i="1"/>
  <c r="D2020" i="1"/>
  <c r="C2020" i="1"/>
  <c r="E2019" i="1"/>
  <c r="D2019" i="1"/>
  <c r="C2019" i="1"/>
  <c r="E2018" i="1"/>
  <c r="D2018" i="1"/>
  <c r="C2018" i="1"/>
  <c r="E2017" i="1"/>
  <c r="D2017" i="1"/>
  <c r="C2017" i="1"/>
  <c r="E2016" i="1"/>
  <c r="D2016" i="1"/>
  <c r="C2016" i="1"/>
  <c r="E2015" i="1"/>
  <c r="D2015" i="1"/>
  <c r="C2015" i="1"/>
  <c r="E2014" i="1"/>
  <c r="D2014" i="1"/>
  <c r="C2014" i="1"/>
  <c r="E2013" i="1"/>
  <c r="D2013" i="1"/>
  <c r="C2013" i="1"/>
  <c r="E2012" i="1"/>
  <c r="D2012" i="1"/>
  <c r="C2012" i="1"/>
  <c r="E2011" i="1"/>
  <c r="D2011" i="1"/>
  <c r="C2011" i="1"/>
  <c r="E2010" i="1"/>
  <c r="D2010" i="1"/>
  <c r="C2010" i="1"/>
  <c r="E2009" i="1"/>
  <c r="D2009" i="1"/>
  <c r="C2009" i="1"/>
  <c r="E2008" i="1"/>
  <c r="D2008" i="1"/>
  <c r="C2008" i="1"/>
  <c r="E2007" i="1"/>
  <c r="D2007" i="1"/>
  <c r="C2007" i="1"/>
  <c r="E2006" i="1"/>
  <c r="D2006" i="1"/>
  <c r="C2006" i="1"/>
  <c r="E2005" i="1"/>
  <c r="D2005" i="1"/>
  <c r="C2005" i="1"/>
  <c r="E2004" i="1"/>
  <c r="D2004" i="1"/>
  <c r="C2004" i="1"/>
  <c r="E2003" i="1"/>
  <c r="D2003" i="1"/>
  <c r="C2003" i="1"/>
  <c r="E2002" i="1"/>
  <c r="D2002" i="1"/>
  <c r="C2002" i="1"/>
  <c r="E2001" i="1"/>
  <c r="D2001" i="1"/>
  <c r="C2001" i="1"/>
  <c r="E2000" i="1"/>
  <c r="D2000" i="1"/>
  <c r="C2000" i="1"/>
  <c r="E1999" i="1"/>
  <c r="D1999" i="1"/>
  <c r="C1999" i="1"/>
  <c r="E1998" i="1"/>
  <c r="D1998" i="1"/>
  <c r="C1998" i="1"/>
  <c r="E1997" i="1"/>
  <c r="D1997" i="1"/>
  <c r="C1997" i="1"/>
  <c r="E1996" i="1"/>
  <c r="D1996" i="1"/>
  <c r="C1996" i="1"/>
  <c r="E1995" i="1"/>
  <c r="D1995" i="1"/>
  <c r="C1995" i="1"/>
  <c r="E1994" i="1"/>
  <c r="D1994" i="1"/>
  <c r="C1994" i="1"/>
  <c r="E1993" i="1"/>
  <c r="D1993" i="1"/>
  <c r="C1993" i="1"/>
  <c r="E1992" i="1"/>
  <c r="D1992" i="1"/>
  <c r="C1992" i="1"/>
  <c r="E1991" i="1"/>
  <c r="D1991" i="1"/>
  <c r="C1991" i="1"/>
  <c r="E1990" i="1"/>
  <c r="D1990" i="1"/>
  <c r="C1990" i="1"/>
  <c r="E1989" i="1"/>
  <c r="D1989" i="1"/>
  <c r="C1989" i="1"/>
  <c r="E1988" i="1"/>
  <c r="D1988" i="1"/>
  <c r="C1988" i="1"/>
  <c r="E1987" i="1"/>
  <c r="D1987" i="1"/>
  <c r="C1987" i="1"/>
  <c r="E1986" i="1"/>
  <c r="D1986" i="1"/>
  <c r="C1986" i="1"/>
  <c r="E1985" i="1"/>
  <c r="D1985" i="1"/>
  <c r="C1985" i="1"/>
  <c r="E1984" i="1"/>
  <c r="D1984" i="1"/>
  <c r="C1984" i="1"/>
  <c r="E1983" i="1"/>
  <c r="D1983" i="1"/>
  <c r="C1983" i="1"/>
  <c r="E1982" i="1"/>
  <c r="D1982" i="1"/>
  <c r="C1982" i="1"/>
  <c r="E1981" i="1"/>
  <c r="D1981" i="1"/>
  <c r="C1981" i="1"/>
  <c r="E1980" i="1"/>
  <c r="D1980" i="1"/>
  <c r="C1980" i="1"/>
  <c r="E1979" i="1"/>
  <c r="D1979" i="1"/>
  <c r="C1979" i="1"/>
  <c r="E1978" i="1"/>
  <c r="D1978" i="1"/>
  <c r="C1978" i="1"/>
  <c r="E1977" i="1"/>
  <c r="D1977" i="1"/>
  <c r="C1977" i="1"/>
  <c r="E1976" i="1"/>
  <c r="D1976" i="1"/>
  <c r="C1976" i="1"/>
  <c r="E1975" i="1"/>
  <c r="D1975" i="1"/>
  <c r="C1975" i="1"/>
  <c r="E1974" i="1"/>
  <c r="D1974" i="1"/>
  <c r="C1974" i="1"/>
  <c r="E1973" i="1"/>
  <c r="D1973" i="1"/>
  <c r="C1973" i="1"/>
  <c r="E1972" i="1"/>
  <c r="D1972" i="1"/>
  <c r="C1972" i="1"/>
  <c r="E1971" i="1"/>
  <c r="D1971" i="1"/>
  <c r="C1971" i="1"/>
  <c r="E1970" i="1"/>
  <c r="D1970" i="1"/>
  <c r="C1970" i="1"/>
  <c r="E1969" i="1"/>
  <c r="D1969" i="1"/>
  <c r="C1969" i="1"/>
  <c r="E1968" i="1"/>
  <c r="D1968" i="1"/>
  <c r="C1968" i="1"/>
  <c r="E1967" i="1"/>
  <c r="D1967" i="1"/>
  <c r="C1967" i="1"/>
  <c r="E1966" i="1"/>
  <c r="D1966" i="1"/>
  <c r="C1966" i="1"/>
  <c r="E1965" i="1"/>
  <c r="D1965" i="1"/>
  <c r="C1965" i="1"/>
  <c r="E1964" i="1"/>
  <c r="D1964" i="1"/>
  <c r="C1964" i="1"/>
  <c r="E1963" i="1"/>
  <c r="D1963" i="1"/>
  <c r="C1963" i="1"/>
  <c r="E1962" i="1"/>
  <c r="D1962" i="1"/>
  <c r="C1962" i="1"/>
  <c r="E1961" i="1"/>
  <c r="D1961" i="1"/>
  <c r="C1961" i="1"/>
  <c r="E1960" i="1"/>
  <c r="D1960" i="1"/>
  <c r="C1960" i="1"/>
  <c r="E1959" i="1"/>
  <c r="D1959" i="1"/>
  <c r="C1959" i="1"/>
  <c r="E1958" i="1"/>
  <c r="D1958" i="1"/>
  <c r="C1958" i="1"/>
  <c r="E1957" i="1"/>
  <c r="D1957" i="1"/>
  <c r="C1957" i="1"/>
  <c r="E1956" i="1"/>
  <c r="D1956" i="1"/>
  <c r="C1956" i="1"/>
  <c r="E1955" i="1"/>
  <c r="D1955" i="1"/>
  <c r="C1955" i="1"/>
  <c r="E1954" i="1"/>
  <c r="D1954" i="1"/>
  <c r="C1954" i="1"/>
  <c r="E1953" i="1"/>
  <c r="D1953" i="1"/>
  <c r="C1953" i="1"/>
  <c r="E1952" i="1"/>
  <c r="D1952" i="1"/>
  <c r="C1952" i="1"/>
  <c r="E1951" i="1"/>
  <c r="D1951" i="1"/>
  <c r="C1951" i="1"/>
  <c r="E1950" i="1"/>
  <c r="D1950" i="1"/>
  <c r="C1950" i="1"/>
  <c r="E1949" i="1"/>
  <c r="D1949" i="1"/>
  <c r="C1949" i="1"/>
  <c r="E1948" i="1"/>
  <c r="D1948" i="1"/>
  <c r="C1948" i="1"/>
  <c r="E1947" i="1"/>
  <c r="D1947" i="1"/>
  <c r="C1947" i="1"/>
  <c r="E1946" i="1"/>
  <c r="D1946" i="1"/>
  <c r="C1946" i="1"/>
  <c r="E1945" i="1"/>
  <c r="D1945" i="1"/>
  <c r="C1945" i="1"/>
  <c r="E1944" i="1"/>
  <c r="D1944" i="1"/>
  <c r="C1944" i="1"/>
  <c r="E1943" i="1"/>
  <c r="D1943" i="1"/>
  <c r="C1943" i="1"/>
  <c r="E1942" i="1"/>
  <c r="D1942" i="1"/>
  <c r="C1942" i="1"/>
  <c r="E1941" i="1"/>
  <c r="D1941" i="1"/>
  <c r="C1941" i="1"/>
  <c r="E1940" i="1"/>
  <c r="D1940" i="1"/>
  <c r="C1940" i="1"/>
  <c r="E1939" i="1"/>
  <c r="D1939" i="1"/>
  <c r="C1939" i="1"/>
  <c r="E1938" i="1"/>
  <c r="D1938" i="1"/>
  <c r="C1938" i="1"/>
  <c r="E1937" i="1"/>
  <c r="D1937" i="1"/>
  <c r="C1937" i="1"/>
  <c r="E1936" i="1"/>
  <c r="D1936" i="1"/>
  <c r="C1936" i="1"/>
  <c r="E1935" i="1"/>
  <c r="D1935" i="1"/>
  <c r="C1935" i="1"/>
  <c r="E1934" i="1"/>
  <c r="D1934" i="1"/>
  <c r="C1934" i="1"/>
  <c r="E1933" i="1"/>
  <c r="D1933" i="1"/>
  <c r="C1933" i="1"/>
  <c r="E1932" i="1"/>
  <c r="D1932" i="1"/>
  <c r="C1932" i="1"/>
  <c r="E1931" i="1"/>
  <c r="D1931" i="1"/>
  <c r="C1931" i="1"/>
  <c r="E1930" i="1"/>
  <c r="D1930" i="1"/>
  <c r="C1930" i="1"/>
  <c r="E1929" i="1"/>
  <c r="D1929" i="1"/>
  <c r="C1929" i="1"/>
  <c r="E1928" i="1"/>
  <c r="D1928" i="1"/>
  <c r="C1928" i="1"/>
  <c r="E1927" i="1"/>
  <c r="D1927" i="1"/>
  <c r="C1927" i="1"/>
  <c r="E1926" i="1"/>
  <c r="D1926" i="1"/>
  <c r="C1926" i="1"/>
  <c r="E1925" i="1"/>
  <c r="D1925" i="1"/>
  <c r="C1925" i="1"/>
  <c r="E1924" i="1"/>
  <c r="D1924" i="1"/>
  <c r="C1924" i="1"/>
  <c r="E1923" i="1"/>
  <c r="D1923" i="1"/>
  <c r="C1923" i="1"/>
  <c r="E1922" i="1"/>
  <c r="D1922" i="1"/>
  <c r="C1922" i="1"/>
  <c r="E1921" i="1"/>
  <c r="D1921" i="1"/>
  <c r="C1921" i="1"/>
  <c r="E1920" i="1"/>
  <c r="D1920" i="1"/>
  <c r="C1920" i="1"/>
  <c r="E1919" i="1"/>
  <c r="D1919" i="1"/>
  <c r="C1919" i="1"/>
  <c r="E1918" i="1"/>
  <c r="D1918" i="1"/>
  <c r="C1918" i="1"/>
  <c r="E1917" i="1"/>
  <c r="D1917" i="1"/>
  <c r="C1917" i="1"/>
  <c r="E1916" i="1"/>
  <c r="D1916" i="1"/>
  <c r="C1916" i="1"/>
  <c r="E1915" i="1"/>
  <c r="D1915" i="1"/>
  <c r="C1915" i="1"/>
  <c r="E1914" i="1"/>
  <c r="D1914" i="1"/>
  <c r="C1914" i="1"/>
  <c r="E1913" i="1"/>
  <c r="D1913" i="1"/>
  <c r="C1913" i="1"/>
  <c r="E1912" i="1"/>
  <c r="D1912" i="1"/>
  <c r="C1912" i="1"/>
  <c r="E1911" i="1"/>
  <c r="D1911" i="1"/>
  <c r="C1911" i="1"/>
  <c r="E1910" i="1"/>
  <c r="D1910" i="1"/>
  <c r="C1910" i="1"/>
  <c r="E1909" i="1"/>
  <c r="D1909" i="1"/>
  <c r="C1909" i="1"/>
  <c r="E1908" i="1"/>
  <c r="D1908" i="1"/>
  <c r="C1908" i="1"/>
  <c r="E1907" i="1"/>
  <c r="D1907" i="1"/>
  <c r="C1907" i="1"/>
  <c r="E1906" i="1"/>
  <c r="D1906" i="1"/>
  <c r="C1906" i="1"/>
  <c r="E1905" i="1"/>
  <c r="D1905" i="1"/>
  <c r="C1905" i="1"/>
  <c r="E1904" i="1"/>
  <c r="D1904" i="1"/>
  <c r="C1904" i="1"/>
  <c r="E1903" i="1"/>
  <c r="D1903" i="1"/>
  <c r="C1903" i="1"/>
  <c r="E1902" i="1"/>
  <c r="D1902" i="1"/>
  <c r="C1902" i="1"/>
  <c r="E1901" i="1"/>
  <c r="D1901" i="1"/>
  <c r="C1901" i="1"/>
  <c r="E1900" i="1"/>
  <c r="D1900" i="1"/>
  <c r="C1900" i="1"/>
  <c r="E1899" i="1"/>
  <c r="D1899" i="1"/>
  <c r="C1899" i="1"/>
  <c r="E1898" i="1"/>
  <c r="D1898" i="1"/>
  <c r="C1898" i="1"/>
  <c r="E1897" i="1"/>
  <c r="D1897" i="1"/>
  <c r="C1897" i="1"/>
  <c r="E1896" i="1"/>
  <c r="D1896" i="1"/>
  <c r="C1896" i="1"/>
  <c r="E1895" i="1"/>
  <c r="D1895" i="1"/>
  <c r="C1895" i="1"/>
  <c r="E1894" i="1"/>
  <c r="D1894" i="1"/>
  <c r="C1894" i="1"/>
  <c r="E1893" i="1"/>
  <c r="D1893" i="1"/>
  <c r="C1893" i="1"/>
  <c r="E1892" i="1"/>
  <c r="D1892" i="1"/>
  <c r="C1892" i="1"/>
  <c r="E1891" i="1"/>
  <c r="D1891" i="1"/>
  <c r="C1891" i="1"/>
  <c r="E1890" i="1"/>
  <c r="D1890" i="1"/>
  <c r="C1890" i="1"/>
  <c r="E1889" i="1"/>
  <c r="D1889" i="1"/>
  <c r="C1889" i="1"/>
  <c r="E1888" i="1"/>
  <c r="D1888" i="1"/>
  <c r="C1888" i="1"/>
  <c r="E1887" i="1"/>
  <c r="D1887" i="1"/>
  <c r="C1887" i="1"/>
  <c r="E1886" i="1"/>
  <c r="D1886" i="1"/>
  <c r="C1886" i="1"/>
  <c r="E1885" i="1"/>
  <c r="D1885" i="1"/>
  <c r="C1885" i="1"/>
  <c r="E1884" i="1"/>
  <c r="D1884" i="1"/>
  <c r="C1884" i="1"/>
  <c r="E1883" i="1"/>
  <c r="D1883" i="1"/>
  <c r="C1883" i="1"/>
  <c r="E1882" i="1"/>
  <c r="D1882" i="1"/>
  <c r="C1882" i="1"/>
  <c r="E1881" i="1"/>
  <c r="D1881" i="1"/>
  <c r="C1881" i="1"/>
  <c r="E1880" i="1"/>
  <c r="D1880" i="1"/>
  <c r="C1880" i="1"/>
  <c r="E1879" i="1"/>
  <c r="D1879" i="1"/>
  <c r="C1879" i="1"/>
  <c r="E1878" i="1"/>
  <c r="D1878" i="1"/>
  <c r="C1878" i="1"/>
  <c r="E1877" i="1"/>
  <c r="D1877" i="1"/>
  <c r="C1877" i="1"/>
  <c r="E1876" i="1"/>
  <c r="D1876" i="1"/>
  <c r="C1876" i="1"/>
  <c r="E1875" i="1"/>
  <c r="D1875" i="1"/>
  <c r="C1875" i="1"/>
  <c r="E1874" i="1"/>
  <c r="D1874" i="1"/>
  <c r="C1874" i="1"/>
  <c r="E1873" i="1"/>
  <c r="D1873" i="1"/>
  <c r="C1873" i="1"/>
  <c r="E1872" i="1"/>
  <c r="D1872" i="1"/>
  <c r="C1872" i="1"/>
  <c r="E1871" i="1"/>
  <c r="D1871" i="1"/>
  <c r="C1871" i="1"/>
  <c r="E1870" i="1"/>
  <c r="D1870" i="1"/>
  <c r="C1870" i="1"/>
  <c r="E1869" i="1"/>
  <c r="D1869" i="1"/>
  <c r="C1869" i="1"/>
  <c r="E1868" i="1"/>
  <c r="D1868" i="1"/>
  <c r="C1868" i="1"/>
  <c r="E1867" i="1"/>
  <c r="D1867" i="1"/>
  <c r="C1867" i="1"/>
  <c r="E1866" i="1"/>
  <c r="D1866" i="1"/>
  <c r="C1866" i="1"/>
  <c r="E1865" i="1"/>
  <c r="D1865" i="1"/>
  <c r="C1865" i="1"/>
  <c r="E1864" i="1"/>
  <c r="D1864" i="1"/>
  <c r="C1864" i="1"/>
  <c r="E1863" i="1"/>
  <c r="D1863" i="1"/>
  <c r="C1863" i="1"/>
  <c r="E1862" i="1"/>
  <c r="D1862" i="1"/>
  <c r="C1862" i="1"/>
  <c r="E1861" i="1"/>
  <c r="D1861" i="1"/>
  <c r="C1861" i="1"/>
  <c r="E1860" i="1"/>
  <c r="D1860" i="1"/>
  <c r="C1860" i="1"/>
  <c r="E1859" i="1"/>
  <c r="D1859" i="1"/>
  <c r="C1859" i="1"/>
  <c r="E1858" i="1"/>
  <c r="D1858" i="1"/>
  <c r="C1858" i="1"/>
  <c r="E1857" i="1"/>
  <c r="D1857" i="1"/>
  <c r="C1857" i="1"/>
  <c r="E1856" i="1"/>
  <c r="D1856" i="1"/>
  <c r="C1856" i="1"/>
  <c r="E1855" i="1"/>
  <c r="D1855" i="1"/>
  <c r="C1855" i="1"/>
  <c r="E1854" i="1"/>
  <c r="D1854" i="1"/>
  <c r="C1854" i="1"/>
  <c r="E1853" i="1"/>
  <c r="D1853" i="1"/>
  <c r="C1853" i="1"/>
  <c r="E1852" i="1"/>
  <c r="D1852" i="1"/>
  <c r="C1852" i="1"/>
  <c r="E1851" i="1"/>
  <c r="D1851" i="1"/>
  <c r="C1851" i="1"/>
  <c r="E1850" i="1"/>
  <c r="D1850" i="1"/>
  <c r="C1850" i="1"/>
  <c r="E1849" i="1"/>
  <c r="D1849" i="1"/>
  <c r="C1849" i="1"/>
  <c r="E1848" i="1"/>
  <c r="D1848" i="1"/>
  <c r="C1848" i="1"/>
  <c r="E1847" i="1"/>
  <c r="D1847" i="1"/>
  <c r="C1847" i="1"/>
  <c r="E1846" i="1"/>
  <c r="D1846" i="1"/>
  <c r="C1846" i="1"/>
  <c r="E1845" i="1"/>
  <c r="D1845" i="1"/>
  <c r="C1845" i="1"/>
  <c r="E1844" i="1"/>
  <c r="D1844" i="1"/>
  <c r="C1844" i="1"/>
  <c r="E1843" i="1"/>
  <c r="D1843" i="1"/>
  <c r="C1843" i="1"/>
  <c r="E1842" i="1"/>
  <c r="D1842" i="1"/>
  <c r="C1842" i="1"/>
  <c r="E1841" i="1"/>
  <c r="D1841" i="1"/>
  <c r="C1841" i="1"/>
  <c r="E1840" i="1"/>
  <c r="D1840" i="1"/>
  <c r="C1840" i="1"/>
  <c r="E1839" i="1"/>
  <c r="D1839" i="1"/>
  <c r="C1839" i="1"/>
  <c r="E1838" i="1"/>
  <c r="D1838" i="1"/>
  <c r="C1838" i="1"/>
  <c r="E1837" i="1"/>
  <c r="D1837" i="1"/>
  <c r="C1837" i="1"/>
  <c r="E1836" i="1"/>
  <c r="D1836" i="1"/>
  <c r="C1836" i="1"/>
  <c r="E1835" i="1"/>
  <c r="D1835" i="1"/>
  <c r="C1835" i="1"/>
  <c r="E1834" i="1"/>
  <c r="D1834" i="1"/>
  <c r="C1834" i="1"/>
  <c r="E1833" i="1"/>
  <c r="D1833" i="1"/>
  <c r="C1833" i="1"/>
  <c r="E1832" i="1"/>
  <c r="D1832" i="1"/>
  <c r="C1832" i="1"/>
  <c r="E1831" i="1"/>
  <c r="D1831" i="1"/>
  <c r="C1831" i="1"/>
  <c r="E1830" i="1"/>
  <c r="D1830" i="1"/>
  <c r="C1830" i="1"/>
  <c r="E1829" i="1"/>
  <c r="D1829" i="1"/>
  <c r="C1829" i="1"/>
  <c r="E1828" i="1"/>
  <c r="D1828" i="1"/>
  <c r="C1828" i="1"/>
  <c r="E1827" i="1"/>
  <c r="D1827" i="1"/>
  <c r="C1827" i="1"/>
  <c r="E1826" i="1"/>
  <c r="D1826" i="1"/>
  <c r="C1826" i="1"/>
  <c r="E1825" i="1"/>
  <c r="D1825" i="1"/>
  <c r="C1825" i="1"/>
  <c r="E1824" i="1"/>
  <c r="D1824" i="1"/>
  <c r="C1824" i="1"/>
  <c r="E1823" i="1"/>
  <c r="D1823" i="1"/>
  <c r="C1823" i="1"/>
  <c r="E1822" i="1"/>
  <c r="D1822" i="1"/>
  <c r="C1822" i="1"/>
  <c r="E1821" i="1"/>
  <c r="D1821" i="1"/>
  <c r="C1821" i="1"/>
  <c r="E1820" i="1"/>
  <c r="D1820" i="1"/>
  <c r="C1820" i="1"/>
  <c r="E1819" i="1"/>
  <c r="D1819" i="1"/>
  <c r="C1819" i="1"/>
  <c r="E1818" i="1"/>
  <c r="D1818" i="1"/>
  <c r="C1818" i="1"/>
  <c r="E1817" i="1"/>
  <c r="D1817" i="1"/>
  <c r="C1817" i="1"/>
  <c r="E1816" i="1"/>
  <c r="D1816" i="1"/>
  <c r="C1816" i="1"/>
  <c r="E1815" i="1"/>
  <c r="D1815" i="1"/>
  <c r="C1815" i="1"/>
  <c r="E1814" i="1"/>
  <c r="D1814" i="1"/>
  <c r="C1814" i="1"/>
  <c r="E1813" i="1"/>
  <c r="D1813" i="1"/>
  <c r="C1813" i="1"/>
  <c r="E1812" i="1"/>
  <c r="D1812" i="1"/>
  <c r="C1812" i="1"/>
  <c r="E1811" i="1"/>
  <c r="D1811" i="1"/>
  <c r="C1811" i="1"/>
  <c r="E1810" i="1"/>
  <c r="D1810" i="1"/>
  <c r="C1810" i="1"/>
  <c r="E1809" i="1"/>
  <c r="D1809" i="1"/>
  <c r="C1809" i="1"/>
  <c r="E1808" i="1"/>
  <c r="D1808" i="1"/>
  <c r="C1808" i="1"/>
  <c r="E1807" i="1"/>
  <c r="D1807" i="1"/>
  <c r="C1807" i="1"/>
  <c r="E1806" i="1"/>
  <c r="D1806" i="1"/>
  <c r="C1806" i="1"/>
  <c r="E1805" i="1"/>
  <c r="D1805" i="1"/>
  <c r="C1805" i="1"/>
  <c r="E1804" i="1"/>
  <c r="D1804" i="1"/>
  <c r="C1804" i="1"/>
  <c r="E1803" i="1"/>
  <c r="D1803" i="1"/>
  <c r="C1803" i="1"/>
  <c r="E1802" i="1"/>
  <c r="D1802" i="1"/>
  <c r="C1802" i="1"/>
  <c r="E1801" i="1"/>
  <c r="D1801" i="1"/>
  <c r="C1801" i="1"/>
  <c r="E1800" i="1"/>
  <c r="D1800" i="1"/>
  <c r="C1800" i="1"/>
  <c r="E1799" i="1"/>
  <c r="D1799" i="1"/>
  <c r="C1799" i="1"/>
  <c r="E1798" i="1"/>
  <c r="D1798" i="1"/>
  <c r="C1798" i="1"/>
  <c r="E1797" i="1"/>
  <c r="D1797" i="1"/>
  <c r="C1797" i="1"/>
  <c r="E1796" i="1"/>
  <c r="D1796" i="1"/>
  <c r="C1796" i="1"/>
  <c r="E1795" i="1"/>
  <c r="D1795" i="1"/>
  <c r="C1795" i="1"/>
  <c r="E1794" i="1"/>
  <c r="D1794" i="1"/>
  <c r="C1794" i="1"/>
  <c r="E1793" i="1"/>
  <c r="D1793" i="1"/>
  <c r="C1793" i="1"/>
  <c r="E1792" i="1"/>
  <c r="D1792" i="1"/>
  <c r="C1792" i="1"/>
  <c r="E1791" i="1"/>
  <c r="D1791" i="1"/>
  <c r="C1791" i="1"/>
  <c r="E1790" i="1"/>
  <c r="D1790" i="1"/>
  <c r="C1790" i="1"/>
  <c r="E1789" i="1"/>
  <c r="D1789" i="1"/>
  <c r="C1789" i="1"/>
  <c r="E1788" i="1"/>
  <c r="D1788" i="1"/>
  <c r="C1788" i="1"/>
  <c r="E1787" i="1"/>
  <c r="D1787" i="1"/>
  <c r="C1787" i="1"/>
  <c r="E1786" i="1"/>
  <c r="D1786" i="1"/>
  <c r="C1786" i="1"/>
  <c r="E1785" i="1"/>
  <c r="D1785" i="1"/>
  <c r="C1785" i="1"/>
  <c r="E1784" i="1"/>
  <c r="D1784" i="1"/>
  <c r="C1784" i="1"/>
  <c r="E1783" i="1"/>
  <c r="D1783" i="1"/>
  <c r="C1783" i="1"/>
  <c r="E1782" i="1"/>
  <c r="D1782" i="1"/>
  <c r="C1782" i="1"/>
  <c r="E1781" i="1"/>
  <c r="D1781" i="1"/>
  <c r="C1781" i="1"/>
  <c r="E1780" i="1"/>
  <c r="D1780" i="1"/>
  <c r="C1780" i="1"/>
  <c r="E1779" i="1"/>
  <c r="D1779" i="1"/>
  <c r="C1779" i="1"/>
  <c r="E1778" i="1"/>
  <c r="D1778" i="1"/>
  <c r="C1778" i="1"/>
  <c r="E1777" i="1"/>
  <c r="D1777" i="1"/>
  <c r="C1777" i="1"/>
  <c r="E1776" i="1"/>
  <c r="D1776" i="1"/>
  <c r="C1776" i="1"/>
  <c r="E1775" i="1"/>
  <c r="D1775" i="1"/>
  <c r="C1775" i="1"/>
  <c r="E1774" i="1"/>
  <c r="D1774" i="1"/>
  <c r="C1774" i="1"/>
  <c r="E1773" i="1"/>
  <c r="D1773" i="1"/>
  <c r="C1773" i="1"/>
  <c r="E1772" i="1"/>
  <c r="D1772" i="1"/>
  <c r="C1772" i="1"/>
  <c r="E1771" i="1"/>
  <c r="D1771" i="1"/>
  <c r="C1771" i="1"/>
  <c r="E1770" i="1"/>
  <c r="D1770" i="1"/>
  <c r="C1770" i="1"/>
  <c r="E1769" i="1"/>
  <c r="D1769" i="1"/>
  <c r="C1769" i="1"/>
  <c r="E1768" i="1"/>
  <c r="D1768" i="1"/>
  <c r="C1768" i="1"/>
  <c r="E1767" i="1"/>
  <c r="D1767" i="1"/>
  <c r="C1767" i="1"/>
  <c r="E1766" i="1"/>
  <c r="D1766" i="1"/>
  <c r="C1766" i="1"/>
  <c r="E1765" i="1"/>
  <c r="D1765" i="1"/>
  <c r="C1765" i="1"/>
  <c r="E1764" i="1"/>
  <c r="D1764" i="1"/>
  <c r="C1764" i="1"/>
  <c r="E1763" i="1"/>
  <c r="D1763" i="1"/>
  <c r="C1763" i="1"/>
  <c r="E1762" i="1"/>
  <c r="D1762" i="1"/>
  <c r="C1762" i="1"/>
  <c r="E1761" i="1"/>
  <c r="D1761" i="1"/>
  <c r="C1761" i="1"/>
  <c r="E1760" i="1"/>
  <c r="D1760" i="1"/>
  <c r="C1760" i="1"/>
  <c r="E1759" i="1"/>
  <c r="D1759" i="1"/>
  <c r="C1759" i="1"/>
  <c r="E1758" i="1"/>
  <c r="D1758" i="1"/>
  <c r="C1758" i="1"/>
  <c r="E1757" i="1"/>
  <c r="D1757" i="1"/>
  <c r="C1757" i="1"/>
  <c r="E1756" i="1"/>
  <c r="D1756" i="1"/>
  <c r="C1756" i="1"/>
  <c r="E1755" i="1"/>
  <c r="D1755" i="1"/>
  <c r="C1755" i="1"/>
  <c r="E1754" i="1"/>
  <c r="D1754" i="1"/>
  <c r="C1754" i="1"/>
  <c r="E1753" i="1"/>
  <c r="D1753" i="1"/>
  <c r="C1753" i="1"/>
  <c r="E1752" i="1"/>
  <c r="D1752" i="1"/>
  <c r="C1752" i="1"/>
  <c r="E1751" i="1"/>
  <c r="D1751" i="1"/>
  <c r="C1751" i="1"/>
  <c r="E1750" i="1"/>
  <c r="D1750" i="1"/>
  <c r="C1750" i="1"/>
  <c r="E1749" i="1"/>
  <c r="D1749" i="1"/>
  <c r="C1749" i="1"/>
  <c r="E1748" i="1"/>
  <c r="D1748" i="1"/>
  <c r="C1748" i="1"/>
  <c r="E1747" i="1"/>
  <c r="D1747" i="1"/>
  <c r="C1747" i="1"/>
  <c r="E1746" i="1"/>
  <c r="D1746" i="1"/>
  <c r="C1746" i="1"/>
  <c r="E1745" i="1"/>
  <c r="D1745" i="1"/>
  <c r="C1745" i="1"/>
  <c r="E1744" i="1"/>
  <c r="D1744" i="1"/>
  <c r="C1744" i="1"/>
  <c r="E1743" i="1"/>
  <c r="D1743" i="1"/>
  <c r="C1743" i="1"/>
  <c r="E1742" i="1"/>
  <c r="D1742" i="1"/>
  <c r="C1742" i="1"/>
  <c r="E1741" i="1"/>
  <c r="D1741" i="1"/>
  <c r="C1741" i="1"/>
  <c r="E1740" i="1"/>
  <c r="D1740" i="1"/>
  <c r="C1740" i="1"/>
  <c r="E1739" i="1"/>
  <c r="D1739" i="1"/>
  <c r="C1739" i="1"/>
  <c r="E1738" i="1"/>
  <c r="D1738" i="1"/>
  <c r="C1738" i="1"/>
  <c r="E1737" i="1"/>
  <c r="D1737" i="1"/>
  <c r="C1737" i="1"/>
  <c r="E1736" i="1"/>
  <c r="D1736" i="1"/>
  <c r="C1736" i="1"/>
  <c r="E1735" i="1"/>
  <c r="D1735" i="1"/>
  <c r="C1735" i="1"/>
  <c r="E1734" i="1"/>
  <c r="D1734" i="1"/>
  <c r="C1734" i="1"/>
  <c r="E1733" i="1"/>
  <c r="D1733" i="1"/>
  <c r="C1733" i="1"/>
  <c r="E1732" i="1"/>
  <c r="D1732" i="1"/>
  <c r="C1732" i="1"/>
  <c r="E1731" i="1"/>
  <c r="D1731" i="1"/>
  <c r="C1731" i="1"/>
  <c r="E1730" i="1"/>
  <c r="D1730" i="1"/>
  <c r="C1730" i="1"/>
  <c r="E1729" i="1"/>
  <c r="D1729" i="1"/>
  <c r="C1729" i="1"/>
  <c r="E1728" i="1"/>
  <c r="D1728" i="1"/>
  <c r="C1728" i="1"/>
  <c r="E1727" i="1"/>
  <c r="D1727" i="1"/>
  <c r="C1727" i="1"/>
  <c r="E1726" i="1"/>
  <c r="D1726" i="1"/>
  <c r="C1726" i="1"/>
  <c r="E1725" i="1"/>
  <c r="D1725" i="1"/>
  <c r="C1725" i="1"/>
  <c r="E1724" i="1"/>
  <c r="D1724" i="1"/>
  <c r="C1724" i="1"/>
  <c r="E1723" i="1"/>
  <c r="D1723" i="1"/>
  <c r="C1723" i="1"/>
  <c r="E1722" i="1"/>
  <c r="D1722" i="1"/>
  <c r="C1722" i="1"/>
  <c r="E1721" i="1"/>
  <c r="D1721" i="1"/>
  <c r="C1721" i="1"/>
  <c r="E1720" i="1"/>
  <c r="D1720" i="1"/>
  <c r="C1720" i="1"/>
  <c r="E1719" i="1"/>
  <c r="D1719" i="1"/>
  <c r="C1719" i="1"/>
  <c r="E1718" i="1"/>
  <c r="D1718" i="1"/>
  <c r="C1718" i="1"/>
  <c r="E1717" i="1"/>
  <c r="D1717" i="1"/>
  <c r="C1717" i="1"/>
  <c r="E1716" i="1"/>
  <c r="D1716" i="1"/>
  <c r="C1716" i="1"/>
  <c r="E1715" i="1"/>
  <c r="D1715" i="1"/>
  <c r="C1715" i="1"/>
  <c r="E1714" i="1"/>
  <c r="D1714" i="1"/>
  <c r="C1714" i="1"/>
  <c r="E1713" i="1"/>
  <c r="D1713" i="1"/>
  <c r="C1713" i="1"/>
  <c r="E1712" i="1"/>
  <c r="D1712" i="1"/>
  <c r="C1712" i="1"/>
  <c r="E1711" i="1"/>
  <c r="D1711" i="1"/>
  <c r="C1711" i="1"/>
  <c r="E1710" i="1"/>
  <c r="D1710" i="1"/>
  <c r="C1710" i="1"/>
  <c r="E1709" i="1"/>
  <c r="D1709" i="1"/>
  <c r="C1709" i="1"/>
  <c r="E1708" i="1"/>
  <c r="D1708" i="1"/>
  <c r="C1708" i="1"/>
  <c r="E1707" i="1"/>
  <c r="D1707" i="1"/>
  <c r="C1707" i="1"/>
  <c r="E1706" i="1"/>
  <c r="D1706" i="1"/>
  <c r="C1706" i="1"/>
  <c r="E1705" i="1"/>
  <c r="D1705" i="1"/>
  <c r="C1705" i="1"/>
  <c r="E1704" i="1"/>
  <c r="D1704" i="1"/>
  <c r="C1704" i="1"/>
  <c r="E1703" i="1"/>
  <c r="D1703" i="1"/>
  <c r="C1703" i="1"/>
  <c r="E1702" i="1"/>
  <c r="D1702" i="1"/>
  <c r="C1702" i="1"/>
  <c r="E1701" i="1"/>
  <c r="D1701" i="1"/>
  <c r="C1701" i="1"/>
  <c r="E1700" i="1"/>
  <c r="D1700" i="1"/>
  <c r="C1700" i="1"/>
  <c r="E1699" i="1"/>
  <c r="D1699" i="1"/>
  <c r="C1699" i="1"/>
  <c r="E1698" i="1"/>
  <c r="D1698" i="1"/>
  <c r="C1698" i="1"/>
  <c r="E1697" i="1"/>
  <c r="D1697" i="1"/>
  <c r="C1697" i="1"/>
  <c r="E1696" i="1"/>
  <c r="D1696" i="1"/>
  <c r="C1696" i="1"/>
  <c r="E1695" i="1"/>
  <c r="D1695" i="1"/>
  <c r="C1695" i="1"/>
  <c r="E1694" i="1"/>
  <c r="D1694" i="1"/>
  <c r="C1694" i="1"/>
  <c r="E1693" i="1"/>
  <c r="D1693" i="1"/>
  <c r="C1693" i="1"/>
  <c r="E1692" i="1"/>
  <c r="D1692" i="1"/>
  <c r="C1692" i="1"/>
  <c r="E1691" i="1"/>
  <c r="D1691" i="1"/>
  <c r="C1691" i="1"/>
  <c r="E1690" i="1"/>
  <c r="D1690" i="1"/>
  <c r="C1690" i="1"/>
  <c r="E1689" i="1"/>
  <c r="D1689" i="1"/>
  <c r="C1689" i="1"/>
  <c r="E1688" i="1"/>
  <c r="D1688" i="1"/>
  <c r="C1688" i="1"/>
  <c r="E1687" i="1"/>
  <c r="D1687" i="1"/>
  <c r="C1687" i="1"/>
  <c r="E1686" i="1"/>
  <c r="D1686" i="1"/>
  <c r="C1686" i="1"/>
  <c r="E1685" i="1"/>
  <c r="D1685" i="1"/>
  <c r="C1685" i="1"/>
  <c r="E1684" i="1"/>
  <c r="D1684" i="1"/>
  <c r="C1684" i="1"/>
  <c r="E1683" i="1"/>
  <c r="D1683" i="1"/>
  <c r="C1683" i="1"/>
  <c r="E1682" i="1"/>
  <c r="D1682" i="1"/>
  <c r="C1682" i="1"/>
  <c r="E1681" i="1"/>
  <c r="D1681" i="1"/>
  <c r="C1681" i="1"/>
  <c r="E1680" i="1"/>
  <c r="D1680" i="1"/>
  <c r="C1680" i="1"/>
  <c r="E1679" i="1"/>
  <c r="D1679" i="1"/>
  <c r="C1679" i="1"/>
  <c r="E1678" i="1"/>
  <c r="D1678" i="1"/>
  <c r="C1678" i="1"/>
  <c r="E1677" i="1"/>
  <c r="D1677" i="1"/>
  <c r="C1677" i="1"/>
  <c r="E1676" i="1"/>
  <c r="D1676" i="1"/>
  <c r="C1676" i="1"/>
  <c r="E1675" i="1"/>
  <c r="D1675" i="1"/>
  <c r="C1675" i="1"/>
  <c r="E1674" i="1"/>
  <c r="D1674" i="1"/>
  <c r="C1674" i="1"/>
  <c r="E1673" i="1"/>
  <c r="D1673" i="1"/>
  <c r="C1673" i="1"/>
  <c r="E1672" i="1"/>
  <c r="D1672" i="1"/>
  <c r="C1672" i="1"/>
  <c r="E1671" i="1"/>
  <c r="D1671" i="1"/>
  <c r="C1671" i="1"/>
  <c r="E1670" i="1"/>
  <c r="D1670" i="1"/>
  <c r="C1670" i="1"/>
  <c r="E1669" i="1"/>
  <c r="D1669" i="1"/>
  <c r="C1669" i="1"/>
  <c r="E1668" i="1"/>
  <c r="D1668" i="1"/>
  <c r="C1668" i="1"/>
  <c r="E1667" i="1"/>
  <c r="D1667" i="1"/>
  <c r="C1667" i="1"/>
  <c r="E1666" i="1"/>
  <c r="D1666" i="1"/>
  <c r="C1666" i="1"/>
  <c r="E1665" i="1"/>
  <c r="D1665" i="1"/>
  <c r="C1665" i="1"/>
  <c r="E1664" i="1"/>
  <c r="D1664" i="1"/>
  <c r="C1664" i="1"/>
  <c r="E1663" i="1"/>
  <c r="D1663" i="1"/>
  <c r="C1663" i="1"/>
  <c r="E1662" i="1"/>
  <c r="D1662" i="1"/>
  <c r="C1662" i="1"/>
  <c r="E1661" i="1"/>
  <c r="D1661" i="1"/>
  <c r="C1661" i="1"/>
  <c r="E1660" i="1"/>
  <c r="D1660" i="1"/>
  <c r="C1660" i="1"/>
  <c r="E1659" i="1"/>
  <c r="D1659" i="1"/>
  <c r="C1659" i="1"/>
  <c r="E1658" i="1"/>
  <c r="D1658" i="1"/>
  <c r="C1658" i="1"/>
  <c r="E1657" i="1"/>
  <c r="D1657" i="1"/>
  <c r="C1657" i="1"/>
  <c r="E1656" i="1"/>
  <c r="D1656" i="1"/>
  <c r="C1656" i="1"/>
  <c r="E1655" i="1"/>
  <c r="D1655" i="1"/>
  <c r="C1655" i="1"/>
  <c r="E1654" i="1"/>
  <c r="D1654" i="1"/>
  <c r="C1654" i="1"/>
  <c r="E1653" i="1"/>
  <c r="D1653" i="1"/>
  <c r="C1653" i="1"/>
  <c r="E1652" i="1"/>
  <c r="D1652" i="1"/>
  <c r="C1652" i="1"/>
  <c r="E1651" i="1"/>
  <c r="D1651" i="1"/>
  <c r="C1651" i="1"/>
  <c r="E1650" i="1"/>
  <c r="D1650" i="1"/>
  <c r="C1650" i="1"/>
  <c r="E1649" i="1"/>
  <c r="D1649" i="1"/>
  <c r="C1649" i="1"/>
  <c r="E1648" i="1"/>
  <c r="D1648" i="1"/>
  <c r="C1648" i="1"/>
  <c r="E1647" i="1"/>
  <c r="D1647" i="1"/>
  <c r="C1647" i="1"/>
  <c r="E1646" i="1"/>
  <c r="D1646" i="1"/>
  <c r="C1646" i="1"/>
  <c r="E1645" i="1"/>
  <c r="D1645" i="1"/>
  <c r="C1645" i="1"/>
  <c r="E1644" i="1"/>
  <c r="D1644" i="1"/>
  <c r="C1644" i="1"/>
  <c r="E1643" i="1"/>
  <c r="D1643" i="1"/>
  <c r="C1643" i="1"/>
  <c r="E1642" i="1"/>
  <c r="D1642" i="1"/>
  <c r="C1642" i="1"/>
  <c r="E1641" i="1"/>
  <c r="D1641" i="1"/>
  <c r="C1641" i="1"/>
  <c r="E1640" i="1"/>
  <c r="D1640" i="1"/>
  <c r="C1640" i="1"/>
  <c r="E1639" i="1"/>
  <c r="D1639" i="1"/>
  <c r="C1639" i="1"/>
  <c r="E1638" i="1"/>
  <c r="D1638" i="1"/>
  <c r="C1638" i="1"/>
  <c r="E1637" i="1"/>
  <c r="D1637" i="1"/>
  <c r="C1637" i="1"/>
  <c r="E1636" i="1"/>
  <c r="D1636" i="1"/>
  <c r="C1636" i="1"/>
  <c r="E1635" i="1"/>
  <c r="D1635" i="1"/>
  <c r="C1635" i="1"/>
  <c r="E1634" i="1"/>
  <c r="D1634" i="1"/>
  <c r="C1634" i="1"/>
  <c r="E1633" i="1"/>
  <c r="D1633" i="1"/>
  <c r="C1633" i="1"/>
  <c r="E1632" i="1"/>
  <c r="D1632" i="1"/>
  <c r="C1632" i="1"/>
  <c r="E1631" i="1"/>
  <c r="D1631" i="1"/>
  <c r="C1631" i="1"/>
  <c r="E1630" i="1"/>
  <c r="D1630" i="1"/>
  <c r="C1630" i="1"/>
  <c r="E1629" i="1"/>
  <c r="D1629" i="1"/>
  <c r="C1629" i="1"/>
  <c r="E1628" i="1"/>
  <c r="D1628" i="1"/>
  <c r="C1628" i="1"/>
  <c r="E1627" i="1"/>
  <c r="D1627" i="1"/>
  <c r="C1627" i="1"/>
  <c r="E1626" i="1"/>
  <c r="D1626" i="1"/>
  <c r="C1626" i="1"/>
  <c r="E1625" i="1"/>
  <c r="D1625" i="1"/>
  <c r="C1625" i="1"/>
  <c r="E1624" i="1"/>
  <c r="D1624" i="1"/>
  <c r="C1624" i="1"/>
  <c r="E1623" i="1"/>
  <c r="D1623" i="1"/>
  <c r="C1623" i="1"/>
  <c r="E1622" i="1"/>
  <c r="D1622" i="1"/>
  <c r="C1622" i="1"/>
  <c r="E1621" i="1"/>
  <c r="D1621" i="1"/>
  <c r="C1621" i="1"/>
  <c r="E1620" i="1"/>
  <c r="D1620" i="1"/>
  <c r="C1620" i="1"/>
  <c r="E1619" i="1"/>
  <c r="D1619" i="1"/>
  <c r="C1619" i="1"/>
  <c r="E1618" i="1"/>
  <c r="D1618" i="1"/>
  <c r="C1618" i="1"/>
  <c r="E1617" i="1"/>
  <c r="D1617" i="1"/>
  <c r="C1617" i="1"/>
  <c r="E1616" i="1"/>
  <c r="D1616" i="1"/>
  <c r="C1616" i="1"/>
  <c r="E1615" i="1"/>
  <c r="D1615" i="1"/>
  <c r="C1615" i="1"/>
  <c r="E1614" i="1"/>
  <c r="D1614" i="1"/>
  <c r="C1614" i="1"/>
  <c r="E1613" i="1"/>
  <c r="D1613" i="1"/>
  <c r="C1613" i="1"/>
  <c r="E1612" i="1"/>
  <c r="D1612" i="1"/>
  <c r="C1612" i="1"/>
  <c r="E1611" i="1"/>
  <c r="D1611" i="1"/>
  <c r="C1611" i="1"/>
  <c r="E1610" i="1"/>
  <c r="D1610" i="1"/>
  <c r="C1610" i="1"/>
  <c r="E1609" i="1"/>
  <c r="D1609" i="1"/>
  <c r="C1609" i="1"/>
  <c r="E1608" i="1"/>
  <c r="D1608" i="1"/>
  <c r="C1608" i="1"/>
  <c r="E1607" i="1"/>
  <c r="D1607" i="1"/>
  <c r="C1607" i="1"/>
  <c r="E1606" i="1"/>
  <c r="D1606" i="1"/>
  <c r="C1606" i="1"/>
  <c r="E1605" i="1"/>
  <c r="D1605" i="1"/>
  <c r="C1605" i="1"/>
  <c r="E1604" i="1"/>
  <c r="D1604" i="1"/>
  <c r="C1604" i="1"/>
  <c r="E1603" i="1"/>
  <c r="D1603" i="1"/>
  <c r="C1603" i="1"/>
  <c r="E1602" i="1"/>
  <c r="D1602" i="1"/>
  <c r="C1602" i="1"/>
  <c r="E1601" i="1"/>
  <c r="D1601" i="1"/>
  <c r="C1601" i="1"/>
  <c r="E1600" i="1"/>
  <c r="D1600" i="1"/>
  <c r="C1600" i="1"/>
  <c r="E1599" i="1"/>
  <c r="D1599" i="1"/>
  <c r="C1599" i="1"/>
  <c r="E1598" i="1"/>
  <c r="D1598" i="1"/>
  <c r="C1598" i="1"/>
  <c r="E1597" i="1"/>
  <c r="D1597" i="1"/>
  <c r="C1597" i="1"/>
  <c r="E1596" i="1"/>
  <c r="D1596" i="1"/>
  <c r="C1596" i="1"/>
  <c r="E1595" i="1"/>
  <c r="D1595" i="1"/>
  <c r="C1595" i="1"/>
  <c r="E1594" i="1"/>
  <c r="D1594" i="1"/>
  <c r="C1594" i="1"/>
  <c r="E1593" i="1"/>
  <c r="D1593" i="1"/>
  <c r="C1593" i="1"/>
  <c r="E1592" i="1"/>
  <c r="D1592" i="1"/>
  <c r="C1592" i="1"/>
  <c r="E1591" i="1"/>
  <c r="D1591" i="1"/>
  <c r="C1591" i="1"/>
  <c r="E1590" i="1"/>
  <c r="D1590" i="1"/>
  <c r="C1590" i="1"/>
  <c r="E1589" i="1"/>
  <c r="D1589" i="1"/>
  <c r="C1589" i="1"/>
  <c r="E1588" i="1"/>
  <c r="D1588" i="1"/>
  <c r="C1588" i="1"/>
  <c r="E1587" i="1"/>
  <c r="D1587" i="1"/>
  <c r="C1587" i="1"/>
  <c r="E1586" i="1"/>
  <c r="D1586" i="1"/>
  <c r="C1586" i="1"/>
  <c r="E1585" i="1"/>
  <c r="D1585" i="1"/>
  <c r="C1585" i="1"/>
  <c r="E1584" i="1"/>
  <c r="D1584" i="1"/>
  <c r="C1584" i="1"/>
  <c r="E1583" i="1"/>
  <c r="D1583" i="1"/>
  <c r="C1583" i="1"/>
  <c r="E1582" i="1"/>
  <c r="D1582" i="1"/>
  <c r="C1582" i="1"/>
  <c r="E1581" i="1"/>
  <c r="D1581" i="1"/>
  <c r="C1581" i="1"/>
  <c r="E1580" i="1"/>
  <c r="D1580" i="1"/>
  <c r="C1580" i="1"/>
  <c r="E1579" i="1"/>
  <c r="D1579" i="1"/>
  <c r="C1579" i="1"/>
  <c r="E1578" i="1"/>
  <c r="D1578" i="1"/>
  <c r="C1578" i="1"/>
  <c r="E1577" i="1"/>
  <c r="D1577" i="1"/>
  <c r="C1577" i="1"/>
  <c r="E1576" i="1"/>
  <c r="D1576" i="1"/>
  <c r="C1576" i="1"/>
  <c r="E1575" i="1"/>
  <c r="D1575" i="1"/>
  <c r="C1575" i="1"/>
  <c r="E1574" i="1"/>
  <c r="D1574" i="1"/>
  <c r="C1574" i="1"/>
  <c r="E1573" i="1"/>
  <c r="D1573" i="1"/>
  <c r="C1573" i="1"/>
  <c r="E1572" i="1"/>
  <c r="D1572" i="1"/>
  <c r="C1572" i="1"/>
  <c r="E1571" i="1"/>
  <c r="D1571" i="1"/>
  <c r="C1571" i="1"/>
  <c r="E1570" i="1"/>
  <c r="D1570" i="1"/>
  <c r="C1570" i="1"/>
  <c r="E1569" i="1"/>
  <c r="D1569" i="1"/>
  <c r="C1569" i="1"/>
  <c r="E1568" i="1"/>
  <c r="D1568" i="1"/>
  <c r="C1568" i="1"/>
  <c r="E1567" i="1"/>
  <c r="D1567" i="1"/>
  <c r="C1567" i="1"/>
  <c r="E1566" i="1"/>
  <c r="D1566" i="1"/>
  <c r="C1566" i="1"/>
  <c r="E1565" i="1"/>
  <c r="D1565" i="1"/>
  <c r="C1565" i="1"/>
  <c r="E1564" i="1"/>
  <c r="D1564" i="1"/>
  <c r="C1564" i="1"/>
  <c r="E1563" i="1"/>
  <c r="D1563" i="1"/>
  <c r="C1563" i="1"/>
  <c r="E1562" i="1"/>
  <c r="D1562" i="1"/>
  <c r="C1562" i="1"/>
  <c r="E1561" i="1"/>
  <c r="D1561" i="1"/>
  <c r="C1561" i="1"/>
  <c r="E1560" i="1"/>
  <c r="D1560" i="1"/>
  <c r="C1560" i="1"/>
  <c r="E1559" i="1"/>
  <c r="D1559" i="1"/>
  <c r="C1559" i="1"/>
  <c r="E1558" i="1"/>
  <c r="D1558" i="1"/>
  <c r="C1558" i="1"/>
  <c r="E1557" i="1"/>
  <c r="D1557" i="1"/>
  <c r="C1557" i="1"/>
  <c r="E1556" i="1"/>
  <c r="D1556" i="1"/>
  <c r="C1556" i="1"/>
  <c r="E1555" i="1"/>
  <c r="D1555" i="1"/>
  <c r="C1555" i="1"/>
  <c r="E1554" i="1"/>
  <c r="D1554" i="1"/>
  <c r="C1554" i="1"/>
  <c r="E1553" i="1"/>
  <c r="D1553" i="1"/>
  <c r="C1553" i="1"/>
  <c r="E1552" i="1"/>
  <c r="D1552" i="1"/>
  <c r="C1552" i="1"/>
  <c r="E1551" i="1"/>
  <c r="D1551" i="1"/>
  <c r="C1551" i="1"/>
  <c r="E1550" i="1"/>
  <c r="D1550" i="1"/>
  <c r="C1550" i="1"/>
  <c r="E1549" i="1"/>
  <c r="D1549" i="1"/>
  <c r="C1549" i="1"/>
  <c r="E1548" i="1"/>
  <c r="D1548" i="1"/>
  <c r="C1548" i="1"/>
  <c r="E1547" i="1"/>
  <c r="D1547" i="1"/>
  <c r="C1547" i="1"/>
  <c r="E1546" i="1"/>
  <c r="D1546" i="1"/>
  <c r="C1546" i="1"/>
  <c r="E1545" i="1"/>
  <c r="D1545" i="1"/>
  <c r="C1545" i="1"/>
  <c r="E1544" i="1"/>
  <c r="D1544" i="1"/>
  <c r="C1544" i="1"/>
  <c r="E1543" i="1"/>
  <c r="D1543" i="1"/>
  <c r="C1543" i="1"/>
  <c r="E1542" i="1"/>
  <c r="D1542" i="1"/>
  <c r="C1542" i="1"/>
  <c r="E1541" i="1"/>
  <c r="D1541" i="1"/>
  <c r="C1541" i="1"/>
  <c r="E1540" i="1"/>
  <c r="D1540" i="1"/>
  <c r="C1540" i="1"/>
  <c r="E1539" i="1"/>
  <c r="D1539" i="1"/>
  <c r="C1539" i="1"/>
  <c r="E1538" i="1"/>
  <c r="D1538" i="1"/>
  <c r="C1538" i="1"/>
  <c r="E1537" i="1"/>
  <c r="D1537" i="1"/>
  <c r="C1537" i="1"/>
  <c r="E1536" i="1"/>
  <c r="D1536" i="1"/>
  <c r="C1536" i="1"/>
  <c r="E1535" i="1"/>
  <c r="D1535" i="1"/>
  <c r="C1535" i="1"/>
  <c r="E1534" i="1"/>
  <c r="D1534" i="1"/>
  <c r="C1534" i="1"/>
  <c r="E1533" i="1"/>
  <c r="D1533" i="1"/>
  <c r="C1533" i="1"/>
  <c r="E1532" i="1"/>
  <c r="D1532" i="1"/>
  <c r="C1532" i="1"/>
  <c r="E1531" i="1"/>
  <c r="D1531" i="1"/>
  <c r="C1531" i="1"/>
  <c r="E1530" i="1"/>
  <c r="D1530" i="1"/>
  <c r="C1530" i="1"/>
  <c r="E1529" i="1"/>
  <c r="D1529" i="1"/>
  <c r="C1529" i="1"/>
  <c r="E1528" i="1"/>
  <c r="D1528" i="1"/>
  <c r="C1528" i="1"/>
  <c r="E1527" i="1"/>
  <c r="D1527" i="1"/>
  <c r="C1527" i="1"/>
  <c r="E1526" i="1"/>
  <c r="D1526" i="1"/>
  <c r="C1526" i="1"/>
  <c r="E1525" i="1"/>
  <c r="D1525" i="1"/>
  <c r="C1525" i="1"/>
  <c r="E1524" i="1"/>
  <c r="D1524" i="1"/>
  <c r="C1524" i="1"/>
  <c r="E1523" i="1"/>
  <c r="D1523" i="1"/>
  <c r="C1523" i="1"/>
  <c r="E1522" i="1"/>
  <c r="D1522" i="1"/>
  <c r="C1522" i="1"/>
  <c r="E1521" i="1"/>
  <c r="D1521" i="1"/>
  <c r="C1521" i="1"/>
  <c r="E1520" i="1"/>
  <c r="D1520" i="1"/>
  <c r="C1520" i="1"/>
  <c r="E1519" i="1"/>
  <c r="D1519" i="1"/>
  <c r="C1519" i="1"/>
  <c r="E1518" i="1"/>
  <c r="D1518" i="1"/>
  <c r="C1518" i="1"/>
  <c r="E1517" i="1"/>
  <c r="D1517" i="1"/>
  <c r="C1517" i="1"/>
  <c r="E1516" i="1"/>
  <c r="D1516" i="1"/>
  <c r="C1516" i="1"/>
  <c r="E1515" i="1"/>
  <c r="D1515" i="1"/>
  <c r="C1515" i="1"/>
  <c r="E1514" i="1"/>
  <c r="D1514" i="1"/>
  <c r="C1514" i="1"/>
  <c r="E1513" i="1"/>
  <c r="D1513" i="1"/>
  <c r="C1513" i="1"/>
  <c r="E1512" i="1"/>
  <c r="D1512" i="1"/>
  <c r="C1512" i="1"/>
  <c r="E1511" i="1"/>
  <c r="D1511" i="1"/>
  <c r="C1511" i="1"/>
  <c r="E1510" i="1"/>
  <c r="D1510" i="1"/>
  <c r="C1510" i="1"/>
  <c r="E1509" i="1"/>
  <c r="D1509" i="1"/>
  <c r="C1509" i="1"/>
  <c r="E1508" i="1"/>
  <c r="D1508" i="1"/>
  <c r="C1508" i="1"/>
  <c r="E1507" i="1"/>
  <c r="D1507" i="1"/>
  <c r="C1507" i="1"/>
  <c r="E1506" i="1"/>
  <c r="D1506" i="1"/>
  <c r="C1506" i="1"/>
  <c r="E1505" i="1"/>
  <c r="D1505" i="1"/>
  <c r="C1505" i="1"/>
  <c r="E1504" i="1"/>
  <c r="D1504" i="1"/>
  <c r="C1504" i="1"/>
  <c r="E1503" i="1"/>
  <c r="D1503" i="1"/>
  <c r="C1503" i="1"/>
  <c r="E1502" i="1"/>
  <c r="D1502" i="1"/>
  <c r="C1502" i="1"/>
  <c r="E1501" i="1"/>
  <c r="D1501" i="1"/>
  <c r="C1501" i="1"/>
  <c r="E1500" i="1"/>
  <c r="D1500" i="1"/>
  <c r="C1500" i="1"/>
  <c r="E1499" i="1"/>
  <c r="D1499" i="1"/>
  <c r="C1499" i="1"/>
  <c r="E1498" i="1"/>
  <c r="D1498" i="1"/>
  <c r="C1498" i="1"/>
  <c r="E1497" i="1"/>
  <c r="D1497" i="1"/>
  <c r="C1497" i="1"/>
  <c r="E1496" i="1"/>
  <c r="D1496" i="1"/>
  <c r="C1496" i="1"/>
  <c r="E1495" i="1"/>
  <c r="D1495" i="1"/>
  <c r="C1495" i="1"/>
  <c r="E1494" i="1"/>
  <c r="D1494" i="1"/>
  <c r="C1494" i="1"/>
  <c r="E1493" i="1"/>
  <c r="D1493" i="1"/>
  <c r="C1493" i="1"/>
  <c r="E1492" i="1"/>
  <c r="D1492" i="1"/>
  <c r="C1492" i="1"/>
  <c r="E1491" i="1"/>
  <c r="D1491" i="1"/>
  <c r="C1491" i="1"/>
  <c r="E1490" i="1"/>
  <c r="D1490" i="1"/>
  <c r="C1490" i="1"/>
  <c r="E1489" i="1"/>
  <c r="D1489" i="1"/>
  <c r="C1489" i="1"/>
  <c r="E1488" i="1"/>
  <c r="D1488" i="1"/>
  <c r="C1488" i="1"/>
  <c r="E1487" i="1"/>
  <c r="D1487" i="1"/>
  <c r="C1487" i="1"/>
  <c r="E1486" i="1"/>
  <c r="D1486" i="1"/>
  <c r="C1486" i="1"/>
  <c r="E1485" i="1"/>
  <c r="D1485" i="1"/>
  <c r="C1485" i="1"/>
  <c r="E1484" i="1"/>
  <c r="D1484" i="1"/>
  <c r="C1484" i="1"/>
  <c r="E1483" i="1"/>
  <c r="D1483" i="1"/>
  <c r="C1483" i="1"/>
  <c r="E1482" i="1"/>
  <c r="D1482" i="1"/>
  <c r="C1482" i="1"/>
  <c r="E1481" i="1"/>
  <c r="D1481" i="1"/>
  <c r="C1481" i="1"/>
  <c r="E1480" i="1"/>
  <c r="D1480" i="1"/>
  <c r="C1480" i="1"/>
  <c r="E1479" i="1"/>
  <c r="D1479" i="1"/>
  <c r="C1479" i="1"/>
  <c r="E1478" i="1"/>
  <c r="D1478" i="1"/>
  <c r="C1478" i="1"/>
  <c r="E1477" i="1"/>
  <c r="D1477" i="1"/>
  <c r="C1477" i="1"/>
  <c r="E1476" i="1"/>
  <c r="D1476" i="1"/>
  <c r="C1476" i="1"/>
  <c r="E1475" i="1"/>
  <c r="D1475" i="1"/>
  <c r="C1475" i="1"/>
  <c r="E1474" i="1"/>
  <c r="D1474" i="1"/>
  <c r="C1474" i="1"/>
  <c r="E1473" i="1"/>
  <c r="D1473" i="1"/>
  <c r="C1473" i="1"/>
  <c r="E1472" i="1"/>
  <c r="D1472" i="1"/>
  <c r="C1472" i="1"/>
  <c r="E1471" i="1"/>
  <c r="D1471" i="1"/>
  <c r="C1471" i="1"/>
  <c r="E1470" i="1"/>
  <c r="D1470" i="1"/>
  <c r="C1470" i="1"/>
  <c r="E1469" i="1"/>
  <c r="D1469" i="1"/>
  <c r="C1469" i="1"/>
  <c r="E1468" i="1"/>
  <c r="D1468" i="1"/>
  <c r="C1468" i="1"/>
  <c r="E1467" i="1"/>
  <c r="D1467" i="1"/>
  <c r="C1467" i="1"/>
  <c r="E1466" i="1"/>
  <c r="D1466" i="1"/>
  <c r="C1466" i="1"/>
  <c r="E1465" i="1"/>
  <c r="D1465" i="1"/>
  <c r="C1465" i="1"/>
  <c r="E1464" i="1"/>
  <c r="D1464" i="1"/>
  <c r="C1464" i="1"/>
  <c r="E1463" i="1"/>
  <c r="D1463" i="1"/>
  <c r="C1463" i="1"/>
  <c r="E1462" i="1"/>
  <c r="D1462" i="1"/>
  <c r="C1462" i="1"/>
  <c r="E1461" i="1"/>
  <c r="D1461" i="1"/>
  <c r="C1461" i="1"/>
  <c r="E1460" i="1"/>
  <c r="D1460" i="1"/>
  <c r="C1460" i="1"/>
  <c r="E1459" i="1"/>
  <c r="D1459" i="1"/>
  <c r="C1459" i="1"/>
  <c r="E1458" i="1"/>
  <c r="D1458" i="1"/>
  <c r="C1458" i="1"/>
  <c r="E1457" i="1"/>
  <c r="D1457" i="1"/>
  <c r="C1457" i="1"/>
  <c r="E1456" i="1"/>
  <c r="D1456" i="1"/>
  <c r="C1456" i="1"/>
  <c r="E1455" i="1"/>
  <c r="D1455" i="1"/>
  <c r="C1455" i="1"/>
  <c r="E1454" i="1"/>
  <c r="D1454" i="1"/>
  <c r="C1454" i="1"/>
  <c r="E1453" i="1"/>
  <c r="D1453" i="1"/>
  <c r="C1453" i="1"/>
  <c r="E1452" i="1"/>
  <c r="D1452" i="1"/>
  <c r="C1452" i="1"/>
  <c r="E1451" i="1"/>
  <c r="D1451" i="1"/>
  <c r="C1451" i="1"/>
  <c r="E1450" i="1"/>
  <c r="D1450" i="1"/>
  <c r="C1450" i="1"/>
  <c r="E1449" i="1"/>
  <c r="D1449" i="1"/>
  <c r="C1449" i="1"/>
  <c r="E1448" i="1"/>
  <c r="D1448" i="1"/>
  <c r="C1448" i="1"/>
  <c r="E1447" i="1"/>
  <c r="D1447" i="1"/>
  <c r="C1447" i="1"/>
  <c r="E1446" i="1"/>
  <c r="D1446" i="1"/>
  <c r="C1446" i="1"/>
  <c r="E1445" i="1"/>
  <c r="D1445" i="1"/>
  <c r="C1445" i="1"/>
  <c r="E1444" i="1"/>
  <c r="D1444" i="1"/>
  <c r="C1444" i="1"/>
  <c r="E1443" i="1"/>
  <c r="D1443" i="1"/>
  <c r="C1443" i="1"/>
  <c r="E1442" i="1"/>
  <c r="D1442" i="1"/>
  <c r="C1442" i="1"/>
  <c r="E1441" i="1"/>
  <c r="D1441" i="1"/>
  <c r="C1441" i="1"/>
  <c r="E1440" i="1"/>
  <c r="D1440" i="1"/>
  <c r="C1440" i="1"/>
  <c r="E1439" i="1"/>
  <c r="D1439" i="1"/>
  <c r="C1439" i="1"/>
  <c r="E1438" i="1"/>
  <c r="D1438" i="1"/>
  <c r="C1438" i="1"/>
  <c r="E1437" i="1"/>
  <c r="D1437" i="1"/>
  <c r="C1437" i="1"/>
  <c r="E1436" i="1"/>
  <c r="D1436" i="1"/>
  <c r="C1436" i="1"/>
  <c r="E1435" i="1"/>
  <c r="D1435" i="1"/>
  <c r="C1435" i="1"/>
  <c r="E1434" i="1"/>
  <c r="D1434" i="1"/>
  <c r="C1434" i="1"/>
  <c r="E1433" i="1"/>
  <c r="D1433" i="1"/>
  <c r="C1433" i="1"/>
  <c r="E1432" i="1"/>
  <c r="D1432" i="1"/>
  <c r="C1432" i="1"/>
  <c r="E1431" i="1"/>
  <c r="D1431" i="1"/>
  <c r="C1431" i="1"/>
  <c r="E1430" i="1"/>
  <c r="D1430" i="1"/>
  <c r="C1430" i="1"/>
  <c r="E1429" i="1"/>
  <c r="D1429" i="1"/>
  <c r="C1429" i="1"/>
  <c r="E1428" i="1"/>
  <c r="D1428" i="1"/>
  <c r="C1428" i="1"/>
  <c r="E1427" i="1"/>
  <c r="D1427" i="1"/>
  <c r="C1427" i="1"/>
  <c r="E1426" i="1"/>
  <c r="D1426" i="1"/>
  <c r="C1426" i="1"/>
  <c r="E1425" i="1"/>
  <c r="D1425" i="1"/>
  <c r="C1425" i="1"/>
  <c r="E1424" i="1"/>
  <c r="D1424" i="1"/>
  <c r="C1424" i="1"/>
  <c r="E1423" i="1"/>
  <c r="D1423" i="1"/>
  <c r="C1423" i="1"/>
  <c r="E1422" i="1"/>
  <c r="D1422" i="1"/>
  <c r="C1422" i="1"/>
  <c r="E1421" i="1"/>
  <c r="D1421" i="1"/>
  <c r="C1421" i="1"/>
  <c r="E1420" i="1"/>
  <c r="D1420" i="1"/>
  <c r="C1420" i="1"/>
  <c r="E1419" i="1"/>
  <c r="D1419" i="1"/>
  <c r="C1419" i="1"/>
  <c r="E1418" i="1"/>
  <c r="D1418" i="1"/>
  <c r="C1418" i="1"/>
  <c r="E1417" i="1"/>
  <c r="D1417" i="1"/>
  <c r="C1417" i="1"/>
  <c r="E1416" i="1"/>
  <c r="D1416" i="1"/>
  <c r="C1416" i="1"/>
  <c r="E1415" i="1"/>
  <c r="D1415" i="1"/>
  <c r="C1415" i="1"/>
  <c r="E1414" i="1"/>
  <c r="D1414" i="1"/>
  <c r="C1414" i="1"/>
  <c r="E1413" i="1"/>
  <c r="D1413" i="1"/>
  <c r="C1413" i="1"/>
  <c r="E1412" i="1"/>
  <c r="D1412" i="1"/>
  <c r="C1412" i="1"/>
  <c r="E1411" i="1"/>
  <c r="D1411" i="1"/>
  <c r="C1411" i="1"/>
  <c r="E1410" i="1"/>
  <c r="D1410" i="1"/>
  <c r="C1410" i="1"/>
  <c r="E1409" i="1"/>
  <c r="D1409" i="1"/>
  <c r="C1409" i="1"/>
  <c r="E1408" i="1"/>
  <c r="D1408" i="1"/>
  <c r="C1408" i="1"/>
  <c r="E1407" i="1"/>
  <c r="D1407" i="1"/>
  <c r="C1407" i="1"/>
  <c r="E1406" i="1"/>
  <c r="D1406" i="1"/>
  <c r="C1406" i="1"/>
  <c r="E1405" i="1"/>
  <c r="D1405" i="1"/>
  <c r="C1405" i="1"/>
  <c r="E1404" i="1"/>
  <c r="D1404" i="1"/>
  <c r="C1404" i="1"/>
  <c r="E1403" i="1"/>
  <c r="D1403" i="1"/>
  <c r="C1403" i="1"/>
  <c r="E1402" i="1"/>
  <c r="D1402" i="1"/>
  <c r="C1402" i="1"/>
  <c r="E1401" i="1"/>
  <c r="D1401" i="1"/>
  <c r="C1401" i="1"/>
  <c r="E1400" i="1"/>
  <c r="D1400" i="1"/>
  <c r="C1400" i="1"/>
  <c r="E1399" i="1"/>
  <c r="D1399" i="1"/>
  <c r="C1399" i="1"/>
  <c r="E1398" i="1"/>
  <c r="D1398" i="1"/>
  <c r="C1398" i="1"/>
  <c r="E1397" i="1"/>
  <c r="D1397" i="1"/>
  <c r="C1397" i="1"/>
  <c r="E1396" i="1"/>
  <c r="D1396" i="1"/>
  <c r="C1396" i="1"/>
  <c r="E1395" i="1"/>
  <c r="D1395" i="1"/>
  <c r="C1395" i="1"/>
  <c r="E1394" i="1"/>
  <c r="D1394" i="1"/>
  <c r="C1394" i="1"/>
  <c r="E1393" i="1"/>
  <c r="D1393" i="1"/>
  <c r="C1393" i="1"/>
  <c r="E1392" i="1"/>
  <c r="D1392" i="1"/>
  <c r="C1392" i="1"/>
  <c r="E1391" i="1"/>
  <c r="D1391" i="1"/>
  <c r="C1391" i="1"/>
  <c r="E1390" i="1"/>
  <c r="D1390" i="1"/>
  <c r="C1390" i="1"/>
  <c r="E1389" i="1"/>
  <c r="D1389" i="1"/>
  <c r="C1389" i="1"/>
  <c r="E1388" i="1"/>
  <c r="D1388" i="1"/>
  <c r="C1388" i="1"/>
  <c r="E1387" i="1"/>
  <c r="D1387" i="1"/>
  <c r="C1387" i="1"/>
  <c r="E1386" i="1"/>
  <c r="D1386" i="1"/>
  <c r="C1386" i="1"/>
  <c r="E1385" i="1"/>
  <c r="D1385" i="1"/>
  <c r="C1385" i="1"/>
  <c r="E1384" i="1"/>
  <c r="D1384" i="1"/>
  <c r="C1384" i="1"/>
  <c r="E1383" i="1"/>
  <c r="D1383" i="1"/>
  <c r="C1383" i="1"/>
  <c r="E1382" i="1"/>
  <c r="D1382" i="1"/>
  <c r="C1382" i="1"/>
  <c r="E1381" i="1"/>
  <c r="D1381" i="1"/>
  <c r="C1381" i="1"/>
  <c r="E1380" i="1"/>
  <c r="D1380" i="1"/>
  <c r="C1380" i="1"/>
  <c r="E1379" i="1"/>
  <c r="D1379" i="1"/>
  <c r="C1379" i="1"/>
  <c r="E1378" i="1"/>
  <c r="D1378" i="1"/>
  <c r="C1378" i="1"/>
  <c r="E1377" i="1"/>
  <c r="D1377" i="1"/>
  <c r="C1377" i="1"/>
  <c r="E1376" i="1"/>
  <c r="D1376" i="1"/>
  <c r="C1376" i="1"/>
  <c r="E1375" i="1"/>
  <c r="D1375" i="1"/>
  <c r="C1375" i="1"/>
  <c r="E1374" i="1"/>
  <c r="D1374" i="1"/>
  <c r="C1374" i="1"/>
  <c r="E1373" i="1"/>
  <c r="D1373" i="1"/>
  <c r="C1373" i="1"/>
  <c r="E1372" i="1"/>
  <c r="D1372" i="1"/>
  <c r="C1372" i="1"/>
  <c r="E1371" i="1"/>
  <c r="D1371" i="1"/>
  <c r="C1371" i="1"/>
  <c r="E1370" i="1"/>
  <c r="D1370" i="1"/>
  <c r="C1370" i="1"/>
  <c r="E1369" i="1"/>
  <c r="D1369" i="1"/>
  <c r="C1369" i="1"/>
  <c r="E1368" i="1"/>
  <c r="D1368" i="1"/>
  <c r="C1368" i="1"/>
  <c r="E1367" i="1"/>
  <c r="D1367" i="1"/>
  <c r="C1367" i="1"/>
  <c r="E1366" i="1"/>
  <c r="D1366" i="1"/>
  <c r="C1366" i="1"/>
  <c r="E1365" i="1"/>
  <c r="D1365" i="1"/>
  <c r="C1365" i="1"/>
  <c r="E1364" i="1"/>
  <c r="D1364" i="1"/>
  <c r="C1364" i="1"/>
  <c r="E1363" i="1"/>
  <c r="D1363" i="1"/>
  <c r="C1363" i="1"/>
  <c r="E1362" i="1"/>
  <c r="D1362" i="1"/>
  <c r="C1362" i="1"/>
  <c r="E1361" i="1"/>
  <c r="D1361" i="1"/>
  <c r="C1361" i="1"/>
  <c r="E1360" i="1"/>
  <c r="D1360" i="1"/>
  <c r="C1360" i="1"/>
  <c r="E1359" i="1"/>
  <c r="D1359" i="1"/>
  <c r="C1359" i="1"/>
  <c r="E1358" i="1"/>
  <c r="D1358" i="1"/>
  <c r="C1358" i="1"/>
  <c r="E1357" i="1"/>
  <c r="D1357" i="1"/>
  <c r="C1357" i="1"/>
  <c r="E1356" i="1"/>
  <c r="D1356" i="1"/>
  <c r="C1356" i="1"/>
  <c r="E1355" i="1"/>
  <c r="D1355" i="1"/>
  <c r="C1355" i="1"/>
  <c r="E1354" i="1"/>
  <c r="D1354" i="1"/>
  <c r="C1354" i="1"/>
  <c r="E1353" i="1"/>
  <c r="D1353" i="1"/>
  <c r="C1353" i="1"/>
  <c r="E1352" i="1"/>
  <c r="D1352" i="1"/>
  <c r="C1352" i="1"/>
  <c r="E1351" i="1"/>
  <c r="D1351" i="1"/>
  <c r="C1351" i="1"/>
  <c r="E1350" i="1"/>
  <c r="D1350" i="1"/>
  <c r="C1350" i="1"/>
  <c r="E1349" i="1"/>
  <c r="D1349" i="1"/>
  <c r="C1349" i="1"/>
  <c r="E1348" i="1"/>
  <c r="D1348" i="1"/>
  <c r="C1348" i="1"/>
  <c r="E1347" i="1"/>
  <c r="D1347" i="1"/>
  <c r="C1347" i="1"/>
  <c r="E1346" i="1"/>
  <c r="D1346" i="1"/>
  <c r="C1346" i="1"/>
  <c r="E1345" i="1"/>
  <c r="D1345" i="1"/>
  <c r="C1345" i="1"/>
  <c r="E1344" i="1"/>
  <c r="D1344" i="1"/>
  <c r="C1344" i="1"/>
  <c r="E1343" i="1"/>
  <c r="D1343" i="1"/>
  <c r="C1343" i="1"/>
  <c r="E1342" i="1"/>
  <c r="D1342" i="1"/>
  <c r="C1342" i="1"/>
  <c r="E1341" i="1"/>
  <c r="D1341" i="1"/>
  <c r="C1341" i="1"/>
  <c r="E1340" i="1"/>
  <c r="D1340" i="1"/>
  <c r="C1340" i="1"/>
  <c r="E1339" i="1"/>
  <c r="D1339" i="1"/>
  <c r="C1339" i="1"/>
  <c r="E1338" i="1"/>
  <c r="D1338" i="1"/>
  <c r="C1338" i="1"/>
  <c r="E1337" i="1"/>
  <c r="D1337" i="1"/>
  <c r="C1337" i="1"/>
  <c r="E1336" i="1"/>
  <c r="D1336" i="1"/>
  <c r="C1336" i="1"/>
  <c r="E1335" i="1"/>
  <c r="D1335" i="1"/>
  <c r="C1335" i="1"/>
  <c r="E1334" i="1"/>
  <c r="D1334" i="1"/>
  <c r="C1334" i="1"/>
  <c r="E1333" i="1"/>
  <c r="D1333" i="1"/>
  <c r="C1333" i="1"/>
  <c r="E1332" i="1"/>
  <c r="D1332" i="1"/>
  <c r="C1332" i="1"/>
  <c r="E1331" i="1"/>
  <c r="D1331" i="1"/>
  <c r="C1331" i="1"/>
  <c r="E1330" i="1"/>
  <c r="D1330" i="1"/>
  <c r="C1330" i="1"/>
  <c r="E1329" i="1"/>
  <c r="D1329" i="1"/>
  <c r="C1329" i="1"/>
  <c r="E1328" i="1"/>
  <c r="D1328" i="1"/>
  <c r="C1328" i="1"/>
  <c r="E1327" i="1"/>
  <c r="D1327" i="1"/>
  <c r="C1327" i="1"/>
  <c r="E1326" i="1"/>
  <c r="D1326" i="1"/>
  <c r="C1326" i="1"/>
  <c r="E1325" i="1"/>
  <c r="D1325" i="1"/>
  <c r="C1325" i="1"/>
  <c r="E1324" i="1"/>
  <c r="D1324" i="1"/>
  <c r="C1324" i="1"/>
  <c r="E1323" i="1"/>
  <c r="D1323" i="1"/>
  <c r="C1323" i="1"/>
  <c r="E1322" i="1"/>
  <c r="D1322" i="1"/>
  <c r="C1322" i="1"/>
  <c r="E1321" i="1"/>
  <c r="D1321" i="1"/>
  <c r="C1321" i="1"/>
  <c r="E1320" i="1"/>
  <c r="D1320" i="1"/>
  <c r="C1320" i="1"/>
  <c r="E1319" i="1"/>
  <c r="D1319" i="1"/>
  <c r="C1319" i="1"/>
  <c r="E1318" i="1"/>
  <c r="D1318" i="1"/>
  <c r="C1318" i="1"/>
  <c r="E1317" i="1"/>
  <c r="D1317" i="1"/>
  <c r="C1317" i="1"/>
  <c r="E1316" i="1"/>
  <c r="D1316" i="1"/>
  <c r="C1316" i="1"/>
  <c r="E1315" i="1"/>
  <c r="D1315" i="1"/>
  <c r="C1315" i="1"/>
  <c r="E1314" i="1"/>
  <c r="D1314" i="1"/>
  <c r="C1314" i="1"/>
  <c r="E1313" i="1"/>
  <c r="D1313" i="1"/>
  <c r="C1313" i="1"/>
  <c r="E1312" i="1"/>
  <c r="D1312" i="1"/>
  <c r="C1312" i="1"/>
  <c r="E1311" i="1"/>
  <c r="D1311" i="1"/>
  <c r="C1311" i="1"/>
  <c r="E1310" i="1"/>
  <c r="D1310" i="1"/>
  <c r="C1310" i="1"/>
  <c r="E1309" i="1"/>
  <c r="D1309" i="1"/>
  <c r="C1309" i="1"/>
  <c r="E1308" i="1"/>
  <c r="D1308" i="1"/>
  <c r="C1308" i="1"/>
  <c r="E1307" i="1"/>
  <c r="D1307" i="1"/>
  <c r="C1307" i="1"/>
  <c r="E1306" i="1"/>
  <c r="D1306" i="1"/>
  <c r="C1306" i="1"/>
  <c r="E1305" i="1"/>
  <c r="D1305" i="1"/>
  <c r="C1305" i="1"/>
  <c r="E1304" i="1"/>
  <c r="D1304" i="1"/>
  <c r="C1304" i="1"/>
  <c r="E1303" i="1"/>
  <c r="D1303" i="1"/>
  <c r="C1303" i="1"/>
  <c r="E1302" i="1"/>
  <c r="D1302" i="1"/>
  <c r="C1302" i="1"/>
  <c r="E1301" i="1"/>
  <c r="D1301" i="1"/>
  <c r="C1301" i="1"/>
  <c r="E1300" i="1"/>
  <c r="D1300" i="1"/>
  <c r="C1300" i="1"/>
  <c r="E1299" i="1"/>
  <c r="D1299" i="1"/>
  <c r="C1299" i="1"/>
  <c r="E1298" i="1"/>
  <c r="D1298" i="1"/>
  <c r="C1298" i="1"/>
  <c r="E1297" i="1"/>
  <c r="D1297" i="1"/>
  <c r="C1297" i="1"/>
  <c r="E1296" i="1"/>
  <c r="D1296" i="1"/>
  <c r="C1296" i="1"/>
  <c r="E1295" i="1"/>
  <c r="D1295" i="1"/>
  <c r="C1295" i="1"/>
  <c r="E1294" i="1"/>
  <c r="D1294" i="1"/>
  <c r="C1294" i="1"/>
  <c r="E1293" i="1"/>
  <c r="D1293" i="1"/>
  <c r="C1293" i="1"/>
  <c r="E1292" i="1"/>
  <c r="D1292" i="1"/>
  <c r="C1292" i="1"/>
  <c r="E1291" i="1"/>
  <c r="D1291" i="1"/>
  <c r="C1291" i="1"/>
  <c r="E1290" i="1"/>
  <c r="D1290" i="1"/>
  <c r="C1290" i="1"/>
  <c r="E1289" i="1"/>
  <c r="D1289" i="1"/>
  <c r="C1289" i="1"/>
  <c r="E1288" i="1"/>
  <c r="D1288" i="1"/>
  <c r="C1288" i="1"/>
  <c r="E1287" i="1"/>
  <c r="D1287" i="1"/>
  <c r="C1287" i="1"/>
  <c r="E1286" i="1"/>
  <c r="D1286" i="1"/>
  <c r="C1286" i="1"/>
  <c r="E1285" i="1"/>
  <c r="D1285" i="1"/>
  <c r="C1285" i="1"/>
  <c r="E1284" i="1"/>
  <c r="D1284" i="1"/>
  <c r="C1284" i="1"/>
  <c r="E1283" i="1"/>
  <c r="D1283" i="1"/>
  <c r="C1283" i="1"/>
  <c r="E1282" i="1"/>
  <c r="D1282" i="1"/>
  <c r="C1282" i="1"/>
  <c r="E1281" i="1"/>
  <c r="D1281" i="1"/>
  <c r="C1281" i="1"/>
  <c r="E1280" i="1"/>
  <c r="D1280" i="1"/>
  <c r="C1280" i="1"/>
  <c r="E1279" i="1"/>
  <c r="D1279" i="1"/>
  <c r="C1279" i="1"/>
  <c r="E1278" i="1"/>
  <c r="D1278" i="1"/>
  <c r="C1278" i="1"/>
  <c r="E1277" i="1"/>
  <c r="D1277" i="1"/>
  <c r="C1277" i="1"/>
  <c r="E1276" i="1"/>
  <c r="D1276" i="1"/>
  <c r="C1276" i="1"/>
  <c r="E1275" i="1"/>
  <c r="D1275" i="1"/>
  <c r="C1275" i="1"/>
  <c r="E1274" i="1"/>
  <c r="D1274" i="1"/>
  <c r="C1274" i="1"/>
  <c r="E1273" i="1"/>
  <c r="D1273" i="1"/>
  <c r="C1273" i="1"/>
  <c r="E1272" i="1"/>
  <c r="D1272" i="1"/>
  <c r="C1272" i="1"/>
  <c r="E1271" i="1"/>
  <c r="D1271" i="1"/>
  <c r="C1271" i="1"/>
  <c r="E1270" i="1"/>
  <c r="D1270" i="1"/>
  <c r="C1270" i="1"/>
  <c r="E1269" i="1"/>
  <c r="D1269" i="1"/>
  <c r="C1269" i="1"/>
  <c r="E1268" i="1"/>
  <c r="D1268" i="1"/>
  <c r="C1268" i="1"/>
  <c r="E1267" i="1"/>
  <c r="D1267" i="1"/>
  <c r="C1267" i="1"/>
  <c r="E1266" i="1"/>
  <c r="D1266" i="1"/>
  <c r="C1266" i="1"/>
  <c r="E1265" i="1"/>
  <c r="D1265" i="1"/>
  <c r="C1265" i="1"/>
  <c r="E1264" i="1"/>
  <c r="D1264" i="1"/>
  <c r="C1264" i="1"/>
  <c r="E1263" i="1"/>
  <c r="D1263" i="1"/>
  <c r="C1263" i="1"/>
  <c r="E1262" i="1"/>
  <c r="D1262" i="1"/>
  <c r="C1262" i="1"/>
  <c r="E1261" i="1"/>
  <c r="D1261" i="1"/>
  <c r="C1261" i="1"/>
  <c r="E1260" i="1"/>
  <c r="D1260" i="1"/>
  <c r="C1260" i="1"/>
  <c r="E1259" i="1"/>
  <c r="D1259" i="1"/>
  <c r="C1259" i="1"/>
  <c r="E1258" i="1"/>
  <c r="D1258" i="1"/>
  <c r="C1258" i="1"/>
  <c r="E1257" i="1"/>
  <c r="D1257" i="1"/>
  <c r="C1257" i="1"/>
  <c r="E1256" i="1"/>
  <c r="D1256" i="1"/>
  <c r="C1256" i="1"/>
  <c r="E1255" i="1"/>
  <c r="D1255" i="1"/>
  <c r="C1255" i="1"/>
  <c r="E1254" i="1"/>
  <c r="D1254" i="1"/>
  <c r="C1254" i="1"/>
  <c r="E1253" i="1"/>
  <c r="D1253" i="1"/>
  <c r="C1253" i="1"/>
  <c r="E1252" i="1"/>
  <c r="D1252" i="1"/>
  <c r="C1252" i="1"/>
  <c r="E1251" i="1"/>
  <c r="D1251" i="1"/>
  <c r="C1251" i="1"/>
  <c r="E1250" i="1"/>
  <c r="D1250" i="1"/>
  <c r="C1250" i="1"/>
  <c r="E1249" i="1"/>
  <c r="D1249" i="1"/>
  <c r="C1249" i="1"/>
  <c r="E1248" i="1"/>
  <c r="D1248" i="1"/>
  <c r="C1248" i="1"/>
  <c r="E1247" i="1"/>
  <c r="D1247" i="1"/>
  <c r="C1247" i="1"/>
  <c r="E1246" i="1"/>
  <c r="D1246" i="1"/>
  <c r="C1246" i="1"/>
  <c r="E1245" i="1"/>
  <c r="D1245" i="1"/>
  <c r="C1245" i="1"/>
  <c r="E1244" i="1"/>
  <c r="D1244" i="1"/>
  <c r="C1244" i="1"/>
  <c r="E1243" i="1"/>
  <c r="D1243" i="1"/>
  <c r="C1243" i="1"/>
  <c r="E1242" i="1"/>
  <c r="D1242" i="1"/>
  <c r="C1242" i="1"/>
  <c r="E1241" i="1"/>
  <c r="D1241" i="1"/>
  <c r="C1241" i="1"/>
  <c r="E1240" i="1"/>
  <c r="D1240" i="1"/>
  <c r="C1240" i="1"/>
  <c r="E1239" i="1"/>
  <c r="D1239" i="1"/>
  <c r="C1239" i="1"/>
  <c r="E1238" i="1"/>
  <c r="D1238" i="1"/>
  <c r="C1238" i="1"/>
  <c r="E1237" i="1"/>
  <c r="D1237" i="1"/>
  <c r="C1237" i="1"/>
  <c r="E1236" i="1"/>
  <c r="D1236" i="1"/>
  <c r="C1236" i="1"/>
  <c r="E1235" i="1"/>
  <c r="D1235" i="1"/>
  <c r="C1235" i="1"/>
  <c r="E1234" i="1"/>
  <c r="D1234" i="1"/>
  <c r="C1234" i="1"/>
  <c r="E1233" i="1"/>
  <c r="D1233" i="1"/>
  <c r="C1233" i="1"/>
  <c r="E1232" i="1"/>
  <c r="D1232" i="1"/>
  <c r="C1232" i="1"/>
  <c r="E1231" i="1"/>
  <c r="D1231" i="1"/>
  <c r="C1231" i="1"/>
  <c r="E1230" i="1"/>
  <c r="D1230" i="1"/>
  <c r="C1230" i="1"/>
  <c r="E1229" i="1"/>
  <c r="D1229" i="1"/>
  <c r="C1229" i="1"/>
  <c r="E1228" i="1"/>
  <c r="D1228" i="1"/>
  <c r="C1228" i="1"/>
  <c r="E1227" i="1"/>
  <c r="D1227" i="1"/>
  <c r="C1227" i="1"/>
  <c r="E1226" i="1"/>
  <c r="D1226" i="1"/>
  <c r="C1226" i="1"/>
  <c r="E1225" i="1"/>
  <c r="D1225" i="1"/>
  <c r="C1225" i="1"/>
  <c r="E1224" i="1"/>
  <c r="D1224" i="1"/>
  <c r="C1224" i="1"/>
  <c r="E1223" i="1"/>
  <c r="D1223" i="1"/>
  <c r="C1223" i="1"/>
  <c r="E1222" i="1"/>
  <c r="D1222" i="1"/>
  <c r="C1222" i="1"/>
  <c r="E1221" i="1"/>
  <c r="D1221" i="1"/>
  <c r="C1221" i="1"/>
  <c r="E1220" i="1"/>
  <c r="D1220" i="1"/>
  <c r="C1220" i="1"/>
  <c r="E1219" i="1"/>
  <c r="D1219" i="1"/>
  <c r="C1219" i="1"/>
  <c r="E1218" i="1"/>
  <c r="D1218" i="1"/>
  <c r="C1218" i="1"/>
  <c r="E1217" i="1"/>
  <c r="D1217" i="1"/>
  <c r="C1217" i="1"/>
  <c r="E1216" i="1"/>
  <c r="D1216" i="1"/>
  <c r="C1216" i="1"/>
  <c r="E1215" i="1"/>
  <c r="D1215" i="1"/>
  <c r="C1215" i="1"/>
  <c r="E1214" i="1"/>
  <c r="D1214" i="1"/>
  <c r="C1214" i="1"/>
  <c r="E1213" i="1"/>
  <c r="D1213" i="1"/>
  <c r="C1213" i="1"/>
  <c r="E1212" i="1"/>
  <c r="D1212" i="1"/>
  <c r="C1212" i="1"/>
  <c r="E1211" i="1"/>
  <c r="D1211" i="1"/>
  <c r="C1211" i="1"/>
  <c r="E1210" i="1"/>
  <c r="D1210" i="1"/>
  <c r="C1210" i="1"/>
  <c r="E1209" i="1"/>
  <c r="D1209" i="1"/>
  <c r="C1209" i="1"/>
  <c r="E1208" i="1"/>
  <c r="D1208" i="1"/>
  <c r="C1208" i="1"/>
  <c r="E1207" i="1"/>
  <c r="D1207" i="1"/>
  <c r="C1207" i="1"/>
  <c r="E1206" i="1"/>
  <c r="D1206" i="1"/>
  <c r="C1206" i="1"/>
  <c r="E1205" i="1"/>
  <c r="D1205" i="1"/>
  <c r="C1205" i="1"/>
  <c r="E1204" i="1"/>
  <c r="D1204" i="1"/>
  <c r="C1204" i="1"/>
  <c r="E1203" i="1"/>
  <c r="D1203" i="1"/>
  <c r="C1203" i="1"/>
  <c r="E1202" i="1"/>
  <c r="D1202" i="1"/>
  <c r="C1202" i="1"/>
  <c r="E1201" i="1"/>
  <c r="D1201" i="1"/>
  <c r="C1201" i="1"/>
  <c r="E1200" i="1"/>
  <c r="D1200" i="1"/>
  <c r="C1200" i="1"/>
  <c r="E1199" i="1"/>
  <c r="D1199" i="1"/>
  <c r="C1199" i="1"/>
  <c r="E1198" i="1"/>
  <c r="D1198" i="1"/>
  <c r="C1198" i="1"/>
  <c r="E1197" i="1"/>
  <c r="D1197" i="1"/>
  <c r="C1197" i="1"/>
  <c r="E1196" i="1"/>
  <c r="D1196" i="1"/>
  <c r="C1196" i="1"/>
  <c r="E1195" i="1"/>
  <c r="D1195" i="1"/>
  <c r="C1195" i="1"/>
  <c r="E1194" i="1"/>
  <c r="D1194" i="1"/>
  <c r="C1194" i="1"/>
  <c r="E1193" i="1"/>
  <c r="D1193" i="1"/>
  <c r="C1193" i="1"/>
  <c r="E1192" i="1"/>
  <c r="D1192" i="1"/>
  <c r="C1192" i="1"/>
  <c r="E1191" i="1"/>
  <c r="D1191" i="1"/>
  <c r="C1191" i="1"/>
  <c r="E1190" i="1"/>
  <c r="D1190" i="1"/>
  <c r="C1190" i="1"/>
  <c r="E1189" i="1"/>
  <c r="D1189" i="1"/>
  <c r="C1189" i="1"/>
  <c r="E1188" i="1"/>
  <c r="D1188" i="1"/>
  <c r="C1188" i="1"/>
  <c r="E1187" i="1"/>
  <c r="D1187" i="1"/>
  <c r="C1187" i="1"/>
  <c r="E1186" i="1"/>
  <c r="D1186" i="1"/>
  <c r="C1186" i="1"/>
  <c r="E1185" i="1"/>
  <c r="D1185" i="1"/>
  <c r="C1185" i="1"/>
  <c r="E1184" i="1"/>
  <c r="D1184" i="1"/>
  <c r="C1184" i="1"/>
  <c r="E1183" i="1"/>
  <c r="D1183" i="1"/>
  <c r="C1183" i="1"/>
  <c r="E1182" i="1"/>
  <c r="D1182" i="1"/>
  <c r="C1182" i="1"/>
  <c r="E1181" i="1"/>
  <c r="D1181" i="1"/>
  <c r="C1181" i="1"/>
  <c r="E1180" i="1"/>
  <c r="D1180" i="1"/>
  <c r="C1180" i="1"/>
  <c r="E1179" i="1"/>
  <c r="D1179" i="1"/>
  <c r="C1179" i="1"/>
  <c r="E1178" i="1"/>
  <c r="D1178" i="1"/>
  <c r="C1178" i="1"/>
  <c r="E1177" i="1"/>
  <c r="D1177" i="1"/>
  <c r="C1177" i="1"/>
  <c r="E1176" i="1"/>
  <c r="D1176" i="1"/>
  <c r="C1176" i="1"/>
  <c r="E1175" i="1"/>
  <c r="D1175" i="1"/>
  <c r="C1175" i="1"/>
  <c r="E1174" i="1"/>
  <c r="D1174" i="1"/>
  <c r="C1174" i="1"/>
  <c r="E1173" i="1"/>
  <c r="D1173" i="1"/>
  <c r="C1173" i="1"/>
  <c r="E1172" i="1"/>
  <c r="D1172" i="1"/>
  <c r="C1172" i="1"/>
  <c r="E1171" i="1"/>
  <c r="D1171" i="1"/>
  <c r="C1171" i="1"/>
  <c r="E1170" i="1"/>
  <c r="D1170" i="1"/>
  <c r="C1170" i="1"/>
  <c r="E1169" i="1"/>
  <c r="D1169" i="1"/>
  <c r="C1169" i="1"/>
  <c r="E1168" i="1"/>
  <c r="D1168" i="1"/>
  <c r="C1168" i="1"/>
  <c r="E1167" i="1"/>
  <c r="D1167" i="1"/>
  <c r="C1167" i="1"/>
  <c r="E1166" i="1"/>
  <c r="D1166" i="1"/>
  <c r="C1166" i="1"/>
  <c r="E1165" i="1"/>
  <c r="D1165" i="1"/>
  <c r="C1165" i="1"/>
  <c r="E1164" i="1"/>
  <c r="D1164" i="1"/>
  <c r="C1164" i="1"/>
  <c r="E1163" i="1"/>
  <c r="D1163" i="1"/>
  <c r="C1163" i="1"/>
  <c r="E1162" i="1"/>
  <c r="D1162" i="1"/>
  <c r="C1162" i="1"/>
  <c r="E1161" i="1"/>
  <c r="D1161" i="1"/>
  <c r="C1161" i="1"/>
  <c r="E1160" i="1"/>
  <c r="D1160" i="1"/>
  <c r="C1160" i="1"/>
  <c r="E1159" i="1"/>
  <c r="D1159" i="1"/>
  <c r="C1159" i="1"/>
  <c r="E1158" i="1"/>
  <c r="D1158" i="1"/>
  <c r="C1158" i="1"/>
  <c r="E1157" i="1"/>
  <c r="D1157" i="1"/>
  <c r="C1157" i="1"/>
  <c r="E1156" i="1"/>
  <c r="D1156" i="1"/>
  <c r="C1156" i="1"/>
  <c r="E1155" i="1"/>
  <c r="D1155" i="1"/>
  <c r="C1155" i="1"/>
  <c r="E1154" i="1"/>
  <c r="D1154" i="1"/>
  <c r="C1154" i="1"/>
  <c r="E1153" i="1"/>
  <c r="D1153" i="1"/>
  <c r="C1153" i="1"/>
  <c r="E1152" i="1"/>
  <c r="D1152" i="1"/>
  <c r="C1152" i="1"/>
  <c r="E1151" i="1"/>
  <c r="D1151" i="1"/>
  <c r="C1151" i="1"/>
  <c r="E1150" i="1"/>
  <c r="D1150" i="1"/>
  <c r="C1150" i="1"/>
  <c r="E1149" i="1"/>
  <c r="D1149" i="1"/>
  <c r="C1149" i="1"/>
  <c r="E1148" i="1"/>
  <c r="D1148" i="1"/>
  <c r="C1148" i="1"/>
  <c r="E1147" i="1"/>
  <c r="D1147" i="1"/>
  <c r="C1147" i="1"/>
  <c r="E1146" i="1"/>
  <c r="D1146" i="1"/>
  <c r="C1146" i="1"/>
  <c r="E1145" i="1"/>
  <c r="D1145" i="1"/>
  <c r="C1145" i="1"/>
  <c r="E1144" i="1"/>
  <c r="D1144" i="1"/>
  <c r="C1144" i="1"/>
  <c r="E1143" i="1"/>
  <c r="D1143" i="1"/>
  <c r="C1143" i="1"/>
  <c r="E1142" i="1"/>
  <c r="D1142" i="1"/>
  <c r="C1142" i="1"/>
  <c r="E1141" i="1"/>
  <c r="D1141" i="1"/>
  <c r="C1141" i="1"/>
  <c r="E1140" i="1"/>
  <c r="D1140" i="1"/>
  <c r="C1140" i="1"/>
  <c r="E1139" i="1"/>
  <c r="D1139" i="1"/>
  <c r="C1139" i="1"/>
  <c r="E1138" i="1"/>
  <c r="D1138" i="1"/>
  <c r="C1138" i="1"/>
  <c r="E1137" i="1"/>
  <c r="D1137" i="1"/>
  <c r="C1137" i="1"/>
  <c r="E1136" i="1"/>
  <c r="D1136" i="1"/>
  <c r="C1136" i="1"/>
  <c r="E1135" i="1"/>
  <c r="D1135" i="1"/>
  <c r="C1135" i="1"/>
  <c r="E1134" i="1"/>
  <c r="D1134" i="1"/>
  <c r="C1134" i="1"/>
  <c r="E1133" i="1"/>
  <c r="D1133" i="1"/>
  <c r="C1133" i="1"/>
  <c r="E1132" i="1"/>
  <c r="D1132" i="1"/>
  <c r="C1132" i="1"/>
  <c r="E1131" i="1"/>
  <c r="D1131" i="1"/>
  <c r="C1131" i="1"/>
  <c r="E1130" i="1"/>
  <c r="D1130" i="1"/>
  <c r="C1130" i="1"/>
  <c r="E1129" i="1"/>
  <c r="D1129" i="1"/>
  <c r="C1129" i="1"/>
  <c r="E1128" i="1"/>
  <c r="D1128" i="1"/>
  <c r="C1128" i="1"/>
  <c r="E1127" i="1"/>
  <c r="D1127" i="1"/>
  <c r="C1127" i="1"/>
  <c r="E1126" i="1"/>
  <c r="D1126" i="1"/>
  <c r="C1126" i="1"/>
  <c r="E1125" i="1"/>
  <c r="D1125" i="1"/>
  <c r="C1125" i="1"/>
  <c r="E1124" i="1"/>
  <c r="D1124" i="1"/>
  <c r="C1124" i="1"/>
  <c r="E1123" i="1"/>
  <c r="D1123" i="1"/>
  <c r="C1123" i="1"/>
  <c r="E1122" i="1"/>
  <c r="D1122" i="1"/>
  <c r="C1122" i="1"/>
  <c r="E1121" i="1"/>
  <c r="D1121" i="1"/>
  <c r="C1121" i="1"/>
  <c r="E1120" i="1"/>
  <c r="D1120" i="1"/>
  <c r="C1120" i="1"/>
  <c r="E1119" i="1"/>
  <c r="D1119" i="1"/>
  <c r="C1119" i="1"/>
  <c r="E1118" i="1"/>
  <c r="D1118" i="1"/>
  <c r="C1118" i="1"/>
  <c r="E1117" i="1"/>
  <c r="D1117" i="1"/>
  <c r="C1117" i="1"/>
  <c r="E1116" i="1"/>
  <c r="D1116" i="1"/>
  <c r="C1116" i="1"/>
  <c r="E1115" i="1"/>
  <c r="D1115" i="1"/>
  <c r="C1115" i="1"/>
  <c r="E1114" i="1"/>
  <c r="D1114" i="1"/>
  <c r="C1114" i="1"/>
  <c r="E1113" i="1"/>
  <c r="D1113" i="1"/>
  <c r="C1113" i="1"/>
  <c r="E1112" i="1"/>
  <c r="D1112" i="1"/>
  <c r="C1112" i="1"/>
  <c r="E1111" i="1"/>
  <c r="D1111" i="1"/>
  <c r="C1111" i="1"/>
  <c r="E1110" i="1"/>
  <c r="D1110" i="1"/>
  <c r="C1110" i="1"/>
  <c r="E1109" i="1"/>
  <c r="D1109" i="1"/>
  <c r="C1109" i="1"/>
  <c r="E1108" i="1"/>
  <c r="D1108" i="1"/>
  <c r="C1108" i="1"/>
  <c r="E1107" i="1"/>
  <c r="D1107" i="1"/>
  <c r="C1107" i="1"/>
  <c r="E1106" i="1"/>
  <c r="D1106" i="1"/>
  <c r="C1106" i="1"/>
  <c r="E1105" i="1"/>
  <c r="D1105" i="1"/>
  <c r="C1105" i="1"/>
  <c r="E1104" i="1"/>
  <c r="D1104" i="1"/>
  <c r="C1104" i="1"/>
  <c r="E1103" i="1"/>
  <c r="D1103" i="1"/>
  <c r="C1103" i="1"/>
  <c r="E1102" i="1"/>
  <c r="D1102" i="1"/>
  <c r="C1102" i="1"/>
  <c r="E1101" i="1"/>
  <c r="D1101" i="1"/>
  <c r="C1101" i="1"/>
  <c r="E1100" i="1"/>
  <c r="D1100" i="1"/>
  <c r="C1100" i="1"/>
  <c r="E1099" i="1"/>
  <c r="D1099" i="1"/>
  <c r="C1099" i="1"/>
  <c r="E1098" i="1"/>
  <c r="D1098" i="1"/>
  <c r="C1098" i="1"/>
  <c r="E1097" i="1"/>
  <c r="D1097" i="1"/>
  <c r="C1097" i="1"/>
  <c r="E1096" i="1"/>
  <c r="D1096" i="1"/>
  <c r="C1096" i="1"/>
  <c r="E1095" i="1"/>
  <c r="D1095" i="1"/>
  <c r="C1095" i="1"/>
  <c r="E1094" i="1"/>
  <c r="D1094" i="1"/>
  <c r="C1094" i="1"/>
  <c r="E1093" i="1"/>
  <c r="D1093" i="1"/>
  <c r="C1093" i="1"/>
  <c r="E1092" i="1"/>
  <c r="D1092" i="1"/>
  <c r="C1092" i="1"/>
  <c r="E1091" i="1"/>
  <c r="D1091" i="1"/>
  <c r="C1091" i="1"/>
  <c r="E1090" i="1"/>
  <c r="D1090" i="1"/>
  <c r="C1090" i="1"/>
  <c r="E1089" i="1"/>
  <c r="D1089" i="1"/>
  <c r="C1089" i="1"/>
  <c r="E1088" i="1"/>
  <c r="D1088" i="1"/>
  <c r="C1088" i="1"/>
  <c r="E1087" i="1"/>
  <c r="D1087" i="1"/>
  <c r="C1087" i="1"/>
  <c r="E1086" i="1"/>
  <c r="D1086" i="1"/>
  <c r="C1086" i="1"/>
  <c r="E1085" i="1"/>
  <c r="D1085" i="1"/>
  <c r="C1085" i="1"/>
  <c r="E1084" i="1"/>
  <c r="D1084" i="1"/>
  <c r="C1084" i="1"/>
  <c r="E1083" i="1"/>
  <c r="D1083" i="1"/>
  <c r="C1083" i="1"/>
  <c r="E1082" i="1"/>
  <c r="D1082" i="1"/>
  <c r="C1082" i="1"/>
  <c r="E1081" i="1"/>
  <c r="D1081" i="1"/>
  <c r="C1081" i="1"/>
  <c r="D6" i="2"/>
  <c r="I5" i="2"/>
  <c r="D3" i="2"/>
  <c r="D7" i="2"/>
  <c r="I7" i="2"/>
  <c r="B16" i="2"/>
  <c r="I8" i="2"/>
  <c r="K4" i="4"/>
  <c r="I6" i="2"/>
  <c r="K17" i="5"/>
  <c r="J17" i="5"/>
  <c r="I17" i="5"/>
  <c r="H17" i="5"/>
  <c r="M17" i="5"/>
  <c r="N17" i="5"/>
  <c r="O17" i="5"/>
  <c r="P17" i="5"/>
  <c r="Q17" i="5"/>
  <c r="K18" i="5"/>
  <c r="J18" i="5"/>
  <c r="I18" i="5"/>
  <c r="H18" i="5"/>
  <c r="M18" i="5"/>
  <c r="N18" i="5"/>
  <c r="O18" i="5"/>
  <c r="P18" i="5"/>
  <c r="Q18" i="5"/>
  <c r="K16" i="5"/>
  <c r="J16" i="5"/>
  <c r="I16" i="5"/>
  <c r="H16" i="5"/>
  <c r="M16" i="5"/>
  <c r="N16" i="5"/>
  <c r="O16" i="5"/>
  <c r="P16" i="5"/>
  <c r="Q16" i="5"/>
  <c r="H127" i="1"/>
  <c r="I127" i="1"/>
  <c r="H119" i="1"/>
  <c r="I119" i="1"/>
  <c r="H113" i="1"/>
  <c r="I113" i="1"/>
  <c r="H107" i="1"/>
  <c r="I107" i="1"/>
  <c r="H99" i="1"/>
  <c r="I99" i="1"/>
  <c r="H93" i="1"/>
  <c r="I93" i="1"/>
  <c r="H87" i="1"/>
  <c r="I87" i="1"/>
  <c r="H78" i="1"/>
  <c r="I78" i="1"/>
  <c r="H63" i="1"/>
  <c r="I63" i="1"/>
  <c r="H50" i="1"/>
  <c r="I50" i="1"/>
  <c r="H39" i="1"/>
  <c r="I39" i="1"/>
  <c r="H22" i="1"/>
  <c r="I22" i="1"/>
  <c r="H9" i="1"/>
  <c r="I9" i="1"/>
  <c r="H290" i="1"/>
  <c r="I290" i="1"/>
  <c r="H287" i="1"/>
  <c r="I287" i="1"/>
  <c r="H283" i="1"/>
  <c r="I283" i="1"/>
  <c r="H279" i="1"/>
  <c r="I279" i="1"/>
  <c r="H275" i="1"/>
  <c r="I275" i="1"/>
  <c r="H269" i="1"/>
  <c r="I269" i="1"/>
  <c r="H259" i="1"/>
  <c r="I259" i="1"/>
  <c r="H250" i="1"/>
  <c r="I250" i="1"/>
  <c r="H244" i="1"/>
  <c r="I244" i="1"/>
  <c r="H239" i="1"/>
  <c r="I239" i="1"/>
  <c r="H234" i="1"/>
  <c r="I234" i="1"/>
  <c r="H229" i="1"/>
  <c r="I229" i="1"/>
  <c r="H223" i="1"/>
  <c r="I223" i="1"/>
  <c r="H219" i="1"/>
  <c r="I219" i="1"/>
  <c r="H210" i="1"/>
  <c r="I210" i="1"/>
  <c r="H206" i="1"/>
  <c r="I206" i="1"/>
  <c r="H201" i="1"/>
  <c r="I201" i="1"/>
  <c r="H196" i="1"/>
  <c r="I196" i="1"/>
  <c r="H191" i="1"/>
  <c r="I191" i="1"/>
  <c r="H187" i="1"/>
  <c r="I187" i="1"/>
  <c r="H178" i="1"/>
  <c r="I178" i="1"/>
  <c r="H174" i="1"/>
  <c r="I174" i="1"/>
  <c r="H169" i="1"/>
  <c r="I169" i="1"/>
  <c r="H164" i="1"/>
  <c r="I164" i="1"/>
  <c r="H159" i="1"/>
  <c r="I159" i="1"/>
  <c r="H155" i="1"/>
  <c r="I155" i="1"/>
  <c r="H150" i="1"/>
  <c r="I150" i="1"/>
  <c r="H146" i="1"/>
  <c r="I146" i="1"/>
  <c r="H141" i="1"/>
  <c r="I141" i="1"/>
  <c r="H136" i="1"/>
  <c r="I136" i="1"/>
  <c r="H130" i="1"/>
  <c r="I130" i="1"/>
  <c r="H126" i="1"/>
  <c r="I126" i="1"/>
  <c r="H120" i="1"/>
  <c r="I120" i="1"/>
  <c r="H116" i="1"/>
  <c r="I116" i="1"/>
  <c r="H110" i="1"/>
  <c r="I110" i="1"/>
  <c r="H106" i="1"/>
  <c r="I106" i="1"/>
  <c r="H100" i="1"/>
  <c r="I100" i="1"/>
  <c r="H96" i="1"/>
  <c r="I96" i="1"/>
  <c r="H91" i="1"/>
  <c r="I91" i="1"/>
  <c r="H85" i="1"/>
  <c r="I85" i="1"/>
  <c r="H81" i="1"/>
  <c r="I81" i="1"/>
  <c r="H73" i="1"/>
  <c r="I73" i="1"/>
  <c r="H62" i="1"/>
  <c r="I62" i="1"/>
  <c r="H53" i="1"/>
  <c r="I53" i="1"/>
  <c r="H44" i="1"/>
  <c r="I44" i="1"/>
  <c r="H36" i="1"/>
  <c r="I36" i="1"/>
  <c r="H25" i="1"/>
  <c r="I25" i="1"/>
  <c r="H15" i="1"/>
  <c r="I15" i="1"/>
  <c r="H2" i="1"/>
  <c r="I2" i="1"/>
  <c r="H273" i="1"/>
  <c r="I273" i="1"/>
  <c r="H270" i="1"/>
  <c r="I270" i="1"/>
  <c r="H266" i="1"/>
  <c r="I266" i="1"/>
  <c r="H263" i="1"/>
  <c r="I263" i="1"/>
  <c r="H260" i="1"/>
  <c r="I260" i="1"/>
  <c r="H256" i="1"/>
  <c r="I256" i="1"/>
  <c r="H253" i="1"/>
  <c r="I253" i="1"/>
  <c r="H249" i="1"/>
  <c r="I249" i="1"/>
  <c r="H246" i="1"/>
  <c r="I246" i="1"/>
  <c r="H242" i="1"/>
  <c r="I242" i="1"/>
  <c r="H235" i="1"/>
  <c r="I235" i="1"/>
  <c r="H231" i="1"/>
  <c r="I231" i="1"/>
  <c r="H228" i="1"/>
  <c r="I228" i="1"/>
  <c r="H224" i="1"/>
  <c r="I224" i="1"/>
  <c r="H221" i="1"/>
  <c r="I221" i="1"/>
  <c r="H216" i="1"/>
  <c r="I216" i="1"/>
  <c r="H213" i="1"/>
  <c r="I213" i="1"/>
  <c r="H208" i="1"/>
  <c r="I208" i="1"/>
  <c r="H205" i="1"/>
  <c r="I205" i="1"/>
  <c r="H200" i="1"/>
  <c r="I200" i="1"/>
  <c r="H197" i="1"/>
  <c r="I197" i="1"/>
  <c r="H192" i="1"/>
  <c r="I192" i="1"/>
  <c r="H189" i="1"/>
  <c r="I189" i="1"/>
  <c r="H184" i="1"/>
  <c r="I184" i="1"/>
  <c r="H181" i="1"/>
  <c r="I181" i="1"/>
  <c r="H176" i="1"/>
  <c r="I176" i="1"/>
  <c r="H173" i="1"/>
  <c r="I173" i="1"/>
  <c r="H168" i="1"/>
  <c r="I168" i="1"/>
  <c r="H165" i="1"/>
  <c r="I165" i="1"/>
  <c r="H160" i="1"/>
  <c r="I160" i="1"/>
  <c r="H157" i="1"/>
  <c r="I157" i="1"/>
  <c r="H151" i="1"/>
  <c r="I151" i="1"/>
  <c r="H148" i="1"/>
  <c r="I148" i="1"/>
  <c r="H145" i="1"/>
  <c r="I145" i="1"/>
  <c r="H138" i="1"/>
  <c r="I138" i="1"/>
  <c r="H134" i="1"/>
  <c r="I134" i="1"/>
  <c r="H131" i="1"/>
  <c r="I131" i="1"/>
  <c r="H128" i="1"/>
  <c r="I128" i="1"/>
  <c r="H125" i="1"/>
  <c r="I125" i="1"/>
  <c r="H121" i="1"/>
  <c r="I121" i="1"/>
  <c r="H114" i="1"/>
  <c r="I114" i="1"/>
  <c r="H111" i="1"/>
  <c r="I111" i="1"/>
  <c r="H108" i="1"/>
  <c r="I108" i="1"/>
  <c r="H104" i="1"/>
  <c r="I104" i="1"/>
  <c r="H101" i="1"/>
  <c r="I101" i="1"/>
  <c r="H94" i="1"/>
  <c r="I94" i="1"/>
  <c r="H90" i="1"/>
  <c r="I90" i="1"/>
  <c r="H86" i="1"/>
  <c r="I86" i="1"/>
  <c r="H83" i="1"/>
  <c r="I83" i="1"/>
  <c r="H80" i="1"/>
  <c r="I80" i="1"/>
  <c r="H75" i="1"/>
  <c r="I75" i="1"/>
  <c r="H69" i="1"/>
  <c r="I69" i="1"/>
  <c r="H60" i="1"/>
  <c r="I60" i="1"/>
  <c r="H47" i="1"/>
  <c r="I47" i="1"/>
  <c r="H40" i="1"/>
  <c r="I40" i="1"/>
  <c r="H33" i="1"/>
  <c r="I33" i="1"/>
  <c r="H26" i="1"/>
  <c r="I26" i="1"/>
  <c r="H18" i="1"/>
  <c r="I18" i="1"/>
  <c r="H12" i="1"/>
  <c r="I12" i="1"/>
  <c r="H5" i="1"/>
  <c r="I5" i="1"/>
  <c r="H74" i="1"/>
  <c r="I74" i="1"/>
  <c r="H71" i="1"/>
  <c r="I71" i="1"/>
  <c r="H68" i="1"/>
  <c r="I68" i="1"/>
  <c r="H65" i="1"/>
  <c r="I65" i="1"/>
  <c r="H58" i="1"/>
  <c r="I58" i="1"/>
  <c r="H55" i="1"/>
  <c r="I55" i="1"/>
  <c r="H52" i="1"/>
  <c r="I52" i="1"/>
  <c r="H48" i="1"/>
  <c r="I48" i="1"/>
  <c r="H42" i="1"/>
  <c r="I42" i="1"/>
  <c r="H38" i="1"/>
  <c r="I38" i="1"/>
  <c r="H35" i="1"/>
  <c r="I35" i="1"/>
  <c r="H31" i="1"/>
  <c r="I31" i="1"/>
  <c r="H28" i="1"/>
  <c r="I28" i="1"/>
  <c r="H24" i="1"/>
  <c r="I24" i="1"/>
  <c r="H21" i="1"/>
  <c r="I21" i="1"/>
  <c r="H14" i="1"/>
  <c r="I14" i="1"/>
  <c r="H11" i="1"/>
  <c r="I11" i="1"/>
  <c r="H7" i="1"/>
  <c r="I7" i="1"/>
  <c r="H4" i="1"/>
  <c r="I4" i="1"/>
  <c r="H1" i="1"/>
  <c r="I1" i="1"/>
  <c r="H77" i="1"/>
  <c r="I77" i="1"/>
  <c r="H70" i="1"/>
  <c r="I70" i="1"/>
  <c r="H67" i="1"/>
  <c r="I67" i="1"/>
  <c r="H64" i="1"/>
  <c r="I64" i="1"/>
  <c r="H61" i="1"/>
  <c r="I61" i="1"/>
  <c r="H54" i="1"/>
  <c r="I54" i="1"/>
  <c r="H51" i="1"/>
  <c r="I51" i="1"/>
  <c r="H45" i="1"/>
  <c r="I45" i="1"/>
  <c r="H41" i="1"/>
  <c r="I41" i="1"/>
  <c r="H34" i="1"/>
  <c r="I34" i="1"/>
  <c r="H30" i="1"/>
  <c r="I30" i="1"/>
  <c r="H27" i="1"/>
  <c r="I27" i="1"/>
  <c r="H23" i="1"/>
  <c r="I23" i="1"/>
  <c r="H20" i="1"/>
  <c r="I20" i="1"/>
  <c r="H17" i="1"/>
  <c r="I17" i="1"/>
  <c r="H10" i="1"/>
  <c r="I10" i="1"/>
  <c r="H6" i="1"/>
  <c r="I6" i="1"/>
  <c r="H3" i="1"/>
  <c r="I3" i="1"/>
  <c r="A2" i="1"/>
  <c r="M14" i="5"/>
  <c r="M15" i="5"/>
  <c r="E16" i="2"/>
  <c r="F16" i="2"/>
  <c r="G16" i="2"/>
  <c r="A13" i="4"/>
  <c r="H15" i="2"/>
  <c r="B12" i="4"/>
  <c r="K15" i="2"/>
  <c r="M14" i="2"/>
  <c r="L15" i="2"/>
  <c r="O10" i="4"/>
  <c r="N11" i="4"/>
  <c r="O10" i="7"/>
  <c r="J15" i="2"/>
  <c r="A17" i="2"/>
  <c r="I15" i="2"/>
  <c r="N15" i="5"/>
  <c r="N14" i="5"/>
  <c r="N14" i="2"/>
  <c r="M15" i="2"/>
  <c r="A14" i="4"/>
  <c r="B13" i="4"/>
  <c r="P10" i="4"/>
  <c r="O11" i="4"/>
  <c r="J7" i="7"/>
  <c r="O9" i="7"/>
  <c r="A18" i="2"/>
  <c r="B17" i="2"/>
  <c r="O14" i="5"/>
  <c r="O15" i="5"/>
  <c r="F17" i="2"/>
  <c r="E17" i="2"/>
  <c r="D17" i="2"/>
  <c r="E13" i="4"/>
  <c r="F13" i="4"/>
  <c r="B14" i="4"/>
  <c r="A15" i="4"/>
  <c r="A19" i="2"/>
  <c r="Q10" i="4"/>
  <c r="P11" i="4"/>
  <c r="I9" i="7"/>
  <c r="M9" i="7"/>
  <c r="Q9" i="7"/>
  <c r="J9" i="7"/>
  <c r="N9" i="7"/>
  <c r="H9" i="7"/>
  <c r="K9" i="7"/>
  <c r="P9" i="7"/>
  <c r="L9" i="7"/>
  <c r="N15" i="2"/>
  <c r="O14" i="2"/>
  <c r="J17" i="2"/>
  <c r="H17" i="2"/>
  <c r="I17" i="2"/>
  <c r="R5" i="2"/>
  <c r="B18" i="2"/>
  <c r="H13" i="4"/>
  <c r="Q5" i="2"/>
  <c r="I4" i="4"/>
  <c r="P15" i="5"/>
  <c r="P14" i="5"/>
  <c r="G17" i="2"/>
  <c r="E18" i="2"/>
  <c r="F18" i="2"/>
  <c r="P14" i="2"/>
  <c r="P15" i="2"/>
  <c r="O15" i="2"/>
  <c r="Q11" i="4"/>
  <c r="R10" i="4"/>
  <c r="B15" i="4"/>
  <c r="A16" i="4"/>
  <c r="A20" i="2"/>
  <c r="F14" i="4"/>
  <c r="E14" i="4"/>
  <c r="I18" i="2"/>
  <c r="H18" i="2"/>
  <c r="I13" i="4"/>
  <c r="J13" i="4"/>
  <c r="J14" i="4"/>
  <c r="H14" i="4"/>
  <c r="B19" i="2"/>
  <c r="J18" i="2"/>
  <c r="I14" i="4"/>
  <c r="Q14" i="5"/>
  <c r="Q15" i="5"/>
  <c r="G18" i="2"/>
  <c r="D18" i="2"/>
  <c r="G13" i="4"/>
  <c r="E19" i="2"/>
  <c r="L11" i="2"/>
  <c r="F19" i="2"/>
  <c r="D19" i="2"/>
  <c r="E15" i="4"/>
  <c r="F15" i="4"/>
  <c r="A21" i="2"/>
  <c r="S10" i="4"/>
  <c r="R11" i="4"/>
  <c r="B16" i="4"/>
  <c r="A17" i="4"/>
  <c r="I5" i="4"/>
  <c r="I19" i="2"/>
  <c r="E3" i="4"/>
  <c r="H19" i="2"/>
  <c r="J19" i="2"/>
  <c r="B20" i="2"/>
  <c r="J15" i="4"/>
  <c r="E20" i="2"/>
  <c r="F20" i="2"/>
  <c r="H1" i="2"/>
  <c r="G19" i="2"/>
  <c r="L18" i="2"/>
  <c r="K13" i="4"/>
  <c r="G14" i="4"/>
  <c r="I16" i="4"/>
  <c r="H16" i="4"/>
  <c r="J16" i="4"/>
  <c r="L15" i="4"/>
  <c r="F16" i="4"/>
  <c r="E16" i="4"/>
  <c r="T10" i="4"/>
  <c r="T11" i="4"/>
  <c r="S11" i="4"/>
  <c r="B17" i="4"/>
  <c r="A18" i="4"/>
  <c r="A22" i="2"/>
  <c r="B21" i="2"/>
  <c r="J20" i="2"/>
  <c r="H15" i="4"/>
  <c r="I20" i="2"/>
  <c r="H20" i="2"/>
  <c r="I15" i="4"/>
  <c r="G1" i="2"/>
  <c r="F21" i="2"/>
  <c r="E21" i="2"/>
  <c r="D21" i="2"/>
  <c r="G20" i="2"/>
  <c r="A19" i="4"/>
  <c r="B18" i="4"/>
  <c r="E17" i="4"/>
  <c r="F17" i="4"/>
  <c r="A23" i="2"/>
  <c r="K14" i="4"/>
  <c r="G15" i="4"/>
  <c r="B22" i="2"/>
  <c r="J21" i="2"/>
  <c r="I21" i="2"/>
  <c r="I17" i="4"/>
  <c r="J17" i="4"/>
  <c r="H21" i="2"/>
  <c r="E22" i="2"/>
  <c r="F22" i="2"/>
  <c r="D22" i="2"/>
  <c r="G21" i="2"/>
  <c r="L20" i="2"/>
  <c r="G17" i="4"/>
  <c r="F18" i="4"/>
  <c r="E18" i="4"/>
  <c r="L19" i="2"/>
  <c r="D20" i="2"/>
  <c r="K15" i="4"/>
  <c r="G16" i="4"/>
  <c r="K16" i="4"/>
  <c r="A24" i="2"/>
  <c r="A20" i="4"/>
  <c r="B19" i="4"/>
  <c r="J22" i="2"/>
  <c r="H22" i="2"/>
  <c r="H17" i="4"/>
  <c r="B23" i="2"/>
  <c r="I18" i="4"/>
  <c r="H18" i="4"/>
  <c r="I22" i="2"/>
  <c r="E23" i="2"/>
  <c r="F23" i="2"/>
  <c r="G22" i="2"/>
  <c r="L21" i="2"/>
  <c r="A25" i="2"/>
  <c r="F19" i="4"/>
  <c r="E19" i="4"/>
  <c r="B20" i="4"/>
  <c r="A21" i="4"/>
  <c r="K17" i="4"/>
  <c r="H23" i="2"/>
  <c r="J23" i="2"/>
  <c r="J18" i="4"/>
  <c r="B24" i="2"/>
  <c r="I23" i="2"/>
  <c r="H19" i="4"/>
  <c r="G18" i="4"/>
  <c r="G23" i="2"/>
  <c r="L22" i="2"/>
  <c r="D23" i="2"/>
  <c r="E24" i="2"/>
  <c r="F24" i="2"/>
  <c r="D24" i="2"/>
  <c r="I20" i="4"/>
  <c r="J20" i="4"/>
  <c r="H20" i="4"/>
  <c r="E20" i="4"/>
  <c r="F20" i="4"/>
  <c r="A22" i="4"/>
  <c r="B21" i="4"/>
  <c r="A26" i="2"/>
  <c r="I24" i="2"/>
  <c r="J24" i="2"/>
  <c r="J19" i="4"/>
  <c r="B25" i="2"/>
  <c r="H24" i="2"/>
  <c r="I19" i="4"/>
  <c r="G24" i="2"/>
  <c r="L23" i="2"/>
  <c r="F25" i="2"/>
  <c r="E25" i="2"/>
  <c r="A27" i="2"/>
  <c r="F21" i="4"/>
  <c r="E21" i="4"/>
  <c r="B22" i="4"/>
  <c r="A23" i="4"/>
  <c r="K18" i="4"/>
  <c r="G19" i="4"/>
  <c r="I25" i="2"/>
  <c r="J25" i="2"/>
  <c r="H25" i="2"/>
  <c r="B26" i="2"/>
  <c r="J21" i="4"/>
  <c r="E26" i="2"/>
  <c r="F26" i="2"/>
  <c r="D26" i="2"/>
  <c r="L20" i="4"/>
  <c r="G25" i="2"/>
  <c r="A28" i="2"/>
  <c r="K19" i="4"/>
  <c r="G20" i="4"/>
  <c r="K20" i="4"/>
  <c r="E22" i="4"/>
  <c r="F22" i="4"/>
  <c r="A24" i="4"/>
  <c r="B23" i="4"/>
  <c r="H26" i="2"/>
  <c r="J22" i="4"/>
  <c r="H21" i="4"/>
  <c r="B27" i="2"/>
  <c r="I21" i="4"/>
  <c r="I26" i="2"/>
  <c r="J26" i="2"/>
  <c r="G21" i="4"/>
  <c r="F27" i="2"/>
  <c r="E27" i="2"/>
  <c r="D27" i="2"/>
  <c r="G26" i="2"/>
  <c r="L25" i="2"/>
  <c r="E23" i="4"/>
  <c r="F23" i="4"/>
  <c r="A29" i="2"/>
  <c r="K21" i="4"/>
  <c r="A25" i="4"/>
  <c r="B24" i="4"/>
  <c r="L24" i="2"/>
  <c r="D25" i="2"/>
  <c r="H27" i="2"/>
  <c r="B28" i="2"/>
  <c r="I27" i="2"/>
  <c r="J27" i="2"/>
  <c r="H22" i="4"/>
  <c r="I22" i="4"/>
  <c r="H23" i="4"/>
  <c r="G22" i="4"/>
  <c r="E28" i="2"/>
  <c r="F28" i="2"/>
  <c r="G27" i="2"/>
  <c r="L26" i="2"/>
  <c r="I24" i="4"/>
  <c r="J24" i="4"/>
  <c r="H24" i="4"/>
  <c r="F24" i="4"/>
  <c r="E24" i="4"/>
  <c r="A30" i="2"/>
  <c r="B25" i="4"/>
  <c r="A26" i="4"/>
  <c r="J28" i="2"/>
  <c r="I28" i="2"/>
  <c r="B29" i="2"/>
  <c r="J23" i="4"/>
  <c r="I23" i="4"/>
  <c r="H28" i="2"/>
  <c r="F29" i="2"/>
  <c r="E29" i="2"/>
  <c r="D29" i="2"/>
  <c r="G28" i="2"/>
  <c r="L27" i="2"/>
  <c r="D28" i="2"/>
  <c r="E25" i="4"/>
  <c r="F25" i="4"/>
  <c r="A31" i="2"/>
  <c r="A27" i="4"/>
  <c r="B26" i="4"/>
  <c r="K22" i="4"/>
  <c r="G23" i="4"/>
  <c r="B30" i="2"/>
  <c r="H29" i="2"/>
  <c r="I29" i="2"/>
  <c r="J29" i="2"/>
  <c r="H25" i="4"/>
  <c r="J25" i="4"/>
  <c r="I25" i="4"/>
  <c r="G25" i="4"/>
  <c r="F30" i="2"/>
  <c r="E30" i="2"/>
  <c r="G29" i="2"/>
  <c r="L28" i="2"/>
  <c r="A32" i="2"/>
  <c r="F26" i="4"/>
  <c r="E26" i="4"/>
  <c r="K23" i="4"/>
  <c r="G24" i="4"/>
  <c r="K24" i="4"/>
  <c r="B27" i="4"/>
  <c r="A28" i="4"/>
  <c r="J30" i="2"/>
  <c r="B31" i="2"/>
  <c r="H30" i="2"/>
  <c r="I30" i="2"/>
  <c r="J26" i="4"/>
  <c r="L25" i="4"/>
  <c r="G30" i="2"/>
  <c r="F31" i="2"/>
  <c r="E31" i="2"/>
  <c r="D31" i="2"/>
  <c r="B28" i="4"/>
  <c r="A29" i="4"/>
  <c r="E27" i="4"/>
  <c r="F27" i="4"/>
  <c r="A33" i="2"/>
  <c r="K25" i="4"/>
  <c r="J31" i="2"/>
  <c r="H26" i="4"/>
  <c r="I31" i="2"/>
  <c r="J27" i="4"/>
  <c r="H31" i="2"/>
  <c r="I26" i="4"/>
  <c r="B32" i="2"/>
  <c r="I27" i="4"/>
  <c r="G26" i="4"/>
  <c r="E32" i="2"/>
  <c r="F32" i="2"/>
  <c r="D32" i="2"/>
  <c r="G31" i="2"/>
  <c r="L30" i="2"/>
  <c r="B29" i="4"/>
  <c r="A30" i="4"/>
  <c r="L29" i="2"/>
  <c r="D30" i="2"/>
  <c r="A34" i="2"/>
  <c r="J28" i="4"/>
  <c r="H28" i="4"/>
  <c r="I28" i="4"/>
  <c r="F28" i="4"/>
  <c r="E28" i="4"/>
  <c r="J32" i="2"/>
  <c r="H32" i="2"/>
  <c r="H27" i="4"/>
  <c r="I32" i="2"/>
  <c r="B33" i="2"/>
  <c r="G32" i="2"/>
  <c r="L31" i="2"/>
  <c r="F33" i="2"/>
  <c r="E33" i="2"/>
  <c r="B30" i="4"/>
  <c r="A31" i="4"/>
  <c r="A35" i="2"/>
  <c r="F29" i="4"/>
  <c r="E29" i="4"/>
  <c r="K26" i="4"/>
  <c r="G27" i="4"/>
  <c r="I33" i="2"/>
  <c r="H29" i="4"/>
  <c r="H33" i="2"/>
  <c r="B34" i="2"/>
  <c r="J33" i="2"/>
  <c r="I29" i="4"/>
  <c r="F34" i="2"/>
  <c r="E34" i="2"/>
  <c r="D34" i="2"/>
  <c r="G33" i="2"/>
  <c r="L32" i="2"/>
  <c r="D33" i="2"/>
  <c r="F30" i="4"/>
  <c r="E30" i="4"/>
  <c r="K27" i="4"/>
  <c r="G28" i="4"/>
  <c r="K28" i="4"/>
  <c r="A36" i="2"/>
  <c r="B31" i="4"/>
  <c r="A32" i="4"/>
  <c r="I34" i="2"/>
  <c r="J34" i="2"/>
  <c r="B35" i="2"/>
  <c r="J29" i="4"/>
  <c r="H34" i="2"/>
  <c r="J30" i="4"/>
  <c r="H30" i="4"/>
  <c r="G29" i="4"/>
  <c r="G34" i="2"/>
  <c r="L33" i="2"/>
  <c r="E35" i="2"/>
  <c r="F35" i="2"/>
  <c r="E31" i="4"/>
  <c r="F31" i="4"/>
  <c r="A37" i="2"/>
  <c r="A33" i="4"/>
  <c r="B32" i="4"/>
  <c r="J35" i="2"/>
  <c r="B36" i="2"/>
  <c r="I30" i="4"/>
  <c r="I35" i="2"/>
  <c r="H35" i="2"/>
  <c r="J31" i="4"/>
  <c r="E36" i="2"/>
  <c r="F36" i="2"/>
  <c r="D36" i="2"/>
  <c r="G35" i="2"/>
  <c r="L30" i="4"/>
  <c r="A38" i="2"/>
  <c r="I32" i="4"/>
  <c r="J32" i="4"/>
  <c r="H32" i="4"/>
  <c r="F32" i="4"/>
  <c r="E32" i="4"/>
  <c r="K29" i="4"/>
  <c r="G30" i="4"/>
  <c r="A34" i="4"/>
  <c r="B33" i="4"/>
  <c r="H31" i="4"/>
  <c r="I31" i="4"/>
  <c r="J36" i="2"/>
  <c r="H36" i="2"/>
  <c r="B37" i="2"/>
  <c r="I36" i="2"/>
  <c r="G36" i="2"/>
  <c r="L35" i="2"/>
  <c r="F37" i="2"/>
  <c r="E37" i="2"/>
  <c r="D37" i="2"/>
  <c r="A39" i="2"/>
  <c r="E33" i="4"/>
  <c r="F33" i="4"/>
  <c r="A35" i="4"/>
  <c r="B34" i="4"/>
  <c r="L34" i="2"/>
  <c r="D35" i="2"/>
  <c r="K30" i="4"/>
  <c r="G31" i="4"/>
  <c r="H37" i="2"/>
  <c r="I37" i="2"/>
  <c r="J37" i="2"/>
  <c r="H33" i="4"/>
  <c r="B38" i="2"/>
  <c r="G37" i="2"/>
  <c r="L36" i="2"/>
  <c r="E38" i="2"/>
  <c r="F38" i="2"/>
  <c r="K31" i="4"/>
  <c r="G32" i="4"/>
  <c r="K32" i="4"/>
  <c r="F34" i="4"/>
  <c r="E34" i="4"/>
  <c r="A40" i="2"/>
  <c r="A36" i="4"/>
  <c r="B35" i="4"/>
  <c r="I33" i="4"/>
  <c r="H38" i="2"/>
  <c r="I38" i="2"/>
  <c r="J38" i="2"/>
  <c r="J33" i="4"/>
  <c r="B39" i="2"/>
  <c r="H34" i="4"/>
  <c r="G38" i="2"/>
  <c r="L37" i="2"/>
  <c r="D38" i="2"/>
  <c r="F39" i="2"/>
  <c r="E39" i="2"/>
  <c r="D39" i="2"/>
  <c r="G33" i="4"/>
  <c r="A41" i="2"/>
  <c r="B36" i="4"/>
  <c r="A37" i="4"/>
  <c r="E35" i="4"/>
  <c r="F35" i="4"/>
  <c r="H39" i="2"/>
  <c r="J39" i="2"/>
  <c r="J34" i="4"/>
  <c r="I34" i="4"/>
  <c r="I39" i="2"/>
  <c r="H35" i="4"/>
  <c r="B40" i="2"/>
  <c r="E40" i="2"/>
  <c r="F40" i="2"/>
  <c r="G39" i="2"/>
  <c r="L38" i="2"/>
  <c r="J36" i="4"/>
  <c r="I36" i="4"/>
  <c r="H36" i="4"/>
  <c r="E36" i="4"/>
  <c r="F36" i="4"/>
  <c r="B37" i="4"/>
  <c r="A38" i="4"/>
  <c r="A42" i="2"/>
  <c r="K33" i="4"/>
  <c r="G34" i="4"/>
  <c r="J40" i="2"/>
  <c r="I35" i="4"/>
  <c r="B41" i="2"/>
  <c r="H40" i="2"/>
  <c r="J35" i="4"/>
  <c r="I40" i="2"/>
  <c r="F41" i="2"/>
  <c r="E41" i="2"/>
  <c r="D41" i="2"/>
  <c r="L35" i="4"/>
  <c r="G40" i="2"/>
  <c r="E37" i="4"/>
  <c r="F37" i="4"/>
  <c r="K34" i="4"/>
  <c r="G35" i="4"/>
  <c r="A43" i="2"/>
  <c r="B38" i="4"/>
  <c r="A39" i="4"/>
  <c r="I41" i="2"/>
  <c r="B42" i="2"/>
  <c r="J37" i="4"/>
  <c r="H37" i="4"/>
  <c r="J41" i="2"/>
  <c r="H41" i="2"/>
  <c r="F42" i="2"/>
  <c r="E42" i="2"/>
  <c r="D42" i="2"/>
  <c r="G41" i="2"/>
  <c r="L40" i="2"/>
  <c r="L39" i="2"/>
  <c r="D40" i="2"/>
  <c r="B39" i="4"/>
  <c r="A40" i="4"/>
  <c r="K35" i="4"/>
  <c r="G36" i="4"/>
  <c r="K36" i="4"/>
  <c r="E38" i="4"/>
  <c r="F38" i="4"/>
  <c r="A44" i="2"/>
  <c r="I42" i="2"/>
  <c r="I37" i="4"/>
  <c r="B43" i="2"/>
  <c r="H38" i="4"/>
  <c r="H42" i="2"/>
  <c r="J42" i="2"/>
  <c r="J38" i="4"/>
  <c r="G37" i="4"/>
  <c r="F43" i="2"/>
  <c r="E43" i="2"/>
  <c r="G42" i="2"/>
  <c r="L41" i="2"/>
  <c r="A45" i="2"/>
  <c r="B40" i="4"/>
  <c r="A41" i="4"/>
  <c r="E39" i="4"/>
  <c r="F39" i="4"/>
  <c r="I38" i="4"/>
  <c r="I43" i="2"/>
  <c r="J43" i="2"/>
  <c r="B44" i="2"/>
  <c r="H43" i="2"/>
  <c r="I39" i="4"/>
  <c r="G43" i="2"/>
  <c r="L42" i="2"/>
  <c r="D43" i="2"/>
  <c r="E44" i="2"/>
  <c r="F44" i="2"/>
  <c r="D44" i="2"/>
  <c r="I40" i="4"/>
  <c r="H40" i="4"/>
  <c r="J40" i="4"/>
  <c r="F40" i="4"/>
  <c r="E40" i="4"/>
  <c r="A46" i="2"/>
  <c r="B41" i="4"/>
  <c r="A42" i="4"/>
  <c r="K37" i="4"/>
  <c r="G38" i="4"/>
  <c r="H44" i="2"/>
  <c r="J44" i="2"/>
  <c r="J39" i="4"/>
  <c r="I44" i="2"/>
  <c r="B45" i="2"/>
  <c r="H39" i="4"/>
  <c r="G44" i="2"/>
  <c r="L43" i="2"/>
  <c r="F45" i="2"/>
  <c r="E45" i="2"/>
  <c r="K38" i="4"/>
  <c r="G39" i="4"/>
  <c r="A47" i="2"/>
  <c r="E41" i="4"/>
  <c r="F41" i="4"/>
  <c r="A43" i="4"/>
  <c r="B42" i="4"/>
  <c r="I45" i="2"/>
  <c r="H41" i="4"/>
  <c r="H45" i="2"/>
  <c r="B46" i="2"/>
  <c r="J45" i="2"/>
  <c r="J41" i="4"/>
  <c r="I41" i="4"/>
  <c r="L40" i="4"/>
  <c r="F46" i="2"/>
  <c r="E46" i="2"/>
  <c r="D46" i="2"/>
  <c r="G45" i="2"/>
  <c r="G41" i="4"/>
  <c r="A48" i="2"/>
  <c r="F42" i="4"/>
  <c r="E42" i="4"/>
  <c r="A44" i="4"/>
  <c r="B43" i="4"/>
  <c r="K39" i="4"/>
  <c r="G40" i="4"/>
  <c r="K40" i="4"/>
  <c r="B47" i="2"/>
  <c r="I46" i="2"/>
  <c r="H46" i="2"/>
  <c r="J46" i="2"/>
  <c r="H42" i="4"/>
  <c r="I42" i="4"/>
  <c r="F47" i="2"/>
  <c r="E47" i="2"/>
  <c r="D47" i="2"/>
  <c r="G46" i="2"/>
  <c r="L45" i="2"/>
  <c r="F43" i="4"/>
  <c r="E43" i="4"/>
  <c r="L44" i="2"/>
  <c r="D45" i="2"/>
  <c r="A49" i="2"/>
  <c r="B44" i="4"/>
  <c r="A45" i="4"/>
  <c r="K41" i="4"/>
  <c r="H47" i="2"/>
  <c r="I47" i="2"/>
  <c r="H43" i="4"/>
  <c r="B48" i="2"/>
  <c r="J42" i="4"/>
  <c r="J47" i="2"/>
  <c r="G42" i="4"/>
  <c r="E48" i="2"/>
  <c r="F48" i="2"/>
  <c r="G47" i="2"/>
  <c r="L46" i="2"/>
  <c r="H44" i="4"/>
  <c r="J44" i="4"/>
  <c r="I44" i="4"/>
  <c r="F44" i="4"/>
  <c r="E44" i="4"/>
  <c r="A46" i="4"/>
  <c r="B45" i="4"/>
  <c r="A50" i="2"/>
  <c r="B49" i="2"/>
  <c r="H48" i="2"/>
  <c r="J48" i="2"/>
  <c r="J43" i="4"/>
  <c r="I43" i="4"/>
  <c r="I48" i="2"/>
  <c r="F49" i="2"/>
  <c r="E49" i="2"/>
  <c r="D49" i="2"/>
  <c r="G48" i="2"/>
  <c r="L47" i="2"/>
  <c r="D48" i="2"/>
  <c r="B46" i="4"/>
  <c r="A47" i="4"/>
  <c r="A51" i="2"/>
  <c r="E45" i="4"/>
  <c r="F45" i="4"/>
  <c r="K42" i="4"/>
  <c r="G43" i="4"/>
  <c r="H49" i="2"/>
  <c r="J49" i="2"/>
  <c r="J45" i="4"/>
  <c r="B50" i="2"/>
  <c r="I49" i="2"/>
  <c r="G49" i="2"/>
  <c r="L48" i="2"/>
  <c r="F50" i="2"/>
  <c r="E50" i="2"/>
  <c r="A52" i="2"/>
  <c r="A48" i="4"/>
  <c r="B47" i="4"/>
  <c r="K43" i="4"/>
  <c r="G44" i="4"/>
  <c r="K44" i="4"/>
  <c r="F46" i="4"/>
  <c r="E46" i="4"/>
  <c r="I50" i="2"/>
  <c r="I45" i="4"/>
  <c r="H50" i="2"/>
  <c r="J50" i="2"/>
  <c r="B51" i="2"/>
  <c r="H45" i="4"/>
  <c r="I46" i="4"/>
  <c r="G45" i="4"/>
  <c r="G50" i="2"/>
  <c r="E51" i="2"/>
  <c r="F51" i="2"/>
  <c r="D51" i="2"/>
  <c r="E47" i="4"/>
  <c r="F47" i="4"/>
  <c r="A53" i="2"/>
  <c r="A49" i="4"/>
  <c r="B48" i="4"/>
  <c r="H51" i="2"/>
  <c r="J46" i="4"/>
  <c r="H46" i="4"/>
  <c r="B52" i="2"/>
  <c r="I47" i="4"/>
  <c r="J47" i="4"/>
  <c r="J51" i="2"/>
  <c r="I51" i="2"/>
  <c r="E52" i="2"/>
  <c r="F52" i="2"/>
  <c r="D52" i="2"/>
  <c r="L45" i="4"/>
  <c r="G51" i="2"/>
  <c r="L50" i="2"/>
  <c r="A54" i="2"/>
  <c r="I48" i="4"/>
  <c r="H48" i="4"/>
  <c r="J48" i="4"/>
  <c r="F48" i="4"/>
  <c r="E48" i="4"/>
  <c r="B49" i="4"/>
  <c r="A50" i="4"/>
  <c r="L49" i="2"/>
  <c r="D50" i="2"/>
  <c r="K45" i="4"/>
  <c r="G46" i="4"/>
  <c r="H47" i="4"/>
  <c r="I52" i="2"/>
  <c r="J52" i="2"/>
  <c r="H52" i="2"/>
  <c r="B53" i="2"/>
  <c r="G52" i="2"/>
  <c r="L51" i="2"/>
  <c r="F53" i="2"/>
  <c r="E53" i="2"/>
  <c r="K46" i="4"/>
  <c r="G47" i="4"/>
  <c r="A51" i="4"/>
  <c r="B50" i="4"/>
  <c r="E49" i="4"/>
  <c r="F49" i="4"/>
  <c r="A55" i="2"/>
  <c r="H53" i="2"/>
  <c r="H49" i="4"/>
  <c r="B54" i="2"/>
  <c r="J49" i="4"/>
  <c r="I53" i="2"/>
  <c r="J53" i="2"/>
  <c r="E54" i="2"/>
  <c r="F54" i="2"/>
  <c r="D54" i="2"/>
  <c r="G53" i="2"/>
  <c r="L52" i="2"/>
  <c r="D53" i="2"/>
  <c r="A56" i="2"/>
  <c r="F50" i="4"/>
  <c r="E50" i="4"/>
  <c r="B51" i="4"/>
  <c r="A52" i="4"/>
  <c r="K47" i="4"/>
  <c r="G48" i="4"/>
  <c r="K48" i="4"/>
  <c r="J54" i="2"/>
  <c r="J50" i="4"/>
  <c r="I54" i="2"/>
  <c r="H50" i="4"/>
  <c r="H54" i="2"/>
  <c r="I49" i="4"/>
  <c r="B55" i="2"/>
  <c r="I50" i="4"/>
  <c r="G49" i="4"/>
  <c r="E55" i="2"/>
  <c r="F55" i="2"/>
  <c r="G54" i="2"/>
  <c r="L53" i="2"/>
  <c r="B52" i="4"/>
  <c r="A53" i="4"/>
  <c r="G52" i="4"/>
  <c r="A57" i="2"/>
  <c r="E51" i="4"/>
  <c r="F51" i="4"/>
  <c r="B56" i="2"/>
  <c r="H51" i="4"/>
  <c r="I55" i="2"/>
  <c r="H55" i="2"/>
  <c r="J55" i="2"/>
  <c r="I51" i="4"/>
  <c r="E56" i="2"/>
  <c r="F56" i="2"/>
  <c r="D56" i="2"/>
  <c r="G55" i="2"/>
  <c r="A54" i="4"/>
  <c r="B53" i="4"/>
  <c r="G53" i="4"/>
  <c r="A58" i="2"/>
  <c r="I52" i="4"/>
  <c r="H52" i="4"/>
  <c r="K52" i="4"/>
  <c r="J52" i="4"/>
  <c r="E52" i="4"/>
  <c r="F52" i="4"/>
  <c r="K49" i="4"/>
  <c r="G50" i="4"/>
  <c r="I56" i="2"/>
  <c r="J51" i="4"/>
  <c r="J56" i="2"/>
  <c r="B57" i="2"/>
  <c r="H56" i="2"/>
  <c r="L50" i="4"/>
  <c r="G56" i="2"/>
  <c r="L55" i="2"/>
  <c r="F57" i="2"/>
  <c r="E57" i="2"/>
  <c r="D57" i="2"/>
  <c r="A55" i="4"/>
  <c r="B54" i="4"/>
  <c r="G54" i="4"/>
  <c r="L54" i="2"/>
  <c r="D55" i="2"/>
  <c r="K50" i="4"/>
  <c r="G51" i="4"/>
  <c r="K51" i="4"/>
  <c r="A59" i="2"/>
  <c r="J53" i="4"/>
  <c r="I53" i="4"/>
  <c r="H53" i="4"/>
  <c r="K53" i="4"/>
  <c r="E53" i="4"/>
  <c r="F53" i="4"/>
  <c r="B58" i="2"/>
  <c r="H57" i="2"/>
  <c r="I57" i="2"/>
  <c r="J57" i="2"/>
  <c r="G57" i="2"/>
  <c r="L56" i="2"/>
  <c r="E58" i="2"/>
  <c r="F58" i="2"/>
  <c r="A60" i="2"/>
  <c r="I54" i="4"/>
  <c r="J54" i="4"/>
  <c r="H54" i="4"/>
  <c r="K54" i="4"/>
  <c r="F54" i="4"/>
  <c r="E54" i="4"/>
  <c r="B55" i="4"/>
  <c r="A56" i="4"/>
  <c r="G55" i="4"/>
  <c r="H58" i="2"/>
  <c r="J58" i="2"/>
  <c r="I58" i="2"/>
  <c r="B59" i="2"/>
  <c r="G58" i="2"/>
  <c r="L57" i="2"/>
  <c r="D58" i="2"/>
  <c r="F59" i="2"/>
  <c r="E59" i="2"/>
  <c r="D59" i="2"/>
  <c r="I55" i="4"/>
  <c r="J55" i="4"/>
  <c r="H55" i="4"/>
  <c r="K55" i="4"/>
  <c r="F55" i="4"/>
  <c r="E55" i="4"/>
  <c r="B56" i="4"/>
  <c r="A57" i="4"/>
  <c r="G56" i="4"/>
  <c r="A61" i="2"/>
  <c r="H59" i="2"/>
  <c r="J59" i="2"/>
  <c r="B60" i="2"/>
  <c r="I59" i="2"/>
  <c r="E60" i="2"/>
  <c r="F60" i="2"/>
  <c r="G59" i="2"/>
  <c r="L58" i="2"/>
  <c r="B57" i="4"/>
  <c r="A58" i="4"/>
  <c r="G57" i="4"/>
  <c r="A62" i="2"/>
  <c r="H56" i="4"/>
  <c r="K56" i="4"/>
  <c r="J56" i="4"/>
  <c r="I56" i="4"/>
  <c r="E56" i="4"/>
  <c r="F56" i="4"/>
  <c r="I60" i="2"/>
  <c r="H60" i="2"/>
  <c r="B61" i="2"/>
  <c r="J60" i="2"/>
  <c r="F61" i="2"/>
  <c r="E61" i="2"/>
  <c r="D61" i="2"/>
  <c r="G60" i="2"/>
  <c r="B58" i="4"/>
  <c r="A59" i="4"/>
  <c r="G58" i="4"/>
  <c r="A63" i="2"/>
  <c r="H57" i="4"/>
  <c r="K57" i="4"/>
  <c r="J57" i="4"/>
  <c r="I57" i="4"/>
  <c r="E57" i="4"/>
  <c r="F57" i="4"/>
  <c r="I61" i="2"/>
  <c r="B62" i="2"/>
  <c r="H61" i="2"/>
  <c r="J61" i="2"/>
  <c r="F62" i="2"/>
  <c r="E62" i="2"/>
  <c r="D62" i="2"/>
  <c r="G61" i="2"/>
  <c r="L60" i="2"/>
  <c r="L59" i="2"/>
  <c r="D60" i="2"/>
  <c r="B59" i="4"/>
  <c r="A60" i="4"/>
  <c r="G59" i="4"/>
  <c r="A64" i="2"/>
  <c r="J58" i="4"/>
  <c r="H58" i="4"/>
  <c r="K58" i="4"/>
  <c r="I58" i="4"/>
  <c r="E58" i="4"/>
  <c r="F58" i="4"/>
  <c r="H62" i="2"/>
  <c r="B63" i="2"/>
  <c r="J62" i="2"/>
  <c r="I62" i="2"/>
  <c r="F63" i="2"/>
  <c r="E63" i="2"/>
  <c r="G62" i="2"/>
  <c r="L61" i="2"/>
  <c r="A65" i="2"/>
  <c r="I59" i="4"/>
  <c r="H59" i="4"/>
  <c r="K59" i="4"/>
  <c r="J59" i="4"/>
  <c r="F59" i="4"/>
  <c r="E59" i="4"/>
  <c r="B60" i="4"/>
  <c r="A61" i="4"/>
  <c r="G60" i="4"/>
  <c r="B64" i="2"/>
  <c r="I63" i="2"/>
  <c r="H63" i="2"/>
  <c r="J63" i="2"/>
  <c r="E64" i="2"/>
  <c r="F64" i="2"/>
  <c r="D64" i="2"/>
  <c r="G63" i="2"/>
  <c r="L62" i="2"/>
  <c r="D63" i="2"/>
  <c r="B61" i="4"/>
  <c r="A62" i="4"/>
  <c r="G61" i="4"/>
  <c r="H60" i="4"/>
  <c r="K60" i="4"/>
  <c r="I60" i="4"/>
  <c r="J60" i="4"/>
  <c r="E60" i="4"/>
  <c r="F60" i="4"/>
  <c r="A66" i="2"/>
  <c r="H64" i="2"/>
  <c r="I64" i="2"/>
  <c r="J64" i="2"/>
  <c r="B65" i="2"/>
  <c r="F65" i="2"/>
  <c r="E65" i="2"/>
  <c r="G64" i="2"/>
  <c r="L63" i="2"/>
  <c r="A67" i="2"/>
  <c r="I61" i="4"/>
  <c r="H61" i="4"/>
  <c r="K61" i="4"/>
  <c r="J61" i="4"/>
  <c r="E61" i="4"/>
  <c r="F61" i="4"/>
  <c r="B62" i="4"/>
  <c r="A63" i="4"/>
  <c r="G62" i="4"/>
  <c r="H65" i="2"/>
  <c r="B66" i="2"/>
  <c r="J65" i="2"/>
  <c r="I65" i="2"/>
  <c r="E66" i="2"/>
  <c r="F66" i="2"/>
  <c r="D66" i="2"/>
  <c r="G65" i="2"/>
  <c r="B63" i="4"/>
  <c r="A64" i="4"/>
  <c r="G63" i="4"/>
  <c r="J62" i="4"/>
  <c r="I62" i="4"/>
  <c r="H62" i="4"/>
  <c r="K62" i="4"/>
  <c r="F62" i="4"/>
  <c r="E62" i="4"/>
  <c r="A68" i="2"/>
  <c r="B67" i="2"/>
  <c r="J66" i="2"/>
  <c r="H66" i="2"/>
  <c r="I66" i="2"/>
  <c r="G66" i="2"/>
  <c r="L65" i="2"/>
  <c r="F67" i="2"/>
  <c r="E67" i="2"/>
  <c r="D67" i="2"/>
  <c r="L64" i="2"/>
  <c r="D65" i="2"/>
  <c r="A69" i="2"/>
  <c r="B64" i="4"/>
  <c r="A65" i="4"/>
  <c r="G64" i="4"/>
  <c r="I63" i="4"/>
  <c r="J63" i="4"/>
  <c r="H63" i="4"/>
  <c r="K63" i="4"/>
  <c r="F63" i="4"/>
  <c r="E63" i="4"/>
  <c r="J67" i="2"/>
  <c r="I67" i="2"/>
  <c r="H67" i="2"/>
  <c r="B68" i="2"/>
  <c r="F68" i="2"/>
  <c r="E68" i="2"/>
  <c r="G67" i="2"/>
  <c r="L66" i="2"/>
  <c r="H64" i="4"/>
  <c r="K64" i="4"/>
  <c r="J64" i="4"/>
  <c r="I64" i="4"/>
  <c r="E64" i="4"/>
  <c r="F64" i="4"/>
  <c r="A70" i="2"/>
  <c r="B65" i="4"/>
  <c r="A66" i="4"/>
  <c r="G65" i="4"/>
  <c r="I68" i="2"/>
  <c r="H68" i="2"/>
  <c r="B69" i="2"/>
  <c r="J68" i="2"/>
  <c r="E69" i="2"/>
  <c r="F69" i="2"/>
  <c r="D69" i="2"/>
  <c r="G68" i="2"/>
  <c r="L67" i="2"/>
  <c r="D68" i="2"/>
  <c r="A71" i="2"/>
  <c r="A67" i="4"/>
  <c r="B66" i="4"/>
  <c r="G66" i="4"/>
  <c r="J65" i="4"/>
  <c r="I65" i="4"/>
  <c r="H65" i="4"/>
  <c r="K65" i="4"/>
  <c r="E65" i="4"/>
  <c r="F65" i="4"/>
  <c r="H69" i="2"/>
  <c r="B70" i="2"/>
  <c r="J69" i="2"/>
  <c r="I69" i="2"/>
  <c r="E70" i="2"/>
  <c r="F70" i="2"/>
  <c r="G69" i="2"/>
  <c r="L68" i="2"/>
  <c r="J66" i="4"/>
  <c r="I66" i="4"/>
  <c r="H66" i="4"/>
  <c r="K66" i="4"/>
  <c r="F66" i="4"/>
  <c r="E66" i="4"/>
  <c r="A68" i="4"/>
  <c r="B67" i="4"/>
  <c r="G67" i="4"/>
  <c r="A72" i="2"/>
  <c r="B71" i="2"/>
  <c r="J70" i="2"/>
  <c r="I70" i="2"/>
  <c r="H70" i="2"/>
  <c r="E71" i="2"/>
  <c r="F71" i="2"/>
  <c r="D71" i="2"/>
  <c r="G70" i="2"/>
  <c r="I67" i="4"/>
  <c r="J67" i="4"/>
  <c r="H67" i="4"/>
  <c r="K67" i="4"/>
  <c r="F67" i="4"/>
  <c r="E67" i="4"/>
  <c r="A73" i="2"/>
  <c r="A69" i="4"/>
  <c r="B68" i="4"/>
  <c r="G68" i="4"/>
  <c r="I71" i="2"/>
  <c r="B72" i="2"/>
  <c r="H71" i="2"/>
  <c r="J71" i="2"/>
  <c r="G71" i="2"/>
  <c r="L70" i="2"/>
  <c r="F72" i="2"/>
  <c r="E72" i="2"/>
  <c r="D72" i="2"/>
  <c r="B69" i="4"/>
  <c r="A70" i="4"/>
  <c r="G69" i="4"/>
  <c r="L69" i="2"/>
  <c r="D70" i="2"/>
  <c r="A74" i="2"/>
  <c r="H68" i="4"/>
  <c r="K68" i="4"/>
  <c r="J68" i="4"/>
  <c r="I68" i="4"/>
  <c r="E68" i="4"/>
  <c r="F68" i="4"/>
  <c r="I72" i="2"/>
  <c r="B73" i="2"/>
  <c r="H72" i="2"/>
  <c r="J72" i="2"/>
  <c r="G72" i="2"/>
  <c r="L71" i="2"/>
  <c r="F73" i="2"/>
  <c r="E73" i="2"/>
  <c r="B70" i="4"/>
  <c r="A71" i="4"/>
  <c r="G70" i="4"/>
  <c r="J69" i="4"/>
  <c r="I69" i="4"/>
  <c r="H69" i="4"/>
  <c r="K69" i="4"/>
  <c r="E69" i="4"/>
  <c r="F69" i="4"/>
  <c r="A75" i="2"/>
  <c r="I73" i="2"/>
  <c r="H73" i="2"/>
  <c r="J73" i="2"/>
  <c r="B74" i="2"/>
  <c r="E74" i="2"/>
  <c r="F74" i="2"/>
  <c r="D74" i="2"/>
  <c r="G73" i="2"/>
  <c r="L72" i="2"/>
  <c r="D73" i="2"/>
  <c r="A76" i="2"/>
  <c r="J70" i="4"/>
  <c r="I70" i="4"/>
  <c r="H70" i="4"/>
  <c r="K70" i="4"/>
  <c r="F70" i="4"/>
  <c r="E70" i="4"/>
  <c r="B71" i="4"/>
  <c r="A72" i="4"/>
  <c r="G71" i="4"/>
  <c r="H74" i="2"/>
  <c r="B75" i="2"/>
  <c r="J74" i="2"/>
  <c r="I74" i="2"/>
  <c r="E75" i="2"/>
  <c r="F75" i="2"/>
  <c r="G74" i="2"/>
  <c r="L73" i="2"/>
  <c r="I71" i="4"/>
  <c r="J71" i="4"/>
  <c r="H71" i="4"/>
  <c r="K71" i="4"/>
  <c r="F71" i="4"/>
  <c r="E71" i="4"/>
  <c r="B72" i="4"/>
  <c r="A73" i="4"/>
  <c r="G72" i="4"/>
  <c r="A77" i="2"/>
  <c r="H75" i="2"/>
  <c r="J75" i="2"/>
  <c r="B76" i="2"/>
  <c r="I75" i="2"/>
  <c r="G75" i="2"/>
  <c r="F76" i="2"/>
  <c r="E76" i="2"/>
  <c r="D76" i="2"/>
  <c r="B73" i="4"/>
  <c r="A74" i="4"/>
  <c r="G73" i="4"/>
  <c r="H72" i="4"/>
  <c r="K72" i="4"/>
  <c r="J72" i="4"/>
  <c r="I72" i="4"/>
  <c r="E72" i="4"/>
  <c r="F72" i="4"/>
  <c r="A78" i="2"/>
  <c r="H76" i="2"/>
  <c r="J76" i="2"/>
  <c r="B77" i="2"/>
  <c r="I76" i="2"/>
  <c r="E77" i="2"/>
  <c r="F77" i="2"/>
  <c r="D77" i="2"/>
  <c r="G76" i="2"/>
  <c r="L75" i="2"/>
  <c r="A79" i="2"/>
  <c r="B74" i="4"/>
  <c r="A75" i="4"/>
  <c r="G74" i="4"/>
  <c r="H73" i="4"/>
  <c r="K73" i="4"/>
  <c r="J73" i="4"/>
  <c r="I73" i="4"/>
  <c r="E73" i="4"/>
  <c r="F73" i="4"/>
  <c r="L74" i="2"/>
  <c r="D75" i="2"/>
  <c r="J77" i="2"/>
  <c r="B78" i="2"/>
  <c r="H77" i="2"/>
  <c r="I77" i="2"/>
  <c r="E78" i="2"/>
  <c r="F78" i="2"/>
  <c r="G77" i="2"/>
  <c r="L76" i="2"/>
  <c r="B75" i="4"/>
  <c r="A76" i="4"/>
  <c r="G75" i="4"/>
  <c r="J74" i="4"/>
  <c r="H74" i="4"/>
  <c r="K74" i="4"/>
  <c r="I74" i="4"/>
  <c r="F74" i="4"/>
  <c r="E74" i="4"/>
  <c r="A80" i="2"/>
  <c r="J78" i="2"/>
  <c r="I78" i="2"/>
  <c r="B79" i="2"/>
  <c r="H78" i="2"/>
  <c r="G78" i="2"/>
  <c r="L77" i="2"/>
  <c r="D78" i="2"/>
  <c r="E79" i="2"/>
  <c r="F79" i="2"/>
  <c r="D79" i="2"/>
  <c r="A81" i="2"/>
  <c r="I75" i="4"/>
  <c r="H75" i="4"/>
  <c r="K75" i="4"/>
  <c r="J75" i="4"/>
  <c r="F75" i="4"/>
  <c r="E75" i="4"/>
  <c r="B76" i="4"/>
  <c r="A77" i="4"/>
  <c r="G76" i="4"/>
  <c r="J79" i="2"/>
  <c r="H79" i="2"/>
  <c r="I79" i="2"/>
  <c r="B80" i="2"/>
  <c r="F80" i="2"/>
  <c r="E80" i="2"/>
  <c r="G79" i="2"/>
  <c r="L78" i="2"/>
  <c r="B77" i="4"/>
  <c r="A78" i="4"/>
  <c r="G77" i="4"/>
  <c r="H76" i="4"/>
  <c r="K76" i="4"/>
  <c r="I76" i="4"/>
  <c r="J76" i="4"/>
  <c r="E76" i="4"/>
  <c r="F76" i="4"/>
  <c r="A82" i="2"/>
  <c r="I80" i="2"/>
  <c r="H80" i="2"/>
  <c r="B81" i="2"/>
  <c r="J80" i="2"/>
  <c r="G80" i="2"/>
  <c r="E81" i="2"/>
  <c r="F81" i="2"/>
  <c r="D81" i="2"/>
  <c r="I77" i="4"/>
  <c r="H77" i="4"/>
  <c r="K77" i="4"/>
  <c r="J77" i="4"/>
  <c r="E77" i="4"/>
  <c r="F77" i="4"/>
  <c r="A83" i="2"/>
  <c r="B78" i="4"/>
  <c r="A79" i="4"/>
  <c r="G78" i="4"/>
  <c r="I81" i="2"/>
  <c r="B82" i="2"/>
  <c r="H81" i="2"/>
  <c r="J81" i="2"/>
  <c r="F82" i="2"/>
  <c r="E82" i="2"/>
  <c r="D82" i="2"/>
  <c r="G81" i="2"/>
  <c r="L80" i="2"/>
  <c r="J78" i="4"/>
  <c r="I78" i="4"/>
  <c r="H78" i="4"/>
  <c r="K78" i="4"/>
  <c r="F78" i="4"/>
  <c r="E78" i="4"/>
  <c r="A84" i="2"/>
  <c r="B79" i="4"/>
  <c r="A80" i="4"/>
  <c r="G79" i="4"/>
  <c r="L79" i="2"/>
  <c r="D80" i="2"/>
  <c r="J82" i="2"/>
  <c r="I82" i="2"/>
  <c r="B83" i="2"/>
  <c r="H82" i="2"/>
  <c r="G82" i="2"/>
  <c r="L81" i="2"/>
  <c r="E83" i="2"/>
  <c r="F83" i="2"/>
  <c r="I79" i="4"/>
  <c r="J79" i="4"/>
  <c r="H79" i="4"/>
  <c r="K79" i="4"/>
  <c r="F79" i="4"/>
  <c r="E79" i="4"/>
  <c r="A85" i="2"/>
  <c r="B80" i="4"/>
  <c r="G80" i="4"/>
  <c r="J83" i="2"/>
  <c r="H83" i="2"/>
  <c r="B84" i="2"/>
  <c r="I83" i="2"/>
  <c r="F84" i="2"/>
  <c r="E84" i="2"/>
  <c r="D84" i="2"/>
  <c r="G83" i="2"/>
  <c r="L82" i="2"/>
  <c r="D83" i="2"/>
  <c r="A86" i="2"/>
  <c r="H80" i="4"/>
  <c r="K80" i="4"/>
  <c r="O6" i="2"/>
  <c r="J80" i="4"/>
  <c r="I80" i="4"/>
  <c r="E80" i="4"/>
  <c r="F80" i="4"/>
  <c r="B85" i="2"/>
  <c r="I84" i="2"/>
  <c r="H84" i="2"/>
  <c r="J84" i="2"/>
  <c r="F85" i="2"/>
  <c r="E85" i="2"/>
  <c r="G84" i="2"/>
  <c r="L83" i="2"/>
  <c r="A87" i="2"/>
  <c r="I85" i="2"/>
  <c r="B86" i="2"/>
  <c r="H85" i="2"/>
  <c r="J85" i="2"/>
  <c r="F86" i="2"/>
  <c r="E86" i="2"/>
  <c r="D86" i="2"/>
  <c r="G85" i="2"/>
  <c r="A88" i="2"/>
  <c r="H86" i="2"/>
  <c r="B87" i="2"/>
  <c r="J86" i="2"/>
  <c r="I86" i="2"/>
  <c r="E87" i="2"/>
  <c r="F87" i="2"/>
  <c r="D87" i="2"/>
  <c r="G86" i="2"/>
  <c r="L85" i="2"/>
  <c r="A89" i="2"/>
  <c r="L84" i="2"/>
  <c r="D85" i="2"/>
  <c r="B88" i="2"/>
  <c r="J87" i="2"/>
  <c r="I87" i="2"/>
  <c r="H87" i="2"/>
  <c r="F88" i="2"/>
  <c r="E88" i="2"/>
  <c r="G87" i="2"/>
  <c r="L86" i="2"/>
  <c r="A90" i="2"/>
  <c r="J88" i="2"/>
  <c r="I88" i="2"/>
  <c r="H88" i="2"/>
  <c r="B89" i="2"/>
  <c r="G88" i="2"/>
  <c r="L87" i="2"/>
  <c r="D88" i="2"/>
  <c r="F89" i="2"/>
  <c r="E89" i="2"/>
  <c r="D89" i="2"/>
  <c r="A91" i="2"/>
  <c r="H89" i="2"/>
  <c r="J89" i="2"/>
  <c r="B90" i="2"/>
  <c r="I89" i="2"/>
  <c r="G89" i="2"/>
  <c r="L88" i="2"/>
  <c r="E90" i="2"/>
  <c r="F90" i="2"/>
  <c r="A92" i="2"/>
  <c r="B91" i="2"/>
  <c r="H90" i="2"/>
  <c r="J90" i="2"/>
  <c r="I90" i="2"/>
  <c r="G90" i="2"/>
  <c r="F91" i="2"/>
  <c r="E91" i="2"/>
  <c r="D91" i="2"/>
  <c r="A93" i="2"/>
  <c r="J91" i="2"/>
  <c r="B92" i="2"/>
  <c r="I91" i="2"/>
  <c r="H91" i="2"/>
  <c r="F92" i="2"/>
  <c r="E92" i="2"/>
  <c r="D92" i="2"/>
  <c r="G91" i="2"/>
  <c r="L90" i="2"/>
  <c r="A94" i="2"/>
  <c r="L89" i="2"/>
  <c r="D90" i="2"/>
  <c r="H92" i="2"/>
  <c r="J92" i="2"/>
  <c r="I92" i="2"/>
  <c r="B93" i="2"/>
  <c r="E93" i="2"/>
  <c r="F93" i="2"/>
  <c r="G92" i="2"/>
  <c r="L91" i="2"/>
  <c r="A95" i="2"/>
  <c r="I93" i="2"/>
  <c r="H93" i="2"/>
  <c r="J93" i="2"/>
  <c r="B94" i="2"/>
  <c r="G93" i="2"/>
  <c r="L92" i="2"/>
  <c r="D93" i="2"/>
  <c r="E94" i="2"/>
  <c r="F94" i="2"/>
  <c r="D94" i="2"/>
  <c r="A96" i="2"/>
  <c r="J94" i="2"/>
  <c r="I94" i="2"/>
  <c r="B95" i="2"/>
  <c r="H94" i="2"/>
  <c r="F95" i="2"/>
  <c r="E95" i="2"/>
  <c r="G94" i="2"/>
  <c r="L93" i="2"/>
  <c r="A97" i="2"/>
  <c r="I95" i="2"/>
  <c r="B96" i="2"/>
  <c r="H95" i="2"/>
  <c r="J95" i="2"/>
  <c r="G95" i="2"/>
  <c r="F96" i="2"/>
  <c r="E96" i="2"/>
  <c r="D96" i="2"/>
  <c r="A98" i="2"/>
  <c r="B97" i="2"/>
  <c r="J96" i="2"/>
  <c r="I96" i="2"/>
  <c r="H96" i="2"/>
  <c r="E97" i="2"/>
  <c r="F97" i="2"/>
  <c r="D97" i="2"/>
  <c r="G96" i="2"/>
  <c r="L95" i="2"/>
  <c r="A99" i="2"/>
  <c r="L94" i="2"/>
  <c r="D95" i="2"/>
  <c r="H97" i="2"/>
  <c r="J97" i="2"/>
  <c r="B98" i="2"/>
  <c r="I97" i="2"/>
  <c r="E98" i="2"/>
  <c r="F98" i="2"/>
  <c r="G97" i="2"/>
  <c r="L96" i="2"/>
  <c r="A100" i="2"/>
  <c r="I98" i="2"/>
  <c r="H98" i="2"/>
  <c r="J98" i="2"/>
  <c r="B99" i="2"/>
  <c r="G98" i="2"/>
  <c r="L97" i="2"/>
  <c r="D98" i="2"/>
  <c r="F99" i="2"/>
  <c r="E99" i="2"/>
  <c r="D99" i="2"/>
  <c r="A101" i="2"/>
  <c r="I99" i="2"/>
  <c r="J99" i="2"/>
  <c r="H99" i="2"/>
  <c r="B100" i="2"/>
  <c r="F100" i="2"/>
  <c r="E100" i="2"/>
  <c r="G99" i="2"/>
  <c r="L98" i="2"/>
  <c r="A102" i="2"/>
  <c r="H100" i="2"/>
  <c r="I100" i="2"/>
  <c r="B101" i="2"/>
  <c r="J100" i="2"/>
  <c r="E101" i="2"/>
  <c r="F101" i="2"/>
  <c r="D101" i="2"/>
  <c r="G100" i="2"/>
  <c r="A103" i="2"/>
  <c r="B102" i="2"/>
  <c r="I101" i="2"/>
  <c r="J101" i="2"/>
  <c r="H101" i="2"/>
  <c r="E102" i="2"/>
  <c r="F102" i="2"/>
  <c r="D102" i="2"/>
  <c r="G101" i="2"/>
  <c r="L100" i="2"/>
  <c r="L99" i="2"/>
  <c r="D100" i="2"/>
  <c r="A104" i="2"/>
  <c r="I102" i="2"/>
  <c r="H102" i="2"/>
  <c r="J102" i="2"/>
  <c r="B103" i="2"/>
  <c r="F103" i="2"/>
  <c r="E103" i="2"/>
  <c r="G102" i="2"/>
  <c r="L101" i="2"/>
  <c r="A105" i="2"/>
  <c r="I103" i="2"/>
  <c r="H103" i="2"/>
  <c r="B104" i="2"/>
  <c r="J103" i="2"/>
  <c r="G103" i="2"/>
  <c r="L102" i="2"/>
  <c r="D103" i="2"/>
  <c r="F104" i="2"/>
  <c r="E104" i="2"/>
  <c r="D104" i="2"/>
  <c r="A106" i="2"/>
  <c r="H104" i="2"/>
  <c r="J104" i="2"/>
  <c r="I104" i="2"/>
  <c r="B105" i="2"/>
  <c r="G104" i="2"/>
  <c r="L103" i="2"/>
  <c r="E105" i="2"/>
  <c r="F105" i="2"/>
  <c r="A107" i="2"/>
  <c r="I105" i="2"/>
  <c r="H105" i="2"/>
  <c r="B106" i="2"/>
  <c r="J105" i="2"/>
  <c r="E106" i="2"/>
  <c r="F106" i="2"/>
  <c r="D106" i="2"/>
  <c r="G105" i="2"/>
  <c r="A108" i="2"/>
  <c r="H106" i="2"/>
  <c r="J106" i="2"/>
  <c r="B107" i="2"/>
  <c r="I106" i="2"/>
  <c r="F107" i="2"/>
  <c r="E107" i="2"/>
  <c r="D107" i="2"/>
  <c r="G106" i="2"/>
  <c r="L105" i="2"/>
  <c r="A109" i="2"/>
  <c r="L104" i="2"/>
  <c r="D105" i="2"/>
  <c r="B108" i="2"/>
  <c r="H107" i="2"/>
  <c r="I107" i="2"/>
  <c r="J107" i="2"/>
  <c r="G107" i="2"/>
  <c r="L106" i="2"/>
  <c r="F108" i="2"/>
  <c r="E108" i="2"/>
  <c r="A110" i="2"/>
  <c r="I108" i="2"/>
  <c r="B109" i="2"/>
  <c r="H108" i="2"/>
  <c r="J108" i="2"/>
  <c r="E109" i="2"/>
  <c r="F109" i="2"/>
  <c r="D109" i="2"/>
  <c r="G108" i="2"/>
  <c r="L107" i="2"/>
  <c r="D108" i="2"/>
  <c r="A111" i="2"/>
  <c r="B110" i="2"/>
  <c r="J109" i="2"/>
  <c r="H109" i="2"/>
  <c r="I109" i="2"/>
  <c r="G109" i="2"/>
  <c r="L108" i="2"/>
  <c r="E110" i="2"/>
  <c r="F110" i="2"/>
  <c r="A112" i="2"/>
  <c r="B111" i="2"/>
  <c r="H110" i="2"/>
  <c r="I110" i="2"/>
  <c r="J110" i="2"/>
  <c r="G110" i="2"/>
  <c r="F111" i="2"/>
  <c r="E111" i="2"/>
  <c r="D111" i="2"/>
  <c r="A113" i="2"/>
  <c r="H111" i="2"/>
  <c r="I111" i="2"/>
  <c r="J111" i="2"/>
  <c r="B112" i="2"/>
  <c r="G111" i="2"/>
  <c r="L110" i="2"/>
  <c r="F112" i="2"/>
  <c r="E112" i="2"/>
  <c r="D112" i="2"/>
  <c r="A114" i="2"/>
  <c r="L109" i="2"/>
  <c r="D110" i="2"/>
  <c r="I112" i="2"/>
  <c r="J112" i="2"/>
  <c r="H112" i="2"/>
  <c r="B113" i="2"/>
  <c r="E113" i="2"/>
  <c r="F113" i="2"/>
  <c r="G112" i="2"/>
  <c r="L111" i="2"/>
  <c r="A115" i="2"/>
  <c r="H113" i="2"/>
  <c r="J113" i="2"/>
  <c r="B114" i="2"/>
  <c r="I113" i="2"/>
  <c r="E114" i="2"/>
  <c r="F114" i="2"/>
  <c r="D114" i="2"/>
  <c r="G113" i="2"/>
  <c r="L112" i="2"/>
  <c r="D113" i="2"/>
  <c r="A116" i="2"/>
  <c r="B115" i="2"/>
  <c r="H114" i="2"/>
  <c r="J114" i="2"/>
  <c r="I114" i="2"/>
  <c r="F115" i="2"/>
  <c r="E115" i="2"/>
  <c r="G114" i="2"/>
  <c r="L113" i="2"/>
  <c r="A117" i="2"/>
  <c r="I115" i="2"/>
  <c r="H115" i="2"/>
  <c r="B116" i="2"/>
  <c r="J115" i="2"/>
  <c r="F116" i="2"/>
  <c r="E116" i="2"/>
  <c r="D116" i="2"/>
  <c r="G115" i="2"/>
  <c r="A118" i="2"/>
  <c r="H116" i="2"/>
  <c r="J116" i="2"/>
  <c r="B117" i="2"/>
  <c r="I116" i="2"/>
  <c r="E117" i="2"/>
  <c r="F117" i="2"/>
  <c r="D117" i="2"/>
  <c r="G116" i="2"/>
  <c r="L115" i="2"/>
  <c r="L114" i="2"/>
  <c r="D115" i="2"/>
  <c r="A119" i="2"/>
  <c r="H117" i="2"/>
  <c r="B118" i="2"/>
  <c r="I117" i="2"/>
  <c r="J117" i="2"/>
  <c r="E118" i="2"/>
  <c r="F118" i="2"/>
  <c r="G117" i="2"/>
  <c r="L116" i="2"/>
  <c r="A120" i="2"/>
  <c r="I118" i="2"/>
  <c r="B119" i="2"/>
  <c r="J118" i="2"/>
  <c r="H118" i="2"/>
  <c r="G118" i="2"/>
  <c r="L117" i="2"/>
  <c r="D118" i="2"/>
  <c r="F119" i="2"/>
  <c r="E119" i="2"/>
  <c r="D119" i="2"/>
  <c r="A121" i="2"/>
  <c r="H119" i="2"/>
  <c r="J119" i="2"/>
  <c r="I119" i="2"/>
  <c r="B120" i="2"/>
  <c r="G119" i="2"/>
  <c r="L118" i="2"/>
  <c r="F120" i="2"/>
  <c r="E120" i="2"/>
  <c r="A122" i="2"/>
  <c r="H120" i="2"/>
  <c r="I120" i="2"/>
  <c r="J120" i="2"/>
  <c r="B121" i="2"/>
  <c r="E121" i="2"/>
  <c r="F121" i="2"/>
  <c r="D121" i="2"/>
  <c r="G120" i="2"/>
  <c r="A123" i="2"/>
  <c r="I121" i="2"/>
  <c r="H121" i="2"/>
  <c r="J121" i="2"/>
  <c r="B122" i="2"/>
  <c r="E122" i="2"/>
  <c r="F122" i="2"/>
  <c r="D122" i="2"/>
  <c r="G121" i="2"/>
  <c r="L120" i="2"/>
  <c r="L119" i="2"/>
  <c r="D120" i="2"/>
  <c r="A124" i="2"/>
  <c r="J122" i="2"/>
  <c r="B123" i="2"/>
  <c r="H122" i="2"/>
  <c r="I122" i="2"/>
  <c r="F123" i="2"/>
  <c r="E123" i="2"/>
  <c r="G122" i="2"/>
  <c r="L121" i="2"/>
  <c r="A125" i="2"/>
  <c r="B124" i="2"/>
  <c r="J123" i="2"/>
  <c r="H123" i="2"/>
  <c r="I123" i="2"/>
  <c r="G123" i="2"/>
  <c r="L122" i="2"/>
  <c r="D123" i="2"/>
  <c r="F124" i="2"/>
  <c r="E124" i="2"/>
  <c r="D124" i="2"/>
  <c r="A126" i="2"/>
  <c r="I124" i="2"/>
  <c r="B125" i="2"/>
  <c r="H124" i="2"/>
  <c r="J124" i="2"/>
  <c r="G124" i="2"/>
  <c r="L123" i="2"/>
  <c r="E125" i="2"/>
  <c r="F125" i="2"/>
  <c r="A127" i="2"/>
  <c r="J125" i="2"/>
  <c r="H125" i="2"/>
  <c r="I125" i="2"/>
  <c r="B126" i="2"/>
  <c r="E126" i="2"/>
  <c r="F126" i="2"/>
  <c r="D126" i="2"/>
  <c r="G125" i="2"/>
  <c r="A128" i="2"/>
  <c r="B127" i="2"/>
  <c r="J126" i="2"/>
  <c r="H126" i="2"/>
  <c r="I126" i="2"/>
  <c r="G126" i="2"/>
  <c r="L125" i="2"/>
  <c r="F127" i="2"/>
  <c r="E127" i="2"/>
  <c r="D127" i="2"/>
  <c r="A129" i="2"/>
  <c r="L124" i="2"/>
  <c r="D125" i="2"/>
  <c r="B128" i="2"/>
  <c r="H127" i="2"/>
  <c r="J127" i="2"/>
  <c r="I127" i="2"/>
  <c r="F128" i="2"/>
  <c r="E128" i="2"/>
  <c r="G127" i="2"/>
  <c r="L126" i="2"/>
  <c r="A130" i="2"/>
  <c r="I128" i="2"/>
  <c r="J128" i="2"/>
  <c r="B129" i="2"/>
  <c r="H128" i="2"/>
  <c r="E129" i="2"/>
  <c r="F129" i="2"/>
  <c r="D129" i="2"/>
  <c r="G128" i="2"/>
  <c r="L127" i="2"/>
  <c r="D128" i="2"/>
  <c r="A131" i="2"/>
  <c r="B130" i="2"/>
  <c r="I129" i="2"/>
  <c r="J129" i="2"/>
  <c r="H129" i="2"/>
  <c r="E130" i="2"/>
  <c r="F130" i="2"/>
  <c r="G129" i="2"/>
  <c r="L128" i="2"/>
  <c r="A132" i="2"/>
  <c r="B131" i="2"/>
  <c r="J130" i="2"/>
  <c r="I130" i="2"/>
  <c r="H130" i="2"/>
  <c r="F131" i="2"/>
  <c r="E131" i="2"/>
  <c r="D131" i="2"/>
  <c r="G130" i="2"/>
  <c r="A133" i="2"/>
  <c r="I131" i="2"/>
  <c r="B132" i="2"/>
  <c r="H131" i="2"/>
  <c r="J131" i="2"/>
  <c r="B133" i="2"/>
  <c r="E133" i="2"/>
  <c r="F133" i="2"/>
  <c r="G131" i="2"/>
  <c r="L130" i="2"/>
  <c r="F132" i="2"/>
  <c r="E132" i="2"/>
  <c r="D132" i="2"/>
  <c r="L129" i="2"/>
  <c r="D130" i="2"/>
  <c r="J133" i="2"/>
  <c r="J132" i="2"/>
  <c r="I132" i="2"/>
  <c r="I133" i="2"/>
  <c r="H132" i="2"/>
  <c r="H133" i="2"/>
  <c r="G132" i="2"/>
  <c r="L131" i="2"/>
  <c r="G133" i="2"/>
  <c r="D133" i="2"/>
  <c r="M17" i="2"/>
  <c r="O5" i="2"/>
  <c r="O4" i="2"/>
  <c r="L133" i="2"/>
  <c r="L132" i="2"/>
</calcChain>
</file>

<file path=xl/sharedStrings.xml><?xml version="1.0" encoding="utf-8"?>
<sst xmlns="http://schemas.openxmlformats.org/spreadsheetml/2006/main" count="8408" uniqueCount="1521">
  <si>
    <t>bid</t>
  </si>
  <si>
    <t>price</t>
  </si>
  <si>
    <t>production</t>
  </si>
  <si>
    <t>quantity</t>
  </si>
  <si>
    <t>storage</t>
  </si>
  <si>
    <t>volume</t>
  </si>
  <si>
    <t>b</t>
  </si>
  <si>
    <t>v</t>
  </si>
  <si>
    <t>p</t>
  </si>
  <si>
    <t>c</t>
  </si>
  <si>
    <t>pi</t>
  </si>
  <si>
    <t>Inflow</t>
  </si>
  <si>
    <t>X</t>
  </si>
  <si>
    <t>Controls</t>
  </si>
  <si>
    <t>Delivery products</t>
  </si>
  <si>
    <t>Scenarios</t>
  </si>
  <si>
    <t>Stages</t>
  </si>
  <si>
    <t>Delivery product</t>
  </si>
  <si>
    <t>Bid volume</t>
  </si>
  <si>
    <t>Transaction volume</t>
  </si>
  <si>
    <t>Lookup table length</t>
  </si>
  <si>
    <t>What</t>
  </si>
  <si>
    <t>Total volume</t>
  </si>
  <si>
    <t>List organization</t>
  </si>
  <si>
    <t>Input abbreviations</t>
  </si>
  <si>
    <t>Production quantity</t>
  </si>
  <si>
    <t>Scenario</t>
  </si>
  <si>
    <t>Status</t>
  </si>
  <si>
    <t>DP</t>
  </si>
  <si>
    <t>Column number of variable value</t>
  </si>
  <si>
    <t>H</t>
  </si>
  <si>
    <t>A</t>
  </si>
  <si>
    <t>B</t>
  </si>
  <si>
    <t>C</t>
  </si>
  <si>
    <t>D</t>
  </si>
  <si>
    <t>F</t>
  </si>
  <si>
    <t>G</t>
  </si>
  <si>
    <t>E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</si>
  <si>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</si>
  <si>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</si>
  <si>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</si>
  <si>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</si>
  <si>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</si>
  <si>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</si>
  <si>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</si>
  <si>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</si>
  <si>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</si>
  <si>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</si>
  <si>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</si>
  <si>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</si>
  <si>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Column description</t>
  </si>
  <si>
    <t>Transaction bound</t>
  </si>
  <si>
    <t>Initial storage</t>
  </si>
  <si>
    <t>Storage</t>
  </si>
  <si>
    <t>Theoretical storage</t>
  </si>
  <si>
    <t>Model parameters</t>
  </si>
  <si>
    <t>S_min</t>
  </si>
  <si>
    <t>S_max</t>
  </si>
  <si>
    <t>Delta storage</t>
  </si>
  <si>
    <t>Number of variables</t>
  </si>
  <si>
    <t>10.0</t>
  </si>
  <si>
    <t>15.0</t>
  </si>
  <si>
    <t>20.0</t>
  </si>
  <si>
    <t>Trading time slot / Production unit</t>
  </si>
  <si>
    <t>Error handling</t>
  </si>
  <si>
    <t>Transaction volume &gt; bid volume</t>
  </si>
  <si>
    <t>Production quantity &lt;&gt; transaction volume</t>
  </si>
  <si>
    <t>Storage propagation</t>
  </si>
  <si>
    <t>0.1</t>
  </si>
  <si>
    <t>35.0</t>
  </si>
  <si>
    <t>47.0</t>
  </si>
  <si>
    <t>56.0</t>
  </si>
  <si>
    <t>0.0</t>
  </si>
  <si>
    <t>0.2</t>
  </si>
  <si>
    <t>45.0</t>
  </si>
  <si>
    <t>60.0</t>
  </si>
  <si>
    <t>5.0</t>
  </si>
  <si>
    <t>49.0</t>
  </si>
  <si>
    <t>200.0</t>
  </si>
  <si>
    <t>250.0</t>
  </si>
  <si>
    <t>probabilities</t>
  </si>
  <si>
    <t>Price</t>
  </si>
  <si>
    <t>Phase</t>
  </si>
  <si>
    <t>Transaction</t>
  </si>
  <si>
    <t>cost</t>
  </si>
  <si>
    <t>CPR</t>
  </si>
  <si>
    <t>Production</t>
  </si>
  <si>
    <t>capacity</t>
  </si>
  <si>
    <t>per</t>
  </si>
  <si>
    <t>asset</t>
  </si>
  <si>
    <t>Initial</t>
  </si>
  <si>
    <t>bounds</t>
  </si>
  <si>
    <t>Number of DPs</t>
  </si>
  <si>
    <t>Min max production</t>
  </si>
  <si>
    <t>Action space</t>
  </si>
  <si>
    <t>MWh</t>
  </si>
  <si>
    <t>Scenario probabilities</t>
  </si>
  <si>
    <t>Index</t>
  </si>
  <si>
    <t>Inflow DP 1</t>
  </si>
  <si>
    <t>Inflow DP 2</t>
  </si>
  <si>
    <t>Inflow DP 3</t>
  </si>
  <si>
    <t>BM Price</t>
  </si>
  <si>
    <t>imbalance</t>
  </si>
  <si>
    <t>Imbalance</t>
  </si>
  <si>
    <t>Production capacity</t>
  </si>
  <si>
    <t>PU</t>
  </si>
  <si>
    <t>params</t>
  </si>
  <si>
    <t>params_stochastic_MC</t>
  </si>
  <si>
    <t>params_stochastic_MC_bm</t>
  </si>
  <si>
    <t>Parameters</t>
  </si>
  <si>
    <t>100.0</t>
  </si>
  <si>
    <t>variables.xlsx</t>
  </si>
  <si>
    <t>110.0</t>
  </si>
  <si>
    <t>bid_price_X_0_0_0 0.0</t>
  </si>
  <si>
    <t>bid_price_X_0_0_1 0.0</t>
  </si>
  <si>
    <t>bid_price_X_0_1_0 0.0</t>
  </si>
  <si>
    <t>bid_price_X_0_1_1 0.0</t>
  </si>
  <si>
    <t>bid_price_X_0_2_0 0.0</t>
  </si>
  <si>
    <t>bid_price_X_0_2_1 0.0</t>
  </si>
  <si>
    <t>bid_price_X_0_3_0 0.0</t>
  </si>
  <si>
    <t>bid_price_X_0_3_1 0.0</t>
  </si>
  <si>
    <t>bid_price_X_0_4_0 0.0</t>
  </si>
  <si>
    <t>bid_price_X_0_4_1 0.0</t>
  </si>
  <si>
    <t>bid_price_X_0_5_0 0.0</t>
  </si>
  <si>
    <t>bid_price_X_0_5_1 0.0</t>
  </si>
  <si>
    <t>bid_price_X_0_6_0 0.0</t>
  </si>
  <si>
    <t>bid_price_X_0_6_1 0.0</t>
  </si>
  <si>
    <t>bid_price_X_0_7_0 0.0</t>
  </si>
  <si>
    <t>bid_price_X_0_7_1 0.0</t>
  </si>
  <si>
    <t>bid_price_X_0_8_0 0.0</t>
  </si>
  <si>
    <t>bid_price_X_0_8_1 0.0</t>
  </si>
  <si>
    <t>bid_price_X_0_9_0 0.0</t>
  </si>
  <si>
    <t>bid_price_X_0_9_1 0.0</t>
  </si>
  <si>
    <t>bid_price_X_1_0_0 0.0</t>
  </si>
  <si>
    <t>bid_price_X_1_0_1 0.0</t>
  </si>
  <si>
    <t>bid_price_X_1_1_0 0.0</t>
  </si>
  <si>
    <t>bid_price_X_1_1_1 0.0</t>
  </si>
  <si>
    <t>bid_price_X_1_2_0 0.0</t>
  </si>
  <si>
    <t>bid_price_X_1_2_1 0.0</t>
  </si>
  <si>
    <t>bid_price_X_1_3_0 0.0</t>
  </si>
  <si>
    <t>bid_price_X_1_3_1 0.0</t>
  </si>
  <si>
    <t>bid_price_X_1_4_0 0.0</t>
  </si>
  <si>
    <t>bid_price_X_1_4_1 0.0</t>
  </si>
  <si>
    <t>bid_price_X_1_5_0 0.0</t>
  </si>
  <si>
    <t>bid_price_X_1_5_1 0.0</t>
  </si>
  <si>
    <t>bid_price_X_1_6_0 0.0</t>
  </si>
  <si>
    <t>bid_price_X_1_6_1 0.0</t>
  </si>
  <si>
    <t>bid_price_X_1_7_0 0.0</t>
  </si>
  <si>
    <t>bid_price_X_1_7_1 0.0</t>
  </si>
  <si>
    <t>bid_price_X_1_8_0 0.0</t>
  </si>
  <si>
    <t>bid_price_X_1_8_1 0.0</t>
  </si>
  <si>
    <t>bid_price_X_1_9_0 0.0</t>
  </si>
  <si>
    <t>bid_price_X_1_9_1 0.0</t>
  </si>
  <si>
    <t>bid_price_X_2_0_0 0.0</t>
  </si>
  <si>
    <t>bid_price_X_2_0_1 0.0</t>
  </si>
  <si>
    <t>bid_price_X_2_1_0 0.0</t>
  </si>
  <si>
    <t>bid_price_X_2_1_1 0.0</t>
  </si>
  <si>
    <t>bid_price_X_2_2_0 0.0</t>
  </si>
  <si>
    <t>bid_price_X_2_2_1 0.0</t>
  </si>
  <si>
    <t>bid_price_X_2_3_0 0.0</t>
  </si>
  <si>
    <t>bid_price_X_2_3_1 0.0</t>
  </si>
  <si>
    <t>bid_price_X_2_4_0 0.0</t>
  </si>
  <si>
    <t>bid_price_X_2_4_1 0.0</t>
  </si>
  <si>
    <t>bid_price_X_2_5_0 0.0</t>
  </si>
  <si>
    <t>bid_price_X_2_5_1 0.0</t>
  </si>
  <si>
    <t>bid_price_X_2_6_0 0.0</t>
  </si>
  <si>
    <t>bid_price_X_2_6_1 0.0</t>
  </si>
  <si>
    <t>bid_price_X_2_7_0 0.0</t>
  </si>
  <si>
    <t>bid_price_X_2_7_1 0.0</t>
  </si>
  <si>
    <t>bid_price_X_2_8_0 0.0</t>
  </si>
  <si>
    <t>bid_price_X_2_8_1 0.0</t>
  </si>
  <si>
    <t>bid_price_X_2_9_0 0.0</t>
  </si>
  <si>
    <t>bid_price_X_2_9_1 0.0</t>
  </si>
  <si>
    <t>v_c_0_0_0_1 0.0</t>
  </si>
  <si>
    <t>v_c_0_0_1_0 0.0</t>
  </si>
  <si>
    <t>v_c_0_1_0_1 0.0</t>
  </si>
  <si>
    <t>v_c_0_1_1_0 0.0</t>
  </si>
  <si>
    <t>v_c_0_2_0_1 0.0</t>
  </si>
  <si>
    <t>v_c_0_2_1_0 0.0</t>
  </si>
  <si>
    <t>v_c_0_3_0_1 0.0</t>
  </si>
  <si>
    <t>v_c_0_3_1_0 0.0</t>
  </si>
  <si>
    <t>v_c_0_4_0_1 0.0</t>
  </si>
  <si>
    <t>v_c_0_4_1_0 0.0</t>
  </si>
  <si>
    <t>v_c_0_5_0_1 0.0</t>
  </si>
  <si>
    <t>v_c_0_5_1_0 0.0</t>
  </si>
  <si>
    <t>v_c_0_6_0_1 0.0</t>
  </si>
  <si>
    <t>v_c_0_6_1_0 0.0</t>
  </si>
  <si>
    <t>v_c_0_7_0_1 0.0</t>
  </si>
  <si>
    <t>v_c_0_7_1_0 0.0</t>
  </si>
  <si>
    <t>v_c_0_8_0_1 0.0</t>
  </si>
  <si>
    <t>v_c_0_8_1_0 0.0</t>
  </si>
  <si>
    <t>v_c_0_9_0_1 0.0</t>
  </si>
  <si>
    <t>v_c_0_9_1_0 0.0</t>
  </si>
  <si>
    <t>v_c_1_0_0_1 0.0</t>
  </si>
  <si>
    <t>v_c_1_0_1_0 0.0</t>
  </si>
  <si>
    <t>v_c_1_1_0_1 0.0</t>
  </si>
  <si>
    <t>v_c_1_1_1_0 0.0</t>
  </si>
  <si>
    <t>v_c_1_2_0_1 0.0</t>
  </si>
  <si>
    <t>v_c_1_2_1_0 0.0</t>
  </si>
  <si>
    <t>v_c_1_3_0_1 0.0</t>
  </si>
  <si>
    <t>v_c_1_3_1_0 0.0</t>
  </si>
  <si>
    <t>v_c_1_4_0_1 0.0</t>
  </si>
  <si>
    <t>v_c_1_4_1_0 0.0</t>
  </si>
  <si>
    <t>v_c_1_5_0_1 0.0</t>
  </si>
  <si>
    <t>v_c_1_5_1_0 0.0</t>
  </si>
  <si>
    <t>v_c_1_6_0_1 0.0</t>
  </si>
  <si>
    <t>v_c_1_6_1_0 0.0</t>
  </si>
  <si>
    <t>v_c_1_7_0_1 0.0</t>
  </si>
  <si>
    <t>v_c_1_7_1_0 0.0</t>
  </si>
  <si>
    <t>v_c_1_8_0_1 0.0</t>
  </si>
  <si>
    <t>v_c_1_8_1_0 0.0</t>
  </si>
  <si>
    <t>v_c_1_9_0_1 0.0</t>
  </si>
  <si>
    <t>v_c_1_9_1_0 0.0</t>
  </si>
  <si>
    <t>v_c_2_0_0_1 0.0</t>
  </si>
  <si>
    <t>v_c_2_0_1_0 0.0</t>
  </si>
  <si>
    <t>v_c_2_1_0_1 0.0</t>
  </si>
  <si>
    <t>v_c_2_1_1_0 0.0</t>
  </si>
  <si>
    <t>v_c_2_2_0_1 0.0</t>
  </si>
  <si>
    <t>v_c_2_2_1_0 0.0</t>
  </si>
  <si>
    <t>v_c_2_3_0_1 0.0</t>
  </si>
  <si>
    <t>v_c_2_3_1_0 0.0</t>
  </si>
  <si>
    <t>v_c_2_4_0_1 0.0</t>
  </si>
  <si>
    <t>v_c_2_4_1_0 0.0</t>
  </si>
  <si>
    <t>v_c_2_5_0_1 0.0</t>
  </si>
  <si>
    <t>v_c_2_5_1_0 0.0</t>
  </si>
  <si>
    <t>v_c_2_6_0_1 0.0</t>
  </si>
  <si>
    <t>v_c_2_6_1_0 0.0</t>
  </si>
  <si>
    <t>v_c_2_7_0_1 0.0</t>
  </si>
  <si>
    <t>v_c_2_7_1_0 0.0</t>
  </si>
  <si>
    <t>v_c_2_8_0_1 0.0</t>
  </si>
  <si>
    <t>v_c_2_8_1_0 0.0</t>
  </si>
  <si>
    <t>v_c_2_9_0_1 0.0</t>
  </si>
  <si>
    <t>v_c_2_9_1_0 0.0</t>
  </si>
  <si>
    <t>pi_c_0_0_0_1 0.0</t>
  </si>
  <si>
    <t>pi_c_0_0_1_0 0.0</t>
  </si>
  <si>
    <t>pi_c_0_1_0_1 0.0</t>
  </si>
  <si>
    <t>pi_c_0_1_1_0 0.0</t>
  </si>
  <si>
    <t>pi_c_0_2_0_1 0.0</t>
  </si>
  <si>
    <t>pi_c_0_2_1_0 0.0</t>
  </si>
  <si>
    <t>pi_c_0_3_0_1 0.0</t>
  </si>
  <si>
    <t>pi_c_0_3_1_0 0.0</t>
  </si>
  <si>
    <t>pi_c_0_4_0_1 0.0</t>
  </si>
  <si>
    <t>pi_c_0_4_1_0 0.0</t>
  </si>
  <si>
    <t>pi_c_0_5_0_1 0.0</t>
  </si>
  <si>
    <t>pi_c_0_5_1_0 0.0</t>
  </si>
  <si>
    <t>pi_c_0_6_0_1 0.0</t>
  </si>
  <si>
    <t>pi_c_0_6_1_0 0.0</t>
  </si>
  <si>
    <t>pi_c_0_7_0_1 0.0</t>
  </si>
  <si>
    <t>pi_c_0_7_1_0 0.0</t>
  </si>
  <si>
    <t>pi_c_0_8_0_1 0.0</t>
  </si>
  <si>
    <t>pi_c_0_8_1_0 0.0</t>
  </si>
  <si>
    <t>pi_c_0_9_0_1 0.0</t>
  </si>
  <si>
    <t>pi_c_0_9_1_0 0.0</t>
  </si>
  <si>
    <t>pi_c_1_0_0_1 0.0</t>
  </si>
  <si>
    <t>pi_c_1_0_1_0 0.0</t>
  </si>
  <si>
    <t>pi_c_1_1_0_1 0.0</t>
  </si>
  <si>
    <t>pi_c_1_1_1_0 0.0</t>
  </si>
  <si>
    <t>pi_c_1_2_0_1 0.0</t>
  </si>
  <si>
    <t>pi_c_1_2_1_0 0.0</t>
  </si>
  <si>
    <t>pi_c_1_3_0_1 0.0</t>
  </si>
  <si>
    <t>pi_c_1_3_1_0 0.0</t>
  </si>
  <si>
    <t>pi_c_1_4_0_1 0.0</t>
  </si>
  <si>
    <t>pi_c_1_4_1_0 0.0</t>
  </si>
  <si>
    <t>pi_c_1_5_0_1 0.0</t>
  </si>
  <si>
    <t>pi_c_1_5_1_0 0.0</t>
  </si>
  <si>
    <t>pi_c_1_6_0_1 0.0</t>
  </si>
  <si>
    <t>pi_c_1_6_1_0 0.0</t>
  </si>
  <si>
    <t>pi_c_1_7_0_1 0.0</t>
  </si>
  <si>
    <t>pi_c_1_7_1_0 0.0</t>
  </si>
  <si>
    <t>pi_c_1_8_0_1 0.0</t>
  </si>
  <si>
    <t>pi_c_1_8_1_0 0.0</t>
  </si>
  <si>
    <t>pi_c_1_9_0_1 0.0</t>
  </si>
  <si>
    <t>pi_c_1_9_1_0 0.0</t>
  </si>
  <si>
    <t>pi_c_2_0_0_1 0.0</t>
  </si>
  <si>
    <t>pi_c_2_0_1_0 0.0</t>
  </si>
  <si>
    <t>pi_c_2_1_0_1 0.0</t>
  </si>
  <si>
    <t>pi_c_2_1_1_0 0.0</t>
  </si>
  <si>
    <t>pi_c_2_2_0_1 0.0</t>
  </si>
  <si>
    <t>pi_c_2_2_1_0 0.0</t>
  </si>
  <si>
    <t>pi_c_2_3_0_1 0.0</t>
  </si>
  <si>
    <t>pi_c_2_3_1_0 0.0</t>
  </si>
  <si>
    <t>pi_c_2_4_0_1 0.0</t>
  </si>
  <si>
    <t>pi_c_2_4_1_0 0.0</t>
  </si>
  <si>
    <t>pi_c_2_5_0_1 0.0</t>
  </si>
  <si>
    <t>pi_c_2_5_1_0 0.0</t>
  </si>
  <si>
    <t>pi_c_2_6_0_1 0.0</t>
  </si>
  <si>
    <t>pi_c_2_6_1_0 0.0</t>
  </si>
  <si>
    <t>pi_c_2_7_0_1 0.0</t>
  </si>
  <si>
    <t>pi_c_2_7_1_0 0.0</t>
  </si>
  <si>
    <t>pi_c_2_8_0_1 0.0</t>
  </si>
  <si>
    <t>pi_c_2_8_1_0 0.0</t>
  </si>
  <si>
    <t>pi_c_2_9_0_1 0.0</t>
  </si>
  <si>
    <t>pi_c_2_9_1_0 0.0</t>
  </si>
  <si>
    <t>p_c_0_0_0_0 46.0</t>
  </si>
  <si>
    <t>p_c_0_0_0_1 46.0</t>
  </si>
  <si>
    <t>p_c_0_0_1_0 46.0</t>
  </si>
  <si>
    <t>p_c_0_0_1_1 46.0</t>
  </si>
  <si>
    <t>p_c_0_1_0_0 46.0</t>
  </si>
  <si>
    <t>p_c_0_1_0_1 46.0</t>
  </si>
  <si>
    <t>p_c_0_1_1_0 46.0</t>
  </si>
  <si>
    <t>p_c_0_1_1_1 46.0</t>
  </si>
  <si>
    <t>p_c_0_2_0_0 46.0</t>
  </si>
  <si>
    <t>p_c_0_2_0_1 46.0</t>
  </si>
  <si>
    <t>p_c_0_2_1_0 46.0</t>
  </si>
  <si>
    <t>p_c_0_2_1_1 46.0</t>
  </si>
  <si>
    <t>p_c_0_3_0_0 46.0</t>
  </si>
  <si>
    <t>p_c_0_3_0_1 46.0</t>
  </si>
  <si>
    <t>p_c_0_3_1_0 46.0</t>
  </si>
  <si>
    <t>p_c_0_3_1_1 46.0</t>
  </si>
  <si>
    <t>p_c_0_4_0_0 46.0</t>
  </si>
  <si>
    <t>p_c_0_4_0_1 46.0</t>
  </si>
  <si>
    <t>p_c_0_4_1_0 46.0</t>
  </si>
  <si>
    <t>p_c_0_4_1_1 46.0</t>
  </si>
  <si>
    <t>p_c_0_5_0_0 46.0</t>
  </si>
  <si>
    <t>p_c_0_5_0_1 46.0</t>
  </si>
  <si>
    <t>p_c_0_5_1_0 46.0</t>
  </si>
  <si>
    <t>p_c_0_5_1_1 46.0</t>
  </si>
  <si>
    <t>p_c_0_6_0_0 46.0</t>
  </si>
  <si>
    <t>p_c_0_6_0_1 46.0</t>
  </si>
  <si>
    <t>p_c_0_6_1_0 46.0</t>
  </si>
  <si>
    <t>p_c_0_6_1_1 46.0</t>
  </si>
  <si>
    <t>p_c_0_7_0_0 46.0</t>
  </si>
  <si>
    <t>p_c_0_7_0_1 46.0</t>
  </si>
  <si>
    <t>p_c_0_7_1_0 46.0</t>
  </si>
  <si>
    <t>p_c_0_7_1_1 46.0</t>
  </si>
  <si>
    <t>p_c_0_8_0_0 46.0</t>
  </si>
  <si>
    <t>p_c_0_8_0_1 46.0</t>
  </si>
  <si>
    <t>p_c_0_8_1_0 46.0</t>
  </si>
  <si>
    <t>p_c_0_8_1_1 46.0</t>
  </si>
  <si>
    <t>p_c_0_9_0_0 46.0</t>
  </si>
  <si>
    <t>p_c_0_9_0_1 46.0</t>
  </si>
  <si>
    <t>p_c_0_9_1_0 46.0</t>
  </si>
  <si>
    <t>p_c_0_9_1_1 46.0</t>
  </si>
  <si>
    <t>p_c_1_0_0_0 46.0</t>
  </si>
  <si>
    <t>p_c_1_0_0_1 46.0</t>
  </si>
  <si>
    <t>p_c_1_0_1_0 46.0</t>
  </si>
  <si>
    <t>p_c_1_0_1_1 46.0</t>
  </si>
  <si>
    <t>p_c_1_1_0_0 46.0</t>
  </si>
  <si>
    <t>p_c_1_1_0_1 46.0</t>
  </si>
  <si>
    <t>p_c_1_1_1_0 46.0</t>
  </si>
  <si>
    <t>p_c_1_1_1_1 46.0</t>
  </si>
  <si>
    <t>p_c_1_2_0_0 46.0</t>
  </si>
  <si>
    <t>p_c_1_2_0_1 46.0</t>
  </si>
  <si>
    <t>p_c_1_2_1_0 46.0</t>
  </si>
  <si>
    <t>p_c_1_2_1_1 46.0</t>
  </si>
  <si>
    <t>p_c_1_3_0_0 46.0</t>
  </si>
  <si>
    <t>p_c_1_3_0_1 46.0</t>
  </si>
  <si>
    <t>p_c_1_3_1_0 46.0</t>
  </si>
  <si>
    <t>p_c_1_3_1_1 46.0</t>
  </si>
  <si>
    <t>p_c_1_4_0_0 46.0</t>
  </si>
  <si>
    <t>p_c_1_4_0_1 46.0</t>
  </si>
  <si>
    <t>p_c_1_4_1_0 46.0</t>
  </si>
  <si>
    <t>p_c_1_4_1_1 46.0</t>
  </si>
  <si>
    <t>p_c_1_5_0_0 46.0</t>
  </si>
  <si>
    <t>p_c_1_5_0_1 46.0</t>
  </si>
  <si>
    <t>p_c_1_5_1_0 46.0</t>
  </si>
  <si>
    <t>p_c_1_5_1_1 46.0</t>
  </si>
  <si>
    <t>p_c_1_6_0_0 46.0</t>
  </si>
  <si>
    <t>p_c_1_6_0_1 46.0</t>
  </si>
  <si>
    <t>p_c_1_6_1_0 46.0</t>
  </si>
  <si>
    <t>p_c_1_6_1_1 46.0</t>
  </si>
  <si>
    <t>p_c_1_7_0_0 46.0</t>
  </si>
  <si>
    <t>p_c_1_7_0_1 46.0</t>
  </si>
  <si>
    <t>p_c_1_7_1_0 46.0</t>
  </si>
  <si>
    <t>p_c_1_7_1_1 46.0</t>
  </si>
  <si>
    <t>p_c_1_8_0_0 46.0</t>
  </si>
  <si>
    <t>p_c_1_8_0_1 46.0</t>
  </si>
  <si>
    <t>p_c_1_8_1_0 46.0</t>
  </si>
  <si>
    <t>p_c_1_8_1_1 46.0</t>
  </si>
  <si>
    <t>p_c_1_9_0_0 46.0</t>
  </si>
  <si>
    <t>p_c_1_9_0_1 46.0</t>
  </si>
  <si>
    <t>p_c_1_9_1_0 46.0</t>
  </si>
  <si>
    <t>p_c_1_9_1_1 46.0</t>
  </si>
  <si>
    <t>p_c_2_0_0_0 46.0</t>
  </si>
  <si>
    <t>p_c_2_0_0_1 46.0</t>
  </si>
  <si>
    <t>p_c_2_0_1_0 46.0</t>
  </si>
  <si>
    <t>p_c_2_0_1_1 46.0</t>
  </si>
  <si>
    <t>p_c_2_1_0_0 46.0</t>
  </si>
  <si>
    <t>p_c_2_1_0_1 46.0</t>
  </si>
  <si>
    <t>p_c_2_1_1_0 46.0</t>
  </si>
  <si>
    <t>p_c_2_1_1_1 46.0</t>
  </si>
  <si>
    <t>p_c_2_2_0_0 46.0</t>
  </si>
  <si>
    <t>p_c_2_2_0_1 46.0</t>
  </si>
  <si>
    <t>p_c_2_2_1_0 46.0</t>
  </si>
  <si>
    <t>p_c_2_2_1_1 46.0</t>
  </si>
  <si>
    <t>p_c_2_3_0_0 46.0</t>
  </si>
  <si>
    <t>p_c_2_3_0_1 46.0</t>
  </si>
  <si>
    <t>p_c_2_3_1_0 46.0</t>
  </si>
  <si>
    <t>p_c_2_3_1_1 46.0</t>
  </si>
  <si>
    <t>p_c_2_4_0_0 46.0</t>
  </si>
  <si>
    <t>p_c_2_4_0_1 46.0</t>
  </si>
  <si>
    <t>p_c_2_4_1_0 46.0</t>
  </si>
  <si>
    <t>p_c_2_4_1_1 46.0</t>
  </si>
  <si>
    <t>p_c_2_5_0_0 46.0</t>
  </si>
  <si>
    <t>p_c_2_5_0_1 46.0</t>
  </si>
  <si>
    <t>p_c_2_5_1_0 46.0</t>
  </si>
  <si>
    <t>p_c_2_5_1_1 46.0</t>
  </si>
  <si>
    <t>p_c_2_6_0_0 46.0</t>
  </si>
  <si>
    <t>p_c_2_6_0_1 46.0</t>
  </si>
  <si>
    <t>p_c_2_6_1_0 46.0</t>
  </si>
  <si>
    <t>p_c_2_6_1_1 46.0</t>
  </si>
  <si>
    <t>p_c_2_7_0_0 46.0</t>
  </si>
  <si>
    <t>p_c_2_7_0_1 46.0</t>
  </si>
  <si>
    <t>p_c_2_7_1_0 46.0</t>
  </si>
  <si>
    <t>p_c_2_7_1_1 46.0</t>
  </si>
  <si>
    <t>p_c_2_8_0_0 46.0</t>
  </si>
  <si>
    <t>p_c_2_8_0_1 46.0</t>
  </si>
  <si>
    <t>p_c_2_8_1_0 46.0</t>
  </si>
  <si>
    <t>p_c_2_8_1_1 46.0</t>
  </si>
  <si>
    <t>p_c_2_9_0_0 46.0</t>
  </si>
  <si>
    <t>p_c_2_9_0_1 46.0</t>
  </si>
  <si>
    <t>p_c_2_9_1_0 46.0</t>
  </si>
  <si>
    <t>p_c_2_9_1_1 46.0</t>
  </si>
  <si>
    <t>46.0</t>
  </si>
  <si>
    <t>Inflow_X_X_X_0_0 30.0</t>
  </si>
  <si>
    <t>Inflow_X_X_X_0_1 30.0</t>
  </si>
  <si>
    <t>Inflow_X_X_X_0_2 35.0</t>
  </si>
  <si>
    <t>Inflow_X_X_X_0_3 35.0</t>
  </si>
  <si>
    <t>Inflow_X_X_X_0_4 40.0</t>
  </si>
  <si>
    <t>Inflow_X_X_X_0_5 40.0</t>
  </si>
  <si>
    <t>Inflow_X_X_X_0_6 45.0</t>
  </si>
  <si>
    <t>Inflow_X_X_X_0_7 45.0</t>
  </si>
  <si>
    <t>Inflow_X_X_X_0_8 50.0</t>
  </si>
  <si>
    <t>Inflow_X_X_X_0_9 50.0</t>
  </si>
  <si>
    <t>Inflow_X_X_X_1_0 30.0</t>
  </si>
  <si>
    <t>Inflow_X_X_X_1_1 30.0</t>
  </si>
  <si>
    <t>Inflow_X_X_X_1_2 35.0</t>
  </si>
  <si>
    <t>Inflow_X_X_X_1_3 35.0</t>
  </si>
  <si>
    <t>Inflow_X_X_X_1_4 40.0</t>
  </si>
  <si>
    <t>Inflow_X_X_X_1_5 40.0</t>
  </si>
  <si>
    <t>Inflow_X_X_X_1_6 45.0</t>
  </si>
  <si>
    <t>Inflow_X_X_X_1_7 45.0</t>
  </si>
  <si>
    <t>Inflow_X_X_X_1_8 50.0</t>
  </si>
  <si>
    <t>Inflow_X_X_X_1_9 50.0</t>
  </si>
  <si>
    <t>Inflow_X_X_X_2_0 30.0</t>
  </si>
  <si>
    <t>Inflow_X_X_X_2_1 30.0</t>
  </si>
  <si>
    <t>Inflow_X_X_X_2_2 35.0</t>
  </si>
  <si>
    <t>Inflow_X_X_X_2_3 35.0</t>
  </si>
  <si>
    <t>Inflow_X_X_X_2_4 40.0</t>
  </si>
  <si>
    <t>Inflow_X_X_X_2_5 40.0</t>
  </si>
  <si>
    <t>Inflow_X_X_X_2_6 45.0</t>
  </si>
  <si>
    <t>Inflow_X_X_X_2_7 45.0</t>
  </si>
  <si>
    <t>Inflow_X_X_X_2_8 50.0</t>
  </si>
  <si>
    <t>Inflow_X_X_X_2_9 50.0</t>
  </si>
  <si>
    <t>30.0</t>
  </si>
  <si>
    <t>40.0</t>
  </si>
  <si>
    <t>50.0</t>
  </si>
  <si>
    <t>production_quantity_X_0_0_0 39.99999999845302</t>
  </si>
  <si>
    <t>production_quantity_X_0_0_1 49.99999998914915</t>
  </si>
  <si>
    <t>production_quantity_X_0_0_2 23.071780728936652</t>
  </si>
  <si>
    <t>production_quantity_X_0_1_0 44.999999998535564</t>
  </si>
  <si>
    <t>production_quantity_X_0_1_1 49.99999999092361</t>
  </si>
  <si>
    <t>production_quantity_X_0_1_2 18.069999176058023</t>
  </si>
  <si>
    <t>production_quantity_X_0_2_0 49.99999999861346</t>
  </si>
  <si>
    <t>production_quantity_X_0_2_1 49.99999999231537</t>
  </si>
  <si>
    <t>production_quantity_X_0_2_2 24.391315498804538</t>
  </si>
  <si>
    <t>production_quantity_X_0_3_0 54.9999999986774</t>
  </si>
  <si>
    <t>production_quantity_X_0_3_1 49.9999999931813</t>
  </si>
  <si>
    <t>production_quantity_X_0_3_2 15.798969050254899</t>
  </si>
  <si>
    <t>production_quantity_X_0_4_0 59.99999999874053</t>
  </si>
  <si>
    <t>production_quantity_X_0_4_1 49.999999993973276</t>
  </si>
  <si>
    <t>production_quantity_X_0_4_2 16.226563656079083</t>
  </si>
  <si>
    <t>production_quantity_X_0_5_0 64.99999999879734</t>
  </si>
  <si>
    <t>production_quantity_X_0_5_1 49.99999999460169</t>
  </si>
  <si>
    <t>production_quantity_X_0_5_2 9.02970596466245</t>
  </si>
  <si>
    <t>production_quantity_X_0_6_0 69.99999999881749</t>
  </si>
  <si>
    <t>production_quantity_X_0_6_1 49.99999999447238</t>
  </si>
  <si>
    <t>production_quantity_X_0_6_2 7.150187553924849e-08</t>
  </si>
  <si>
    <t>production_quantity_X_0_7_0 74.99999999881474</t>
  </si>
  <si>
    <t>production_quantity_X_0_7_1 49.9999999937822</t>
  </si>
  <si>
    <t>production_quantity_X_0_7_2 1.7626548083113207e-08</t>
  </si>
  <si>
    <t>production_quantity_X_0_8_0 79.99999999881659</t>
  </si>
  <si>
    <t>production_quantity_X_0_8_1 49.999999992998816</t>
  </si>
  <si>
    <t>production_quantity_X_0_8_2 1.027974474344244e-08</t>
  </si>
  <si>
    <t>production_quantity_X_0_9_0 84.99999999862959</t>
  </si>
  <si>
    <t>production_quantity_X_0_9_1 48.939173468038</t>
  </si>
  <si>
    <t>production_quantity_X_0_9_2 3.98212172682725e-09</t>
  </si>
  <si>
    <t>production_quantity_X_1_0_0 39.99999999845316</t>
  </si>
  <si>
    <t>production_quantity_X_1_0_1 49.99999998915654</t>
  </si>
  <si>
    <t>production_quantity_X_1_0_2 23.133502337119136</t>
  </si>
  <si>
    <t>production_quantity_X_1_1_0 44.999999998535884</t>
  </si>
  <si>
    <t>production_quantity_X_1_1_1 49.9999999909347</t>
  </si>
  <si>
    <t>production_quantity_X_1_1_2 18.13538910407403</t>
  </si>
  <si>
    <t>production_quantity_X_1_2_0 49.9999999986069</t>
  </si>
  <si>
    <t>production_quantity_X_1_2_1 49.99999999210344</t>
  </si>
  <si>
    <t>production_quantity_X_1_2_2 14.753930901858928</t>
  </si>
  <si>
    <t>production_quantity_X_1_3_0 54.99999999867745</t>
  </si>
  <si>
    <t>production_quantity_X_1_3_1 49.999999993175386</t>
  </si>
  <si>
    <t>production_quantity_X_1_3_2 12.163915996728381</t>
  </si>
  <si>
    <t>production_quantity_X_1_4_0 59.99999999873991</t>
  </si>
  <si>
    <t>production_quantity_X_1_4_1 49.99999999395741</t>
  </si>
  <si>
    <t>production_quantity_X_1_4_2 10.144316797876042</t>
  </si>
  <si>
    <t>production_quantity_X_1_5_0 64.99999999879644</t>
  </si>
  <si>
    <t>production_quantity_X_1_5_1 49.999999994586624</t>
  </si>
  <si>
    <t>production_quantity_X_1_5_2 6.03162843892337</t>
  </si>
  <si>
    <t>production_quantity_X_1_6_0 69.99999999881663</t>
  </si>
  <si>
    <t>production_quantity_X_1_6_1 49.99999999446865</t>
  </si>
  <si>
    <t>production_quantity_X_1_6_2 6.674203058142536e-08</t>
  </si>
  <si>
    <t>production_quantity_X_1_7_0 74.99999999881373</t>
  </si>
  <si>
    <t>production_quantity_X_1_7_1 49.99999999376568</t>
  </si>
  <si>
    <t>production_quantity_X_1_7_2 1.7474658585609376e-08</t>
  </si>
  <si>
    <t>production_quantity_X_1_8_0 79.9999999988161</t>
  </si>
  <si>
    <t>production_quantity_X_1_8_1 49.99999999300219</t>
  </si>
  <si>
    <t>production_quantity_X_1_8_2 1.0251226490367308e-08</t>
  </si>
  <si>
    <t>production_quantity_X_1_9_0 84.99999999862858</t>
  </si>
  <si>
    <t>production_quantity_X_1_9_1 49.45799930687586</t>
  </si>
  <si>
    <t>production_quantity_X_1_9_2 3.9753658913393164e-09</t>
  </si>
  <si>
    <t>production_quantity_X_2_0_0 39.999999998453156</t>
  </si>
  <si>
    <t>production_quantity_X_2_0_1 49.99999998915627</t>
  </si>
  <si>
    <t>production_quantity_X_2_0_2 23.794716966518543</t>
  </si>
  <si>
    <t>production_quantity_X_2_1_0 44.99999999853588</t>
  </si>
  <si>
    <t>production_quantity_X_2_1_1 49.99999999093414</t>
  </si>
  <si>
    <t>production_quantity_X_2_1_2 18.794611745899427</t>
  </si>
  <si>
    <t>production_quantity_X_2_2_0 49.99999999860849</t>
  </si>
  <si>
    <t>production_quantity_X_2_2_1 49.99999999215909</t>
  </si>
  <si>
    <t>production_quantity_X_2_2_2 15.854753619615211</t>
  </si>
  <si>
    <t>production_quantity_X_2_3_0 54.99999999867759</t>
  </si>
  <si>
    <t>production_quantity_X_2_3_1 49.99999999317623</t>
  </si>
  <si>
    <t>production_quantity_X_2_3_2 12.037114966570531</t>
  </si>
  <si>
    <t>production_quantity_X_2_4_0 59.99999999874127</t>
  </si>
  <si>
    <t>production_quantity_X_2_4_1 49.999999993961595</t>
  </si>
  <si>
    <t>production_quantity_X_2_4_2 13.629119549548186</t>
  </si>
  <si>
    <t>production_quantity_X_2_5_0 64.99999999879705</t>
  </si>
  <si>
    <t>production_quantity_X_2_5_1 49.999999994549505</t>
  </si>
  <si>
    <t>production_quantity_X_2_5_2 9.938665480860834</t>
  </si>
  <si>
    <t>production_quantity_X_2_6_0 69.9999999988166</t>
  </si>
  <si>
    <t>production_quantity_X_2_6_1 49.99999999448744</t>
  </si>
  <si>
    <t>production_quantity_X_2_6_2 6.525093041551849e-08</t>
  </si>
  <si>
    <t>production_quantity_X_2_7_0 74.99999999881406</t>
  </si>
  <si>
    <t>production_quantity_X_2_7_1 49.99999999377416</t>
  </si>
  <si>
    <t>production_quantity_X_2_7_2 1.7293211865997875e-08</t>
  </si>
  <si>
    <t>production_quantity_X_2_8_0 79.99999999881585</t>
  </si>
  <si>
    <t>production_quantity_X_2_8_1 49.99999999301773</t>
  </si>
  <si>
    <t>production_quantity_X_2_8_2 1.025607992124675e-08</t>
  </si>
  <si>
    <t>production_quantity_X_2_9_0 84.99999999862911</t>
  </si>
  <si>
    <t>production_quantity_X_2_9_1 46.602827208809295</t>
  </si>
  <si>
    <t>production_quantity_X_2_9_2 3.985275145808606e-09</t>
  </si>
  <si>
    <t>storage_volume_X_X_0_0 166.92821928346154</t>
  </si>
  <si>
    <t>storage_volume_X_X_0_1 166.93000083448305</t>
  </si>
  <si>
    <t>storage_volume_X_X_0_2 160.60868451026664</t>
  </si>
  <si>
    <t>storage_volume_X_X_0_3 164.20103095788642</t>
  </si>
  <si>
    <t>storage_volume_X_X_0_4 163.77343635120715</t>
  </si>
  <si>
    <t>storage_volume_X_X_0_5 165.9702940419386</t>
  </si>
  <si>
    <t>storage_volume_X_X_0_6 174.99999993520825</t>
  </si>
  <si>
    <t>storage_volume_X_X_0_7 169.99999998977654</t>
  </si>
  <si>
    <t>storage_volume_X_X_0_8 169.9999999979049</t>
  </si>
  <si>
    <t>storage_volume_X_X_0_9 166.06082652935038</t>
  </si>
  <si>
    <t>storage_volume_X_X_1_0 83.79471695873298</t>
  </si>
  <si>
    <t>storage_volume_X_X_1_1 83.79461174093834</t>
  </si>
  <si>
    <t>storage_volume_X_X_1_2 80.8547536176973</t>
  </si>
  <si>
    <t>storage_volume_X_X_1_3 82.03711496930521</t>
  </si>
  <si>
    <t>storage_volume_X_X_1_4 83.62911956063377</t>
  </si>
  <si>
    <t>storage_volume_X_X_1_5 84.93866560963221</t>
  </si>
  <si>
    <t>storage_volume_X_X_1_6 99.99999987518089</t>
  </si>
  <si>
    <t>storage_volume_X_X_1_7 89.99999997972253</t>
  </si>
  <si>
    <t>storage_volume_X_X_1_8 89.99999999583545</t>
  </si>
  <si>
    <t>storage_volume_X_X_1_9 81.60282721987068</t>
  </si>
  <si>
    <t>storage_volume_X_X_2_0 4.605370822394161e-09</t>
  </si>
  <si>
    <t>storage_volume_X_X_2_1 5.568769356666196e-09</t>
  </si>
  <si>
    <t>storage_volume_X_X_2_2 7.314513069400311e-09</t>
  </si>
  <si>
    <t>storage_volume_X_X_2_3 1.088088478268881e-08</t>
  </si>
  <si>
    <t>storage_volume_X_X_2_4 1.838258840245209e-08</t>
  </si>
  <si>
    <t>storage_volume_X_X_2_5 1.3542481946027425e-07</t>
  </si>
  <si>
    <t>storage_volume_X_X_2_6 24.999999816625913</t>
  </si>
  <si>
    <t>storage_volume_X_X_2_7 9.99999996984107</t>
  </si>
  <si>
    <t>storage_volume_X_X_2_8 9.999999993745812</t>
  </si>
  <si>
    <t>storage_volume_X_X_2_9 8.44709003494194e-09</t>
  </si>
  <si>
    <t>imbalance_volume_X_X_0_0 99.99999999907075</t>
  </si>
  <si>
    <t>imbalance_volume_X_X_0_1 99.99999999808696</t>
  </si>
  <si>
    <t>imbalance_volume_X_X_0_2 1.4965504095618143e-06</t>
  </si>
  <si>
    <t>imbalance_volume_X_X_0_3 1.7533772672347592e-09</t>
  </si>
  <si>
    <t>imbalance_volume_X_X_0_4 8.885439651154931e-10</t>
  </si>
  <si>
    <t>imbalance_volume_X_X_0_5 5.956526514863345e-10</t>
  </si>
  <si>
    <t>imbalance_volume_X_X_0_6 4.4791854684679887e-10</t>
  </si>
  <si>
    <t>imbalance_volume_X_X_0_7 3.587169974740841e-10</t>
  </si>
  <si>
    <t>imbalance_volume_X_X_0_8 2.9934492718320037e-10</t>
  </si>
  <si>
    <t>imbalance_volume_X_X_0_9 2.566796265290428e-10</t>
  </si>
  <si>
    <t>imbalance_volume_X_X_1_0 99.99999999907031</t>
  </si>
  <si>
    <t>imbalance_volume_X_X_1_1 99.99999999808465</t>
  </si>
  <si>
    <t>imbalance_volume_X_X_1_2 1.6687420433462823e-06</t>
  </si>
  <si>
    <t>imbalance_volume_X_X_1_3 1.751736992700985e-09</t>
  </si>
  <si>
    <t>imbalance_volume_X_X_1_4 8.885651116115057e-10</t>
  </si>
  <si>
    <t>imbalance_volume_X_X_1_5 5.956205964681462e-10</t>
  </si>
  <si>
    <t>imbalance_volume_X_X_1_6 4.478592010026619e-10</t>
  </si>
  <si>
    <t>imbalance_volume_X_X_1_7 3.5879547402055596e-10</t>
  </si>
  <si>
    <t>imbalance_volume_X_X_1_8 2.9932102251270106e-10</t>
  </si>
  <si>
    <t>imbalance_volume_X_X_1_9 2.5672379174451403e-10</t>
  </si>
  <si>
    <t>imbalance_volume_X_X_2_0 99.99999999907054</t>
  </si>
  <si>
    <t>imbalance_volume_X_X_2_1 99.99999999808561</t>
  </si>
  <si>
    <t>imbalance_volume_X_X_2_2 3.743209499371472e-06</t>
  </si>
  <si>
    <t>imbalance_volume_X_X_2_3 1.751966850580914e-09</t>
  </si>
  <si>
    <t>imbalance_volume_X_X_2_4 8.880674881586194e-10</t>
  </si>
  <si>
    <t>imbalance_volume_X_X_2_5 5.955576244177815e-10</t>
  </si>
  <si>
    <t>imbalance_volume_X_X_2_6 4.4788083154745773e-10</t>
  </si>
  <si>
    <t>imbalance_volume_X_X_2_7 3.5885285171720083e-10</t>
  </si>
  <si>
    <t>imbalance_volume_X_X_2_8 2.9932283999791343e-10</t>
  </si>
  <si>
    <t>imbalance_volume_X_X_2_9 2.5673404173218983e-10</t>
  </si>
  <si>
    <t>b_v_X_0_0_0 11.33810970475389</t>
  </si>
  <si>
    <t>b_v_X_0_0_1 1.7336710127142165</t>
  </si>
  <si>
    <t>b_v_X_0_1_0 11.33810970475389</t>
  </si>
  <si>
    <t>b_v_X_0_1_1 1.7318894626763524</t>
  </si>
  <si>
    <t>b_v_X_0_2_0 11.33810970475389</t>
  </si>
  <si>
    <t>b_v_X_0_2_1 113.05320428842903</t>
  </si>
  <si>
    <t>b_v_X_0_3_0 11.33810970475389</t>
  </si>
  <si>
    <t>b_v_X_0_3_1 109.46085933560626</t>
  </si>
  <si>
    <t>b_v_X_0_4_0 11.33810970475389</t>
  </si>
  <si>
    <t>b_v_X_0_4_1 114.88845394315041</t>
  </si>
  <si>
    <t>b_v_X_0_5_0 11.33810970475389</t>
  </si>
  <si>
    <t>b_v_X_0_5_1 112.6915962527119</t>
  </si>
  <si>
    <t>b_v_X_0_6_0 11.33810970475389</t>
  </si>
  <si>
    <t>b_v_X_0_6_1 108.66189035958995</t>
  </si>
  <si>
    <t>b_v_X_0_7_0 11.33810970475389</t>
  </si>
  <si>
    <t>b_v_X_0_7_1 113.66189030511084</t>
  </si>
  <si>
    <t>b_v_X_0_8_0 11.33810970475389</t>
  </si>
  <si>
    <t>b_v_X_0_8_1 118.66189029704188</t>
  </si>
  <si>
    <t>b_v_X_0_9_0 11.33810970475389</t>
  </si>
  <si>
    <t>b_v_X_0_9_1 122.60106376563914</t>
  </si>
  <si>
    <t>b_v_X_1_0_0 11.411047581459709</t>
  </si>
  <si>
    <t>b_v_X_1_0_1 1.7224547441989506</t>
  </si>
  <si>
    <t>b_v_X_1_1_0 11.411047581459709</t>
  </si>
  <si>
    <t>b_v_X_1_1_1 1.7243415140002347</t>
  </si>
  <si>
    <t>b_v_X_1_2_0 11.411047581459709</t>
  </si>
  <si>
    <t>b_v_X_1_2_1 103.34288164236754</t>
  </si>
  <si>
    <t>b_v_X_1_3_0 11.411047581459709</t>
  </si>
  <si>
    <t>b_v_X_1_3_1 105.75286840536984</t>
  </si>
  <si>
    <t>b_v_X_1_4_0 11.411047581459709</t>
  </si>
  <si>
    <t>b_v_X_1_4_1 108.73326920822511</t>
  </si>
  <si>
    <t>b_v_X_1_5_0 11.411047581459709</t>
  </si>
  <si>
    <t>b_v_X_1_5_1 109.62058085025113</t>
  </si>
  <si>
    <t>b_v_X_1_6_0 11.411047581459709</t>
  </si>
  <si>
    <t>b_v_X_1_6_1 108.58895247811981</t>
  </si>
  <si>
    <t>b_v_X_1_7_0 11.411047581459709</t>
  </si>
  <si>
    <t>b_v_X_1_7_1 113.5889524282356</t>
  </si>
  <si>
    <t>b_v_X_1_8_0 11.411047581459709</t>
  </si>
  <si>
    <t>b_v_X_1_8_1 118.5889524203105</t>
  </si>
  <si>
    <t>b_v_X_1_9_0 11.411047581459709</t>
  </si>
  <si>
    <t>b_v_X_1_9_1 123.04695172776343</t>
  </si>
  <si>
    <t>b_v_X_2_0_0 12.019198432433376</t>
  </si>
  <si>
    <t>b_v_X_2_0_1 1.7755185226240358</t>
  </si>
  <si>
    <t>b_v_X_2_1_0 12.019198432433376</t>
  </si>
  <si>
    <t>b_v_X_2_1_1 1.775413304850465</t>
  </si>
  <si>
    <t>b_v_X_2_2_0 12.019198432433376</t>
  </si>
  <si>
    <t>b_v_X_2_2_1 103.83555143473991</t>
  </si>
  <si>
    <t>b_v_X_2_3_0 12.019198432433376</t>
  </si>
  <si>
    <t>b_v_X_2_3_1 105.01791652423907</t>
  </si>
  <si>
    <t>b_v_X_2_4_0 12.019198432433376</t>
  </si>
  <si>
    <t>b_v_X_2_4_1 111.60992110892965</t>
  </si>
  <si>
    <t>b_v_X_2_5_0 12.019198432433376</t>
  </si>
  <si>
    <t>b_v_X_2_5_1 112.91946704117838</t>
  </si>
  <si>
    <t>b_v_X_2_6_0 12.019198432433376</t>
  </si>
  <si>
    <t>b_v_X_2_6_1 107.98080162567376</t>
  </si>
  <si>
    <t>b_v_X_2_7_0 12.019198432433376</t>
  </si>
  <si>
    <t>b_v_X_2_7_1 112.98080157708927</t>
  </si>
  <si>
    <t>b_v_X_2_8_0 12.019198432433376</t>
  </si>
  <si>
    <t>b_v_X_2_8_1 117.98080156935698</t>
  </si>
  <si>
    <t>b_v_X_2_9_0 12.019198432433376</t>
  </si>
  <si>
    <t>b_v_X_2_9_1 119.58362877873364</t>
  </si>
  <si>
    <t>v_c_0_0_0_0 11.33810970475389</t>
  </si>
  <si>
    <t>v_c_0_0_1_1 1.7336710127142165</t>
  </si>
  <si>
    <t>v_c_0_1_0_0 11.338109704753904</t>
  </si>
  <si>
    <t>v_c_0_1_1_1 1.7318894626763524</t>
  </si>
  <si>
    <t>v_c_0_2_0_0 11.338109704753904</t>
  </si>
  <si>
    <t>v_c_0_2_1_1 113.05320428842903</t>
  </si>
  <si>
    <t>v_c_0_3_0_0 11.338109704753911</t>
  </si>
  <si>
    <t>v_c_0_3_1_1 109.46085933560626</t>
  </si>
  <si>
    <t>v_c_0_4_0_0 11.338109704753911</t>
  </si>
  <si>
    <t>v_c_0_4_1_1 114.88845394315041</t>
  </si>
  <si>
    <t>v_c_0_5_0_0 11.3381097047539</t>
  </si>
  <si>
    <t>v_c_0_5_1_1 112.6915962527119</t>
  </si>
  <si>
    <t>v_c_0_6_0_0 11.338109704753908</t>
  </si>
  <si>
    <t>v_c_0_6_1_1 108.66189035958995</t>
  </si>
  <si>
    <t>v_c_0_7_0_0 11.338109704753903</t>
  </si>
  <si>
    <t>v_c_0_7_1_1 113.66189030511084</t>
  </si>
  <si>
    <t>v_c_0_8_0_0 11.338109704753903</t>
  </si>
  <si>
    <t>v_c_0_8_1_1 118.66189029704188</t>
  </si>
  <si>
    <t>v_c_0_9_0_0 11.338109704753906</t>
  </si>
  <si>
    <t>v_c_0_9_1_1 122.60106376563914</t>
  </si>
  <si>
    <t>v_c_1_0_0_0 11.411047581459709</t>
  </si>
  <si>
    <t>v_c_1_0_1_1 1.7224547441989506</t>
  </si>
  <si>
    <t>v_c_1_1_0_0 11.411047581459696</t>
  </si>
  <si>
    <t>v_c_1_1_1_1 1.7243415140002347</t>
  </si>
  <si>
    <t>v_c_1_2_0_0 11.411047581459691</t>
  </si>
  <si>
    <t>v_c_1_2_1_1 103.34288164236754</t>
  </si>
  <si>
    <t>v_c_1_3_0_0 11.411047581459664</t>
  </si>
  <si>
    <t>v_c_1_3_1_1 105.75286840536984</t>
  </si>
  <si>
    <t>v_c_1_4_0_0 11.411047581459684</t>
  </si>
  <si>
    <t>v_c_1_4_1_1 108.73326920822511</t>
  </si>
  <si>
    <t>v_c_1_5_0_0 11.411047581459707</t>
  </si>
  <si>
    <t>v_c_1_5_1_1 109.62058085025113</t>
  </si>
  <si>
    <t>v_c_1_6_0_0 11.411047581459655</t>
  </si>
  <si>
    <t>v_c_1_6_1_1 108.58895247811981</t>
  </si>
  <si>
    <t>v_c_1_7_0_0 11.41104758145966</t>
  </si>
  <si>
    <t>v_c_1_7_1_1 113.5889524282356</t>
  </si>
  <si>
    <t>v_c_1_8_0_0 11.411047581459703</t>
  </si>
  <si>
    <t>v_c_1_8_1_1 118.5889524203105</t>
  </si>
  <si>
    <t>v_c_1_9_0_0 11.411047581459668</t>
  </si>
  <si>
    <t>v_c_1_9_1_1 123.04695172776343</t>
  </si>
  <si>
    <t>v_c_2_0_0_0 12.019198432433376</t>
  </si>
  <si>
    <t>v_c_2_0_1_1 1.7755185226240358</t>
  </si>
  <si>
    <t>v_c_2_1_0_0 12.019198432433383</t>
  </si>
  <si>
    <t>v_c_2_1_1_1 1.775413304850465</t>
  </si>
  <si>
    <t>v_c_2_2_0_0 12.019198432433349</t>
  </si>
  <si>
    <t>v_c_2_2_1_1 103.83555143473991</t>
  </si>
  <si>
    <t>v_c_2_3_0_0 12.01919843243335</t>
  </si>
  <si>
    <t>v_c_2_3_1_1 105.01791652423907</t>
  </si>
  <si>
    <t>v_c_2_4_0_0 12.019198432433353</t>
  </si>
  <si>
    <t>v_c_2_4_1_1 111.60992110892965</t>
  </si>
  <si>
    <t>v_c_2_5_0_0 12.01919843243335</t>
  </si>
  <si>
    <t>v_c_2_5_1_1 112.91946704117838</t>
  </si>
  <si>
    <t>v_c_2_6_0_0 12.019198432433356</t>
  </si>
  <si>
    <t>v_c_2_6_1_1 107.98080162567376</t>
  </si>
  <si>
    <t>v_c_2_7_0_0 12.019198432433349</t>
  </si>
  <si>
    <t>v_c_2_7_1_1 112.98080157708927</t>
  </si>
  <si>
    <t>v_c_2_8_0_0 12.019198432433345</t>
  </si>
  <si>
    <t>v_c_2_8_1_1 117.98080156935698</t>
  </si>
  <si>
    <t>v_c_2_9_0_0 12.019198432433361</t>
  </si>
  <si>
    <t>v_c_2_9_1_1 119.58362877873364</t>
  </si>
  <si>
    <t>pi_c_0_0_0_0 521.55304641868</t>
  </si>
  <si>
    <t>pi_c_0_0_1_1 79.74886658485396</t>
  </si>
  <si>
    <t>pi_c_0_1_0_0 521.5530464186808</t>
  </si>
  <si>
    <t>pi_c_0_1_1_1 79.66691528311217</t>
  </si>
  <si>
    <t>pi_c_0_2_0_0 521.5530464186796</t>
  </si>
  <si>
    <t>pi_c_0_2_1_1 5200.447397267736</t>
  </si>
  <si>
    <t>pi_c_0_3_0_0 521.5530464186799</t>
  </si>
  <si>
    <t>pi_c_0_3_1_1 5035.1995294378885</t>
  </si>
  <si>
    <t>pi_c_0_4_0_0 521.5530464186799</t>
  </si>
  <si>
    <t>pi_c_0_4_1_1 5284.8688813849185</t>
  </si>
  <si>
    <t>pi_c_0_5_0_0 521.5530464186792</t>
  </si>
  <si>
    <t>pi_c_0_5_1_1 5183.813427624747</t>
  </si>
  <si>
    <t>pi_c_0_6_0_0 521.5530464186794</t>
  </si>
  <si>
    <t>pi_c_0_6_1_1 4998.446956541139</t>
  </si>
  <si>
    <t>pi_c_0_7_0_0 521.5530464186796</t>
  </si>
  <si>
    <t>pi_c_0_7_1_1 5228.446954035098</t>
  </si>
  <si>
    <t>pi_c_0_8_0_0 521.5530464186796</t>
  </si>
  <si>
    <t>pi_c_0_8_1_1 5458.446953663927</t>
  </si>
  <si>
    <t>pi_c_0_9_0_0 521.5530464186797</t>
  </si>
  <si>
    <t>pi_c_0_9_1_1 5639.648933219401</t>
  </si>
  <si>
    <t>pi_c_1_0_0_0 524.9081887471461</t>
  </si>
  <si>
    <t>pi_c_1_0_1_1 79.23291823315172</t>
  </si>
  <si>
    <t>pi_c_1_1_0_0 524.9081887471467</t>
  </si>
  <si>
    <t>pi_c_1_1_1_1 79.31970964401079</t>
  </si>
  <si>
    <t>pi_c_1_2_0_0 524.9081887471457</t>
  </si>
  <si>
    <t>pi_c_1_2_1_1 4753.772555548908</t>
  </si>
  <si>
    <t>pi_c_1_3_0_0 524.9081887471445</t>
  </si>
  <si>
    <t>pi_c_1_3_1_1 4864.631946647013</t>
  </si>
  <si>
    <t>pi_c_1_4_0_0 524.9081887471456</t>
  </si>
  <si>
    <t>pi_c_1_4_1_1 5001.730383578355</t>
  </si>
  <si>
    <t>pi_c_1_5_0_0 524.9081887471467</t>
  </si>
  <si>
    <t>pi_c_1_5_1_1 5042.5467191115495</t>
  </si>
  <si>
    <t>pi_c_1_6_0_0 524.9081887471441</t>
  </si>
  <si>
    <t>pi_c_1_6_1_1 4995.09181399351</t>
  </si>
  <si>
    <t>pi_c_1_7_0_0 524.9081887471442</t>
  </si>
  <si>
    <t>pi_c_1_7_1_1 5225.091811698836</t>
  </si>
  <si>
    <t>pi_c_1_8_0_0 524.9081887471464</t>
  </si>
  <si>
    <t>pi_c_1_8_1_1 5455.091811334282</t>
  </si>
  <si>
    <t>pi_c_1_9_0_0 524.9081887471447</t>
  </si>
  <si>
    <t>pi_c_1_9_1_1 5660.159779477116</t>
  </si>
  <si>
    <t>pi_c_2_0_0_0 552.8831278919345</t>
  </si>
  <si>
    <t>pi_c_2_0_1_1 81.67385204070563</t>
  </si>
  <si>
    <t>pi_c_2_1_0_0 552.8831278919342</t>
  </si>
  <si>
    <t>pi_c_2_1_1_1 81.6690120231214</t>
  </si>
  <si>
    <t>pi_c_2_2_0_0 552.8831278919342</t>
  </si>
  <si>
    <t>pi_c_2_2_1_1 4776.435365998033</t>
  </si>
  <si>
    <t>pi_c_2_3_0_0 552.8831278919341</t>
  </si>
  <si>
    <t>pi_c_2_3_1_1 4830.824160114998</t>
  </si>
  <si>
    <t>pi_c_2_4_0_0 552.8831278919341</t>
  </si>
  <si>
    <t>pi_c_2_4_1_1 5134.056371010765</t>
  </si>
  <si>
    <t>pi_c_2_5_0_0 552.883127891934</t>
  </si>
  <si>
    <t>pi_c_2_5_1_1 5194.295483894206</t>
  </si>
  <si>
    <t>pi_c_2_6_0_0 552.8831278919344</t>
  </si>
  <si>
    <t>pi_c_2_6_1_1 4967.116874780994</t>
  </si>
  <si>
    <t>pi_c_2_7_0_0 552.883127891934</t>
  </si>
  <si>
    <t>pi_c_2_7_1_1 5197.116872546105</t>
  </si>
  <si>
    <t>pi_c_2_8_0_0 552.8831278919338</t>
  </si>
  <si>
    <t>pi_c_2_8_1_1 5427.116872190422</t>
  </si>
  <si>
    <t>pi_c_2_9_0_0 552.8831278919347</t>
  </si>
  <si>
    <t>pi_c_2_9_1_1 5500.846923821747</t>
  </si>
  <si>
    <t>39.99999999845302</t>
  </si>
  <si>
    <t>49.99999998914915</t>
  </si>
  <si>
    <t>23.071780728936652</t>
  </si>
  <si>
    <t>44.999999998535564</t>
  </si>
  <si>
    <t>49.99999999092361</t>
  </si>
  <si>
    <t>18.069999176058023</t>
  </si>
  <si>
    <t>49.99999999861346</t>
  </si>
  <si>
    <t>49.99999999231537</t>
  </si>
  <si>
    <t>24.391315498804538</t>
  </si>
  <si>
    <t>54.9999999986774</t>
  </si>
  <si>
    <t>49.9999999931813</t>
  </si>
  <si>
    <t>15.798969050254899</t>
  </si>
  <si>
    <t>59.99999999874053</t>
  </si>
  <si>
    <t>49.999999993973276</t>
  </si>
  <si>
    <t>16.226563656079083</t>
  </si>
  <si>
    <t>64.99999999879734</t>
  </si>
  <si>
    <t>49.99999999460169</t>
  </si>
  <si>
    <t>9.02970596466245</t>
  </si>
  <si>
    <t>69.99999999881749</t>
  </si>
  <si>
    <t>49.99999999447238</t>
  </si>
  <si>
    <t>7.150187553924849e-08</t>
  </si>
  <si>
    <t>74.99999999881474</t>
  </si>
  <si>
    <t>49.9999999937822</t>
  </si>
  <si>
    <t>1.7626548083113207e-08</t>
  </si>
  <si>
    <t>79.99999999881659</t>
  </si>
  <si>
    <t>49.999999992998816</t>
  </si>
  <si>
    <t>1.027974474344244e-08</t>
  </si>
  <si>
    <t>84.99999999862959</t>
  </si>
  <si>
    <t>48.939173468038</t>
  </si>
  <si>
    <t>3.98212172682725e-09</t>
  </si>
  <si>
    <t>39.99999999845316</t>
  </si>
  <si>
    <t>49.99999998915654</t>
  </si>
  <si>
    <t>23.133502337119136</t>
  </si>
  <si>
    <t>44.999999998535884</t>
  </si>
  <si>
    <t>49.9999999909347</t>
  </si>
  <si>
    <t>18.13538910407403</t>
  </si>
  <si>
    <t>49.9999999986069</t>
  </si>
  <si>
    <t>49.99999999210344</t>
  </si>
  <si>
    <t>14.753930901858928</t>
  </si>
  <si>
    <t>54.99999999867745</t>
  </si>
  <si>
    <t>49.999999993175386</t>
  </si>
  <si>
    <t>12.163915996728381</t>
  </si>
  <si>
    <t>59.99999999873991</t>
  </si>
  <si>
    <t>49.99999999395741</t>
  </si>
  <si>
    <t>10.144316797876042</t>
  </si>
  <si>
    <t>64.99999999879644</t>
  </si>
  <si>
    <t>49.999999994586624</t>
  </si>
  <si>
    <t>6.03162843892337</t>
  </si>
  <si>
    <t>69.99999999881663</t>
  </si>
  <si>
    <t>49.99999999446865</t>
  </si>
  <si>
    <t>6.674203058142536e-08</t>
  </si>
  <si>
    <t>74.99999999881373</t>
  </si>
  <si>
    <t>49.99999999376568</t>
  </si>
  <si>
    <t>1.7474658585609376e-08</t>
  </si>
  <si>
    <t>79.9999999988161</t>
  </si>
  <si>
    <t>49.99999999300219</t>
  </si>
  <si>
    <t>1.0251226490367308e-08</t>
  </si>
  <si>
    <t>84.99999999862858</t>
  </si>
  <si>
    <t>49.45799930687586</t>
  </si>
  <si>
    <t>3.9753658913393164e-09</t>
  </si>
  <si>
    <t>39.999999998453156</t>
  </si>
  <si>
    <t>49.99999998915627</t>
  </si>
  <si>
    <t>23.794716966518543</t>
  </si>
  <si>
    <t>44.99999999853588</t>
  </si>
  <si>
    <t>49.99999999093414</t>
  </si>
  <si>
    <t>18.794611745899427</t>
  </si>
  <si>
    <t>49.99999999860849</t>
  </si>
  <si>
    <t>49.99999999215909</t>
  </si>
  <si>
    <t>15.854753619615211</t>
  </si>
  <si>
    <t>54.99999999867759</t>
  </si>
  <si>
    <t>49.99999999317623</t>
  </si>
  <si>
    <t>12.037114966570531</t>
  </si>
  <si>
    <t>59.99999999874127</t>
  </si>
  <si>
    <t>49.999999993961595</t>
  </si>
  <si>
    <t>13.629119549548186</t>
  </si>
  <si>
    <t>64.99999999879705</t>
  </si>
  <si>
    <t>49.999999994549505</t>
  </si>
  <si>
    <t>9.938665480860834</t>
  </si>
  <si>
    <t>69.9999999988166</t>
  </si>
  <si>
    <t>49.99999999448744</t>
  </si>
  <si>
    <t>6.525093041551849e-08</t>
  </si>
  <si>
    <t>74.99999999881406</t>
  </si>
  <si>
    <t>49.99999999377416</t>
  </si>
  <si>
    <t>1.7293211865997875e-08</t>
  </si>
  <si>
    <t>79.99999999881585</t>
  </si>
  <si>
    <t>49.99999999301773</t>
  </si>
  <si>
    <t>1.025607992124675e-08</t>
  </si>
  <si>
    <t>84.99999999862911</t>
  </si>
  <si>
    <t>46.602827208809295</t>
  </si>
  <si>
    <t>3.985275145808606e-09</t>
  </si>
  <si>
    <t>166.92821928346154</t>
  </si>
  <si>
    <t>166.93000083448305</t>
  </si>
  <si>
    <t>160.60868451026664</t>
  </si>
  <si>
    <t>164.20103095788642</t>
  </si>
  <si>
    <t>163.77343635120715</t>
  </si>
  <si>
    <t>165.9702940419386</t>
  </si>
  <si>
    <t>174.99999993520825</t>
  </si>
  <si>
    <t>169.99999998977654</t>
  </si>
  <si>
    <t>169.9999999979049</t>
  </si>
  <si>
    <t>166.06082652935038</t>
  </si>
  <si>
    <t>83.79471695873298</t>
  </si>
  <si>
    <t>83.79461174093834</t>
  </si>
  <si>
    <t>80.8547536176973</t>
  </si>
  <si>
    <t>82.03711496930521</t>
  </si>
  <si>
    <t>83.62911956063377</t>
  </si>
  <si>
    <t>84.93866560963221</t>
  </si>
  <si>
    <t>99.99999987518089</t>
  </si>
  <si>
    <t>89.99999997972253</t>
  </si>
  <si>
    <t>89.99999999583545</t>
  </si>
  <si>
    <t>81.60282721987068</t>
  </si>
  <si>
    <t>4.605370822394161e-09</t>
  </si>
  <si>
    <t>5.568769356666196e-09</t>
  </si>
  <si>
    <t>7.314513069400311e-09</t>
  </si>
  <si>
    <t>1.088088478268881e-08</t>
  </si>
  <si>
    <t>1.838258840245209e-08</t>
  </si>
  <si>
    <t>1.3542481946027425e-07</t>
  </si>
  <si>
    <t>24.999999816625913</t>
  </si>
  <si>
    <t>9.99999996984107</t>
  </si>
  <si>
    <t>9.999999993745812</t>
  </si>
  <si>
    <t>8.44709003494194e-09</t>
  </si>
  <si>
    <t>99.99999999907075</t>
  </si>
  <si>
    <t>99.99999999808696</t>
  </si>
  <si>
    <t>1.4965504095618143e-06</t>
  </si>
  <si>
    <t>1.7533772672347592e-09</t>
  </si>
  <si>
    <t>8.885439651154931e-10</t>
  </si>
  <si>
    <t>5.956526514863345e-10</t>
  </si>
  <si>
    <t>4.4791854684679887e-10</t>
  </si>
  <si>
    <t>3.587169974740841e-10</t>
  </si>
  <si>
    <t>2.9934492718320037e-10</t>
  </si>
  <si>
    <t>2.566796265290428e-10</t>
  </si>
  <si>
    <t>99.99999999907031</t>
  </si>
  <si>
    <t>99.99999999808465</t>
  </si>
  <si>
    <t>1.6687420433462823e-06</t>
  </si>
  <si>
    <t>1.751736992700985e-09</t>
  </si>
  <si>
    <t>8.885651116115057e-10</t>
  </si>
  <si>
    <t>5.956205964681462e-10</t>
  </si>
  <si>
    <t>4.478592010026619e-10</t>
  </si>
  <si>
    <t>3.5879547402055596e-10</t>
  </si>
  <si>
    <t>2.9932102251270106e-10</t>
  </si>
  <si>
    <t>2.5672379174451403e-10</t>
  </si>
  <si>
    <t>99.99999999907054</t>
  </si>
  <si>
    <t>99.99999999808561</t>
  </si>
  <si>
    <t>3.743209499371472e-06</t>
  </si>
  <si>
    <t>1.751966850580914e-09</t>
  </si>
  <si>
    <t>8.880674881586194e-10</t>
  </si>
  <si>
    <t>5.955576244177815e-10</t>
  </si>
  <si>
    <t>4.4788083154745773e-10</t>
  </si>
  <si>
    <t>3.5885285171720083e-10</t>
  </si>
  <si>
    <t>2.9932283999791343e-10</t>
  </si>
  <si>
    <t>2.5673404173218983e-10</t>
  </si>
  <si>
    <t>11.33810970475389</t>
  </si>
  <si>
    <t>1.7336710127142165</t>
  </si>
  <si>
    <t>1.7318894626763524</t>
  </si>
  <si>
    <t>113.05320428842903</t>
  </si>
  <si>
    <t>109.46085933560626</t>
  </si>
  <si>
    <t>114.88845394315041</t>
  </si>
  <si>
    <t>112.6915962527119</t>
  </si>
  <si>
    <t>108.66189035958995</t>
  </si>
  <si>
    <t>113.66189030511084</t>
  </si>
  <si>
    <t>118.66189029704188</t>
  </si>
  <si>
    <t>122.60106376563914</t>
  </si>
  <si>
    <t>11.411047581459709</t>
  </si>
  <si>
    <t>1.7224547441989506</t>
  </si>
  <si>
    <t>1.7243415140002347</t>
  </si>
  <si>
    <t>103.34288164236754</t>
  </si>
  <si>
    <t>105.75286840536984</t>
  </si>
  <si>
    <t>108.73326920822511</t>
  </si>
  <si>
    <t>109.62058085025113</t>
  </si>
  <si>
    <t>108.58895247811981</t>
  </si>
  <si>
    <t>113.5889524282356</t>
  </si>
  <si>
    <t>118.5889524203105</t>
  </si>
  <si>
    <t>123.04695172776343</t>
  </si>
  <si>
    <t>12.019198432433376</t>
  </si>
  <si>
    <t>1.7755185226240358</t>
  </si>
  <si>
    <t>1.775413304850465</t>
  </si>
  <si>
    <t>103.83555143473991</t>
  </si>
  <si>
    <t>105.01791652423907</t>
  </si>
  <si>
    <t>111.60992110892965</t>
  </si>
  <si>
    <t>112.91946704117838</t>
  </si>
  <si>
    <t>107.98080162567376</t>
  </si>
  <si>
    <t>112.98080157708927</t>
  </si>
  <si>
    <t>117.98080156935698</t>
  </si>
  <si>
    <t>119.58362877873364</t>
  </si>
  <si>
    <t>11.338109704753904</t>
  </si>
  <si>
    <t>11.338109704753911</t>
  </si>
  <si>
    <t>11.3381097047539</t>
  </si>
  <si>
    <t>11.338109704753908</t>
  </si>
  <si>
    <t>11.338109704753903</t>
  </si>
  <si>
    <t>11.338109704753906</t>
  </si>
  <si>
    <t>11.411047581459696</t>
  </si>
  <si>
    <t>11.411047581459691</t>
  </si>
  <si>
    <t>11.411047581459664</t>
  </si>
  <si>
    <t>11.411047581459684</t>
  </si>
  <si>
    <t>11.411047581459707</t>
  </si>
  <si>
    <t>11.411047581459655</t>
  </si>
  <si>
    <t>11.41104758145966</t>
  </si>
  <si>
    <t>11.411047581459703</t>
  </si>
  <si>
    <t>11.411047581459668</t>
  </si>
  <si>
    <t>12.019198432433383</t>
  </si>
  <si>
    <t>12.019198432433349</t>
  </si>
  <si>
    <t>12.01919843243335</t>
  </si>
  <si>
    <t>12.019198432433353</t>
  </si>
  <si>
    <t>12.019198432433356</t>
  </si>
  <si>
    <t>12.019198432433345</t>
  </si>
  <si>
    <t>12.019198432433361</t>
  </si>
  <si>
    <t>521.55304641868</t>
  </si>
  <si>
    <t>79.74886658485396</t>
  </si>
  <si>
    <t>521.5530464186808</t>
  </si>
  <si>
    <t>79.66691528311217</t>
  </si>
  <si>
    <t>521.5530464186796</t>
  </si>
  <si>
    <t>5200.447397267736</t>
  </si>
  <si>
    <t>521.5530464186799</t>
  </si>
  <si>
    <t>5035.1995294378885</t>
  </si>
  <si>
    <t>5284.8688813849185</t>
  </si>
  <si>
    <t>521.5530464186792</t>
  </si>
  <si>
    <t>5183.813427624747</t>
  </si>
  <si>
    <t>521.5530464186794</t>
  </si>
  <si>
    <t>4998.446956541139</t>
  </si>
  <si>
    <t>5228.446954035098</t>
  </si>
  <si>
    <t>5458.446953663927</t>
  </si>
  <si>
    <t>521.5530464186797</t>
  </si>
  <si>
    <t>5639.648933219401</t>
  </si>
  <si>
    <t>524.9081887471461</t>
  </si>
  <si>
    <t>79.23291823315172</t>
  </si>
  <si>
    <t>524.9081887471467</t>
  </si>
  <si>
    <t>79.31970964401079</t>
  </si>
  <si>
    <t>524.9081887471457</t>
  </si>
  <si>
    <t>4753.772555548908</t>
  </si>
  <si>
    <t>524.9081887471445</t>
  </si>
  <si>
    <t>4864.631946647013</t>
  </si>
  <si>
    <t>524.9081887471456</t>
  </si>
  <si>
    <t>5001.730383578355</t>
  </si>
  <si>
    <t>5042.5467191115495</t>
  </si>
  <si>
    <t>524.9081887471441</t>
  </si>
  <si>
    <t>4995.09181399351</t>
  </si>
  <si>
    <t>524.9081887471442</t>
  </si>
  <si>
    <t>5225.091811698836</t>
  </si>
  <si>
    <t>524.9081887471464</t>
  </si>
  <si>
    <t>5455.091811334282</t>
  </si>
  <si>
    <t>524.9081887471447</t>
  </si>
  <si>
    <t>5660.159779477116</t>
  </si>
  <si>
    <t>552.8831278919345</t>
  </si>
  <si>
    <t>81.67385204070563</t>
  </si>
  <si>
    <t>552.8831278919342</t>
  </si>
  <si>
    <t>81.6690120231214</t>
  </si>
  <si>
    <t>4776.435365998033</t>
  </si>
  <si>
    <t>552.8831278919341</t>
  </si>
  <si>
    <t>4830.824160114998</t>
  </si>
  <si>
    <t>5134.056371010765</t>
  </si>
  <si>
    <t>552.883127891934</t>
  </si>
  <si>
    <t>5194.295483894206</t>
  </si>
  <si>
    <t>552.8831278919344</t>
  </si>
  <si>
    <t>4967.116874780994</t>
  </si>
  <si>
    <t>5197.116872546105</t>
  </si>
  <si>
    <t>552.8831278919338</t>
  </si>
  <si>
    <t>5427.116872190422</t>
  </si>
  <si>
    <t>552.8831278919347</t>
  </si>
  <si>
    <t>5500.846923821747</t>
  </si>
  <si>
    <t>params_stochastic_MC_bm_WO</t>
  </si>
  <si>
    <t>Input sheet</t>
  </si>
  <si>
    <t>Raw_hydro_bm</t>
  </si>
  <si>
    <t>Raw_WO_bm</t>
  </si>
  <si>
    <t>70.0</t>
  </si>
  <si>
    <t>55.0</t>
  </si>
  <si>
    <t>25.0</t>
  </si>
  <si>
    <t>65.0</t>
  </si>
  <si>
    <t>75.0</t>
  </si>
  <si>
    <t>80.0</t>
  </si>
  <si>
    <t>85.0</t>
  </si>
  <si>
    <t>160.0</t>
  </si>
  <si>
    <t>180.0</t>
  </si>
  <si>
    <t>Allow overflow</t>
  </si>
  <si>
    <t>DP1</t>
  </si>
  <si>
    <t>DP2</t>
  </si>
  <si>
    <t>DP3</t>
  </si>
  <si>
    <t>P_low</t>
  </si>
  <si>
    <t>P_mid</t>
  </si>
  <si>
    <t>P_high</t>
  </si>
  <si>
    <t>Volume</t>
  </si>
  <si>
    <t>P_levels</t>
  </si>
  <si>
    <t>165.0</t>
  </si>
  <si>
    <t>175.0</t>
  </si>
  <si>
    <t>90.0</t>
  </si>
  <si>
    <t>UB BM</t>
  </si>
  <si>
    <t>price levels</t>
  </si>
  <si>
    <t>3.14</t>
  </si>
  <si>
    <t>Bid volume bounds</t>
  </si>
  <si>
    <t>Volume level bounds</t>
  </si>
  <si>
    <t>Price level bounds</t>
  </si>
  <si>
    <t>Inflow bounds</t>
  </si>
  <si>
    <t>Imbalance multiplier</t>
  </si>
  <si>
    <t>Production cost bounds</t>
  </si>
  <si>
    <t>Production capacity bounds per asset</t>
  </si>
  <si>
    <t>Storage bounds</t>
  </si>
  <si>
    <t>Trading stages</t>
  </si>
  <si>
    <t>Transaction cost</t>
  </si>
  <si>
    <t>42.0</t>
  </si>
  <si>
    <t>38.0</t>
  </si>
  <si>
    <t>production_quantity_X_0_0_0 19.999999999968765</t>
  </si>
  <si>
    <t>production_quantity_X_0_0_1 1.2529767207707258e-11</t>
  </si>
  <si>
    <t>production_quantity_X_0_0_2 0.0</t>
  </si>
  <si>
    <t>production_quantity_X_0_1_0 19.999999999985057</t>
  </si>
  <si>
    <t>production_quantity_X_0_1_1 2.2273556482007787e-11</t>
  </si>
  <si>
    <t>production_quantity_X_0_1_2 0.0</t>
  </si>
  <si>
    <t>production_quantity_X_0_2_0 19.999999999990187</t>
  </si>
  <si>
    <t>production_quantity_X_0_2_1 1.0082007416332386e-10</t>
  </si>
  <si>
    <t>production_quantity_X_0_2_2 0.0</t>
  </si>
  <si>
    <t>production_quantity_X_0_3_0 19.999999999985057</t>
  </si>
  <si>
    <t>production_quantity_X_0_3_1 2.227353152712014e-11</t>
  </si>
  <si>
    <t>production_quantity_X_0_3_2 0.0</t>
  </si>
  <si>
    <t>production_quantity_X_0_4_0 19.999999999988763</t>
  </si>
  <si>
    <t>production_quantity_X_0_4_1 4.377491732599902e-11</t>
  </si>
  <si>
    <t>production_quantity_X_0_4_2 0.0</t>
  </si>
  <si>
    <t>production_quantity_X_0_5_0 19.999999999991037</t>
  </si>
  <si>
    <t>production_quantity_X_0_5_1 39.99999999999902</t>
  </si>
  <si>
    <t>production_quantity_X_0_5_2 0.0</t>
  </si>
  <si>
    <t>production_quantity_X_0_6_0 19.999999999991054</t>
  </si>
  <si>
    <t>production_quantity_X_0_6_1 39.99999999998393</t>
  </si>
  <si>
    <t>production_quantity_X_0_6_2 0.0</t>
  </si>
  <si>
    <t>production_quantity_X_0_7_0 19.999999999990187</t>
  </si>
  <si>
    <t>production_quantity_X_0_7_1 1.0081940184738618e-10</t>
  </si>
  <si>
    <t>production_quantity_X_0_7_2 0.0</t>
  </si>
  <si>
    <t>production_quantity_X_0_8_0 19.999999999991054</t>
  </si>
  <si>
    <t>production_quantity_X_0_8_1 39.99999999998393</t>
  </si>
  <si>
    <t>production_quantity_X_0_8_2 0.0</t>
  </si>
  <si>
    <t>production_quantity_X_0_9_0 19.999999999991054</t>
  </si>
  <si>
    <t>production_quantity_X_0_9_1 39.99999999999814</t>
  </si>
  <si>
    <t>production_quantity_X_0_9_2 0.0</t>
  </si>
  <si>
    <t>production_quantity_X_1_0_0 19.99999999997513</t>
  </si>
  <si>
    <t>production_quantity_X_1_0_1 1.395788987533161e-11</t>
  </si>
  <si>
    <t>production_quantity_X_1_0_2 0.0</t>
  </si>
  <si>
    <t>production_quantity_X_1_1_0 19.999999999986983</t>
  </si>
  <si>
    <t>production_quantity_X_1_1_1 2.8565751021961304e-11</t>
  </si>
  <si>
    <t>production_quantity_X_1_1_2 0.0</t>
  </si>
  <si>
    <t>production_quantity_X_1_2_0 19.999999999990983</t>
  </si>
  <si>
    <t>production_quantity_X_1_2_1 1.200114335980781e-09</t>
  </si>
  <si>
    <t>production_quantity_X_1_2_2 0.0</t>
  </si>
  <si>
    <t>production_quantity_X_1_3_0 19.999999999986983</t>
  </si>
  <si>
    <t>production_quantity_X_1_3_1 2.8565739498054895e-11</t>
  </si>
  <si>
    <t>production_quantity_X_1_3_2 0.0</t>
  </si>
  <si>
    <t>production_quantity_X_1_4_0 19.99999999998997</t>
  </si>
  <si>
    <t>production_quantity_X_1_4_1 8.225680309704641e-11</t>
  </si>
  <si>
    <t>production_quantity_X_1_4_2 0.0</t>
  </si>
  <si>
    <t>production_quantity_X_1_5_0 19.999999999991058</t>
  </si>
  <si>
    <t>production_quantity_X_1_5_1 39.999999999975365</t>
  </si>
  <si>
    <t>production_quantity_X_1_5_2 0.0</t>
  </si>
  <si>
    <t>production_quantity_X_1_6_0 19.999999999991054</t>
  </si>
  <si>
    <t>production_quantity_X_1_6_1 39.99999999998998</t>
  </si>
  <si>
    <t>production_quantity_X_1_6_2 0.0</t>
  </si>
  <si>
    <t>production_quantity_X_1_7_0 19.999999999990983</t>
  </si>
  <si>
    <t>production_quantity_X_1_7_1 1.2001115576195403e-09</t>
  </si>
  <si>
    <t>production_quantity_X_1_7_2 0.0</t>
  </si>
  <si>
    <t>production_quantity_X_1_8_0 19.999999999991054</t>
  </si>
  <si>
    <t>production_quantity_X_1_8_1 39.99999999998998</t>
  </si>
  <si>
    <t>production_quantity_X_1_8_2 0.0</t>
  </si>
  <si>
    <t>production_quantity_X_1_9_0 19.999999999991054</t>
  </si>
  <si>
    <t>production_quantity_X_1_9_1 39.99999999999977</t>
  </si>
  <si>
    <t>production_quantity_X_1_9_2 0.0</t>
  </si>
  <si>
    <t>production_quantity_X_2_0_0 19.999999999960405</t>
  </si>
  <si>
    <t>production_quantity_X_2_0_1 1.1559552308556628e-11</t>
  </si>
  <si>
    <t>production_quantity_X_2_0_2 0.0</t>
  </si>
  <si>
    <t>production_quantity_X_2_1_0 19.99999999998266</t>
  </si>
  <si>
    <t>production_quantity_X_2_1_1 1.8468568329521862e-11</t>
  </si>
  <si>
    <t>production_quantity_X_2_1_2 0.0</t>
  </si>
  <si>
    <t>production_quantity_X_2_2_0 19.999999999989072</t>
  </si>
  <si>
    <t>production_quantity_X_2_2_1 4.924467318895833e-11</t>
  </si>
  <si>
    <t>production_quantity_X_2_2_2 0.0</t>
  </si>
  <si>
    <t>production_quantity_X_2_3_0 19.99999999998266</t>
  </si>
  <si>
    <t>production_quantity_X_2_3_1 1.8468567896489503e-11</t>
  </si>
  <si>
    <t>production_quantity_X_2_3_2 0.0</t>
  </si>
  <si>
    <t>production_quantity_X_2_4_0 19.999999999987313</t>
  </si>
  <si>
    <t>production_quantity_X_2_4_1 3.029559821746138e-11</t>
  </si>
  <si>
    <t>production_quantity_X_2_4_2 0.0</t>
  </si>
  <si>
    <t>production_quantity_X_2_5_0 19.999999999983654</t>
  </si>
  <si>
    <t>production_quantity_X_2_5_1 39.9999997938628</t>
  </si>
  <si>
    <t>production_quantity_X_2_5_2 0.0</t>
  </si>
  <si>
    <t>production_quantity_X_2_6_0 19.999999999991058</t>
  </si>
  <si>
    <t>production_quantity_X_2_6_1 39.99999999997139</t>
  </si>
  <si>
    <t>production_quantity_X_2_6_2 0.0</t>
  </si>
  <si>
    <t>production_quantity_X_2_7_0 19.999999999989072</t>
  </si>
  <si>
    <t>production_quantity_X_2_7_1 4.924475141451565e-11</t>
  </si>
  <si>
    <t>production_quantity_X_2_7_2 0.0</t>
  </si>
  <si>
    <t>production_quantity_X_2_8_0 19.999999999991058</t>
  </si>
  <si>
    <t>production_quantity_X_2_8_1 39.99999999997139</t>
  </si>
  <si>
    <t>production_quantity_X_2_8_2 0.0</t>
  </si>
  <si>
    <t>production_quantity_X_2_9_0 19.999999999991054</t>
  </si>
  <si>
    <t>production_quantity_X_2_9_1 39.99999999999596</t>
  </si>
  <si>
    <t>production_quantity_X_2_9_2 0.0</t>
  </si>
  <si>
    <t>storage_volume_X_X_0_0 220.0000000000187</t>
  </si>
  <si>
    <t>storage_volume_X_X_0_1 219.99999999999267</t>
  </si>
  <si>
    <t>storage_volume_X_X_0_2 219.999999999909</t>
  </si>
  <si>
    <t>storage_volume_X_X_0_3 219.99999999999267</t>
  </si>
  <si>
    <t>storage_volume_X_X_0_4 219.99999999996746</t>
  </si>
  <si>
    <t>storage_volume_X_X_0_5 180.00000000000992</t>
  </si>
  <si>
    <t>storage_volume_X_X_0_6 180.00000000002504</t>
  </si>
  <si>
    <t>storage_volume_X_X_0_7 219.999999999909</t>
  </si>
  <si>
    <t>storage_volume_X_X_0_8 180.00000000002504</t>
  </si>
  <si>
    <t>storage_volume_X_X_0_9 180.00000000001083</t>
  </si>
  <si>
    <t>storage_volume_X_X_1_0 240.00000000002962</t>
  </si>
  <si>
    <t>storage_volume_X_X_1_1 239.9999999999771</t>
  </si>
  <si>
    <t>storage_volume_X_X_1_2 239.9999999987179</t>
  </si>
  <si>
    <t>storage_volume_X_X_1_3 239.9999999999771</t>
  </si>
  <si>
    <t>storage_volume_X_X_1_4 239.9999999998952</t>
  </si>
  <si>
    <t>storage_volume_X_X_1_5 160.00000000004354</t>
  </si>
  <si>
    <t>storage_volume_X_X_1_6 160.000000000044</t>
  </si>
  <si>
    <t>storage_volume_X_X_1_7 239.9999999987179</t>
  </si>
  <si>
    <t>storage_volume_X_X_1_8 160.000000000044</t>
  </si>
  <si>
    <t>storage_volume_X_X_1_9 160.00000000002</t>
  </si>
  <si>
    <t>storage_volume_X_X_2_0 260.0000000000577</t>
  </si>
  <si>
    <t>storage_volume_X_X_2_1 259.99999999997596</t>
  </si>
  <si>
    <t>storage_volume_X_X_2_2 259.9999999986796</t>
  </si>
  <si>
    <t>storage_volume_X_X_2_3 259.99999999997596</t>
  </si>
  <si>
    <t>storage_volume_X_X_2_4 259.99999999987756</t>
  </si>
  <si>
    <t>storage_volume_X_X_2_5 140.0000002061971</t>
  </si>
  <si>
    <t>storage_volume_X_X_2_6 140.00000000008154</t>
  </si>
  <si>
    <t>storage_volume_X_X_2_7 259.9999999986796</t>
  </si>
  <si>
    <t>storage_volume_X_X_2_8 140.00000000008154</t>
  </si>
  <si>
    <t>storage_volume_X_X_2_9 140.000000000033</t>
  </si>
  <si>
    <t>b_v_X_0_0_0 19.99999999946202</t>
  </si>
  <si>
    <t>b_v_X_0_0_1 5.192875823276488e-10</t>
  </si>
  <si>
    <t>b_v_X_0_1_0 19.99999999946202</t>
  </si>
  <si>
    <t>b_v_X_0_1_1 5.453201234313404e-10</t>
  </si>
  <si>
    <t>b_v_X_0_2_0 19.99999999946202</t>
  </si>
  <si>
    <t>b_v_X_0_2_1 6.289908761587727e-10</t>
  </si>
  <si>
    <t>b_v_X_0_3_0 19.99999999946202</t>
  </si>
  <si>
    <t>b_v_X_0_3_1 5.453275389318373e-10</t>
  </si>
  <si>
    <t>b_v_X_0_4_0 19.99999999946202</t>
  </si>
  <si>
    <t>b_v_X_0_4_1 5.705313819307343e-10</t>
  </si>
  <si>
    <t>b_v_X_0_5_0 19.99999999946202</t>
  </si>
  <si>
    <t>b_v_X_0_5_1 40.00000000052805</t>
  </si>
  <si>
    <t>b_v_X_0_6_0 19.99999999946202</t>
  </si>
  <si>
    <t>b_v_X_0_6_1 40.00000000051299</t>
  </si>
  <si>
    <t>b_v_X_0_7_0 19.99999999946202</t>
  </si>
  <si>
    <t>b_v_X_0_7_1 6.290031788305816e-10</t>
  </si>
  <si>
    <t>b_v_X_0_8_0 19.99999999946202</t>
  </si>
  <si>
    <t>b_v_X_0_8_1 40.00000000051298</t>
  </si>
  <si>
    <t>b_v_X_0_9_0 19.99999999946202</t>
  </si>
  <si>
    <t>b_v_X_0_9_1 40.000000000527166</t>
  </si>
  <si>
    <t>b_v_X_1_0_0 19.999999999613625</t>
  </si>
  <si>
    <t>b_v_X_1_0_1 3.7544981683406795e-10</t>
  </si>
  <si>
    <t>b_v_X_1_1_0 19.999999999613625</t>
  </si>
  <si>
    <t>b_v_X_1_1_1 4.0191161957508775e-10</t>
  </si>
  <si>
    <t>b_v_X_1_2_0 19.999999999613625</t>
  </si>
  <si>
    <t>b_v_X_1_2_1 1.5774563814164757e-09</t>
  </si>
  <si>
    <t>b_v_X_1_3_0 19.999999999613625</t>
  </si>
  <si>
    <t>b_v_X_1_3_1 4.01912839248057e-10</t>
  </si>
  <si>
    <t>b_v_X_1_4_0 19.999999999613625</t>
  </si>
  <si>
    <t>b_v_X_1_4_1 4.5858843235807355e-10</t>
  </si>
  <si>
    <t>b_v_X_1_5_0 19.999999999613625</t>
  </si>
  <si>
    <t>b_v_X_1_5_1 40.00000000035277</t>
  </si>
  <si>
    <t>b_v_X_1_6_0 19.999999999613625</t>
  </si>
  <si>
    <t>b_v_X_1_6_1 40.000000000367386</t>
  </si>
  <si>
    <t>b_v_X_1_7_0 19.999999999613625</t>
  </si>
  <si>
    <t>b_v_X_1_7_1 1.5774580288248309e-09</t>
  </si>
  <si>
    <t>b_v_X_1_8_0 19.999999999613625</t>
  </si>
  <si>
    <t>b_v_X_1_8_1 40.000000000367386</t>
  </si>
  <si>
    <t>b_v_X_1_9_0 19.999999999613625</t>
  </si>
  <si>
    <t>b_v_X_1_9_1 40.000000000377206</t>
  </si>
  <si>
    <t>b_v_X_2_0_0 19.99999999940316</t>
  </si>
  <si>
    <t>b_v_X_2_0_1 5.688156572724743e-10</t>
  </si>
  <si>
    <t>b_v_X_2_1_0 19.99999999940316</t>
  </si>
  <si>
    <t>b_v_X_2_1_1 5.979713544450566e-10</t>
  </si>
  <si>
    <t>b_v_X_2_2_0 19.99999999940316</t>
  </si>
  <si>
    <t>b_v_X_2_2_1 6.351614450685987e-10</t>
  </si>
  <si>
    <t>b_v_X_2_3_0 19.99999999940316</t>
  </si>
  <si>
    <t>b_v_X_2_3_1 5.979715958252003e-10</t>
  </si>
  <si>
    <t>b_v_X_2_4_0 19.99999999940316</t>
  </si>
  <si>
    <t>b_v_X_2_4_1 6.144510241237659e-10</t>
  </si>
  <si>
    <t>b_v_X_2_5_0 19.99999999940316</t>
  </si>
  <si>
    <t>b_v_X_2_5_1 39.9999997944433</t>
  </si>
  <si>
    <t>b_v_X_2_6_0 19.99999999940316</t>
  </si>
  <si>
    <t>b_v_X_2_6_1 40.0000000005593</t>
  </si>
  <si>
    <t>b_v_X_2_7_0 19.99999999940316</t>
  </si>
  <si>
    <t>b_v_X_2_7_1 6.351554745789931e-10</t>
  </si>
  <si>
    <t>b_v_X_2_8_0 19.99999999940316</t>
  </si>
  <si>
    <t>b_v_X_2_8_1 40.00000000055929</t>
  </si>
  <si>
    <t>b_v_X_2_9_0 19.99999999940316</t>
  </si>
  <si>
    <t>b_v_X_2_9_1 40.00000000058384</t>
  </si>
  <si>
    <t>p_c_0_0_0_0 31.6</t>
  </si>
  <si>
    <t>p_c_0_0_0_1 31.6</t>
  </si>
  <si>
    <t>p_c_0_0_1_0 24.964</t>
  </si>
  <si>
    <t>p_c_0_0_1_1 24.964</t>
  </si>
  <si>
    <t>p_c_0_1_0_0 31.6</t>
  </si>
  <si>
    <t>p_c_0_1_0_1 31.6</t>
  </si>
  <si>
    <t>p_c_0_1_1_0 31.284</t>
  </si>
  <si>
    <t>p_c_0_1_1_1 31.284</t>
  </si>
  <si>
    <t>p_c_0_2_0_0 31.6</t>
  </si>
  <si>
    <t>p_c_0_2_0_1 31.6</t>
  </si>
  <si>
    <t>p_c_0_2_1_0 37.604</t>
  </si>
  <si>
    <t>p_c_0_2_1_1 37.604</t>
  </si>
  <si>
    <t>p_c_0_3_0_0 39.6</t>
  </si>
  <si>
    <t>p_c_0_3_0_1 39.6</t>
  </si>
  <si>
    <t>p_c_0_3_1_0 31.284</t>
  </si>
  <si>
    <t>p_c_0_3_1_1 31.284</t>
  </si>
  <si>
    <t>p_c_0_4_0_0 39.6</t>
  </si>
  <si>
    <t>p_c_0_4_0_1 39.6</t>
  </si>
  <si>
    <t>p_c_0_4_1_0 35.244</t>
  </si>
  <si>
    <t>p_c_0_4_1_1 35.244</t>
  </si>
  <si>
    <t>p_c_0_5_0_0 39.6</t>
  </si>
  <si>
    <t>p_c_0_5_0_1 39.6</t>
  </si>
  <si>
    <t>p_c_0_5_1_0 43.164</t>
  </si>
  <si>
    <t>p_c_0_5_1_1 43.164</t>
  </si>
  <si>
    <t>p_c_0_6_0_0 39.6</t>
  </si>
  <si>
    <t>p_c_0_6_0_1 39.6</t>
  </si>
  <si>
    <t>p_c_0_6_1_0 47.124</t>
  </si>
  <si>
    <t>p_c_0_6_1_1 47.124</t>
  </si>
  <si>
    <t>p_c_0_7_0_0 47.6</t>
  </si>
  <si>
    <t>p_c_0_7_0_1 47.6</t>
  </si>
  <si>
    <t>p_c_0_7_1_0 37.604</t>
  </si>
  <si>
    <t>p_c_0_7_1_1 37.604</t>
  </si>
  <si>
    <t>p_c_0_8_0_0 47.6</t>
  </si>
  <si>
    <t>p_c_0_8_0_1 47.6</t>
  </si>
  <si>
    <t>p_c_0_8_1_0 47.124</t>
  </si>
  <si>
    <t>p_c_0_8_1_1 47.124</t>
  </si>
  <si>
    <t>p_c_0_9_0_0 47.6</t>
  </si>
  <si>
    <t>p_c_0_9_0_1 47.6</t>
  </si>
  <si>
    <t>p_c_0_9_1_0 56.644</t>
  </si>
  <si>
    <t>p_c_0_9_1_1 56.644</t>
  </si>
  <si>
    <t>p_c_1_0_0_0 33.18</t>
  </si>
  <si>
    <t>p_c_1_0_0_1 33.18</t>
  </si>
  <si>
    <t>p_c_1_0_1_0 26.2122</t>
  </si>
  <si>
    <t>p_c_1_0_1_1 26.2122</t>
  </si>
  <si>
    <t>p_c_1_1_0_0 33.18</t>
  </si>
  <si>
    <t>p_c_1_1_0_1 33.18</t>
  </si>
  <si>
    <t>p_c_1_1_1_0 32.8482</t>
  </si>
  <si>
    <t>p_c_1_1_1_1 32.8482</t>
  </si>
  <si>
    <t>p_c_1_2_0_0 33.18</t>
  </si>
  <si>
    <t>p_c_1_2_0_1 33.18</t>
  </si>
  <si>
    <t>p_c_1_2_1_0 39.4842</t>
  </si>
  <si>
    <t>p_c_1_2_1_1 39.4842</t>
  </si>
  <si>
    <t>p_c_1_3_0_0 41.58</t>
  </si>
  <si>
    <t>p_c_1_3_0_1 41.58</t>
  </si>
  <si>
    <t>p_c_1_3_1_0 32.8482</t>
  </si>
  <si>
    <t>p_c_1_3_1_1 32.8482</t>
  </si>
  <si>
    <t>p_c_1_4_0_0 41.58</t>
  </si>
  <si>
    <t>p_c_1_4_0_1 41.58</t>
  </si>
  <si>
    <t>p_c_1_4_1_0 37.0062</t>
  </si>
  <si>
    <t>p_c_1_4_1_1 37.0062</t>
  </si>
  <si>
    <t>p_c_1_5_0_0 41.58</t>
  </si>
  <si>
    <t>p_c_1_5_0_1 41.58</t>
  </si>
  <si>
    <t>p_c_1_5_1_0 45.3222</t>
  </si>
  <si>
    <t>p_c_1_5_1_1 45.3222</t>
  </si>
  <si>
    <t>p_c_1_6_0_0 41.58</t>
  </si>
  <si>
    <t>p_c_1_6_0_1 41.58</t>
  </si>
  <si>
    <t>p_c_1_6_1_0 49.4802</t>
  </si>
  <si>
    <t>p_c_1_6_1_1 49.4802</t>
  </si>
  <si>
    <t>p_c_1_7_0_0 49.98</t>
  </si>
  <si>
    <t>p_c_1_7_0_1 49.98</t>
  </si>
  <si>
    <t>p_c_1_7_1_0 39.4842</t>
  </si>
  <si>
    <t>p_c_1_7_1_1 39.4842</t>
  </si>
  <si>
    <t>p_c_1_8_0_0 49.98</t>
  </si>
  <si>
    <t>p_c_1_8_0_1 49.98</t>
  </si>
  <si>
    <t>p_c_1_8_1_0 49.4802</t>
  </si>
  <si>
    <t>p_c_1_8_1_1 49.4802</t>
  </si>
  <si>
    <t>p_c_1_9_0_0 49.98</t>
  </si>
  <si>
    <t>p_c_1_9_0_1 49.98</t>
  </si>
  <si>
    <t>p_c_1_9_1_0 59.4762</t>
  </si>
  <si>
    <t>p_c_1_9_1_1 59.4762</t>
  </si>
  <si>
    <t>p_c_2_0_0_0 30.02</t>
  </si>
  <si>
    <t>p_c_2_0_0_1 30.02</t>
  </si>
  <si>
    <t>p_c_2_0_1_0 23.7158</t>
  </si>
  <si>
    <t>p_c_2_0_1_1 23.7158</t>
  </si>
  <si>
    <t>p_c_2_1_0_0 30.02</t>
  </si>
  <si>
    <t>p_c_2_1_0_1 30.02</t>
  </si>
  <si>
    <t>p_c_2_1_1_0 29.7198</t>
  </si>
  <si>
    <t>p_c_2_1_1_1 29.7198</t>
  </si>
  <si>
    <t>p_c_2_2_0_0 30.02</t>
  </si>
  <si>
    <t>p_c_2_2_0_1 30.02</t>
  </si>
  <si>
    <t>p_c_2_2_1_0 35.7238</t>
  </si>
  <si>
    <t>p_c_2_2_1_1 35.7238</t>
  </si>
  <si>
    <t>p_c_2_3_0_0 37.62</t>
  </si>
  <si>
    <t>p_c_2_3_0_1 37.62</t>
  </si>
  <si>
    <t>p_c_2_3_1_0 29.7198</t>
  </si>
  <si>
    <t>p_c_2_3_1_1 29.7198</t>
  </si>
  <si>
    <t>p_c_2_4_0_0 37.62</t>
  </si>
  <si>
    <t>p_c_2_4_0_1 37.62</t>
  </si>
  <si>
    <t>p_c_2_4_1_0 33.4818</t>
  </si>
  <si>
    <t>p_c_2_4_1_1 33.4818</t>
  </si>
  <si>
    <t>p_c_2_5_0_0 37.62</t>
  </si>
  <si>
    <t>p_c_2_5_0_1 37.62</t>
  </si>
  <si>
    <t>p_c_2_5_1_0 41.0058</t>
  </si>
  <si>
    <t>p_c_2_5_1_1 41.0058</t>
  </si>
  <si>
    <t>p_c_2_6_0_0 37.62</t>
  </si>
  <si>
    <t>p_c_2_6_0_1 37.62</t>
  </si>
  <si>
    <t>p_c_2_6_1_0 44.7678</t>
  </si>
  <si>
    <t>p_c_2_6_1_1 44.7678</t>
  </si>
  <si>
    <t>p_c_2_7_0_0 45.22</t>
  </si>
  <si>
    <t>p_c_2_7_0_1 45.22</t>
  </si>
  <si>
    <t>p_c_2_7_1_0 35.7238</t>
  </si>
  <si>
    <t>p_c_2_7_1_1 35.7238</t>
  </si>
  <si>
    <t>p_c_2_8_0_0 45.22</t>
  </si>
  <si>
    <t>p_c_2_8_0_1 45.22</t>
  </si>
  <si>
    <t>p_c_2_8_1_0 44.7678</t>
  </si>
  <si>
    <t>p_c_2_8_1_1 44.7678</t>
  </si>
  <si>
    <t>p_c_2_9_0_0 45.22</t>
  </si>
  <si>
    <t>p_c_2_9_0_1 45.22</t>
  </si>
  <si>
    <t>p_c_2_9_1_0 53.8118</t>
  </si>
  <si>
    <t>p_c_2_9_1_1 53.8118</t>
  </si>
  <si>
    <t>v_c_0_0_0_0 19.99999999946202</t>
  </si>
  <si>
    <t>v_c_0_0_1_1 5.192875823276488e-10</t>
  </si>
  <si>
    <t>v_c_0_1_0_0 19.99999999946201</t>
  </si>
  <si>
    <t>v_c_0_1_1_1 5.453201234313404e-10</t>
  </si>
  <si>
    <t>v_c_0_2_0_0 19.99999999946201</t>
  </si>
  <si>
    <t>v_c_0_2_1_1 6.289908761587727e-10</t>
  </si>
  <si>
    <t>v_c_0_3_0_0 19.99999999946201</t>
  </si>
  <si>
    <t>v_c_0_3_1_1 5.453275389318373e-10</t>
  </si>
  <si>
    <t>v_c_0_4_0_0 19.999999999462002</t>
  </si>
  <si>
    <t>v_c_0_4_1_1 5.705313819307343e-10</t>
  </si>
  <si>
    <t>v_c_0_5_0_0 19.99999999946202</t>
  </si>
  <si>
    <t>v_c_0_5_1_1 40.00000000052805</t>
  </si>
  <si>
    <t>v_c_0_6_0_0 19.999999999462013</t>
  </si>
  <si>
    <t>v_c_0_6_1_1 40.00000000051299</t>
  </si>
  <si>
    <t>v_c_0_7_0_0 19.99999999946201</t>
  </si>
  <si>
    <t>v_c_0_7_1_1 6.290031788305816e-10</t>
  </si>
  <si>
    <t>v_c_0_8_0_0 19.999999999462005</t>
  </si>
  <si>
    <t>v_c_0_8_1_1 40.00000000051298</t>
  </si>
  <si>
    <t>v_c_0_9_0_0 19.999999999462013</t>
  </si>
  <si>
    <t>v_c_0_9_1_1 40.000000000527166</t>
  </si>
  <si>
    <t>v_c_1_0_0_0 19.999999999613625</t>
  </si>
  <si>
    <t>v_c_1_0_1_1 3.7544981683406795e-10</t>
  </si>
  <si>
    <t>v_c_1_1_0_0 19.99999999961364</t>
  </si>
  <si>
    <t>v_c_1_1_1_1 4.0191161957508775e-10</t>
  </si>
  <si>
    <t>v_c_1_2_0_0 19.99999999961364</t>
  </si>
  <si>
    <t>v_c_1_2_1_1 1.5774563814164757e-09</t>
  </si>
  <si>
    <t>v_c_1_3_0_0 19.999999999613635</t>
  </si>
  <si>
    <t>v_c_1_3_1_1 4.01912839248057e-10</t>
  </si>
  <si>
    <t>v_c_1_4_0_0 19.99999999961364</t>
  </si>
  <si>
    <t>v_c_1_4_1_1 4.5858843235807355e-10</t>
  </si>
  <si>
    <t>v_c_1_5_0_0 19.99999999961364</t>
  </si>
  <si>
    <t>v_c_1_5_1_1 40.00000000035277</t>
  </si>
  <si>
    <t>v_c_1_6_0_0 19.999999999613646</t>
  </si>
  <si>
    <t>v_c_1_6_1_1 40.000000000367386</t>
  </si>
  <si>
    <t>v_c_1_7_0_0 19.99999999961363</t>
  </si>
  <si>
    <t>v_c_1_7_1_1 1.5774580288248309e-09</t>
  </si>
  <si>
    <t>v_c_1_8_0_0 19.999999999613646</t>
  </si>
  <si>
    <t>v_c_1_8_1_1 40.000000000367386</t>
  </si>
  <si>
    <t>v_c_1_9_0_0 19.99999999961364</t>
  </si>
  <si>
    <t>v_c_1_9_1_1 40.000000000377206</t>
  </si>
  <si>
    <t>v_c_2_0_0_0 19.99999999940316</t>
  </si>
  <si>
    <t>v_c_2_0_1_1 5.688156572724743e-10</t>
  </si>
  <si>
    <t>v_c_2_1_0_0 19.999999999403155</t>
  </si>
  <si>
    <t>v_c_2_1_1_1 5.979713544450566e-10</t>
  </si>
  <si>
    <t>v_c_2_2_0_0 19.999999999403155</t>
  </si>
  <si>
    <t>v_c_2_2_1_1 6.351614450685987e-10</t>
  </si>
  <si>
    <t>v_c_2_3_0_0 19.99999999940315</t>
  </si>
  <si>
    <t>v_c_2_3_1_1 5.979715958252003e-10</t>
  </si>
  <si>
    <t>v_c_2_4_0_0 19.99999999940316</t>
  </si>
  <si>
    <t>v_c_2_4_1_1 6.144510241237659e-10</t>
  </si>
  <si>
    <t>v_c_2_5_0_0 19.999999999403162</t>
  </si>
  <si>
    <t>v_c_2_5_1_1 39.9999997944433</t>
  </si>
  <si>
    <t>v_c_2_6_0_0 19.999999999403148</t>
  </si>
  <si>
    <t>v_c_2_6_1_1 40.0000000005593</t>
  </si>
  <si>
    <t>v_c_2_7_0_0 19.99999999940316</t>
  </si>
  <si>
    <t>v_c_2_7_1_1 6.351554745789931e-10</t>
  </si>
  <si>
    <t>v_c_2_8_0_0 19.999999999403155</t>
  </si>
  <si>
    <t>v_c_2_8_1_1 40.00000000055929</t>
  </si>
  <si>
    <t>v_c_2_9_0_0 19.999999999403165</t>
  </si>
  <si>
    <t>v_c_2_9_1_1 40.00000000058384</t>
  </si>
  <si>
    <t>pi_c_0_0_0_0 631.9999999829994</t>
  </si>
  <si>
    <t>pi_c_0_0_1_1 1.296349520522587e-08</t>
  </si>
  <si>
    <t>pi_c_0_1_0_0 631.9999999829995</t>
  </si>
  <si>
    <t>pi_c_0_1_1_1 1.7059794741434054e-08</t>
  </si>
  <si>
    <t>pi_c_0_2_0_0 631.9999999829996</t>
  </si>
  <si>
    <t>pi_c_0_2_1_1 2.3652572907074655e-08</t>
  </si>
  <si>
    <t>pi_c_0_3_0_0 791.9999999786954</t>
  </si>
  <si>
    <t>pi_c_0_3_1_1 1.706002672793912e-08</t>
  </si>
  <si>
    <t>pi_c_0_4_0_0 791.9999999786957</t>
  </si>
  <si>
    <t>pi_c_0_4_1_1 2.010780802476849e-08</t>
  </si>
  <si>
    <t>pi_c_0_5_0_0 791.9999999786958</t>
  </si>
  <si>
    <t>pi_c_0_5_1_1 1726.5600000227928</t>
  </si>
  <si>
    <t>pi_c_0_6_0_0 791.9999999786954</t>
  </si>
  <si>
    <t>pi_c_0_6_1_1 1884.9600000241735</t>
  </si>
  <si>
    <t>pi_c_0_7_0_0 951.9999999743918</t>
  </si>
  <si>
    <t>pi_c_0_7_1_1 2.365303553674813e-08</t>
  </si>
  <si>
    <t>pi_c_0_8_0_0 951.9999999743915</t>
  </si>
  <si>
    <t>pi_c_0_8_1_1 1884.9600000241737</t>
  </si>
  <si>
    <t>pi_c_0_9_0_0 951.9999999743916</t>
  </si>
  <si>
    <t>pi_c_0_9_1_1 2265.7600000298603</t>
  </si>
  <si>
    <t>pi_c_1_0_0_0 663.5999999871805</t>
  </si>
  <si>
    <t>pi_c_1_0_1_1 9.841365688814302e-09</t>
  </si>
  <si>
    <t>pi_c_1_1_0_0 663.5999999871804</t>
  </si>
  <si>
    <t>pi_c_1_1_1_1 1.3202073262126563e-08</t>
  </si>
  <si>
    <t>pi_c_1_2_0_0 663.5999999871805</t>
  </si>
  <si>
    <t>pi_c_1_2_1_1 6.228460325512079e-08</t>
  </si>
  <si>
    <t>pi_c_1_3_0_0 831.5999999839348</t>
  </si>
  <si>
    <t>pi_c_1_3_1_1 1.3202113326186963e-08</t>
  </si>
  <si>
    <t>pi_c_1_4_0_0 831.599999983935</t>
  </si>
  <si>
    <t>pi_c_1_4_1_1 1.697061524553011e-08</t>
  </si>
  <si>
    <t>pi_c_1_5_0_0 831.5999999839349</t>
  </si>
  <si>
    <t>pi_c_1_5_1_1 1812.8880000159886</t>
  </si>
  <si>
    <t>pi_c_1_6_0_0 831.5999999839352</t>
  </si>
  <si>
    <t>pi_c_1_6_1_1 1979.2080000181784</t>
  </si>
  <si>
    <t>pi_c_1_7_0_0 999.5999999806894</t>
  </si>
  <si>
    <t>pi_c_1_7_1_1 6.228466830174881e-08</t>
  </si>
  <si>
    <t>pi_c_1_8_0_0 999.5999999806895</t>
  </si>
  <si>
    <t>pi_c_1_8_1_1 1979.2080000181788</t>
  </si>
  <si>
    <t>pi_c_1_9_0_0 999.5999999806901</t>
  </si>
  <si>
    <t>pi_c_1_9_1_1 2379.0480000224347</t>
  </si>
  <si>
    <t>pi_c_2_0_0_0 600.3999999820826</t>
  </si>
  <si>
    <t>pi_c_2_0_1_1 1.3489918364741722e-08</t>
  </si>
  <si>
    <t>pi_c_2_1_0_0 600.3999999820827</t>
  </si>
  <si>
    <t>pi_c_2_1_1_1 1.7771589059839728e-08</t>
  </si>
  <si>
    <t>pi_c_2_2_0_0 600.3999999820827</t>
  </si>
  <si>
    <t>pi_c_2_2_1_1 2.2690380431344807e-08</t>
  </si>
  <si>
    <t>pi_c_2_3_0_0 752.3999999775465</t>
  </si>
  <si>
    <t>pi_c_2_3_1_1 1.7771596233605704e-08</t>
  </si>
  <si>
    <t>pi_c_2_4_0_0 752.3999999775467</t>
  </si>
  <si>
    <t>pi_c_2_4_1_1 2.0572926299507996e-08</t>
  </si>
  <si>
    <t>pi_c_2_5_0_0 752.3999999775468</t>
  </si>
  <si>
    <t>pi_c_2_5_1_1 1640.2319915709832</t>
  </si>
  <si>
    <t>pi_c_2_6_0_0 752.3999999775463</t>
  </si>
  <si>
    <t>pi_c_2_6_1_1 1790.7120000250384</t>
  </si>
  <si>
    <t>pi_c_2_7_0_0 904.3999999730106</t>
  </si>
  <si>
    <t>pi_c_2_7_1_1 2.2690167142763403e-08</t>
  </si>
  <si>
    <t>pi_c_2_8_0_0 904.3999999730105</t>
  </si>
  <si>
    <t>pi_c_2_8_1_1 1790.7120000250382</t>
  </si>
  <si>
    <t>pi_c_2_9_0_0 904.3999999730111</t>
  </si>
  <si>
    <t>pi_c_2_9_1_1 2152.4720000314164</t>
  </si>
  <si>
    <t>Price_level_0_0_0 31.6</t>
  </si>
  <si>
    <t>Price_level_0_0_1 31.6</t>
  </si>
  <si>
    <t>Price_level_0_0_2 31.6</t>
  </si>
  <si>
    <t>Price_level_0_1_0 24.964</t>
  </si>
  <si>
    <t>Price_level_0_1_1 31.284</t>
  </si>
  <si>
    <t>Price_level_0_1_2 37.604</t>
  </si>
  <si>
    <t>Price_level_1_0_0 33.18</t>
  </si>
  <si>
    <t>Price_level_1_0_1 33.18</t>
  </si>
  <si>
    <t>Price_level_1_0_2 33.18</t>
  </si>
  <si>
    <t>Price_level_1_1_0 26.2122</t>
  </si>
  <si>
    <t>Price_level_1_1_1 32.8482</t>
  </si>
  <si>
    <t>Price_level_1_1_2 39.4842</t>
  </si>
  <si>
    <t>Price_level_2_0_0 30.02</t>
  </si>
  <si>
    <t>Price_level_2_0_1 30.02</t>
  </si>
  <si>
    <t>Price_level_2_0_2 30.02</t>
  </si>
  <si>
    <t>Price_level_2_1_0 23.7158</t>
  </si>
  <si>
    <t>Price_level_2_1_1 29.7198</t>
  </si>
  <si>
    <t>Price_level_2_1_2 35.7238</t>
  </si>
  <si>
    <t>0</t>
  </si>
  <si>
    <t>Stages per hour</t>
  </si>
  <si>
    <t>Number of CPR levels</t>
  </si>
  <si>
    <t>CPR price inc</t>
  </si>
  <si>
    <t>CPR probability dec</t>
  </si>
  <si>
    <t>0.25</t>
  </si>
  <si>
    <t>AGC mode</t>
  </si>
  <si>
    <t>Overflow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</si>
</sst>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"/>
    <numFmt numFmtId="166" formatCode="0.000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outline/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</borders>
  <cellStyleXfs count="9">
    <xf numFmtId="0" fontId="0" fillId="0" borderId="0"/>
    <xf numFmtId="0" fontId="5" fillId="0" borderId="2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/>
    <xf numFmtId="2" fontId="0" fillId="0" borderId="0" xfId="0" applyNumberFormat="1"/>
    <xf numFmtId="0" fontId="2" fillId="0" borderId="1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2" borderId="0" xfId="2"/>
    <xf numFmtId="0" fontId="1" fillId="3" borderId="0" xfId="3"/>
    <xf numFmtId="0" fontId="0" fillId="3" borderId="0" xfId="3" applyFont="1"/>
    <xf numFmtId="165" fontId="0" fillId="0" borderId="0" xfId="0" applyNumberFormat="1"/>
    <xf numFmtId="0" fontId="0" fillId="2" borderId="0" xfId="2" applyFont="1"/>
    <xf numFmtId="0" fontId="1" fillId="2" borderId="0" xfId="2" applyAlignment="1"/>
    <xf numFmtId="166" fontId="0" fillId="0" borderId="0" xfId="0" applyNumberFormat="1"/>
    <xf numFmtId="2" fontId="4" fillId="0" borderId="0" xfId="0" applyNumberFormat="1" applyFont="1"/>
    <xf numFmtId="0" fontId="3" fillId="0" borderId="0" xfId="0" applyFont="1" applyBorder="1"/>
    <xf numFmtId="0" fontId="5" fillId="0" borderId="2" xfId="1" applyBorder="1"/>
    <xf numFmtId="165" fontId="0" fillId="0" borderId="0" xfId="0" applyNumberFormat="1" applyBorder="1"/>
    <xf numFmtId="0" fontId="4" fillId="3" borderId="0" xfId="3" applyFont="1"/>
    <xf numFmtId="0" fontId="8" fillId="0" borderId="0" xfId="0" applyFont="1"/>
    <xf numFmtId="2" fontId="1" fillId="3" borderId="0" xfId="8" applyNumberFormat="1" applyFill="1"/>
    <xf numFmtId="49" fontId="1" fillId="3" borderId="0" xfId="8" applyNumberFormat="1" applyFill="1"/>
    <xf numFmtId="49" fontId="0" fillId="3" borderId="0" xfId="8" applyNumberFormat="1" applyFont="1" applyFill="1"/>
    <xf numFmtId="2" fontId="0" fillId="3" borderId="0" xfId="8" applyNumberFormat="1" applyFont="1" applyFill="1"/>
    <xf numFmtId="2" fontId="1" fillId="4" borderId="0" xfId="8" applyNumberFormat="1" applyFill="1"/>
  </cellXfs>
  <cellStyles count="9">
    <cellStyle name="20% - Accent1" xfId="2" builtinId="30"/>
    <cellStyle name="20% - Accent5" xfId="3" builtinId="46"/>
    <cellStyle name="Comma" xfId="8" builtinId="3"/>
    <cellStyle name="Followed Hyperlink" xfId="5" builtinId="9" hidden="1"/>
    <cellStyle name="Followed Hyperlink" xfId="7" builtinId="9" hidden="1"/>
    <cellStyle name="Heading 3" xfId="1" builtinId="18"/>
    <cellStyle name="Hyperlink" xfId="4" builtinId="8" hidden="1"/>
    <cellStyle name="Hyperlink" xfId="6" builtinId="8" hidden="1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verreakersveen/Documents/NorwayCup/C:\Users\sverreakersveen\Documents\Skole\5klasse\Master\Masterprogg\id-trading\Programming\variables_b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973"/>
  <sheetViews>
    <sheetView workbookViewId="0">
      <selection activeCell="H1" sqref="H1"/>
    </sheetView>
  </sheetViews>
  <sheetFormatPr baseColWidth="10" defaultColWidth="11.1640625" defaultRowHeight="16" x14ac:dyDescent="0.2"/>
  <sheetData>
    <row r="1" spans="1:8" x14ac:dyDescent="0.3">
      <c r="A1" t="s">
        <v>113</v>
      </c>
      <c r="B1" t="s">
        <v>0</v>
      </c>
      <c r="C1" t="s">
        <v>1</v>
      </c>
      <c r="D1" t="s">
        <v>12</v>
      </c>
      <c r="E1">
        <v>0</v>
      </c>
      <c r="F1">
        <v>0</v>
      </c>
      <c r="G1">
        <v>0</v>
      </c>
      <c r="H1" t="s">
        <v>72</v>
      </c>
    </row>
    <row r="2" spans="1:8" x14ac:dyDescent="0.3">
      <c r="A2" t="s">
        <v>114</v>
      </c>
      <c r="B2" t="s">
        <v>0</v>
      </c>
      <c r="C2" t="s">
        <v>1</v>
      </c>
      <c r="D2" t="s">
        <v>12</v>
      </c>
      <c r="E2">
        <v>0</v>
      </c>
      <c r="F2">
        <v>0</v>
      </c>
      <c r="G2">
        <v>1</v>
      </c>
      <c r="H2" t="s">
        <v>72</v>
      </c>
    </row>
    <row r="3" spans="1:8" x14ac:dyDescent="0.3">
      <c r="A3" t="s">
        <v>115</v>
      </c>
      <c r="B3" t="s">
        <v>0</v>
      </c>
      <c r="C3" t="s">
        <v>1</v>
      </c>
      <c r="D3" t="s">
        <v>12</v>
      </c>
      <c r="E3">
        <v>0</v>
      </c>
      <c r="F3">
        <v>1</v>
      </c>
      <c r="G3">
        <v>0</v>
      </c>
      <c r="H3" t="s">
        <v>72</v>
      </c>
    </row>
    <row r="4" spans="1:8" x14ac:dyDescent="0.3">
      <c r="A4" t="s">
        <v>116</v>
      </c>
      <c r="B4" t="s">
        <v>0</v>
      </c>
      <c r="C4" t="s">
        <v>1</v>
      </c>
      <c r="D4" t="s">
        <v>12</v>
      </c>
      <c r="E4">
        <v>0</v>
      </c>
      <c r="F4">
        <v>1</v>
      </c>
      <c r="G4">
        <v>1</v>
      </c>
      <c r="H4" t="s">
        <v>72</v>
      </c>
    </row>
    <row r="5" spans="1:8" x14ac:dyDescent="0.3">
      <c r="A5" t="s">
        <v>117</v>
      </c>
      <c r="B5" t="s">
        <v>0</v>
      </c>
      <c r="C5" t="s">
        <v>1</v>
      </c>
      <c r="D5" t="s">
        <v>12</v>
      </c>
      <c r="E5">
        <v>0</v>
      </c>
      <c r="F5">
        <v>2</v>
      </c>
      <c r="G5">
        <v>0</v>
      </c>
      <c r="H5" t="s">
        <v>72</v>
      </c>
    </row>
    <row r="6" spans="1:8" x14ac:dyDescent="0.3">
      <c r="A6" t="s">
        <v>118</v>
      </c>
      <c r="B6" t="s">
        <v>0</v>
      </c>
      <c r="C6" t="s">
        <v>1</v>
      </c>
      <c r="D6" t="s">
        <v>12</v>
      </c>
      <c r="E6">
        <v>0</v>
      </c>
      <c r="F6">
        <v>2</v>
      </c>
      <c r="G6">
        <v>1</v>
      </c>
      <c r="H6" t="s">
        <v>72</v>
      </c>
    </row>
    <row r="7" spans="1:8" x14ac:dyDescent="0.3">
      <c r="A7" t="s">
        <v>119</v>
      </c>
      <c r="B7" t="s">
        <v>0</v>
      </c>
      <c r="C7" t="s">
        <v>1</v>
      </c>
      <c r="D7" t="s">
        <v>12</v>
      </c>
      <c r="E7">
        <v>0</v>
      </c>
      <c r="F7">
        <v>3</v>
      </c>
      <c r="G7">
        <v>0</v>
      </c>
      <c r="H7" t="s">
        <v>72</v>
      </c>
    </row>
    <row r="8" spans="1:8" x14ac:dyDescent="0.3">
      <c r="A8" t="s">
        <v>120</v>
      </c>
      <c r="B8" t="s">
        <v>0</v>
      </c>
      <c r="C8" t="s">
        <v>1</v>
      </c>
      <c r="D8" t="s">
        <v>12</v>
      </c>
      <c r="E8">
        <v>0</v>
      </c>
      <c r="F8">
        <v>3</v>
      </c>
      <c r="G8">
        <v>1</v>
      </c>
      <c r="H8" t="s">
        <v>72</v>
      </c>
    </row>
    <row r="9" spans="1:8" x14ac:dyDescent="0.3">
      <c r="A9" t="s">
        <v>121</v>
      </c>
      <c r="B9" t="s">
        <v>0</v>
      </c>
      <c r="C9" t="s">
        <v>1</v>
      </c>
      <c r="D9" t="s">
        <v>12</v>
      </c>
      <c r="E9">
        <v>0</v>
      </c>
      <c r="F9">
        <v>4</v>
      </c>
      <c r="G9">
        <v>0</v>
      </c>
      <c r="H9" t="s">
        <v>72</v>
      </c>
    </row>
    <row r="10" spans="1:8" x14ac:dyDescent="0.3">
      <c r="A10" t="s">
        <v>122</v>
      </c>
      <c r="B10" t="s">
        <v>0</v>
      </c>
      <c r="C10" t="s">
        <v>1</v>
      </c>
      <c r="D10" t="s">
        <v>12</v>
      </c>
      <c r="E10">
        <v>0</v>
      </c>
      <c r="F10">
        <v>4</v>
      </c>
      <c r="G10">
        <v>1</v>
      </c>
      <c r="H10" t="s">
        <v>72</v>
      </c>
    </row>
    <row r="11" spans="1:8" x14ac:dyDescent="0.3">
      <c r="A11" t="s">
        <v>123</v>
      </c>
      <c r="B11" t="s">
        <v>0</v>
      </c>
      <c r="C11" t="s">
        <v>1</v>
      </c>
      <c r="D11" t="s">
        <v>12</v>
      </c>
      <c r="E11">
        <v>0</v>
      </c>
      <c r="F11">
        <v>5</v>
      </c>
      <c r="G11">
        <v>0</v>
      </c>
      <c r="H11" t="s">
        <v>72</v>
      </c>
    </row>
    <row r="12" spans="1:8" x14ac:dyDescent="0.3">
      <c r="A12" t="s">
        <v>124</v>
      </c>
      <c r="B12" t="s">
        <v>0</v>
      </c>
      <c r="C12" t="s">
        <v>1</v>
      </c>
      <c r="D12" t="s">
        <v>12</v>
      </c>
      <c r="E12">
        <v>0</v>
      </c>
      <c r="F12">
        <v>5</v>
      </c>
      <c r="G12">
        <v>1</v>
      </c>
      <c r="H12" t="s">
        <v>72</v>
      </c>
    </row>
    <row r="13" spans="1:8" x14ac:dyDescent="0.3">
      <c r="A13" t="s">
        <v>125</v>
      </c>
      <c r="B13" t="s">
        <v>0</v>
      </c>
      <c r="C13" t="s">
        <v>1</v>
      </c>
      <c r="D13" t="s">
        <v>12</v>
      </c>
      <c r="E13">
        <v>0</v>
      </c>
      <c r="F13">
        <v>6</v>
      </c>
      <c r="G13">
        <v>0</v>
      </c>
      <c r="H13" t="s">
        <v>72</v>
      </c>
    </row>
    <row r="14" spans="1:8" x14ac:dyDescent="0.3">
      <c r="A14" t="s">
        <v>126</v>
      </c>
      <c r="B14" t="s">
        <v>0</v>
      </c>
      <c r="C14" t="s">
        <v>1</v>
      </c>
      <c r="D14" t="s">
        <v>12</v>
      </c>
      <c r="E14">
        <v>0</v>
      </c>
      <c r="F14">
        <v>6</v>
      </c>
      <c r="G14">
        <v>1</v>
      </c>
      <c r="H14" t="s">
        <v>72</v>
      </c>
    </row>
    <row r="15" spans="1:8" x14ac:dyDescent="0.3">
      <c r="A15" t="s">
        <v>127</v>
      </c>
      <c r="B15" t="s">
        <v>0</v>
      </c>
      <c r="C15" t="s">
        <v>1</v>
      </c>
      <c r="D15" t="s">
        <v>12</v>
      </c>
      <c r="E15">
        <v>0</v>
      </c>
      <c r="F15">
        <v>7</v>
      </c>
      <c r="G15">
        <v>0</v>
      </c>
      <c r="H15" t="s">
        <v>72</v>
      </c>
    </row>
    <row r="16" spans="1:8" x14ac:dyDescent="0.3">
      <c r="A16" t="s">
        <v>128</v>
      </c>
      <c r="B16" t="s">
        <v>0</v>
      </c>
      <c r="C16" t="s">
        <v>1</v>
      </c>
      <c r="D16" t="s">
        <v>12</v>
      </c>
      <c r="E16">
        <v>0</v>
      </c>
      <c r="F16">
        <v>7</v>
      </c>
      <c r="G16">
        <v>1</v>
      </c>
      <c r="H16" t="s">
        <v>72</v>
      </c>
    </row>
    <row r="17" spans="1:8" x14ac:dyDescent="0.3">
      <c r="A17" t="s">
        <v>129</v>
      </c>
      <c r="B17" t="s">
        <v>0</v>
      </c>
      <c r="C17" t="s">
        <v>1</v>
      </c>
      <c r="D17" t="s">
        <v>12</v>
      </c>
      <c r="E17">
        <v>0</v>
      </c>
      <c r="F17">
        <v>8</v>
      </c>
      <c r="G17">
        <v>0</v>
      </c>
      <c r="H17" t="s">
        <v>72</v>
      </c>
    </row>
    <row r="18" spans="1:8" x14ac:dyDescent="0.3">
      <c r="A18" t="s">
        <v>130</v>
      </c>
      <c r="B18" t="s">
        <v>0</v>
      </c>
      <c r="C18" t="s">
        <v>1</v>
      </c>
      <c r="D18" t="s">
        <v>12</v>
      </c>
      <c r="E18">
        <v>0</v>
      </c>
      <c r="F18">
        <v>8</v>
      </c>
      <c r="G18">
        <v>1</v>
      </c>
      <c r="H18" t="s">
        <v>72</v>
      </c>
    </row>
    <row r="19" spans="1:8" x14ac:dyDescent="0.3">
      <c r="A19" t="s">
        <v>131</v>
      </c>
      <c r="B19" t="s">
        <v>0</v>
      </c>
      <c r="C19" t="s">
        <v>1</v>
      </c>
      <c r="D19" t="s">
        <v>12</v>
      </c>
      <c r="E19">
        <v>0</v>
      </c>
      <c r="F19">
        <v>9</v>
      </c>
      <c r="G19">
        <v>0</v>
      </c>
      <c r="H19" t="s">
        <v>72</v>
      </c>
    </row>
    <row r="20" spans="1:8" x14ac:dyDescent="0.3">
      <c r="A20" t="s">
        <v>132</v>
      </c>
      <c r="B20" t="s">
        <v>0</v>
      </c>
      <c r="C20" t="s">
        <v>1</v>
      </c>
      <c r="D20" t="s">
        <v>12</v>
      </c>
      <c r="E20">
        <v>0</v>
      </c>
      <c r="F20">
        <v>9</v>
      </c>
      <c r="G20">
        <v>1</v>
      </c>
      <c r="H20" t="s">
        <v>72</v>
      </c>
    </row>
    <row r="21" spans="1:8" x14ac:dyDescent="0.3">
      <c r="A21" t="s">
        <v>133</v>
      </c>
      <c r="B21" t="s">
        <v>0</v>
      </c>
      <c r="C21" t="s">
        <v>1</v>
      </c>
      <c r="D21" t="s">
        <v>12</v>
      </c>
      <c r="E21">
        <v>1</v>
      </c>
      <c r="F21">
        <v>0</v>
      </c>
      <c r="G21">
        <v>0</v>
      </c>
      <c r="H21" t="s">
        <v>72</v>
      </c>
    </row>
    <row r="22" spans="1:8" x14ac:dyDescent="0.3">
      <c r="A22" t="s">
        <v>134</v>
      </c>
      <c r="B22" t="s">
        <v>0</v>
      </c>
      <c r="C22" t="s">
        <v>1</v>
      </c>
      <c r="D22" t="s">
        <v>12</v>
      </c>
      <c r="E22">
        <v>1</v>
      </c>
      <c r="F22">
        <v>0</v>
      </c>
      <c r="G22">
        <v>1</v>
      </c>
      <c r="H22" t="s">
        <v>72</v>
      </c>
    </row>
    <row r="23" spans="1:8" x14ac:dyDescent="0.3">
      <c r="A23" t="s">
        <v>135</v>
      </c>
      <c r="B23" t="s">
        <v>0</v>
      </c>
      <c r="C23" t="s">
        <v>1</v>
      </c>
      <c r="D23" t="s">
        <v>12</v>
      </c>
      <c r="E23">
        <v>1</v>
      </c>
      <c r="F23">
        <v>1</v>
      </c>
      <c r="G23">
        <v>0</v>
      </c>
      <c r="H23" t="s">
        <v>72</v>
      </c>
    </row>
    <row r="24" spans="1:8" x14ac:dyDescent="0.3">
      <c r="A24" t="s">
        <v>136</v>
      </c>
      <c r="B24" t="s">
        <v>0</v>
      </c>
      <c r="C24" t="s">
        <v>1</v>
      </c>
      <c r="D24" t="s">
        <v>12</v>
      </c>
      <c r="E24">
        <v>1</v>
      </c>
      <c r="F24">
        <v>1</v>
      </c>
      <c r="G24">
        <v>1</v>
      </c>
      <c r="H24" t="s">
        <v>72</v>
      </c>
    </row>
    <row r="25" spans="1:8" x14ac:dyDescent="0.3">
      <c r="A25" t="s">
        <v>137</v>
      </c>
      <c r="B25" t="s">
        <v>0</v>
      </c>
      <c r="C25" t="s">
        <v>1</v>
      </c>
      <c r="D25" t="s">
        <v>12</v>
      </c>
      <c r="E25">
        <v>1</v>
      </c>
      <c r="F25">
        <v>2</v>
      </c>
      <c r="G25">
        <v>0</v>
      </c>
      <c r="H25" t="s">
        <v>72</v>
      </c>
    </row>
    <row r="26" spans="1:8" x14ac:dyDescent="0.3">
      <c r="A26" t="s">
        <v>138</v>
      </c>
      <c r="B26" t="s">
        <v>0</v>
      </c>
      <c r="C26" t="s">
        <v>1</v>
      </c>
      <c r="D26" t="s">
        <v>12</v>
      </c>
      <c r="E26">
        <v>1</v>
      </c>
      <c r="F26">
        <v>2</v>
      </c>
      <c r="G26">
        <v>1</v>
      </c>
      <c r="H26" t="s">
        <v>72</v>
      </c>
    </row>
    <row r="27" spans="1:8" x14ac:dyDescent="0.3">
      <c r="A27" t="s">
        <v>139</v>
      </c>
      <c r="B27" t="s">
        <v>0</v>
      </c>
      <c r="C27" t="s">
        <v>1</v>
      </c>
      <c r="D27" t="s">
        <v>12</v>
      </c>
      <c r="E27">
        <v>1</v>
      </c>
      <c r="F27">
        <v>3</v>
      </c>
      <c r="G27">
        <v>0</v>
      </c>
      <c r="H27" t="s">
        <v>72</v>
      </c>
    </row>
    <row r="28" spans="1:8" x14ac:dyDescent="0.3">
      <c r="A28" t="s">
        <v>140</v>
      </c>
      <c r="B28" t="s">
        <v>0</v>
      </c>
      <c r="C28" t="s">
        <v>1</v>
      </c>
      <c r="D28" t="s">
        <v>12</v>
      </c>
      <c r="E28">
        <v>1</v>
      </c>
      <c r="F28">
        <v>3</v>
      </c>
      <c r="G28">
        <v>1</v>
      </c>
      <c r="H28" t="s">
        <v>72</v>
      </c>
    </row>
    <row r="29" spans="1:8" x14ac:dyDescent="0.3">
      <c r="A29" t="s">
        <v>141</v>
      </c>
      <c r="B29" t="s">
        <v>0</v>
      </c>
      <c r="C29" t="s">
        <v>1</v>
      </c>
      <c r="D29" t="s">
        <v>12</v>
      </c>
      <c r="E29">
        <v>1</v>
      </c>
      <c r="F29">
        <v>4</v>
      </c>
      <c r="G29">
        <v>0</v>
      </c>
      <c r="H29" t="s">
        <v>72</v>
      </c>
    </row>
    <row r="30" spans="1:8" x14ac:dyDescent="0.3">
      <c r="A30" t="s">
        <v>142</v>
      </c>
      <c r="B30" t="s">
        <v>0</v>
      </c>
      <c r="C30" t="s">
        <v>1</v>
      </c>
      <c r="D30" t="s">
        <v>12</v>
      </c>
      <c r="E30">
        <v>1</v>
      </c>
      <c r="F30">
        <v>4</v>
      </c>
      <c r="G30">
        <v>1</v>
      </c>
      <c r="H30" t="s">
        <v>72</v>
      </c>
    </row>
    <row r="31" spans="1:8" x14ac:dyDescent="0.3">
      <c r="A31" t="s">
        <v>143</v>
      </c>
      <c r="B31" t="s">
        <v>0</v>
      </c>
      <c r="C31" t="s">
        <v>1</v>
      </c>
      <c r="D31" t="s">
        <v>12</v>
      </c>
      <c r="E31">
        <v>1</v>
      </c>
      <c r="F31">
        <v>5</v>
      </c>
      <c r="G31">
        <v>0</v>
      </c>
      <c r="H31" t="s">
        <v>72</v>
      </c>
    </row>
    <row r="32" spans="1:8" x14ac:dyDescent="0.3">
      <c r="A32" t="s">
        <v>144</v>
      </c>
      <c r="B32" t="s">
        <v>0</v>
      </c>
      <c r="C32" t="s">
        <v>1</v>
      </c>
      <c r="D32" t="s">
        <v>12</v>
      </c>
      <c r="E32">
        <v>1</v>
      </c>
      <c r="F32">
        <v>5</v>
      </c>
      <c r="G32">
        <v>1</v>
      </c>
      <c r="H32" t="s">
        <v>72</v>
      </c>
    </row>
    <row r="33" spans="1:8" x14ac:dyDescent="0.3">
      <c r="A33" t="s">
        <v>145</v>
      </c>
      <c r="B33" t="s">
        <v>0</v>
      </c>
      <c r="C33" t="s">
        <v>1</v>
      </c>
      <c r="D33" t="s">
        <v>12</v>
      </c>
      <c r="E33">
        <v>1</v>
      </c>
      <c r="F33">
        <v>6</v>
      </c>
      <c r="G33">
        <v>0</v>
      </c>
      <c r="H33" t="s">
        <v>72</v>
      </c>
    </row>
    <row r="34" spans="1:8" x14ac:dyDescent="0.3">
      <c r="A34" t="s">
        <v>146</v>
      </c>
      <c r="B34" t="s">
        <v>0</v>
      </c>
      <c r="C34" t="s">
        <v>1</v>
      </c>
      <c r="D34" t="s">
        <v>12</v>
      </c>
      <c r="E34">
        <v>1</v>
      </c>
      <c r="F34">
        <v>6</v>
      </c>
      <c r="G34">
        <v>1</v>
      </c>
      <c r="H34" t="s">
        <v>72</v>
      </c>
    </row>
    <row r="35" spans="1:8" x14ac:dyDescent="0.3">
      <c r="A35" t="s">
        <v>147</v>
      </c>
      <c r="B35" t="s">
        <v>0</v>
      </c>
      <c r="C35" t="s">
        <v>1</v>
      </c>
      <c r="D35" t="s">
        <v>12</v>
      </c>
      <c r="E35">
        <v>1</v>
      </c>
      <c r="F35">
        <v>7</v>
      </c>
      <c r="G35">
        <v>0</v>
      </c>
      <c r="H35" t="s">
        <v>72</v>
      </c>
    </row>
    <row r="36" spans="1:8" x14ac:dyDescent="0.3">
      <c r="A36" t="s">
        <v>148</v>
      </c>
      <c r="B36" t="s">
        <v>0</v>
      </c>
      <c r="C36" t="s">
        <v>1</v>
      </c>
      <c r="D36" t="s">
        <v>12</v>
      </c>
      <c r="E36">
        <v>1</v>
      </c>
      <c r="F36">
        <v>7</v>
      </c>
      <c r="G36">
        <v>1</v>
      </c>
      <c r="H36" t="s">
        <v>72</v>
      </c>
    </row>
    <row r="37" spans="1:8" x14ac:dyDescent="0.3">
      <c r="A37" t="s">
        <v>149</v>
      </c>
      <c r="B37" t="s">
        <v>0</v>
      </c>
      <c r="C37" t="s">
        <v>1</v>
      </c>
      <c r="D37" t="s">
        <v>12</v>
      </c>
      <c r="E37">
        <v>1</v>
      </c>
      <c r="F37">
        <v>8</v>
      </c>
      <c r="G37">
        <v>0</v>
      </c>
      <c r="H37" t="s">
        <v>72</v>
      </c>
    </row>
    <row r="38" spans="1:8" x14ac:dyDescent="0.3">
      <c r="A38" t="s">
        <v>150</v>
      </c>
      <c r="B38" t="s">
        <v>0</v>
      </c>
      <c r="C38" t="s">
        <v>1</v>
      </c>
      <c r="D38" t="s">
        <v>12</v>
      </c>
      <c r="E38">
        <v>1</v>
      </c>
      <c r="F38">
        <v>8</v>
      </c>
      <c r="G38">
        <v>1</v>
      </c>
      <c r="H38" t="s">
        <v>72</v>
      </c>
    </row>
    <row r="39" spans="1:8" x14ac:dyDescent="0.3">
      <c r="A39" t="s">
        <v>151</v>
      </c>
      <c r="B39" t="s">
        <v>0</v>
      </c>
      <c r="C39" t="s">
        <v>1</v>
      </c>
      <c r="D39" t="s">
        <v>12</v>
      </c>
      <c r="E39">
        <v>1</v>
      </c>
      <c r="F39">
        <v>9</v>
      </c>
      <c r="G39">
        <v>0</v>
      </c>
      <c r="H39" t="s">
        <v>72</v>
      </c>
    </row>
    <row r="40" spans="1:8" x14ac:dyDescent="0.3">
      <c r="A40" t="s">
        <v>152</v>
      </c>
      <c r="B40" t="s">
        <v>0</v>
      </c>
      <c r="C40" t="s">
        <v>1</v>
      </c>
      <c r="D40" t="s">
        <v>12</v>
      </c>
      <c r="E40">
        <v>1</v>
      </c>
      <c r="F40">
        <v>9</v>
      </c>
      <c r="G40">
        <v>1</v>
      </c>
      <c r="H40" t="s">
        <v>72</v>
      </c>
    </row>
    <row r="41" spans="1:8" x14ac:dyDescent="0.3">
      <c r="A41" t="s">
        <v>153</v>
      </c>
      <c r="B41" t="s">
        <v>0</v>
      </c>
      <c r="C41" t="s">
        <v>1</v>
      </c>
      <c r="D41" t="s">
        <v>12</v>
      </c>
      <c r="E41">
        <v>2</v>
      </c>
      <c r="F41">
        <v>0</v>
      </c>
      <c r="G41">
        <v>0</v>
      </c>
      <c r="H41" t="s">
        <v>72</v>
      </c>
    </row>
    <row r="42" spans="1:8" x14ac:dyDescent="0.2">
      <c r="A42" t="s">
        <v>154</v>
      </c>
      <c r="B42" t="s">
        <v>0</v>
      </c>
      <c r="C42" t="s">
        <v>1</v>
      </c>
      <c r="D42" t="s">
        <v>12</v>
      </c>
      <c r="E42">
        <v>2</v>
      </c>
      <c r="F42">
        <v>0</v>
      </c>
      <c r="G42">
        <v>1</v>
      </c>
      <c r="H42" t="s">
        <v>72</v>
      </c>
    </row>
    <row r="43" spans="1:8" x14ac:dyDescent="0.2">
      <c r="A43" t="s">
        <v>155</v>
      </c>
      <c r="B43" t="s">
        <v>0</v>
      </c>
      <c r="C43" t="s">
        <v>1</v>
      </c>
      <c r="D43" t="s">
        <v>12</v>
      </c>
      <c r="E43">
        <v>2</v>
      </c>
      <c r="F43">
        <v>1</v>
      </c>
      <c r="G43">
        <v>0</v>
      </c>
      <c r="H43" t="s">
        <v>72</v>
      </c>
    </row>
    <row r="44" spans="1:8" x14ac:dyDescent="0.2">
      <c r="A44" t="s">
        <v>156</v>
      </c>
      <c r="B44" t="s">
        <v>0</v>
      </c>
      <c r="C44" t="s">
        <v>1</v>
      </c>
      <c r="D44" t="s">
        <v>12</v>
      </c>
      <c r="E44">
        <v>2</v>
      </c>
      <c r="F44">
        <v>1</v>
      </c>
      <c r="G44">
        <v>1</v>
      </c>
      <c r="H44" t="s">
        <v>72</v>
      </c>
    </row>
    <row r="45" spans="1:8" x14ac:dyDescent="0.2">
      <c r="A45" t="s">
        <v>157</v>
      </c>
      <c r="B45" t="s">
        <v>0</v>
      </c>
      <c r="C45" t="s">
        <v>1</v>
      </c>
      <c r="D45" t="s">
        <v>12</v>
      </c>
      <c r="E45">
        <v>2</v>
      </c>
      <c r="F45">
        <v>2</v>
      </c>
      <c r="G45">
        <v>0</v>
      </c>
      <c r="H45" t="s">
        <v>72</v>
      </c>
    </row>
    <row r="46" spans="1:8" x14ac:dyDescent="0.2">
      <c r="A46" t="s">
        <v>158</v>
      </c>
      <c r="B46" t="s">
        <v>0</v>
      </c>
      <c r="C46" t="s">
        <v>1</v>
      </c>
      <c r="D46" t="s">
        <v>12</v>
      </c>
      <c r="E46">
        <v>2</v>
      </c>
      <c r="F46">
        <v>2</v>
      </c>
      <c r="G46">
        <v>1</v>
      </c>
      <c r="H46" t="s">
        <v>72</v>
      </c>
    </row>
    <row r="47" spans="1:8" x14ac:dyDescent="0.2">
      <c r="A47" t="s">
        <v>159</v>
      </c>
      <c r="B47" t="s">
        <v>0</v>
      </c>
      <c r="C47" t="s">
        <v>1</v>
      </c>
      <c r="D47" t="s">
        <v>12</v>
      </c>
      <c r="E47">
        <v>2</v>
      </c>
      <c r="F47">
        <v>3</v>
      </c>
      <c r="G47">
        <v>0</v>
      </c>
      <c r="H47" t="s">
        <v>72</v>
      </c>
    </row>
    <row r="48" spans="1:8" x14ac:dyDescent="0.2">
      <c r="A48" t="s">
        <v>160</v>
      </c>
      <c r="B48" t="s">
        <v>0</v>
      </c>
      <c r="C48" t="s">
        <v>1</v>
      </c>
      <c r="D48" t="s">
        <v>12</v>
      </c>
      <c r="E48">
        <v>2</v>
      </c>
      <c r="F48">
        <v>3</v>
      </c>
      <c r="G48">
        <v>1</v>
      </c>
      <c r="H48" t="s">
        <v>72</v>
      </c>
    </row>
    <row r="49" spans="1:8" x14ac:dyDescent="0.2">
      <c r="A49" t="s">
        <v>161</v>
      </c>
      <c r="B49" t="s">
        <v>0</v>
      </c>
      <c r="C49" t="s">
        <v>1</v>
      </c>
      <c r="D49" t="s">
        <v>12</v>
      </c>
      <c r="E49">
        <v>2</v>
      </c>
      <c r="F49">
        <v>4</v>
      </c>
      <c r="G49">
        <v>0</v>
      </c>
      <c r="H49" t="s">
        <v>72</v>
      </c>
    </row>
    <row r="50" spans="1:8" x14ac:dyDescent="0.2">
      <c r="A50" t="s">
        <v>162</v>
      </c>
      <c r="B50" t="s">
        <v>0</v>
      </c>
      <c r="C50" t="s">
        <v>1</v>
      </c>
      <c r="D50" t="s">
        <v>12</v>
      </c>
      <c r="E50">
        <v>2</v>
      </c>
      <c r="F50">
        <v>4</v>
      </c>
      <c r="G50">
        <v>1</v>
      </c>
      <c r="H50" t="s">
        <v>72</v>
      </c>
    </row>
    <row r="51" spans="1:8" x14ac:dyDescent="0.2">
      <c r="A51" t="s">
        <v>163</v>
      </c>
      <c r="B51" t="s">
        <v>0</v>
      </c>
      <c r="C51" t="s">
        <v>1</v>
      </c>
      <c r="D51" t="s">
        <v>12</v>
      </c>
      <c r="E51">
        <v>2</v>
      </c>
      <c r="F51">
        <v>5</v>
      </c>
      <c r="G51">
        <v>0</v>
      </c>
      <c r="H51" t="s">
        <v>72</v>
      </c>
    </row>
    <row r="52" spans="1:8" x14ac:dyDescent="0.2">
      <c r="A52" t="s">
        <v>164</v>
      </c>
      <c r="B52" t="s">
        <v>0</v>
      </c>
      <c r="C52" t="s">
        <v>1</v>
      </c>
      <c r="D52" t="s">
        <v>12</v>
      </c>
      <c r="E52">
        <v>2</v>
      </c>
      <c r="F52">
        <v>5</v>
      </c>
      <c r="G52">
        <v>1</v>
      </c>
      <c r="H52" t="s">
        <v>72</v>
      </c>
    </row>
    <row r="53" spans="1:8" x14ac:dyDescent="0.2">
      <c r="A53" t="s">
        <v>165</v>
      </c>
      <c r="B53" t="s">
        <v>0</v>
      </c>
      <c r="C53" t="s">
        <v>1</v>
      </c>
      <c r="D53" t="s">
        <v>12</v>
      </c>
      <c r="E53">
        <v>2</v>
      </c>
      <c r="F53">
        <v>6</v>
      </c>
      <c r="G53">
        <v>0</v>
      </c>
      <c r="H53" t="s">
        <v>72</v>
      </c>
    </row>
    <row r="54" spans="1:8" x14ac:dyDescent="0.2">
      <c r="A54" t="s">
        <v>166</v>
      </c>
      <c r="B54" t="s">
        <v>0</v>
      </c>
      <c r="C54" t="s">
        <v>1</v>
      </c>
      <c r="D54" t="s">
        <v>12</v>
      </c>
      <c r="E54">
        <v>2</v>
      </c>
      <c r="F54">
        <v>6</v>
      </c>
      <c r="G54">
        <v>1</v>
      </c>
      <c r="H54" t="s">
        <v>72</v>
      </c>
    </row>
    <row r="55" spans="1:8" x14ac:dyDescent="0.2">
      <c r="A55" t="s">
        <v>167</v>
      </c>
      <c r="B55" t="s">
        <v>0</v>
      </c>
      <c r="C55" t="s">
        <v>1</v>
      </c>
      <c r="D55" t="s">
        <v>12</v>
      </c>
      <c r="E55">
        <v>2</v>
      </c>
      <c r="F55">
        <v>7</v>
      </c>
      <c r="G55">
        <v>0</v>
      </c>
      <c r="H55" t="s">
        <v>72</v>
      </c>
    </row>
    <row r="56" spans="1:8" x14ac:dyDescent="0.2">
      <c r="A56" t="s">
        <v>168</v>
      </c>
      <c r="B56" t="s">
        <v>0</v>
      </c>
      <c r="C56" t="s">
        <v>1</v>
      </c>
      <c r="D56" t="s">
        <v>12</v>
      </c>
      <c r="E56">
        <v>2</v>
      </c>
      <c r="F56">
        <v>7</v>
      </c>
      <c r="G56">
        <v>1</v>
      </c>
      <c r="H56" t="s">
        <v>72</v>
      </c>
    </row>
    <row r="57" spans="1:8" x14ac:dyDescent="0.2">
      <c r="A57" t="s">
        <v>169</v>
      </c>
      <c r="B57" t="s">
        <v>0</v>
      </c>
      <c r="C57" t="s">
        <v>1</v>
      </c>
      <c r="D57" t="s">
        <v>12</v>
      </c>
      <c r="E57">
        <v>2</v>
      </c>
      <c r="F57">
        <v>8</v>
      </c>
      <c r="G57">
        <v>0</v>
      </c>
      <c r="H57" t="s">
        <v>72</v>
      </c>
    </row>
    <row r="58" spans="1:8" x14ac:dyDescent="0.2">
      <c r="A58" t="s">
        <v>170</v>
      </c>
      <c r="B58" t="s">
        <v>0</v>
      </c>
      <c r="C58" t="s">
        <v>1</v>
      </c>
      <c r="D58" t="s">
        <v>12</v>
      </c>
      <c r="E58">
        <v>2</v>
      </c>
      <c r="F58">
        <v>8</v>
      </c>
      <c r="G58">
        <v>1</v>
      </c>
      <c r="H58" t="s">
        <v>72</v>
      </c>
    </row>
    <row r="59" spans="1:8" x14ac:dyDescent="0.2">
      <c r="A59" t="s">
        <v>171</v>
      </c>
      <c r="B59" t="s">
        <v>0</v>
      </c>
      <c r="C59" t="s">
        <v>1</v>
      </c>
      <c r="D59" t="s">
        <v>12</v>
      </c>
      <c r="E59">
        <v>2</v>
      </c>
      <c r="F59">
        <v>9</v>
      </c>
      <c r="G59">
        <v>0</v>
      </c>
      <c r="H59" t="s">
        <v>72</v>
      </c>
    </row>
    <row r="60" spans="1:8" x14ac:dyDescent="0.2">
      <c r="A60" t="s">
        <v>172</v>
      </c>
      <c r="B60" t="s">
        <v>0</v>
      </c>
      <c r="C60" t="s">
        <v>1</v>
      </c>
      <c r="D60" t="s">
        <v>12</v>
      </c>
      <c r="E60">
        <v>2</v>
      </c>
      <c r="F60">
        <v>9</v>
      </c>
      <c r="G60">
        <v>1</v>
      </c>
      <c r="H60" t="s">
        <v>72</v>
      </c>
    </row>
    <row r="61" spans="1:8" x14ac:dyDescent="0.2">
      <c r="A61" t="s">
        <v>447</v>
      </c>
      <c r="B61" t="s">
        <v>2</v>
      </c>
      <c r="C61" t="s">
        <v>3</v>
      </c>
      <c r="D61" t="s">
        <v>12</v>
      </c>
      <c r="E61">
        <v>0</v>
      </c>
      <c r="F61">
        <v>0</v>
      </c>
      <c r="G61">
        <v>0</v>
      </c>
      <c r="H61" t="s">
        <v>777</v>
      </c>
    </row>
    <row r="62" spans="1:8" x14ac:dyDescent="0.2">
      <c r="A62" t="s">
        <v>448</v>
      </c>
      <c r="B62" t="s">
        <v>2</v>
      </c>
      <c r="C62" t="s">
        <v>3</v>
      </c>
      <c r="D62" t="s">
        <v>12</v>
      </c>
      <c r="E62">
        <v>0</v>
      </c>
      <c r="F62">
        <v>0</v>
      </c>
      <c r="G62">
        <v>1</v>
      </c>
      <c r="H62" t="s">
        <v>778</v>
      </c>
    </row>
    <row r="63" spans="1:8" x14ac:dyDescent="0.2">
      <c r="A63" t="s">
        <v>449</v>
      </c>
      <c r="B63" t="s">
        <v>2</v>
      </c>
      <c r="C63" t="s">
        <v>3</v>
      </c>
      <c r="D63" t="s">
        <v>12</v>
      </c>
      <c r="E63">
        <v>0</v>
      </c>
      <c r="F63">
        <v>0</v>
      </c>
      <c r="G63">
        <v>2</v>
      </c>
      <c r="H63" t="s">
        <v>779</v>
      </c>
    </row>
    <row r="64" spans="1:8" x14ac:dyDescent="0.2">
      <c r="A64" t="s">
        <v>450</v>
      </c>
      <c r="B64" t="s">
        <v>2</v>
      </c>
      <c r="C64" t="s">
        <v>3</v>
      </c>
      <c r="D64" t="s">
        <v>12</v>
      </c>
      <c r="E64">
        <v>0</v>
      </c>
      <c r="F64">
        <v>1</v>
      </c>
      <c r="G64">
        <v>0</v>
      </c>
      <c r="H64" t="s">
        <v>780</v>
      </c>
    </row>
    <row r="65" spans="1:8" x14ac:dyDescent="0.2">
      <c r="A65" t="s">
        <v>451</v>
      </c>
      <c r="B65" t="s">
        <v>2</v>
      </c>
      <c r="C65" t="s">
        <v>3</v>
      </c>
      <c r="D65" t="s">
        <v>12</v>
      </c>
      <c r="E65">
        <v>0</v>
      </c>
      <c r="F65">
        <v>1</v>
      </c>
      <c r="G65">
        <v>1</v>
      </c>
      <c r="H65" t="s">
        <v>781</v>
      </c>
    </row>
    <row r="66" spans="1:8" x14ac:dyDescent="0.2">
      <c r="A66" t="s">
        <v>452</v>
      </c>
      <c r="B66" t="s">
        <v>2</v>
      </c>
      <c r="C66" t="s">
        <v>3</v>
      </c>
      <c r="D66" t="s">
        <v>12</v>
      </c>
      <c r="E66">
        <v>0</v>
      </c>
      <c r="F66">
        <v>1</v>
      </c>
      <c r="G66">
        <v>2</v>
      </c>
      <c r="H66" t="s">
        <v>782</v>
      </c>
    </row>
    <row r="67" spans="1:8" x14ac:dyDescent="0.2">
      <c r="A67" t="s">
        <v>453</v>
      </c>
      <c r="B67" t="s">
        <v>2</v>
      </c>
      <c r="C67" t="s">
        <v>3</v>
      </c>
      <c r="D67" t="s">
        <v>12</v>
      </c>
      <c r="E67">
        <v>0</v>
      </c>
      <c r="F67">
        <v>2</v>
      </c>
      <c r="G67">
        <v>0</v>
      </c>
      <c r="H67" t="s">
        <v>783</v>
      </c>
    </row>
    <row r="68" spans="1:8" x14ac:dyDescent="0.2">
      <c r="A68" t="s">
        <v>454</v>
      </c>
      <c r="B68" t="s">
        <v>2</v>
      </c>
      <c r="C68" t="s">
        <v>3</v>
      </c>
      <c r="D68" t="s">
        <v>12</v>
      </c>
      <c r="E68">
        <v>0</v>
      </c>
      <c r="F68">
        <v>2</v>
      </c>
      <c r="G68">
        <v>1</v>
      </c>
      <c r="H68" t="s">
        <v>784</v>
      </c>
    </row>
    <row r="69" spans="1:8" x14ac:dyDescent="0.2">
      <c r="A69" t="s">
        <v>455</v>
      </c>
      <c r="B69" t="s">
        <v>2</v>
      </c>
      <c r="C69" t="s">
        <v>3</v>
      </c>
      <c r="D69" t="s">
        <v>12</v>
      </c>
      <c r="E69">
        <v>0</v>
      </c>
      <c r="F69">
        <v>2</v>
      </c>
      <c r="G69">
        <v>2</v>
      </c>
      <c r="H69" t="s">
        <v>785</v>
      </c>
    </row>
    <row r="70" spans="1:8" x14ac:dyDescent="0.2">
      <c r="A70" t="s">
        <v>456</v>
      </c>
      <c r="B70" t="s">
        <v>2</v>
      </c>
      <c r="C70" t="s">
        <v>3</v>
      </c>
      <c r="D70" t="s">
        <v>12</v>
      </c>
      <c r="E70">
        <v>0</v>
      </c>
      <c r="F70">
        <v>3</v>
      </c>
      <c r="G70">
        <v>0</v>
      </c>
      <c r="H70" t="s">
        <v>786</v>
      </c>
    </row>
    <row r="71" spans="1:8" x14ac:dyDescent="0.2">
      <c r="A71" t="s">
        <v>457</v>
      </c>
      <c r="B71" t="s">
        <v>2</v>
      </c>
      <c r="C71" t="s">
        <v>3</v>
      </c>
      <c r="D71" t="s">
        <v>12</v>
      </c>
      <c r="E71">
        <v>0</v>
      </c>
      <c r="F71">
        <v>3</v>
      </c>
      <c r="G71">
        <v>1</v>
      </c>
      <c r="H71" t="s">
        <v>787</v>
      </c>
    </row>
    <row r="72" spans="1:8" x14ac:dyDescent="0.2">
      <c r="A72" t="s">
        <v>458</v>
      </c>
      <c r="B72" t="s">
        <v>2</v>
      </c>
      <c r="C72" t="s">
        <v>3</v>
      </c>
      <c r="D72" t="s">
        <v>12</v>
      </c>
      <c r="E72">
        <v>0</v>
      </c>
      <c r="F72">
        <v>3</v>
      </c>
      <c r="G72">
        <v>2</v>
      </c>
      <c r="H72" t="s">
        <v>788</v>
      </c>
    </row>
    <row r="73" spans="1:8" x14ac:dyDescent="0.2">
      <c r="A73" t="s">
        <v>459</v>
      </c>
      <c r="B73" t="s">
        <v>2</v>
      </c>
      <c r="C73" t="s">
        <v>3</v>
      </c>
      <c r="D73" t="s">
        <v>12</v>
      </c>
      <c r="E73">
        <v>0</v>
      </c>
      <c r="F73">
        <v>4</v>
      </c>
      <c r="G73">
        <v>0</v>
      </c>
      <c r="H73" t="s">
        <v>789</v>
      </c>
    </row>
    <row r="74" spans="1:8" x14ac:dyDescent="0.2">
      <c r="A74" t="s">
        <v>460</v>
      </c>
      <c r="B74" t="s">
        <v>2</v>
      </c>
      <c r="C74" t="s">
        <v>3</v>
      </c>
      <c r="D74" t="s">
        <v>12</v>
      </c>
      <c r="E74">
        <v>0</v>
      </c>
      <c r="F74">
        <v>4</v>
      </c>
      <c r="G74">
        <v>1</v>
      </c>
      <c r="H74" t="s">
        <v>790</v>
      </c>
    </row>
    <row r="75" spans="1:8" x14ac:dyDescent="0.2">
      <c r="A75" t="s">
        <v>461</v>
      </c>
      <c r="B75" t="s">
        <v>2</v>
      </c>
      <c r="C75" t="s">
        <v>3</v>
      </c>
      <c r="D75" t="s">
        <v>12</v>
      </c>
      <c r="E75">
        <v>0</v>
      </c>
      <c r="F75">
        <v>4</v>
      </c>
      <c r="G75">
        <v>2</v>
      </c>
      <c r="H75" t="s">
        <v>791</v>
      </c>
    </row>
    <row r="76" spans="1:8" x14ac:dyDescent="0.2">
      <c r="A76" t="s">
        <v>462</v>
      </c>
      <c r="B76" t="s">
        <v>2</v>
      </c>
      <c r="C76" t="s">
        <v>3</v>
      </c>
      <c r="D76" t="s">
        <v>12</v>
      </c>
      <c r="E76">
        <v>0</v>
      </c>
      <c r="F76">
        <v>5</v>
      </c>
      <c r="G76">
        <v>0</v>
      </c>
      <c r="H76" t="s">
        <v>792</v>
      </c>
    </row>
    <row r="77" spans="1:8" x14ac:dyDescent="0.2">
      <c r="A77" t="s">
        <v>463</v>
      </c>
      <c r="B77" t="s">
        <v>2</v>
      </c>
      <c r="C77" t="s">
        <v>3</v>
      </c>
      <c r="D77" t="s">
        <v>12</v>
      </c>
      <c r="E77">
        <v>0</v>
      </c>
      <c r="F77">
        <v>5</v>
      </c>
      <c r="G77">
        <v>1</v>
      </c>
      <c r="H77" t="s">
        <v>793</v>
      </c>
    </row>
    <row r="78" spans="1:8" x14ac:dyDescent="0.2">
      <c r="A78" t="s">
        <v>464</v>
      </c>
      <c r="B78" t="s">
        <v>2</v>
      </c>
      <c r="C78" t="s">
        <v>3</v>
      </c>
      <c r="D78" t="s">
        <v>12</v>
      </c>
      <c r="E78">
        <v>0</v>
      </c>
      <c r="F78">
        <v>5</v>
      </c>
      <c r="G78">
        <v>2</v>
      </c>
      <c r="H78" t="s">
        <v>794</v>
      </c>
    </row>
    <row r="79" spans="1:8" x14ac:dyDescent="0.2">
      <c r="A79" t="s">
        <v>465</v>
      </c>
      <c r="B79" t="s">
        <v>2</v>
      </c>
      <c r="C79" t="s">
        <v>3</v>
      </c>
      <c r="D79" t="s">
        <v>12</v>
      </c>
      <c r="E79">
        <v>0</v>
      </c>
      <c r="F79">
        <v>6</v>
      </c>
      <c r="G79">
        <v>0</v>
      </c>
      <c r="H79" t="s">
        <v>795</v>
      </c>
    </row>
    <row r="80" spans="1:8" x14ac:dyDescent="0.2">
      <c r="A80" t="s">
        <v>466</v>
      </c>
      <c r="B80" t="s">
        <v>2</v>
      </c>
      <c r="C80" t="s">
        <v>3</v>
      </c>
      <c r="D80" t="s">
        <v>12</v>
      </c>
      <c r="E80">
        <v>0</v>
      </c>
      <c r="F80">
        <v>6</v>
      </c>
      <c r="G80">
        <v>1</v>
      </c>
      <c r="H80" t="s">
        <v>796</v>
      </c>
    </row>
    <row r="81" spans="1:8" x14ac:dyDescent="0.2">
      <c r="A81" t="s">
        <v>467</v>
      </c>
      <c r="B81" t="s">
        <v>2</v>
      </c>
      <c r="C81" t="s">
        <v>3</v>
      </c>
      <c r="D81" t="s">
        <v>12</v>
      </c>
      <c r="E81">
        <v>0</v>
      </c>
      <c r="F81">
        <v>6</v>
      </c>
      <c r="G81">
        <v>2</v>
      </c>
      <c r="H81" t="s">
        <v>797</v>
      </c>
    </row>
    <row r="82" spans="1:8" x14ac:dyDescent="0.2">
      <c r="A82" t="s">
        <v>468</v>
      </c>
      <c r="B82" t="s">
        <v>2</v>
      </c>
      <c r="C82" t="s">
        <v>3</v>
      </c>
      <c r="D82" t="s">
        <v>12</v>
      </c>
      <c r="E82">
        <v>0</v>
      </c>
      <c r="F82">
        <v>7</v>
      </c>
      <c r="G82">
        <v>0</v>
      </c>
      <c r="H82" t="s">
        <v>798</v>
      </c>
    </row>
    <row r="83" spans="1:8" x14ac:dyDescent="0.2">
      <c r="A83" t="s">
        <v>469</v>
      </c>
      <c r="B83" t="s">
        <v>2</v>
      </c>
      <c r="C83" t="s">
        <v>3</v>
      </c>
      <c r="D83" t="s">
        <v>12</v>
      </c>
      <c r="E83">
        <v>0</v>
      </c>
      <c r="F83">
        <v>7</v>
      </c>
      <c r="G83">
        <v>1</v>
      </c>
      <c r="H83" t="s">
        <v>799</v>
      </c>
    </row>
    <row r="84" spans="1:8" x14ac:dyDescent="0.2">
      <c r="A84" t="s">
        <v>470</v>
      </c>
      <c r="B84" t="s">
        <v>2</v>
      </c>
      <c r="C84" t="s">
        <v>3</v>
      </c>
      <c r="D84" t="s">
        <v>12</v>
      </c>
      <c r="E84">
        <v>0</v>
      </c>
      <c r="F84">
        <v>7</v>
      </c>
      <c r="G84">
        <v>2</v>
      </c>
      <c r="H84" t="s">
        <v>800</v>
      </c>
    </row>
    <row r="85" spans="1:8" x14ac:dyDescent="0.2">
      <c r="A85" t="s">
        <v>471</v>
      </c>
      <c r="B85" t="s">
        <v>2</v>
      </c>
      <c r="C85" t="s">
        <v>3</v>
      </c>
      <c r="D85" t="s">
        <v>12</v>
      </c>
      <c r="E85">
        <v>0</v>
      </c>
      <c r="F85">
        <v>8</v>
      </c>
      <c r="G85">
        <v>0</v>
      </c>
      <c r="H85" t="s">
        <v>801</v>
      </c>
    </row>
    <row r="86" spans="1:8" x14ac:dyDescent="0.2">
      <c r="A86" t="s">
        <v>472</v>
      </c>
      <c r="B86" t="s">
        <v>2</v>
      </c>
      <c r="C86" t="s">
        <v>3</v>
      </c>
      <c r="D86" t="s">
        <v>12</v>
      </c>
      <c r="E86">
        <v>0</v>
      </c>
      <c r="F86">
        <v>8</v>
      </c>
      <c r="G86">
        <v>1</v>
      </c>
      <c r="H86" t="s">
        <v>802</v>
      </c>
    </row>
    <row r="87" spans="1:8" x14ac:dyDescent="0.2">
      <c r="A87" t="s">
        <v>473</v>
      </c>
      <c r="B87" t="s">
        <v>2</v>
      </c>
      <c r="C87" t="s">
        <v>3</v>
      </c>
      <c r="D87" t="s">
        <v>12</v>
      </c>
      <c r="E87">
        <v>0</v>
      </c>
      <c r="F87">
        <v>8</v>
      </c>
      <c r="G87">
        <v>2</v>
      </c>
      <c r="H87" t="s">
        <v>803</v>
      </c>
    </row>
    <row r="88" spans="1:8" x14ac:dyDescent="0.2">
      <c r="A88" t="s">
        <v>474</v>
      </c>
      <c r="B88" t="s">
        <v>2</v>
      </c>
      <c r="C88" t="s">
        <v>3</v>
      </c>
      <c r="D88" t="s">
        <v>12</v>
      </c>
      <c r="E88">
        <v>0</v>
      </c>
      <c r="F88">
        <v>9</v>
      </c>
      <c r="G88">
        <v>0</v>
      </c>
      <c r="H88" t="s">
        <v>804</v>
      </c>
    </row>
    <row r="89" spans="1:8" x14ac:dyDescent="0.2">
      <c r="A89" t="s">
        <v>475</v>
      </c>
      <c r="B89" t="s">
        <v>2</v>
      </c>
      <c r="C89" t="s">
        <v>3</v>
      </c>
      <c r="D89" t="s">
        <v>12</v>
      </c>
      <c r="E89">
        <v>0</v>
      </c>
      <c r="F89">
        <v>9</v>
      </c>
      <c r="G89">
        <v>1</v>
      </c>
      <c r="H89" t="s">
        <v>805</v>
      </c>
    </row>
    <row r="90" spans="1:8" x14ac:dyDescent="0.2">
      <c r="A90" t="s">
        <v>476</v>
      </c>
      <c r="B90" t="s">
        <v>2</v>
      </c>
      <c r="C90" t="s">
        <v>3</v>
      </c>
      <c r="D90" t="s">
        <v>12</v>
      </c>
      <c r="E90">
        <v>0</v>
      </c>
      <c r="F90">
        <v>9</v>
      </c>
      <c r="G90">
        <v>2</v>
      </c>
      <c r="H90" t="s">
        <v>806</v>
      </c>
    </row>
    <row r="91" spans="1:8" x14ac:dyDescent="0.2">
      <c r="A91" t="s">
        <v>477</v>
      </c>
      <c r="B91" t="s">
        <v>2</v>
      </c>
      <c r="C91" t="s">
        <v>3</v>
      </c>
      <c r="D91" t="s">
        <v>12</v>
      </c>
      <c r="E91">
        <v>1</v>
      </c>
      <c r="F91">
        <v>0</v>
      </c>
      <c r="G91">
        <v>0</v>
      </c>
      <c r="H91" t="s">
        <v>807</v>
      </c>
    </row>
    <row r="92" spans="1:8" x14ac:dyDescent="0.2">
      <c r="A92" t="s">
        <v>478</v>
      </c>
      <c r="B92" t="s">
        <v>2</v>
      </c>
      <c r="C92" t="s">
        <v>3</v>
      </c>
      <c r="D92" t="s">
        <v>12</v>
      </c>
      <c r="E92">
        <v>1</v>
      </c>
      <c r="F92">
        <v>0</v>
      </c>
      <c r="G92">
        <v>1</v>
      </c>
      <c r="H92" t="s">
        <v>808</v>
      </c>
    </row>
    <row r="93" spans="1:8" x14ac:dyDescent="0.2">
      <c r="A93" t="s">
        <v>479</v>
      </c>
      <c r="B93" t="s">
        <v>2</v>
      </c>
      <c r="C93" t="s">
        <v>3</v>
      </c>
      <c r="D93" t="s">
        <v>12</v>
      </c>
      <c r="E93">
        <v>1</v>
      </c>
      <c r="F93">
        <v>0</v>
      </c>
      <c r="G93">
        <v>2</v>
      </c>
      <c r="H93" t="s">
        <v>809</v>
      </c>
    </row>
    <row r="94" spans="1:8" x14ac:dyDescent="0.2">
      <c r="A94" t="s">
        <v>480</v>
      </c>
      <c r="B94" t="s">
        <v>2</v>
      </c>
      <c r="C94" t="s">
        <v>3</v>
      </c>
      <c r="D94" t="s">
        <v>12</v>
      </c>
      <c r="E94">
        <v>1</v>
      </c>
      <c r="F94">
        <v>1</v>
      </c>
      <c r="G94">
        <v>0</v>
      </c>
      <c r="H94" t="s">
        <v>810</v>
      </c>
    </row>
    <row r="95" spans="1:8" x14ac:dyDescent="0.2">
      <c r="A95" t="s">
        <v>481</v>
      </c>
      <c r="B95" t="s">
        <v>2</v>
      </c>
      <c r="C95" t="s">
        <v>3</v>
      </c>
      <c r="D95" t="s">
        <v>12</v>
      </c>
      <c r="E95">
        <v>1</v>
      </c>
      <c r="F95">
        <v>1</v>
      </c>
      <c r="G95">
        <v>1</v>
      </c>
      <c r="H95" t="s">
        <v>811</v>
      </c>
    </row>
    <row r="96" spans="1:8" x14ac:dyDescent="0.2">
      <c r="A96" t="s">
        <v>482</v>
      </c>
      <c r="B96" t="s">
        <v>2</v>
      </c>
      <c r="C96" t="s">
        <v>3</v>
      </c>
      <c r="D96" t="s">
        <v>12</v>
      </c>
      <c r="E96">
        <v>1</v>
      </c>
      <c r="F96">
        <v>1</v>
      </c>
      <c r="G96">
        <v>2</v>
      </c>
      <c r="H96" t="s">
        <v>812</v>
      </c>
    </row>
    <row r="97" spans="1:8" x14ac:dyDescent="0.2">
      <c r="A97" t="s">
        <v>483</v>
      </c>
      <c r="B97" t="s">
        <v>2</v>
      </c>
      <c r="C97" t="s">
        <v>3</v>
      </c>
      <c r="D97" t="s">
        <v>12</v>
      </c>
      <c r="E97">
        <v>1</v>
      </c>
      <c r="F97">
        <v>2</v>
      </c>
      <c r="G97">
        <v>0</v>
      </c>
      <c r="H97" t="s">
        <v>813</v>
      </c>
    </row>
    <row r="98" spans="1:8" x14ac:dyDescent="0.2">
      <c r="A98" t="s">
        <v>484</v>
      </c>
      <c r="B98" t="s">
        <v>2</v>
      </c>
      <c r="C98" t="s">
        <v>3</v>
      </c>
      <c r="D98" t="s">
        <v>12</v>
      </c>
      <c r="E98">
        <v>1</v>
      </c>
      <c r="F98">
        <v>2</v>
      </c>
      <c r="G98">
        <v>1</v>
      </c>
      <c r="H98" t="s">
        <v>814</v>
      </c>
    </row>
    <row r="99" spans="1:8" x14ac:dyDescent="0.2">
      <c r="A99" t="s">
        <v>485</v>
      </c>
      <c r="B99" t="s">
        <v>2</v>
      </c>
      <c r="C99" t="s">
        <v>3</v>
      </c>
      <c r="D99" t="s">
        <v>12</v>
      </c>
      <c r="E99">
        <v>1</v>
      </c>
      <c r="F99">
        <v>2</v>
      </c>
      <c r="G99">
        <v>2</v>
      </c>
      <c r="H99" t="s">
        <v>815</v>
      </c>
    </row>
    <row r="100" spans="1:8" x14ac:dyDescent="0.2">
      <c r="A100" t="s">
        <v>486</v>
      </c>
      <c r="B100" t="s">
        <v>2</v>
      </c>
      <c r="C100" t="s">
        <v>3</v>
      </c>
      <c r="D100" t="s">
        <v>12</v>
      </c>
      <c r="E100">
        <v>1</v>
      </c>
      <c r="F100">
        <v>3</v>
      </c>
      <c r="G100">
        <v>0</v>
      </c>
      <c r="H100" t="s">
        <v>816</v>
      </c>
    </row>
    <row r="101" spans="1:8" x14ac:dyDescent="0.2">
      <c r="A101" t="s">
        <v>487</v>
      </c>
      <c r="B101" t="s">
        <v>2</v>
      </c>
      <c r="C101" t="s">
        <v>3</v>
      </c>
      <c r="D101" t="s">
        <v>12</v>
      </c>
      <c r="E101">
        <v>1</v>
      </c>
      <c r="F101">
        <v>3</v>
      </c>
      <c r="G101">
        <v>1</v>
      </c>
      <c r="H101" t="s">
        <v>817</v>
      </c>
    </row>
    <row r="102" spans="1:8" x14ac:dyDescent="0.2">
      <c r="A102" t="s">
        <v>488</v>
      </c>
      <c r="B102" t="s">
        <v>2</v>
      </c>
      <c r="C102" t="s">
        <v>3</v>
      </c>
      <c r="D102" t="s">
        <v>12</v>
      </c>
      <c r="E102">
        <v>1</v>
      </c>
      <c r="F102">
        <v>3</v>
      </c>
      <c r="G102">
        <v>2</v>
      </c>
      <c r="H102" t="s">
        <v>818</v>
      </c>
    </row>
    <row r="103" spans="1:8" x14ac:dyDescent="0.2">
      <c r="A103" t="s">
        <v>489</v>
      </c>
      <c r="B103" t="s">
        <v>2</v>
      </c>
      <c r="C103" t="s">
        <v>3</v>
      </c>
      <c r="D103" t="s">
        <v>12</v>
      </c>
      <c r="E103">
        <v>1</v>
      </c>
      <c r="F103">
        <v>4</v>
      </c>
      <c r="G103">
        <v>0</v>
      </c>
      <c r="H103" t="s">
        <v>819</v>
      </c>
    </row>
    <row r="104" spans="1:8" x14ac:dyDescent="0.2">
      <c r="A104" t="s">
        <v>490</v>
      </c>
      <c r="B104" t="s">
        <v>2</v>
      </c>
      <c r="C104" t="s">
        <v>3</v>
      </c>
      <c r="D104" t="s">
        <v>12</v>
      </c>
      <c r="E104">
        <v>1</v>
      </c>
      <c r="F104">
        <v>4</v>
      </c>
      <c r="G104">
        <v>1</v>
      </c>
      <c r="H104" t="s">
        <v>820</v>
      </c>
    </row>
    <row r="105" spans="1:8" x14ac:dyDescent="0.2">
      <c r="A105" t="s">
        <v>491</v>
      </c>
      <c r="B105" t="s">
        <v>2</v>
      </c>
      <c r="C105" t="s">
        <v>3</v>
      </c>
      <c r="D105" t="s">
        <v>12</v>
      </c>
      <c r="E105">
        <v>1</v>
      </c>
      <c r="F105">
        <v>4</v>
      </c>
      <c r="G105">
        <v>2</v>
      </c>
      <c r="H105" t="s">
        <v>821</v>
      </c>
    </row>
    <row r="106" spans="1:8" x14ac:dyDescent="0.2">
      <c r="A106" t="s">
        <v>492</v>
      </c>
      <c r="B106" t="s">
        <v>2</v>
      </c>
      <c r="C106" t="s">
        <v>3</v>
      </c>
      <c r="D106" t="s">
        <v>12</v>
      </c>
      <c r="E106">
        <v>1</v>
      </c>
      <c r="F106">
        <v>5</v>
      </c>
      <c r="G106">
        <v>0</v>
      </c>
      <c r="H106" t="s">
        <v>822</v>
      </c>
    </row>
    <row r="107" spans="1:8" x14ac:dyDescent="0.2">
      <c r="A107" t="s">
        <v>493</v>
      </c>
      <c r="B107" t="s">
        <v>2</v>
      </c>
      <c r="C107" t="s">
        <v>3</v>
      </c>
      <c r="D107" t="s">
        <v>12</v>
      </c>
      <c r="E107">
        <v>1</v>
      </c>
      <c r="F107">
        <v>5</v>
      </c>
      <c r="G107">
        <v>1</v>
      </c>
      <c r="H107" t="s">
        <v>823</v>
      </c>
    </row>
    <row r="108" spans="1:8" x14ac:dyDescent="0.2">
      <c r="A108" t="s">
        <v>494</v>
      </c>
      <c r="B108" t="s">
        <v>2</v>
      </c>
      <c r="C108" t="s">
        <v>3</v>
      </c>
      <c r="D108" t="s">
        <v>12</v>
      </c>
      <c r="E108">
        <v>1</v>
      </c>
      <c r="F108">
        <v>5</v>
      </c>
      <c r="G108">
        <v>2</v>
      </c>
      <c r="H108" t="s">
        <v>824</v>
      </c>
    </row>
    <row r="109" spans="1:8" x14ac:dyDescent="0.2">
      <c r="A109" t="s">
        <v>495</v>
      </c>
      <c r="B109" t="s">
        <v>2</v>
      </c>
      <c r="C109" t="s">
        <v>3</v>
      </c>
      <c r="D109" t="s">
        <v>12</v>
      </c>
      <c r="E109">
        <v>1</v>
      </c>
      <c r="F109">
        <v>6</v>
      </c>
      <c r="G109">
        <v>0</v>
      </c>
      <c r="H109" t="s">
        <v>825</v>
      </c>
    </row>
    <row r="110" spans="1:8" x14ac:dyDescent="0.2">
      <c r="A110" t="s">
        <v>496</v>
      </c>
      <c r="B110" t="s">
        <v>2</v>
      </c>
      <c r="C110" t="s">
        <v>3</v>
      </c>
      <c r="D110" t="s">
        <v>12</v>
      </c>
      <c r="E110">
        <v>1</v>
      </c>
      <c r="F110">
        <v>6</v>
      </c>
      <c r="G110">
        <v>1</v>
      </c>
      <c r="H110" t="s">
        <v>826</v>
      </c>
    </row>
    <row r="111" spans="1:8" x14ac:dyDescent="0.2">
      <c r="A111" t="s">
        <v>497</v>
      </c>
      <c r="B111" t="s">
        <v>2</v>
      </c>
      <c r="C111" t="s">
        <v>3</v>
      </c>
      <c r="D111" t="s">
        <v>12</v>
      </c>
      <c r="E111">
        <v>1</v>
      </c>
      <c r="F111">
        <v>6</v>
      </c>
      <c r="G111">
        <v>2</v>
      </c>
      <c r="H111" t="s">
        <v>827</v>
      </c>
    </row>
    <row r="112" spans="1:8" x14ac:dyDescent="0.2">
      <c r="A112" t="s">
        <v>498</v>
      </c>
      <c r="B112" t="s">
        <v>2</v>
      </c>
      <c r="C112" t="s">
        <v>3</v>
      </c>
      <c r="D112" t="s">
        <v>12</v>
      </c>
      <c r="E112">
        <v>1</v>
      </c>
      <c r="F112">
        <v>7</v>
      </c>
      <c r="G112">
        <v>0</v>
      </c>
      <c r="H112" t="s">
        <v>828</v>
      </c>
    </row>
    <row r="113" spans="1:8" x14ac:dyDescent="0.2">
      <c r="A113" t="s">
        <v>499</v>
      </c>
      <c r="B113" t="s">
        <v>2</v>
      </c>
      <c r="C113" t="s">
        <v>3</v>
      </c>
      <c r="D113" t="s">
        <v>12</v>
      </c>
      <c r="E113">
        <v>1</v>
      </c>
      <c r="F113">
        <v>7</v>
      </c>
      <c r="G113">
        <v>1</v>
      </c>
      <c r="H113" t="s">
        <v>829</v>
      </c>
    </row>
    <row r="114" spans="1:8" x14ac:dyDescent="0.2">
      <c r="A114" t="s">
        <v>500</v>
      </c>
      <c r="B114" t="s">
        <v>2</v>
      </c>
      <c r="C114" t="s">
        <v>3</v>
      </c>
      <c r="D114" t="s">
        <v>12</v>
      </c>
      <c r="E114">
        <v>1</v>
      </c>
      <c r="F114">
        <v>7</v>
      </c>
      <c r="G114">
        <v>2</v>
      </c>
      <c r="H114" t="s">
        <v>830</v>
      </c>
    </row>
    <row r="115" spans="1:8" x14ac:dyDescent="0.2">
      <c r="A115" t="s">
        <v>501</v>
      </c>
      <c r="B115" t="s">
        <v>2</v>
      </c>
      <c r="C115" t="s">
        <v>3</v>
      </c>
      <c r="D115" t="s">
        <v>12</v>
      </c>
      <c r="E115">
        <v>1</v>
      </c>
      <c r="F115">
        <v>8</v>
      </c>
      <c r="G115">
        <v>0</v>
      </c>
      <c r="H115" t="s">
        <v>831</v>
      </c>
    </row>
    <row r="116" spans="1:8" x14ac:dyDescent="0.2">
      <c r="A116" t="s">
        <v>502</v>
      </c>
      <c r="B116" t="s">
        <v>2</v>
      </c>
      <c r="C116" t="s">
        <v>3</v>
      </c>
      <c r="D116" t="s">
        <v>12</v>
      </c>
      <c r="E116">
        <v>1</v>
      </c>
      <c r="F116">
        <v>8</v>
      </c>
      <c r="G116">
        <v>1</v>
      </c>
      <c r="H116" t="s">
        <v>832</v>
      </c>
    </row>
    <row r="117" spans="1:8" x14ac:dyDescent="0.2">
      <c r="A117" t="s">
        <v>503</v>
      </c>
      <c r="B117" t="s">
        <v>2</v>
      </c>
      <c r="C117" t="s">
        <v>3</v>
      </c>
      <c r="D117" t="s">
        <v>12</v>
      </c>
      <c r="E117">
        <v>1</v>
      </c>
      <c r="F117">
        <v>8</v>
      </c>
      <c r="G117">
        <v>2</v>
      </c>
      <c r="H117" t="s">
        <v>833</v>
      </c>
    </row>
    <row r="118" spans="1:8" x14ac:dyDescent="0.2">
      <c r="A118" t="s">
        <v>504</v>
      </c>
      <c r="B118" t="s">
        <v>2</v>
      </c>
      <c r="C118" t="s">
        <v>3</v>
      </c>
      <c r="D118" t="s">
        <v>12</v>
      </c>
      <c r="E118">
        <v>1</v>
      </c>
      <c r="F118">
        <v>9</v>
      </c>
      <c r="G118">
        <v>0</v>
      </c>
      <c r="H118" t="s">
        <v>834</v>
      </c>
    </row>
    <row r="119" spans="1:8" x14ac:dyDescent="0.2">
      <c r="A119" t="s">
        <v>505</v>
      </c>
      <c r="B119" t="s">
        <v>2</v>
      </c>
      <c r="C119" t="s">
        <v>3</v>
      </c>
      <c r="D119" t="s">
        <v>12</v>
      </c>
      <c r="E119">
        <v>1</v>
      </c>
      <c r="F119">
        <v>9</v>
      </c>
      <c r="G119">
        <v>1</v>
      </c>
      <c r="H119" t="s">
        <v>835</v>
      </c>
    </row>
    <row r="120" spans="1:8" x14ac:dyDescent="0.2">
      <c r="A120" t="s">
        <v>506</v>
      </c>
      <c r="B120" t="s">
        <v>2</v>
      </c>
      <c r="C120" t="s">
        <v>3</v>
      </c>
      <c r="D120" t="s">
        <v>12</v>
      </c>
      <c r="E120">
        <v>1</v>
      </c>
      <c r="F120">
        <v>9</v>
      </c>
      <c r="G120">
        <v>2</v>
      </c>
      <c r="H120" t="s">
        <v>836</v>
      </c>
    </row>
    <row r="121" spans="1:8" x14ac:dyDescent="0.2">
      <c r="A121" t="s">
        <v>507</v>
      </c>
      <c r="B121" t="s">
        <v>2</v>
      </c>
      <c r="C121" t="s">
        <v>3</v>
      </c>
      <c r="D121" t="s">
        <v>12</v>
      </c>
      <c r="E121">
        <v>2</v>
      </c>
      <c r="F121">
        <v>0</v>
      </c>
      <c r="G121">
        <v>0</v>
      </c>
      <c r="H121" t="s">
        <v>837</v>
      </c>
    </row>
    <row r="122" spans="1:8" x14ac:dyDescent="0.2">
      <c r="A122" t="s">
        <v>508</v>
      </c>
      <c r="B122" t="s">
        <v>2</v>
      </c>
      <c r="C122" t="s">
        <v>3</v>
      </c>
      <c r="D122" t="s">
        <v>12</v>
      </c>
      <c r="E122">
        <v>2</v>
      </c>
      <c r="F122">
        <v>0</v>
      </c>
      <c r="G122">
        <v>1</v>
      </c>
      <c r="H122" t="s">
        <v>838</v>
      </c>
    </row>
    <row r="123" spans="1:8" x14ac:dyDescent="0.2">
      <c r="A123" t="s">
        <v>509</v>
      </c>
      <c r="B123" t="s">
        <v>2</v>
      </c>
      <c r="C123" t="s">
        <v>3</v>
      </c>
      <c r="D123" t="s">
        <v>12</v>
      </c>
      <c r="E123">
        <v>2</v>
      </c>
      <c r="F123">
        <v>0</v>
      </c>
      <c r="G123">
        <v>2</v>
      </c>
      <c r="H123" t="s">
        <v>839</v>
      </c>
    </row>
    <row r="124" spans="1:8" x14ac:dyDescent="0.2">
      <c r="A124" t="s">
        <v>510</v>
      </c>
      <c r="B124" t="s">
        <v>2</v>
      </c>
      <c r="C124" t="s">
        <v>3</v>
      </c>
      <c r="D124" t="s">
        <v>12</v>
      </c>
      <c r="E124">
        <v>2</v>
      </c>
      <c r="F124">
        <v>1</v>
      </c>
      <c r="G124">
        <v>0</v>
      </c>
      <c r="H124" t="s">
        <v>840</v>
      </c>
    </row>
    <row r="125" spans="1:8" x14ac:dyDescent="0.2">
      <c r="A125" t="s">
        <v>511</v>
      </c>
      <c r="B125" t="s">
        <v>2</v>
      </c>
      <c r="C125" t="s">
        <v>3</v>
      </c>
      <c r="D125" t="s">
        <v>12</v>
      </c>
      <c r="E125">
        <v>2</v>
      </c>
      <c r="F125">
        <v>1</v>
      </c>
      <c r="G125">
        <v>1</v>
      </c>
      <c r="H125" t="s">
        <v>841</v>
      </c>
    </row>
    <row r="126" spans="1:8" x14ac:dyDescent="0.2">
      <c r="A126" t="s">
        <v>512</v>
      </c>
      <c r="B126" t="s">
        <v>2</v>
      </c>
      <c r="C126" t="s">
        <v>3</v>
      </c>
      <c r="D126" t="s">
        <v>12</v>
      </c>
      <c r="E126">
        <v>2</v>
      </c>
      <c r="F126">
        <v>1</v>
      </c>
      <c r="G126">
        <v>2</v>
      </c>
      <c r="H126" t="s">
        <v>842</v>
      </c>
    </row>
    <row r="127" spans="1:8" x14ac:dyDescent="0.2">
      <c r="A127" t="s">
        <v>513</v>
      </c>
      <c r="B127" t="s">
        <v>2</v>
      </c>
      <c r="C127" t="s">
        <v>3</v>
      </c>
      <c r="D127" t="s">
        <v>12</v>
      </c>
      <c r="E127">
        <v>2</v>
      </c>
      <c r="F127">
        <v>2</v>
      </c>
      <c r="G127">
        <v>0</v>
      </c>
      <c r="H127" t="s">
        <v>843</v>
      </c>
    </row>
    <row r="128" spans="1:8" x14ac:dyDescent="0.2">
      <c r="A128" t="s">
        <v>514</v>
      </c>
      <c r="B128" t="s">
        <v>2</v>
      </c>
      <c r="C128" t="s">
        <v>3</v>
      </c>
      <c r="D128" t="s">
        <v>12</v>
      </c>
      <c r="E128">
        <v>2</v>
      </c>
      <c r="F128">
        <v>2</v>
      </c>
      <c r="G128">
        <v>1</v>
      </c>
      <c r="H128" t="s">
        <v>844</v>
      </c>
    </row>
    <row r="129" spans="1:8" x14ac:dyDescent="0.2">
      <c r="A129" t="s">
        <v>515</v>
      </c>
      <c r="B129" t="s">
        <v>2</v>
      </c>
      <c r="C129" t="s">
        <v>3</v>
      </c>
      <c r="D129" t="s">
        <v>12</v>
      </c>
      <c r="E129">
        <v>2</v>
      </c>
      <c r="F129">
        <v>2</v>
      </c>
      <c r="G129">
        <v>2</v>
      </c>
      <c r="H129" t="s">
        <v>845</v>
      </c>
    </row>
    <row r="130" spans="1:8" x14ac:dyDescent="0.2">
      <c r="A130" t="s">
        <v>516</v>
      </c>
      <c r="B130" t="s">
        <v>2</v>
      </c>
      <c r="C130" t="s">
        <v>3</v>
      </c>
      <c r="D130" t="s">
        <v>12</v>
      </c>
      <c r="E130">
        <v>2</v>
      </c>
      <c r="F130">
        <v>3</v>
      </c>
      <c r="G130">
        <v>0</v>
      </c>
      <c r="H130" t="s">
        <v>846</v>
      </c>
    </row>
    <row r="131" spans="1:8" x14ac:dyDescent="0.2">
      <c r="A131" t="s">
        <v>517</v>
      </c>
      <c r="B131" t="s">
        <v>2</v>
      </c>
      <c r="C131" t="s">
        <v>3</v>
      </c>
      <c r="D131" t="s">
        <v>12</v>
      </c>
      <c r="E131">
        <v>2</v>
      </c>
      <c r="F131">
        <v>3</v>
      </c>
      <c r="G131">
        <v>1</v>
      </c>
      <c r="H131" t="s">
        <v>847</v>
      </c>
    </row>
    <row r="132" spans="1:8" x14ac:dyDescent="0.2">
      <c r="A132" t="s">
        <v>518</v>
      </c>
      <c r="B132" t="s">
        <v>2</v>
      </c>
      <c r="C132" t="s">
        <v>3</v>
      </c>
      <c r="D132" t="s">
        <v>12</v>
      </c>
      <c r="E132">
        <v>2</v>
      </c>
      <c r="F132">
        <v>3</v>
      </c>
      <c r="G132">
        <v>2</v>
      </c>
      <c r="H132" t="s">
        <v>848</v>
      </c>
    </row>
    <row r="133" spans="1:8" x14ac:dyDescent="0.2">
      <c r="A133" t="s">
        <v>519</v>
      </c>
      <c r="B133" t="s">
        <v>2</v>
      </c>
      <c r="C133" t="s">
        <v>3</v>
      </c>
      <c r="D133" t="s">
        <v>12</v>
      </c>
      <c r="E133">
        <v>2</v>
      </c>
      <c r="F133">
        <v>4</v>
      </c>
      <c r="G133">
        <v>0</v>
      </c>
      <c r="H133" t="s">
        <v>849</v>
      </c>
    </row>
    <row r="134" spans="1:8" x14ac:dyDescent="0.2">
      <c r="A134" t="s">
        <v>520</v>
      </c>
      <c r="B134" t="s">
        <v>2</v>
      </c>
      <c r="C134" t="s">
        <v>3</v>
      </c>
      <c r="D134" t="s">
        <v>12</v>
      </c>
      <c r="E134">
        <v>2</v>
      </c>
      <c r="F134">
        <v>4</v>
      </c>
      <c r="G134">
        <v>1</v>
      </c>
      <c r="H134" t="s">
        <v>850</v>
      </c>
    </row>
    <row r="135" spans="1:8" x14ac:dyDescent="0.2">
      <c r="A135" t="s">
        <v>521</v>
      </c>
      <c r="B135" t="s">
        <v>2</v>
      </c>
      <c r="C135" t="s">
        <v>3</v>
      </c>
      <c r="D135" t="s">
        <v>12</v>
      </c>
      <c r="E135">
        <v>2</v>
      </c>
      <c r="F135">
        <v>4</v>
      </c>
      <c r="G135">
        <v>2</v>
      </c>
      <c r="H135" t="s">
        <v>851</v>
      </c>
    </row>
    <row r="136" spans="1:8" x14ac:dyDescent="0.2">
      <c r="A136" t="s">
        <v>522</v>
      </c>
      <c r="B136" t="s">
        <v>2</v>
      </c>
      <c r="C136" t="s">
        <v>3</v>
      </c>
      <c r="D136" t="s">
        <v>12</v>
      </c>
      <c r="E136">
        <v>2</v>
      </c>
      <c r="F136">
        <v>5</v>
      </c>
      <c r="G136">
        <v>0</v>
      </c>
      <c r="H136" t="s">
        <v>852</v>
      </c>
    </row>
    <row r="137" spans="1:8" x14ac:dyDescent="0.2">
      <c r="A137" t="s">
        <v>523</v>
      </c>
      <c r="B137" t="s">
        <v>2</v>
      </c>
      <c r="C137" t="s">
        <v>3</v>
      </c>
      <c r="D137" t="s">
        <v>12</v>
      </c>
      <c r="E137">
        <v>2</v>
      </c>
      <c r="F137">
        <v>5</v>
      </c>
      <c r="G137">
        <v>1</v>
      </c>
      <c r="H137" t="s">
        <v>853</v>
      </c>
    </row>
    <row r="138" spans="1:8" x14ac:dyDescent="0.2">
      <c r="A138" t="s">
        <v>524</v>
      </c>
      <c r="B138" t="s">
        <v>2</v>
      </c>
      <c r="C138" t="s">
        <v>3</v>
      </c>
      <c r="D138" t="s">
        <v>12</v>
      </c>
      <c r="E138">
        <v>2</v>
      </c>
      <c r="F138">
        <v>5</v>
      </c>
      <c r="G138">
        <v>2</v>
      </c>
      <c r="H138" t="s">
        <v>854</v>
      </c>
    </row>
    <row r="139" spans="1:8" x14ac:dyDescent="0.2">
      <c r="A139" t="s">
        <v>525</v>
      </c>
      <c r="B139" t="s">
        <v>2</v>
      </c>
      <c r="C139" t="s">
        <v>3</v>
      </c>
      <c r="D139" t="s">
        <v>12</v>
      </c>
      <c r="E139">
        <v>2</v>
      </c>
      <c r="F139">
        <v>6</v>
      </c>
      <c r="G139">
        <v>0</v>
      </c>
      <c r="H139" t="s">
        <v>855</v>
      </c>
    </row>
    <row r="140" spans="1:8" x14ac:dyDescent="0.2">
      <c r="A140" t="s">
        <v>526</v>
      </c>
      <c r="B140" t="s">
        <v>2</v>
      </c>
      <c r="C140" t="s">
        <v>3</v>
      </c>
      <c r="D140" t="s">
        <v>12</v>
      </c>
      <c r="E140">
        <v>2</v>
      </c>
      <c r="F140">
        <v>6</v>
      </c>
      <c r="G140">
        <v>1</v>
      </c>
      <c r="H140" t="s">
        <v>856</v>
      </c>
    </row>
    <row r="141" spans="1:8" x14ac:dyDescent="0.2">
      <c r="A141" t="s">
        <v>527</v>
      </c>
      <c r="B141" t="s">
        <v>2</v>
      </c>
      <c r="C141" t="s">
        <v>3</v>
      </c>
      <c r="D141" t="s">
        <v>12</v>
      </c>
      <c r="E141">
        <v>2</v>
      </c>
      <c r="F141">
        <v>6</v>
      </c>
      <c r="G141">
        <v>2</v>
      </c>
      <c r="H141" t="s">
        <v>857</v>
      </c>
    </row>
    <row r="142" spans="1:8" x14ac:dyDescent="0.2">
      <c r="A142" t="s">
        <v>528</v>
      </c>
      <c r="B142" t="s">
        <v>2</v>
      </c>
      <c r="C142" t="s">
        <v>3</v>
      </c>
      <c r="D142" t="s">
        <v>12</v>
      </c>
      <c r="E142">
        <v>2</v>
      </c>
      <c r="F142">
        <v>7</v>
      </c>
      <c r="G142">
        <v>0</v>
      </c>
      <c r="H142" t="s">
        <v>858</v>
      </c>
    </row>
    <row r="143" spans="1:8" x14ac:dyDescent="0.2">
      <c r="A143" t="s">
        <v>529</v>
      </c>
      <c r="B143" t="s">
        <v>2</v>
      </c>
      <c r="C143" t="s">
        <v>3</v>
      </c>
      <c r="D143" t="s">
        <v>12</v>
      </c>
      <c r="E143">
        <v>2</v>
      </c>
      <c r="F143">
        <v>7</v>
      </c>
      <c r="G143">
        <v>1</v>
      </c>
      <c r="H143" t="s">
        <v>859</v>
      </c>
    </row>
    <row r="144" spans="1:8" x14ac:dyDescent="0.2">
      <c r="A144" t="s">
        <v>530</v>
      </c>
      <c r="B144" t="s">
        <v>2</v>
      </c>
      <c r="C144" t="s">
        <v>3</v>
      </c>
      <c r="D144" t="s">
        <v>12</v>
      </c>
      <c r="E144">
        <v>2</v>
      </c>
      <c r="F144">
        <v>7</v>
      </c>
      <c r="G144">
        <v>2</v>
      </c>
      <c r="H144" t="s">
        <v>860</v>
      </c>
    </row>
    <row r="145" spans="1:8" x14ac:dyDescent="0.2">
      <c r="A145" t="s">
        <v>531</v>
      </c>
      <c r="B145" t="s">
        <v>2</v>
      </c>
      <c r="C145" t="s">
        <v>3</v>
      </c>
      <c r="D145" t="s">
        <v>12</v>
      </c>
      <c r="E145">
        <v>2</v>
      </c>
      <c r="F145">
        <v>8</v>
      </c>
      <c r="G145">
        <v>0</v>
      </c>
      <c r="H145" t="s">
        <v>861</v>
      </c>
    </row>
    <row r="146" spans="1:8" x14ac:dyDescent="0.2">
      <c r="A146" t="s">
        <v>532</v>
      </c>
      <c r="B146" t="s">
        <v>2</v>
      </c>
      <c r="C146" t="s">
        <v>3</v>
      </c>
      <c r="D146" t="s">
        <v>12</v>
      </c>
      <c r="E146">
        <v>2</v>
      </c>
      <c r="F146">
        <v>8</v>
      </c>
      <c r="G146">
        <v>1</v>
      </c>
      <c r="H146" t="s">
        <v>862</v>
      </c>
    </row>
    <row r="147" spans="1:8" x14ac:dyDescent="0.2">
      <c r="A147" t="s">
        <v>533</v>
      </c>
      <c r="B147" t="s">
        <v>2</v>
      </c>
      <c r="C147" t="s">
        <v>3</v>
      </c>
      <c r="D147" t="s">
        <v>12</v>
      </c>
      <c r="E147">
        <v>2</v>
      </c>
      <c r="F147">
        <v>8</v>
      </c>
      <c r="G147">
        <v>2</v>
      </c>
      <c r="H147" t="s">
        <v>863</v>
      </c>
    </row>
    <row r="148" spans="1:8" x14ac:dyDescent="0.2">
      <c r="A148" t="s">
        <v>534</v>
      </c>
      <c r="B148" t="s">
        <v>2</v>
      </c>
      <c r="C148" t="s">
        <v>3</v>
      </c>
      <c r="D148" t="s">
        <v>12</v>
      </c>
      <c r="E148">
        <v>2</v>
      </c>
      <c r="F148">
        <v>9</v>
      </c>
      <c r="G148">
        <v>0</v>
      </c>
      <c r="H148" t="s">
        <v>864</v>
      </c>
    </row>
    <row r="149" spans="1:8" x14ac:dyDescent="0.2">
      <c r="A149" t="s">
        <v>535</v>
      </c>
      <c r="B149" t="s">
        <v>2</v>
      </c>
      <c r="C149" t="s">
        <v>3</v>
      </c>
      <c r="D149" t="s">
        <v>12</v>
      </c>
      <c r="E149">
        <v>2</v>
      </c>
      <c r="F149">
        <v>9</v>
      </c>
      <c r="G149">
        <v>1</v>
      </c>
      <c r="H149" t="s">
        <v>865</v>
      </c>
    </row>
    <row r="150" spans="1:8" x14ac:dyDescent="0.2">
      <c r="A150" t="s">
        <v>536</v>
      </c>
      <c r="B150" t="s">
        <v>2</v>
      </c>
      <c r="C150" t="s">
        <v>3</v>
      </c>
      <c r="D150" t="s">
        <v>12</v>
      </c>
      <c r="E150">
        <v>2</v>
      </c>
      <c r="F150">
        <v>9</v>
      </c>
      <c r="G150">
        <v>2</v>
      </c>
      <c r="H150" t="s">
        <v>866</v>
      </c>
    </row>
    <row r="151" spans="1:8" x14ac:dyDescent="0.2">
      <c r="A151" t="s">
        <v>537</v>
      </c>
      <c r="B151" t="s">
        <v>4</v>
      </c>
      <c r="C151" t="s">
        <v>5</v>
      </c>
      <c r="D151" t="s">
        <v>12</v>
      </c>
      <c r="E151" t="s">
        <v>12</v>
      </c>
      <c r="F151">
        <v>0</v>
      </c>
      <c r="G151">
        <v>0</v>
      </c>
      <c r="H151" t="s">
        <v>867</v>
      </c>
    </row>
    <row r="152" spans="1:8" x14ac:dyDescent="0.2">
      <c r="A152" t="s">
        <v>538</v>
      </c>
      <c r="B152" t="s">
        <v>4</v>
      </c>
      <c r="C152" t="s">
        <v>5</v>
      </c>
      <c r="D152" t="s">
        <v>12</v>
      </c>
      <c r="E152" t="s">
        <v>12</v>
      </c>
      <c r="F152">
        <v>0</v>
      </c>
      <c r="G152">
        <v>1</v>
      </c>
      <c r="H152" t="s">
        <v>868</v>
      </c>
    </row>
    <row r="153" spans="1:8" x14ac:dyDescent="0.2">
      <c r="A153" t="s">
        <v>539</v>
      </c>
      <c r="B153" t="s">
        <v>4</v>
      </c>
      <c r="C153" t="s">
        <v>5</v>
      </c>
      <c r="D153" t="s">
        <v>12</v>
      </c>
      <c r="E153" t="s">
        <v>12</v>
      </c>
      <c r="F153">
        <v>0</v>
      </c>
      <c r="G153">
        <v>2</v>
      </c>
      <c r="H153" t="s">
        <v>869</v>
      </c>
    </row>
    <row r="154" spans="1:8" x14ac:dyDescent="0.2">
      <c r="A154" t="s">
        <v>540</v>
      </c>
      <c r="B154" t="s">
        <v>4</v>
      </c>
      <c r="C154" t="s">
        <v>5</v>
      </c>
      <c r="D154" t="s">
        <v>12</v>
      </c>
      <c r="E154" t="s">
        <v>12</v>
      </c>
      <c r="F154">
        <v>0</v>
      </c>
      <c r="G154">
        <v>3</v>
      </c>
      <c r="H154" t="s">
        <v>870</v>
      </c>
    </row>
    <row r="155" spans="1:8" x14ac:dyDescent="0.2">
      <c r="A155" t="s">
        <v>541</v>
      </c>
      <c r="B155" t="s">
        <v>4</v>
      </c>
      <c r="C155" t="s">
        <v>5</v>
      </c>
      <c r="D155" t="s">
        <v>12</v>
      </c>
      <c r="E155" t="s">
        <v>12</v>
      </c>
      <c r="F155">
        <v>0</v>
      </c>
      <c r="G155">
        <v>4</v>
      </c>
      <c r="H155" t="s">
        <v>871</v>
      </c>
    </row>
    <row r="156" spans="1:8" x14ac:dyDescent="0.2">
      <c r="A156" t="s">
        <v>542</v>
      </c>
      <c r="B156" t="s">
        <v>4</v>
      </c>
      <c r="C156" t="s">
        <v>5</v>
      </c>
      <c r="D156" t="s">
        <v>12</v>
      </c>
      <c r="E156" t="s">
        <v>12</v>
      </c>
      <c r="F156">
        <v>0</v>
      </c>
      <c r="G156">
        <v>5</v>
      </c>
      <c r="H156" t="s">
        <v>872</v>
      </c>
    </row>
    <row r="157" spans="1:8" x14ac:dyDescent="0.2">
      <c r="A157" t="s">
        <v>543</v>
      </c>
      <c r="B157" t="s">
        <v>4</v>
      </c>
      <c r="C157" t="s">
        <v>5</v>
      </c>
      <c r="D157" t="s">
        <v>12</v>
      </c>
      <c r="E157" t="s">
        <v>12</v>
      </c>
      <c r="F157">
        <v>0</v>
      </c>
      <c r="G157">
        <v>6</v>
      </c>
      <c r="H157" t="s">
        <v>873</v>
      </c>
    </row>
    <row r="158" spans="1:8" x14ac:dyDescent="0.2">
      <c r="A158" t="s">
        <v>544</v>
      </c>
      <c r="B158" t="s">
        <v>4</v>
      </c>
      <c r="C158" t="s">
        <v>5</v>
      </c>
      <c r="D158" t="s">
        <v>12</v>
      </c>
      <c r="E158" t="s">
        <v>12</v>
      </c>
      <c r="F158">
        <v>0</v>
      </c>
      <c r="G158">
        <v>7</v>
      </c>
      <c r="H158" t="s">
        <v>874</v>
      </c>
    </row>
    <row r="159" spans="1:8" x14ac:dyDescent="0.2">
      <c r="A159" t="s">
        <v>545</v>
      </c>
      <c r="B159" t="s">
        <v>4</v>
      </c>
      <c r="C159" t="s">
        <v>5</v>
      </c>
      <c r="D159" t="s">
        <v>12</v>
      </c>
      <c r="E159" t="s">
        <v>12</v>
      </c>
      <c r="F159">
        <v>0</v>
      </c>
      <c r="G159">
        <v>8</v>
      </c>
      <c r="H159" t="s">
        <v>875</v>
      </c>
    </row>
    <row r="160" spans="1:8" x14ac:dyDescent="0.2">
      <c r="A160" t="s">
        <v>546</v>
      </c>
      <c r="B160" t="s">
        <v>4</v>
      </c>
      <c r="C160" t="s">
        <v>5</v>
      </c>
      <c r="D160" t="s">
        <v>12</v>
      </c>
      <c r="E160" t="s">
        <v>12</v>
      </c>
      <c r="F160">
        <v>0</v>
      </c>
      <c r="G160">
        <v>9</v>
      </c>
      <c r="H160" t="s">
        <v>876</v>
      </c>
    </row>
    <row r="161" spans="1:8" x14ac:dyDescent="0.2">
      <c r="A161" t="s">
        <v>547</v>
      </c>
      <c r="B161" t="s">
        <v>4</v>
      </c>
      <c r="C161" t="s">
        <v>5</v>
      </c>
      <c r="D161" t="s">
        <v>12</v>
      </c>
      <c r="E161" t="s">
        <v>12</v>
      </c>
      <c r="F161">
        <v>1</v>
      </c>
      <c r="G161">
        <v>0</v>
      </c>
      <c r="H161" t="s">
        <v>877</v>
      </c>
    </row>
    <row r="162" spans="1:8" x14ac:dyDescent="0.2">
      <c r="A162" t="s">
        <v>548</v>
      </c>
      <c r="B162" t="s">
        <v>4</v>
      </c>
      <c r="C162" t="s">
        <v>5</v>
      </c>
      <c r="D162" t="s">
        <v>12</v>
      </c>
      <c r="E162" t="s">
        <v>12</v>
      </c>
      <c r="F162">
        <v>1</v>
      </c>
      <c r="G162">
        <v>1</v>
      </c>
      <c r="H162" t="s">
        <v>878</v>
      </c>
    </row>
    <row r="163" spans="1:8" x14ac:dyDescent="0.2">
      <c r="A163" t="s">
        <v>549</v>
      </c>
      <c r="B163" t="s">
        <v>4</v>
      </c>
      <c r="C163" t="s">
        <v>5</v>
      </c>
      <c r="D163" t="s">
        <v>12</v>
      </c>
      <c r="E163" t="s">
        <v>12</v>
      </c>
      <c r="F163">
        <v>1</v>
      </c>
      <c r="G163">
        <v>2</v>
      </c>
      <c r="H163" t="s">
        <v>879</v>
      </c>
    </row>
    <row r="164" spans="1:8" x14ac:dyDescent="0.2">
      <c r="A164" t="s">
        <v>550</v>
      </c>
      <c r="B164" t="s">
        <v>4</v>
      </c>
      <c r="C164" t="s">
        <v>5</v>
      </c>
      <c r="D164" t="s">
        <v>12</v>
      </c>
      <c r="E164" t="s">
        <v>12</v>
      </c>
      <c r="F164">
        <v>1</v>
      </c>
      <c r="G164">
        <v>3</v>
      </c>
      <c r="H164" t="s">
        <v>880</v>
      </c>
    </row>
    <row r="165" spans="1:8" x14ac:dyDescent="0.2">
      <c r="A165" t="s">
        <v>551</v>
      </c>
      <c r="B165" t="s">
        <v>4</v>
      </c>
      <c r="C165" t="s">
        <v>5</v>
      </c>
      <c r="D165" t="s">
        <v>12</v>
      </c>
      <c r="E165" t="s">
        <v>12</v>
      </c>
      <c r="F165">
        <v>1</v>
      </c>
      <c r="G165">
        <v>4</v>
      </c>
      <c r="H165" t="s">
        <v>881</v>
      </c>
    </row>
    <row r="166" spans="1:8" x14ac:dyDescent="0.2">
      <c r="A166" t="s">
        <v>552</v>
      </c>
      <c r="B166" t="s">
        <v>4</v>
      </c>
      <c r="C166" t="s">
        <v>5</v>
      </c>
      <c r="D166" t="s">
        <v>12</v>
      </c>
      <c r="E166" t="s">
        <v>12</v>
      </c>
      <c r="F166">
        <v>1</v>
      </c>
      <c r="G166">
        <v>5</v>
      </c>
      <c r="H166" t="s">
        <v>882</v>
      </c>
    </row>
    <row r="167" spans="1:8" x14ac:dyDescent="0.2">
      <c r="A167" t="s">
        <v>553</v>
      </c>
      <c r="B167" t="s">
        <v>4</v>
      </c>
      <c r="C167" t="s">
        <v>5</v>
      </c>
      <c r="D167" t="s">
        <v>12</v>
      </c>
      <c r="E167" t="s">
        <v>12</v>
      </c>
      <c r="F167">
        <v>1</v>
      </c>
      <c r="G167">
        <v>6</v>
      </c>
      <c r="H167" t="s">
        <v>883</v>
      </c>
    </row>
    <row r="168" spans="1:8" x14ac:dyDescent="0.2">
      <c r="A168" t="s">
        <v>554</v>
      </c>
      <c r="B168" t="s">
        <v>4</v>
      </c>
      <c r="C168" t="s">
        <v>5</v>
      </c>
      <c r="D168" t="s">
        <v>12</v>
      </c>
      <c r="E168" t="s">
        <v>12</v>
      </c>
      <c r="F168">
        <v>1</v>
      </c>
      <c r="G168">
        <v>7</v>
      </c>
      <c r="H168" t="s">
        <v>884</v>
      </c>
    </row>
    <row r="169" spans="1:8" x14ac:dyDescent="0.2">
      <c r="A169" t="s">
        <v>555</v>
      </c>
      <c r="B169" t="s">
        <v>4</v>
      </c>
      <c r="C169" t="s">
        <v>5</v>
      </c>
      <c r="D169" t="s">
        <v>12</v>
      </c>
      <c r="E169" t="s">
        <v>12</v>
      </c>
      <c r="F169">
        <v>1</v>
      </c>
      <c r="G169">
        <v>8</v>
      </c>
      <c r="H169" t="s">
        <v>885</v>
      </c>
    </row>
    <row r="170" spans="1:8" x14ac:dyDescent="0.2">
      <c r="A170" t="s">
        <v>556</v>
      </c>
      <c r="B170" t="s">
        <v>4</v>
      </c>
      <c r="C170" t="s">
        <v>5</v>
      </c>
      <c r="D170" t="s">
        <v>12</v>
      </c>
      <c r="E170" t="s">
        <v>12</v>
      </c>
      <c r="F170">
        <v>1</v>
      </c>
      <c r="G170">
        <v>9</v>
      </c>
      <c r="H170" t="s">
        <v>886</v>
      </c>
    </row>
    <row r="171" spans="1:8" x14ac:dyDescent="0.2">
      <c r="A171" t="s">
        <v>557</v>
      </c>
      <c r="B171" t="s">
        <v>4</v>
      </c>
      <c r="C171" t="s">
        <v>5</v>
      </c>
      <c r="D171" t="s">
        <v>12</v>
      </c>
      <c r="E171" t="s">
        <v>12</v>
      </c>
      <c r="F171">
        <v>2</v>
      </c>
      <c r="G171">
        <v>0</v>
      </c>
      <c r="H171" t="s">
        <v>887</v>
      </c>
    </row>
    <row r="172" spans="1:8" x14ac:dyDescent="0.2">
      <c r="A172" t="s">
        <v>558</v>
      </c>
      <c r="B172" t="s">
        <v>4</v>
      </c>
      <c r="C172" t="s">
        <v>5</v>
      </c>
      <c r="D172" t="s">
        <v>12</v>
      </c>
      <c r="E172" t="s">
        <v>12</v>
      </c>
      <c r="F172">
        <v>2</v>
      </c>
      <c r="G172">
        <v>1</v>
      </c>
      <c r="H172" t="s">
        <v>888</v>
      </c>
    </row>
    <row r="173" spans="1:8" x14ac:dyDescent="0.2">
      <c r="A173" t="s">
        <v>559</v>
      </c>
      <c r="B173" t="s">
        <v>4</v>
      </c>
      <c r="C173" t="s">
        <v>5</v>
      </c>
      <c r="D173" t="s">
        <v>12</v>
      </c>
      <c r="E173" t="s">
        <v>12</v>
      </c>
      <c r="F173">
        <v>2</v>
      </c>
      <c r="G173">
        <v>2</v>
      </c>
      <c r="H173" t="s">
        <v>889</v>
      </c>
    </row>
    <row r="174" spans="1:8" x14ac:dyDescent="0.2">
      <c r="A174" t="s">
        <v>560</v>
      </c>
      <c r="B174" t="s">
        <v>4</v>
      </c>
      <c r="C174" t="s">
        <v>5</v>
      </c>
      <c r="D174" t="s">
        <v>12</v>
      </c>
      <c r="E174" t="s">
        <v>12</v>
      </c>
      <c r="F174">
        <v>2</v>
      </c>
      <c r="G174">
        <v>3</v>
      </c>
      <c r="H174" t="s">
        <v>890</v>
      </c>
    </row>
    <row r="175" spans="1:8" x14ac:dyDescent="0.2">
      <c r="A175" t="s">
        <v>561</v>
      </c>
      <c r="B175" t="s">
        <v>4</v>
      </c>
      <c r="C175" t="s">
        <v>5</v>
      </c>
      <c r="D175" t="s">
        <v>12</v>
      </c>
      <c r="E175" t="s">
        <v>12</v>
      </c>
      <c r="F175">
        <v>2</v>
      </c>
      <c r="G175">
        <v>4</v>
      </c>
      <c r="H175" t="s">
        <v>891</v>
      </c>
    </row>
    <row r="176" spans="1:8" x14ac:dyDescent="0.2">
      <c r="A176" t="s">
        <v>562</v>
      </c>
      <c r="B176" t="s">
        <v>4</v>
      </c>
      <c r="C176" t="s">
        <v>5</v>
      </c>
      <c r="D176" t="s">
        <v>12</v>
      </c>
      <c r="E176" t="s">
        <v>12</v>
      </c>
      <c r="F176">
        <v>2</v>
      </c>
      <c r="G176">
        <v>5</v>
      </c>
      <c r="H176" t="s">
        <v>892</v>
      </c>
    </row>
    <row r="177" spans="1:8" x14ac:dyDescent="0.2">
      <c r="A177" t="s">
        <v>563</v>
      </c>
      <c r="B177" t="s">
        <v>4</v>
      </c>
      <c r="C177" t="s">
        <v>5</v>
      </c>
      <c r="D177" t="s">
        <v>12</v>
      </c>
      <c r="E177" t="s">
        <v>12</v>
      </c>
      <c r="F177">
        <v>2</v>
      </c>
      <c r="G177">
        <v>6</v>
      </c>
      <c r="H177" t="s">
        <v>893</v>
      </c>
    </row>
    <row r="178" spans="1:8" x14ac:dyDescent="0.2">
      <c r="A178" t="s">
        <v>564</v>
      </c>
      <c r="B178" t="s">
        <v>4</v>
      </c>
      <c r="C178" t="s">
        <v>5</v>
      </c>
      <c r="D178" t="s">
        <v>12</v>
      </c>
      <c r="E178" t="s">
        <v>12</v>
      </c>
      <c r="F178">
        <v>2</v>
      </c>
      <c r="G178">
        <v>7</v>
      </c>
      <c r="H178" t="s">
        <v>894</v>
      </c>
    </row>
    <row r="179" spans="1:8" x14ac:dyDescent="0.2">
      <c r="A179" t="s">
        <v>565</v>
      </c>
      <c r="B179" t="s">
        <v>4</v>
      </c>
      <c r="C179" t="s">
        <v>5</v>
      </c>
      <c r="D179" t="s">
        <v>12</v>
      </c>
      <c r="E179" t="s">
        <v>12</v>
      </c>
      <c r="F179">
        <v>2</v>
      </c>
      <c r="G179">
        <v>8</v>
      </c>
      <c r="H179" t="s">
        <v>895</v>
      </c>
    </row>
    <row r="180" spans="1:8" x14ac:dyDescent="0.2">
      <c r="A180" t="s">
        <v>566</v>
      </c>
      <c r="B180" t="s">
        <v>4</v>
      </c>
      <c r="C180" t="s">
        <v>5</v>
      </c>
      <c r="D180" t="s">
        <v>12</v>
      </c>
      <c r="E180" t="s">
        <v>12</v>
      </c>
      <c r="F180">
        <v>2</v>
      </c>
      <c r="G180">
        <v>9</v>
      </c>
      <c r="H180" t="s">
        <v>896</v>
      </c>
    </row>
    <row r="181" spans="1:8" x14ac:dyDescent="0.2">
      <c r="A181" t="s">
        <v>567</v>
      </c>
      <c r="B181" t="s">
        <v>102</v>
      </c>
      <c r="C181" t="s">
        <v>5</v>
      </c>
      <c r="D181" t="s">
        <v>12</v>
      </c>
      <c r="E181" t="s">
        <v>12</v>
      </c>
      <c r="F181">
        <v>0</v>
      </c>
      <c r="G181">
        <v>0</v>
      </c>
      <c r="H181" t="s">
        <v>897</v>
      </c>
    </row>
    <row r="182" spans="1:8" x14ac:dyDescent="0.2">
      <c r="A182" t="s">
        <v>568</v>
      </c>
      <c r="B182" t="s">
        <v>102</v>
      </c>
      <c r="C182" t="s">
        <v>5</v>
      </c>
      <c r="D182" t="s">
        <v>12</v>
      </c>
      <c r="E182" t="s">
        <v>12</v>
      </c>
      <c r="F182">
        <v>0</v>
      </c>
      <c r="G182">
        <v>1</v>
      </c>
      <c r="H182" t="s">
        <v>898</v>
      </c>
    </row>
    <row r="183" spans="1:8" x14ac:dyDescent="0.2">
      <c r="A183" t="s">
        <v>569</v>
      </c>
      <c r="B183" t="s">
        <v>102</v>
      </c>
      <c r="C183" t="s">
        <v>5</v>
      </c>
      <c r="D183" t="s">
        <v>12</v>
      </c>
      <c r="E183" t="s">
        <v>12</v>
      </c>
      <c r="F183">
        <v>0</v>
      </c>
      <c r="G183">
        <v>2</v>
      </c>
      <c r="H183" t="s">
        <v>899</v>
      </c>
    </row>
    <row r="184" spans="1:8" x14ac:dyDescent="0.2">
      <c r="A184" t="s">
        <v>570</v>
      </c>
      <c r="B184" t="s">
        <v>102</v>
      </c>
      <c r="C184" t="s">
        <v>5</v>
      </c>
      <c r="D184" t="s">
        <v>12</v>
      </c>
      <c r="E184" t="s">
        <v>12</v>
      </c>
      <c r="F184">
        <v>0</v>
      </c>
      <c r="G184">
        <v>3</v>
      </c>
      <c r="H184" t="s">
        <v>900</v>
      </c>
    </row>
    <row r="185" spans="1:8" x14ac:dyDescent="0.2">
      <c r="A185" t="s">
        <v>571</v>
      </c>
      <c r="B185" t="s">
        <v>102</v>
      </c>
      <c r="C185" t="s">
        <v>5</v>
      </c>
      <c r="D185" t="s">
        <v>12</v>
      </c>
      <c r="E185" t="s">
        <v>12</v>
      </c>
      <c r="F185">
        <v>0</v>
      </c>
      <c r="G185">
        <v>4</v>
      </c>
      <c r="H185" t="s">
        <v>901</v>
      </c>
    </row>
    <row r="186" spans="1:8" x14ac:dyDescent="0.2">
      <c r="A186" t="s">
        <v>572</v>
      </c>
      <c r="B186" t="s">
        <v>102</v>
      </c>
      <c r="C186" t="s">
        <v>5</v>
      </c>
      <c r="D186" t="s">
        <v>12</v>
      </c>
      <c r="E186" t="s">
        <v>12</v>
      </c>
      <c r="F186">
        <v>0</v>
      </c>
      <c r="G186">
        <v>5</v>
      </c>
      <c r="H186" t="s">
        <v>902</v>
      </c>
    </row>
    <row r="187" spans="1:8" x14ac:dyDescent="0.2">
      <c r="A187" t="s">
        <v>573</v>
      </c>
      <c r="B187" t="s">
        <v>102</v>
      </c>
      <c r="C187" t="s">
        <v>5</v>
      </c>
      <c r="D187" t="s">
        <v>12</v>
      </c>
      <c r="E187" t="s">
        <v>12</v>
      </c>
      <c r="F187">
        <v>0</v>
      </c>
      <c r="G187">
        <v>6</v>
      </c>
      <c r="H187" t="s">
        <v>903</v>
      </c>
    </row>
    <row r="188" spans="1:8" x14ac:dyDescent="0.2">
      <c r="A188" t="s">
        <v>574</v>
      </c>
      <c r="B188" t="s">
        <v>102</v>
      </c>
      <c r="C188" t="s">
        <v>5</v>
      </c>
      <c r="D188" t="s">
        <v>12</v>
      </c>
      <c r="E188" t="s">
        <v>12</v>
      </c>
      <c r="F188">
        <v>0</v>
      </c>
      <c r="G188">
        <v>7</v>
      </c>
      <c r="H188" t="s">
        <v>904</v>
      </c>
    </row>
    <row r="189" spans="1:8" x14ac:dyDescent="0.2">
      <c r="A189" t="s">
        <v>575</v>
      </c>
      <c r="B189" t="s">
        <v>102</v>
      </c>
      <c r="C189" t="s">
        <v>5</v>
      </c>
      <c r="D189" t="s">
        <v>12</v>
      </c>
      <c r="E189" t="s">
        <v>12</v>
      </c>
      <c r="F189">
        <v>0</v>
      </c>
      <c r="G189">
        <v>8</v>
      </c>
      <c r="H189" t="s">
        <v>905</v>
      </c>
    </row>
    <row r="190" spans="1:8" x14ac:dyDescent="0.2">
      <c r="A190" t="s">
        <v>576</v>
      </c>
      <c r="B190" t="s">
        <v>102</v>
      </c>
      <c r="C190" t="s">
        <v>5</v>
      </c>
      <c r="D190" t="s">
        <v>12</v>
      </c>
      <c r="E190" t="s">
        <v>12</v>
      </c>
      <c r="F190">
        <v>0</v>
      </c>
      <c r="G190">
        <v>9</v>
      </c>
      <c r="H190" t="s">
        <v>906</v>
      </c>
    </row>
    <row r="191" spans="1:8" x14ac:dyDescent="0.2">
      <c r="A191" t="s">
        <v>577</v>
      </c>
      <c r="B191" t="s">
        <v>102</v>
      </c>
      <c r="C191" t="s">
        <v>5</v>
      </c>
      <c r="D191" t="s">
        <v>12</v>
      </c>
      <c r="E191" t="s">
        <v>12</v>
      </c>
      <c r="F191">
        <v>1</v>
      </c>
      <c r="G191">
        <v>0</v>
      </c>
      <c r="H191" t="s">
        <v>907</v>
      </c>
    </row>
    <row r="192" spans="1:8" x14ac:dyDescent="0.2">
      <c r="A192" t="s">
        <v>578</v>
      </c>
      <c r="B192" t="s">
        <v>102</v>
      </c>
      <c r="C192" t="s">
        <v>5</v>
      </c>
      <c r="D192" t="s">
        <v>12</v>
      </c>
      <c r="E192" t="s">
        <v>12</v>
      </c>
      <c r="F192">
        <v>1</v>
      </c>
      <c r="G192">
        <v>1</v>
      </c>
      <c r="H192" t="s">
        <v>908</v>
      </c>
    </row>
    <row r="193" spans="1:8" x14ac:dyDescent="0.2">
      <c r="A193" t="s">
        <v>579</v>
      </c>
      <c r="B193" t="s">
        <v>102</v>
      </c>
      <c r="C193" t="s">
        <v>5</v>
      </c>
      <c r="D193" t="s">
        <v>12</v>
      </c>
      <c r="E193" t="s">
        <v>12</v>
      </c>
      <c r="F193">
        <v>1</v>
      </c>
      <c r="G193">
        <v>2</v>
      </c>
      <c r="H193" t="s">
        <v>909</v>
      </c>
    </row>
    <row r="194" spans="1:8" x14ac:dyDescent="0.2">
      <c r="A194" t="s">
        <v>580</v>
      </c>
      <c r="B194" t="s">
        <v>102</v>
      </c>
      <c r="C194" t="s">
        <v>5</v>
      </c>
      <c r="D194" t="s">
        <v>12</v>
      </c>
      <c r="E194" t="s">
        <v>12</v>
      </c>
      <c r="F194">
        <v>1</v>
      </c>
      <c r="G194">
        <v>3</v>
      </c>
      <c r="H194" t="s">
        <v>910</v>
      </c>
    </row>
    <row r="195" spans="1:8" x14ac:dyDescent="0.2">
      <c r="A195" t="s">
        <v>581</v>
      </c>
      <c r="B195" t="s">
        <v>102</v>
      </c>
      <c r="C195" t="s">
        <v>5</v>
      </c>
      <c r="D195" t="s">
        <v>12</v>
      </c>
      <c r="E195" t="s">
        <v>12</v>
      </c>
      <c r="F195">
        <v>1</v>
      </c>
      <c r="G195">
        <v>4</v>
      </c>
      <c r="H195" t="s">
        <v>911</v>
      </c>
    </row>
    <row r="196" spans="1:8" x14ac:dyDescent="0.2">
      <c r="A196" t="s">
        <v>582</v>
      </c>
      <c r="B196" t="s">
        <v>102</v>
      </c>
      <c r="C196" t="s">
        <v>5</v>
      </c>
      <c r="D196" t="s">
        <v>12</v>
      </c>
      <c r="E196" t="s">
        <v>12</v>
      </c>
      <c r="F196">
        <v>1</v>
      </c>
      <c r="G196">
        <v>5</v>
      </c>
      <c r="H196" t="s">
        <v>912</v>
      </c>
    </row>
    <row r="197" spans="1:8" x14ac:dyDescent="0.2">
      <c r="A197" t="s">
        <v>583</v>
      </c>
      <c r="B197" t="s">
        <v>102</v>
      </c>
      <c r="C197" t="s">
        <v>5</v>
      </c>
      <c r="D197" t="s">
        <v>12</v>
      </c>
      <c r="E197" t="s">
        <v>12</v>
      </c>
      <c r="F197">
        <v>1</v>
      </c>
      <c r="G197">
        <v>6</v>
      </c>
      <c r="H197" t="s">
        <v>913</v>
      </c>
    </row>
    <row r="198" spans="1:8" x14ac:dyDescent="0.2">
      <c r="A198" t="s">
        <v>584</v>
      </c>
      <c r="B198" t="s">
        <v>102</v>
      </c>
      <c r="C198" t="s">
        <v>5</v>
      </c>
      <c r="D198" t="s">
        <v>12</v>
      </c>
      <c r="E198" t="s">
        <v>12</v>
      </c>
      <c r="F198">
        <v>1</v>
      </c>
      <c r="G198">
        <v>7</v>
      </c>
      <c r="H198" t="s">
        <v>914</v>
      </c>
    </row>
    <row r="199" spans="1:8" x14ac:dyDescent="0.2">
      <c r="A199" t="s">
        <v>585</v>
      </c>
      <c r="B199" t="s">
        <v>102</v>
      </c>
      <c r="C199" t="s">
        <v>5</v>
      </c>
      <c r="D199" t="s">
        <v>12</v>
      </c>
      <c r="E199" t="s">
        <v>12</v>
      </c>
      <c r="F199">
        <v>1</v>
      </c>
      <c r="G199">
        <v>8</v>
      </c>
      <c r="H199" t="s">
        <v>915</v>
      </c>
    </row>
    <row r="200" spans="1:8" x14ac:dyDescent="0.2">
      <c r="A200" t="s">
        <v>586</v>
      </c>
      <c r="B200" t="s">
        <v>102</v>
      </c>
      <c r="C200" t="s">
        <v>5</v>
      </c>
      <c r="D200" t="s">
        <v>12</v>
      </c>
      <c r="E200" t="s">
        <v>12</v>
      </c>
      <c r="F200">
        <v>1</v>
      </c>
      <c r="G200">
        <v>9</v>
      </c>
      <c r="H200" t="s">
        <v>916</v>
      </c>
    </row>
    <row r="201" spans="1:8" x14ac:dyDescent="0.2">
      <c r="A201" t="s">
        <v>587</v>
      </c>
      <c r="B201" t="s">
        <v>102</v>
      </c>
      <c r="C201" t="s">
        <v>5</v>
      </c>
      <c r="D201" t="s">
        <v>12</v>
      </c>
      <c r="E201" t="s">
        <v>12</v>
      </c>
      <c r="F201">
        <v>2</v>
      </c>
      <c r="G201">
        <v>0</v>
      </c>
      <c r="H201" t="s">
        <v>917</v>
      </c>
    </row>
    <row r="202" spans="1:8" x14ac:dyDescent="0.2">
      <c r="A202" t="s">
        <v>588</v>
      </c>
      <c r="B202" t="s">
        <v>102</v>
      </c>
      <c r="C202" t="s">
        <v>5</v>
      </c>
      <c r="D202" t="s">
        <v>12</v>
      </c>
      <c r="E202" t="s">
        <v>12</v>
      </c>
      <c r="F202">
        <v>2</v>
      </c>
      <c r="G202">
        <v>1</v>
      </c>
      <c r="H202" t="s">
        <v>918</v>
      </c>
    </row>
    <row r="203" spans="1:8" x14ac:dyDescent="0.2">
      <c r="A203" t="s">
        <v>589</v>
      </c>
      <c r="B203" t="s">
        <v>102</v>
      </c>
      <c r="C203" t="s">
        <v>5</v>
      </c>
      <c r="D203" t="s">
        <v>12</v>
      </c>
      <c r="E203" t="s">
        <v>12</v>
      </c>
      <c r="F203">
        <v>2</v>
      </c>
      <c r="G203">
        <v>2</v>
      </c>
      <c r="H203" t="s">
        <v>919</v>
      </c>
    </row>
    <row r="204" spans="1:8" x14ac:dyDescent="0.2">
      <c r="A204" t="s">
        <v>590</v>
      </c>
      <c r="B204" t="s">
        <v>102</v>
      </c>
      <c r="C204" t="s">
        <v>5</v>
      </c>
      <c r="D204" t="s">
        <v>12</v>
      </c>
      <c r="E204" t="s">
        <v>12</v>
      </c>
      <c r="F204">
        <v>2</v>
      </c>
      <c r="G204">
        <v>3</v>
      </c>
      <c r="H204" t="s">
        <v>920</v>
      </c>
    </row>
    <row r="205" spans="1:8" x14ac:dyDescent="0.2">
      <c r="A205" t="s">
        <v>591</v>
      </c>
      <c r="B205" t="s">
        <v>102</v>
      </c>
      <c r="C205" t="s">
        <v>5</v>
      </c>
      <c r="D205" t="s">
        <v>12</v>
      </c>
      <c r="E205" t="s">
        <v>12</v>
      </c>
      <c r="F205">
        <v>2</v>
      </c>
      <c r="G205">
        <v>4</v>
      </c>
      <c r="H205" t="s">
        <v>921</v>
      </c>
    </row>
    <row r="206" spans="1:8" x14ac:dyDescent="0.2">
      <c r="A206" t="s">
        <v>592</v>
      </c>
      <c r="B206" t="s">
        <v>102</v>
      </c>
      <c r="C206" t="s">
        <v>5</v>
      </c>
      <c r="D206" t="s">
        <v>12</v>
      </c>
      <c r="E206" t="s">
        <v>12</v>
      </c>
      <c r="F206">
        <v>2</v>
      </c>
      <c r="G206">
        <v>5</v>
      </c>
      <c r="H206" t="s">
        <v>922</v>
      </c>
    </row>
    <row r="207" spans="1:8" x14ac:dyDescent="0.2">
      <c r="A207" t="s">
        <v>593</v>
      </c>
      <c r="B207" t="s">
        <v>102</v>
      </c>
      <c r="C207" t="s">
        <v>5</v>
      </c>
      <c r="D207" t="s">
        <v>12</v>
      </c>
      <c r="E207" t="s">
        <v>12</v>
      </c>
      <c r="F207">
        <v>2</v>
      </c>
      <c r="G207">
        <v>6</v>
      </c>
      <c r="H207" t="s">
        <v>923</v>
      </c>
    </row>
    <row r="208" spans="1:8" x14ac:dyDescent="0.2">
      <c r="A208" t="s">
        <v>594</v>
      </c>
      <c r="B208" t="s">
        <v>102</v>
      </c>
      <c r="C208" t="s">
        <v>5</v>
      </c>
      <c r="D208" t="s">
        <v>12</v>
      </c>
      <c r="E208" t="s">
        <v>12</v>
      </c>
      <c r="F208">
        <v>2</v>
      </c>
      <c r="G208">
        <v>7</v>
      </c>
      <c r="H208" t="s">
        <v>924</v>
      </c>
    </row>
    <row r="209" spans="1:8" x14ac:dyDescent="0.2">
      <c r="A209" t="s">
        <v>595</v>
      </c>
      <c r="B209" t="s">
        <v>102</v>
      </c>
      <c r="C209" t="s">
        <v>5</v>
      </c>
      <c r="D209" t="s">
        <v>12</v>
      </c>
      <c r="E209" t="s">
        <v>12</v>
      </c>
      <c r="F209">
        <v>2</v>
      </c>
      <c r="G209">
        <v>8</v>
      </c>
      <c r="H209" t="s">
        <v>925</v>
      </c>
    </row>
    <row r="210" spans="1:8" x14ac:dyDescent="0.2">
      <c r="A210" t="s">
        <v>596</v>
      </c>
      <c r="B210" t="s">
        <v>102</v>
      </c>
      <c r="C210" t="s">
        <v>5</v>
      </c>
      <c r="D210" t="s">
        <v>12</v>
      </c>
      <c r="E210" t="s">
        <v>12</v>
      </c>
      <c r="F210">
        <v>2</v>
      </c>
      <c r="G210">
        <v>9</v>
      </c>
      <c r="H210" t="s">
        <v>926</v>
      </c>
    </row>
    <row r="211" spans="1:8" x14ac:dyDescent="0.2">
      <c r="A211" t="s">
        <v>597</v>
      </c>
      <c r="B211" t="s">
        <v>6</v>
      </c>
      <c r="C211" t="s">
        <v>7</v>
      </c>
      <c r="D211" t="s">
        <v>12</v>
      </c>
      <c r="E211">
        <v>0</v>
      </c>
      <c r="F211">
        <v>0</v>
      </c>
      <c r="G211">
        <v>0</v>
      </c>
      <c r="H211" t="s">
        <v>927</v>
      </c>
    </row>
    <row r="212" spans="1:8" x14ac:dyDescent="0.2">
      <c r="A212" t="s">
        <v>598</v>
      </c>
      <c r="B212" t="s">
        <v>6</v>
      </c>
      <c r="C212" t="s">
        <v>7</v>
      </c>
      <c r="D212" t="s">
        <v>12</v>
      </c>
      <c r="E212">
        <v>0</v>
      </c>
      <c r="F212">
        <v>0</v>
      </c>
      <c r="G212">
        <v>1</v>
      </c>
      <c r="H212" t="s">
        <v>928</v>
      </c>
    </row>
    <row r="213" spans="1:8" x14ac:dyDescent="0.2">
      <c r="A213" t="s">
        <v>599</v>
      </c>
      <c r="B213" t="s">
        <v>6</v>
      </c>
      <c r="C213" t="s">
        <v>7</v>
      </c>
      <c r="D213" t="s">
        <v>12</v>
      </c>
      <c r="E213">
        <v>0</v>
      </c>
      <c r="F213">
        <v>1</v>
      </c>
      <c r="G213">
        <v>0</v>
      </c>
      <c r="H213" t="s">
        <v>927</v>
      </c>
    </row>
    <row r="214" spans="1:8" x14ac:dyDescent="0.2">
      <c r="A214" t="s">
        <v>600</v>
      </c>
      <c r="B214" t="s">
        <v>6</v>
      </c>
      <c r="C214" t="s">
        <v>7</v>
      </c>
      <c r="D214" t="s">
        <v>12</v>
      </c>
      <c r="E214">
        <v>0</v>
      </c>
      <c r="F214">
        <v>1</v>
      </c>
      <c r="G214">
        <v>1</v>
      </c>
      <c r="H214" t="s">
        <v>929</v>
      </c>
    </row>
    <row r="215" spans="1:8" x14ac:dyDescent="0.2">
      <c r="A215" t="s">
        <v>601</v>
      </c>
      <c r="B215" t="s">
        <v>6</v>
      </c>
      <c r="C215" t="s">
        <v>7</v>
      </c>
      <c r="D215" t="s">
        <v>12</v>
      </c>
      <c r="E215">
        <v>0</v>
      </c>
      <c r="F215">
        <v>2</v>
      </c>
      <c r="G215">
        <v>0</v>
      </c>
      <c r="H215" t="s">
        <v>927</v>
      </c>
    </row>
    <row r="216" spans="1:8" x14ac:dyDescent="0.2">
      <c r="A216" t="s">
        <v>602</v>
      </c>
      <c r="B216" t="s">
        <v>6</v>
      </c>
      <c r="C216" t="s">
        <v>7</v>
      </c>
      <c r="D216" t="s">
        <v>12</v>
      </c>
      <c r="E216">
        <v>0</v>
      </c>
      <c r="F216">
        <v>2</v>
      </c>
      <c r="G216">
        <v>1</v>
      </c>
      <c r="H216" t="s">
        <v>930</v>
      </c>
    </row>
    <row r="217" spans="1:8" x14ac:dyDescent="0.2">
      <c r="A217" t="s">
        <v>603</v>
      </c>
      <c r="B217" t="s">
        <v>6</v>
      </c>
      <c r="C217" t="s">
        <v>7</v>
      </c>
      <c r="D217" t="s">
        <v>12</v>
      </c>
      <c r="E217">
        <v>0</v>
      </c>
      <c r="F217">
        <v>3</v>
      </c>
      <c r="G217">
        <v>0</v>
      </c>
      <c r="H217" t="s">
        <v>927</v>
      </c>
    </row>
    <row r="218" spans="1:8" x14ac:dyDescent="0.2">
      <c r="A218" t="s">
        <v>604</v>
      </c>
      <c r="B218" t="s">
        <v>6</v>
      </c>
      <c r="C218" t="s">
        <v>7</v>
      </c>
      <c r="D218" t="s">
        <v>12</v>
      </c>
      <c r="E218">
        <v>0</v>
      </c>
      <c r="F218">
        <v>3</v>
      </c>
      <c r="G218">
        <v>1</v>
      </c>
      <c r="H218" t="s">
        <v>931</v>
      </c>
    </row>
    <row r="219" spans="1:8" x14ac:dyDescent="0.2">
      <c r="A219" t="s">
        <v>605</v>
      </c>
      <c r="B219" t="s">
        <v>6</v>
      </c>
      <c r="C219" t="s">
        <v>7</v>
      </c>
      <c r="D219" t="s">
        <v>12</v>
      </c>
      <c r="E219">
        <v>0</v>
      </c>
      <c r="F219">
        <v>4</v>
      </c>
      <c r="G219">
        <v>0</v>
      </c>
      <c r="H219" t="s">
        <v>927</v>
      </c>
    </row>
    <row r="220" spans="1:8" x14ac:dyDescent="0.2">
      <c r="A220" t="s">
        <v>606</v>
      </c>
      <c r="B220" t="s">
        <v>6</v>
      </c>
      <c r="C220" t="s">
        <v>7</v>
      </c>
      <c r="D220" t="s">
        <v>12</v>
      </c>
      <c r="E220">
        <v>0</v>
      </c>
      <c r="F220">
        <v>4</v>
      </c>
      <c r="G220">
        <v>1</v>
      </c>
      <c r="H220" t="s">
        <v>932</v>
      </c>
    </row>
    <row r="221" spans="1:8" x14ac:dyDescent="0.2">
      <c r="A221" t="s">
        <v>607</v>
      </c>
      <c r="B221" t="s">
        <v>6</v>
      </c>
      <c r="C221" t="s">
        <v>7</v>
      </c>
      <c r="D221" t="s">
        <v>12</v>
      </c>
      <c r="E221">
        <v>0</v>
      </c>
      <c r="F221">
        <v>5</v>
      </c>
      <c r="G221">
        <v>0</v>
      </c>
      <c r="H221" t="s">
        <v>927</v>
      </c>
    </row>
    <row r="222" spans="1:8" x14ac:dyDescent="0.2">
      <c r="A222" t="s">
        <v>608</v>
      </c>
      <c r="B222" t="s">
        <v>6</v>
      </c>
      <c r="C222" t="s">
        <v>7</v>
      </c>
      <c r="D222" t="s">
        <v>12</v>
      </c>
      <c r="E222">
        <v>0</v>
      </c>
      <c r="F222">
        <v>5</v>
      </c>
      <c r="G222">
        <v>1</v>
      </c>
      <c r="H222" t="s">
        <v>933</v>
      </c>
    </row>
    <row r="223" spans="1:8" x14ac:dyDescent="0.2">
      <c r="A223" t="s">
        <v>609</v>
      </c>
      <c r="B223" t="s">
        <v>6</v>
      </c>
      <c r="C223" t="s">
        <v>7</v>
      </c>
      <c r="D223" t="s">
        <v>12</v>
      </c>
      <c r="E223">
        <v>0</v>
      </c>
      <c r="F223">
        <v>6</v>
      </c>
      <c r="G223">
        <v>0</v>
      </c>
      <c r="H223" t="s">
        <v>927</v>
      </c>
    </row>
    <row r="224" spans="1:8" x14ac:dyDescent="0.2">
      <c r="A224" t="s">
        <v>610</v>
      </c>
      <c r="B224" t="s">
        <v>6</v>
      </c>
      <c r="C224" t="s">
        <v>7</v>
      </c>
      <c r="D224" t="s">
        <v>12</v>
      </c>
      <c r="E224">
        <v>0</v>
      </c>
      <c r="F224">
        <v>6</v>
      </c>
      <c r="G224">
        <v>1</v>
      </c>
      <c r="H224" t="s">
        <v>934</v>
      </c>
    </row>
    <row r="225" spans="1:8" x14ac:dyDescent="0.2">
      <c r="A225" t="s">
        <v>611</v>
      </c>
      <c r="B225" t="s">
        <v>6</v>
      </c>
      <c r="C225" t="s">
        <v>7</v>
      </c>
      <c r="D225" t="s">
        <v>12</v>
      </c>
      <c r="E225">
        <v>0</v>
      </c>
      <c r="F225">
        <v>7</v>
      </c>
      <c r="G225">
        <v>0</v>
      </c>
      <c r="H225" t="s">
        <v>927</v>
      </c>
    </row>
    <row r="226" spans="1:8" x14ac:dyDescent="0.2">
      <c r="A226" t="s">
        <v>612</v>
      </c>
      <c r="B226" t="s">
        <v>6</v>
      </c>
      <c r="C226" t="s">
        <v>7</v>
      </c>
      <c r="D226" t="s">
        <v>12</v>
      </c>
      <c r="E226">
        <v>0</v>
      </c>
      <c r="F226">
        <v>7</v>
      </c>
      <c r="G226">
        <v>1</v>
      </c>
      <c r="H226" t="s">
        <v>935</v>
      </c>
    </row>
    <row r="227" spans="1:8" x14ac:dyDescent="0.2">
      <c r="A227" t="s">
        <v>613</v>
      </c>
      <c r="B227" t="s">
        <v>6</v>
      </c>
      <c r="C227" t="s">
        <v>7</v>
      </c>
      <c r="D227" t="s">
        <v>12</v>
      </c>
      <c r="E227">
        <v>0</v>
      </c>
      <c r="F227">
        <v>8</v>
      </c>
      <c r="G227">
        <v>0</v>
      </c>
      <c r="H227" t="s">
        <v>927</v>
      </c>
    </row>
    <row r="228" spans="1:8" x14ac:dyDescent="0.2">
      <c r="A228" t="s">
        <v>614</v>
      </c>
      <c r="B228" t="s">
        <v>6</v>
      </c>
      <c r="C228" t="s">
        <v>7</v>
      </c>
      <c r="D228" t="s">
        <v>12</v>
      </c>
      <c r="E228">
        <v>0</v>
      </c>
      <c r="F228">
        <v>8</v>
      </c>
      <c r="G228">
        <v>1</v>
      </c>
      <c r="H228" t="s">
        <v>936</v>
      </c>
    </row>
    <row r="229" spans="1:8" x14ac:dyDescent="0.2">
      <c r="A229" t="s">
        <v>615</v>
      </c>
      <c r="B229" t="s">
        <v>6</v>
      </c>
      <c r="C229" t="s">
        <v>7</v>
      </c>
      <c r="D229" t="s">
        <v>12</v>
      </c>
      <c r="E229">
        <v>0</v>
      </c>
      <c r="F229">
        <v>9</v>
      </c>
      <c r="G229">
        <v>0</v>
      </c>
      <c r="H229" t="s">
        <v>927</v>
      </c>
    </row>
    <row r="230" spans="1:8" x14ac:dyDescent="0.2">
      <c r="A230" t="s">
        <v>616</v>
      </c>
      <c r="B230" t="s">
        <v>6</v>
      </c>
      <c r="C230" t="s">
        <v>7</v>
      </c>
      <c r="D230" t="s">
        <v>12</v>
      </c>
      <c r="E230">
        <v>0</v>
      </c>
      <c r="F230">
        <v>9</v>
      </c>
      <c r="G230">
        <v>1</v>
      </c>
      <c r="H230" t="s">
        <v>937</v>
      </c>
    </row>
    <row r="231" spans="1:8" x14ac:dyDescent="0.2">
      <c r="A231" t="s">
        <v>617</v>
      </c>
      <c r="B231" t="s">
        <v>6</v>
      </c>
      <c r="C231" t="s">
        <v>7</v>
      </c>
      <c r="D231" t="s">
        <v>12</v>
      </c>
      <c r="E231">
        <v>1</v>
      </c>
      <c r="F231">
        <v>0</v>
      </c>
      <c r="G231">
        <v>0</v>
      </c>
      <c r="H231" t="s">
        <v>938</v>
      </c>
    </row>
    <row r="232" spans="1:8" x14ac:dyDescent="0.2">
      <c r="A232" t="s">
        <v>618</v>
      </c>
      <c r="B232" t="s">
        <v>6</v>
      </c>
      <c r="C232" t="s">
        <v>7</v>
      </c>
      <c r="D232" t="s">
        <v>12</v>
      </c>
      <c r="E232">
        <v>1</v>
      </c>
      <c r="F232">
        <v>0</v>
      </c>
      <c r="G232">
        <v>1</v>
      </c>
      <c r="H232" t="s">
        <v>939</v>
      </c>
    </row>
    <row r="233" spans="1:8" x14ac:dyDescent="0.2">
      <c r="A233" t="s">
        <v>619</v>
      </c>
      <c r="B233" t="s">
        <v>6</v>
      </c>
      <c r="C233" t="s">
        <v>7</v>
      </c>
      <c r="D233" t="s">
        <v>12</v>
      </c>
      <c r="E233">
        <v>1</v>
      </c>
      <c r="F233">
        <v>1</v>
      </c>
      <c r="G233">
        <v>0</v>
      </c>
      <c r="H233" t="s">
        <v>938</v>
      </c>
    </row>
    <row r="234" spans="1:8" x14ac:dyDescent="0.2">
      <c r="A234" t="s">
        <v>620</v>
      </c>
      <c r="B234" t="s">
        <v>6</v>
      </c>
      <c r="C234" t="s">
        <v>7</v>
      </c>
      <c r="D234" t="s">
        <v>12</v>
      </c>
      <c r="E234">
        <v>1</v>
      </c>
      <c r="F234">
        <v>1</v>
      </c>
      <c r="G234">
        <v>1</v>
      </c>
      <c r="H234" t="s">
        <v>940</v>
      </c>
    </row>
    <row r="235" spans="1:8" x14ac:dyDescent="0.2">
      <c r="A235" t="s">
        <v>621</v>
      </c>
      <c r="B235" t="s">
        <v>6</v>
      </c>
      <c r="C235" t="s">
        <v>7</v>
      </c>
      <c r="D235" t="s">
        <v>12</v>
      </c>
      <c r="E235">
        <v>1</v>
      </c>
      <c r="F235">
        <v>2</v>
      </c>
      <c r="G235">
        <v>0</v>
      </c>
      <c r="H235" t="s">
        <v>938</v>
      </c>
    </row>
    <row r="236" spans="1:8" x14ac:dyDescent="0.2">
      <c r="A236" t="s">
        <v>622</v>
      </c>
      <c r="B236" t="s">
        <v>6</v>
      </c>
      <c r="C236" t="s">
        <v>7</v>
      </c>
      <c r="D236" t="s">
        <v>12</v>
      </c>
      <c r="E236">
        <v>1</v>
      </c>
      <c r="F236">
        <v>2</v>
      </c>
      <c r="G236">
        <v>1</v>
      </c>
      <c r="H236" t="s">
        <v>941</v>
      </c>
    </row>
    <row r="237" spans="1:8" x14ac:dyDescent="0.2">
      <c r="A237" t="s">
        <v>623</v>
      </c>
      <c r="B237" t="s">
        <v>6</v>
      </c>
      <c r="C237" t="s">
        <v>7</v>
      </c>
      <c r="D237" t="s">
        <v>12</v>
      </c>
      <c r="E237">
        <v>1</v>
      </c>
      <c r="F237">
        <v>3</v>
      </c>
      <c r="G237">
        <v>0</v>
      </c>
      <c r="H237" t="s">
        <v>938</v>
      </c>
    </row>
    <row r="238" spans="1:8" x14ac:dyDescent="0.2">
      <c r="A238" t="s">
        <v>624</v>
      </c>
      <c r="B238" t="s">
        <v>6</v>
      </c>
      <c r="C238" t="s">
        <v>7</v>
      </c>
      <c r="D238" t="s">
        <v>12</v>
      </c>
      <c r="E238">
        <v>1</v>
      </c>
      <c r="F238">
        <v>3</v>
      </c>
      <c r="G238">
        <v>1</v>
      </c>
      <c r="H238" t="s">
        <v>942</v>
      </c>
    </row>
    <row r="239" spans="1:8" x14ac:dyDescent="0.2">
      <c r="A239" t="s">
        <v>625</v>
      </c>
      <c r="B239" t="s">
        <v>6</v>
      </c>
      <c r="C239" t="s">
        <v>7</v>
      </c>
      <c r="D239" t="s">
        <v>12</v>
      </c>
      <c r="E239">
        <v>1</v>
      </c>
      <c r="F239">
        <v>4</v>
      </c>
      <c r="G239">
        <v>0</v>
      </c>
      <c r="H239" t="s">
        <v>938</v>
      </c>
    </row>
    <row r="240" spans="1:8" x14ac:dyDescent="0.2">
      <c r="A240" t="s">
        <v>626</v>
      </c>
      <c r="B240" t="s">
        <v>6</v>
      </c>
      <c r="C240" t="s">
        <v>7</v>
      </c>
      <c r="D240" t="s">
        <v>12</v>
      </c>
      <c r="E240">
        <v>1</v>
      </c>
      <c r="F240">
        <v>4</v>
      </c>
      <c r="G240">
        <v>1</v>
      </c>
      <c r="H240" t="s">
        <v>943</v>
      </c>
    </row>
    <row r="241" spans="1:8" x14ac:dyDescent="0.2">
      <c r="A241" t="s">
        <v>627</v>
      </c>
      <c r="B241" t="s">
        <v>6</v>
      </c>
      <c r="C241" t="s">
        <v>7</v>
      </c>
      <c r="D241" t="s">
        <v>12</v>
      </c>
      <c r="E241">
        <v>1</v>
      </c>
      <c r="F241">
        <v>5</v>
      </c>
      <c r="G241">
        <v>0</v>
      </c>
      <c r="H241" t="s">
        <v>938</v>
      </c>
    </row>
    <row r="242" spans="1:8" x14ac:dyDescent="0.2">
      <c r="A242" t="s">
        <v>628</v>
      </c>
      <c r="B242" t="s">
        <v>6</v>
      </c>
      <c r="C242" t="s">
        <v>7</v>
      </c>
      <c r="D242" t="s">
        <v>12</v>
      </c>
      <c r="E242">
        <v>1</v>
      </c>
      <c r="F242">
        <v>5</v>
      </c>
      <c r="G242">
        <v>1</v>
      </c>
      <c r="H242" t="s">
        <v>944</v>
      </c>
    </row>
    <row r="243" spans="1:8" x14ac:dyDescent="0.2">
      <c r="A243" t="s">
        <v>629</v>
      </c>
      <c r="B243" t="s">
        <v>6</v>
      </c>
      <c r="C243" t="s">
        <v>7</v>
      </c>
      <c r="D243" t="s">
        <v>12</v>
      </c>
      <c r="E243">
        <v>1</v>
      </c>
      <c r="F243">
        <v>6</v>
      </c>
      <c r="G243">
        <v>0</v>
      </c>
      <c r="H243" t="s">
        <v>938</v>
      </c>
    </row>
    <row r="244" spans="1:8" x14ac:dyDescent="0.2">
      <c r="A244" t="s">
        <v>630</v>
      </c>
      <c r="B244" t="s">
        <v>6</v>
      </c>
      <c r="C244" t="s">
        <v>7</v>
      </c>
      <c r="D244" t="s">
        <v>12</v>
      </c>
      <c r="E244">
        <v>1</v>
      </c>
      <c r="F244">
        <v>6</v>
      </c>
      <c r="G244">
        <v>1</v>
      </c>
      <c r="H244" t="s">
        <v>945</v>
      </c>
    </row>
    <row r="245" spans="1:8" x14ac:dyDescent="0.2">
      <c r="A245" t="s">
        <v>631</v>
      </c>
      <c r="B245" t="s">
        <v>6</v>
      </c>
      <c r="C245" t="s">
        <v>7</v>
      </c>
      <c r="D245" t="s">
        <v>12</v>
      </c>
      <c r="E245">
        <v>1</v>
      </c>
      <c r="F245">
        <v>7</v>
      </c>
      <c r="G245">
        <v>0</v>
      </c>
      <c r="H245" t="s">
        <v>938</v>
      </c>
    </row>
    <row r="246" spans="1:8" x14ac:dyDescent="0.2">
      <c r="A246" t="s">
        <v>632</v>
      </c>
      <c r="B246" t="s">
        <v>6</v>
      </c>
      <c r="C246" t="s">
        <v>7</v>
      </c>
      <c r="D246" t="s">
        <v>12</v>
      </c>
      <c r="E246">
        <v>1</v>
      </c>
      <c r="F246">
        <v>7</v>
      </c>
      <c r="G246">
        <v>1</v>
      </c>
      <c r="H246" t="s">
        <v>946</v>
      </c>
    </row>
    <row r="247" spans="1:8" x14ac:dyDescent="0.2">
      <c r="A247" t="s">
        <v>633</v>
      </c>
      <c r="B247" t="s">
        <v>6</v>
      </c>
      <c r="C247" t="s">
        <v>7</v>
      </c>
      <c r="D247" t="s">
        <v>12</v>
      </c>
      <c r="E247">
        <v>1</v>
      </c>
      <c r="F247">
        <v>8</v>
      </c>
      <c r="G247">
        <v>0</v>
      </c>
      <c r="H247" t="s">
        <v>938</v>
      </c>
    </row>
    <row r="248" spans="1:8" x14ac:dyDescent="0.2">
      <c r="A248" t="s">
        <v>634</v>
      </c>
      <c r="B248" t="s">
        <v>6</v>
      </c>
      <c r="C248" t="s">
        <v>7</v>
      </c>
      <c r="D248" t="s">
        <v>12</v>
      </c>
      <c r="E248">
        <v>1</v>
      </c>
      <c r="F248">
        <v>8</v>
      </c>
      <c r="G248">
        <v>1</v>
      </c>
      <c r="H248" t="s">
        <v>947</v>
      </c>
    </row>
    <row r="249" spans="1:8" x14ac:dyDescent="0.2">
      <c r="A249" t="s">
        <v>635</v>
      </c>
      <c r="B249" t="s">
        <v>6</v>
      </c>
      <c r="C249" t="s">
        <v>7</v>
      </c>
      <c r="D249" t="s">
        <v>12</v>
      </c>
      <c r="E249">
        <v>1</v>
      </c>
      <c r="F249">
        <v>9</v>
      </c>
      <c r="G249">
        <v>0</v>
      </c>
      <c r="H249" t="s">
        <v>938</v>
      </c>
    </row>
    <row r="250" spans="1:8" x14ac:dyDescent="0.2">
      <c r="A250" t="s">
        <v>636</v>
      </c>
      <c r="B250" t="s">
        <v>6</v>
      </c>
      <c r="C250" t="s">
        <v>7</v>
      </c>
      <c r="D250" t="s">
        <v>12</v>
      </c>
      <c r="E250">
        <v>1</v>
      </c>
      <c r="F250">
        <v>9</v>
      </c>
      <c r="G250">
        <v>1</v>
      </c>
      <c r="H250" t="s">
        <v>948</v>
      </c>
    </row>
    <row r="251" spans="1:8" x14ac:dyDescent="0.2">
      <c r="A251" t="s">
        <v>637</v>
      </c>
      <c r="B251" t="s">
        <v>6</v>
      </c>
      <c r="C251" t="s">
        <v>7</v>
      </c>
      <c r="D251" t="s">
        <v>12</v>
      </c>
      <c r="E251">
        <v>2</v>
      </c>
      <c r="F251">
        <v>0</v>
      </c>
      <c r="G251">
        <v>0</v>
      </c>
      <c r="H251" t="s">
        <v>949</v>
      </c>
    </row>
    <row r="252" spans="1:8" x14ac:dyDescent="0.2">
      <c r="A252" t="s">
        <v>638</v>
      </c>
      <c r="B252" t="s">
        <v>6</v>
      </c>
      <c r="C252" t="s">
        <v>7</v>
      </c>
      <c r="D252" t="s">
        <v>12</v>
      </c>
      <c r="E252">
        <v>2</v>
      </c>
      <c r="F252">
        <v>0</v>
      </c>
      <c r="G252">
        <v>1</v>
      </c>
      <c r="H252" t="s">
        <v>950</v>
      </c>
    </row>
    <row r="253" spans="1:8" x14ac:dyDescent="0.2">
      <c r="A253" t="s">
        <v>639</v>
      </c>
      <c r="B253" t="s">
        <v>6</v>
      </c>
      <c r="C253" t="s">
        <v>7</v>
      </c>
      <c r="D253" t="s">
        <v>12</v>
      </c>
      <c r="E253">
        <v>2</v>
      </c>
      <c r="F253">
        <v>1</v>
      </c>
      <c r="G253">
        <v>0</v>
      </c>
      <c r="H253" t="s">
        <v>949</v>
      </c>
    </row>
    <row r="254" spans="1:8" x14ac:dyDescent="0.2">
      <c r="A254" t="s">
        <v>640</v>
      </c>
      <c r="B254" t="s">
        <v>6</v>
      </c>
      <c r="C254" t="s">
        <v>7</v>
      </c>
      <c r="D254" t="s">
        <v>12</v>
      </c>
      <c r="E254">
        <v>2</v>
      </c>
      <c r="F254">
        <v>1</v>
      </c>
      <c r="G254">
        <v>1</v>
      </c>
      <c r="H254" t="s">
        <v>951</v>
      </c>
    </row>
    <row r="255" spans="1:8" x14ac:dyDescent="0.2">
      <c r="A255" t="s">
        <v>641</v>
      </c>
      <c r="B255" t="s">
        <v>6</v>
      </c>
      <c r="C255" t="s">
        <v>7</v>
      </c>
      <c r="D255" t="s">
        <v>12</v>
      </c>
      <c r="E255">
        <v>2</v>
      </c>
      <c r="F255">
        <v>2</v>
      </c>
      <c r="G255">
        <v>0</v>
      </c>
      <c r="H255" t="s">
        <v>949</v>
      </c>
    </row>
    <row r="256" spans="1:8" x14ac:dyDescent="0.2">
      <c r="A256" t="s">
        <v>642</v>
      </c>
      <c r="B256" t="s">
        <v>6</v>
      </c>
      <c r="C256" t="s">
        <v>7</v>
      </c>
      <c r="D256" t="s">
        <v>12</v>
      </c>
      <c r="E256">
        <v>2</v>
      </c>
      <c r="F256">
        <v>2</v>
      </c>
      <c r="G256">
        <v>1</v>
      </c>
      <c r="H256" t="s">
        <v>952</v>
      </c>
    </row>
    <row r="257" spans="1:8" x14ac:dyDescent="0.2">
      <c r="A257" t="s">
        <v>643</v>
      </c>
      <c r="B257" t="s">
        <v>6</v>
      </c>
      <c r="C257" t="s">
        <v>7</v>
      </c>
      <c r="D257" t="s">
        <v>12</v>
      </c>
      <c r="E257">
        <v>2</v>
      </c>
      <c r="F257">
        <v>3</v>
      </c>
      <c r="G257">
        <v>0</v>
      </c>
      <c r="H257" t="s">
        <v>949</v>
      </c>
    </row>
    <row r="258" spans="1:8" x14ac:dyDescent="0.2">
      <c r="A258" t="s">
        <v>644</v>
      </c>
      <c r="B258" t="s">
        <v>6</v>
      </c>
      <c r="C258" t="s">
        <v>7</v>
      </c>
      <c r="D258" t="s">
        <v>12</v>
      </c>
      <c r="E258">
        <v>2</v>
      </c>
      <c r="F258">
        <v>3</v>
      </c>
      <c r="G258">
        <v>1</v>
      </c>
      <c r="H258" t="s">
        <v>953</v>
      </c>
    </row>
    <row r="259" spans="1:8" x14ac:dyDescent="0.2">
      <c r="A259" t="s">
        <v>645</v>
      </c>
      <c r="B259" t="s">
        <v>6</v>
      </c>
      <c r="C259" t="s">
        <v>7</v>
      </c>
      <c r="D259" t="s">
        <v>12</v>
      </c>
      <c r="E259">
        <v>2</v>
      </c>
      <c r="F259">
        <v>4</v>
      </c>
      <c r="G259">
        <v>0</v>
      </c>
      <c r="H259" t="s">
        <v>949</v>
      </c>
    </row>
    <row r="260" spans="1:8" x14ac:dyDescent="0.2">
      <c r="A260" t="s">
        <v>646</v>
      </c>
      <c r="B260" t="s">
        <v>6</v>
      </c>
      <c r="C260" t="s">
        <v>7</v>
      </c>
      <c r="D260" t="s">
        <v>12</v>
      </c>
      <c r="E260">
        <v>2</v>
      </c>
      <c r="F260">
        <v>4</v>
      </c>
      <c r="G260">
        <v>1</v>
      </c>
      <c r="H260" t="s">
        <v>954</v>
      </c>
    </row>
    <row r="261" spans="1:8" x14ac:dyDescent="0.2">
      <c r="A261" t="s">
        <v>647</v>
      </c>
      <c r="B261" t="s">
        <v>6</v>
      </c>
      <c r="C261" t="s">
        <v>7</v>
      </c>
      <c r="D261" t="s">
        <v>12</v>
      </c>
      <c r="E261">
        <v>2</v>
      </c>
      <c r="F261">
        <v>5</v>
      </c>
      <c r="G261">
        <v>0</v>
      </c>
      <c r="H261" t="s">
        <v>949</v>
      </c>
    </row>
    <row r="262" spans="1:8" x14ac:dyDescent="0.2">
      <c r="A262" t="s">
        <v>648</v>
      </c>
      <c r="B262" t="s">
        <v>6</v>
      </c>
      <c r="C262" t="s">
        <v>7</v>
      </c>
      <c r="D262" t="s">
        <v>12</v>
      </c>
      <c r="E262">
        <v>2</v>
      </c>
      <c r="F262">
        <v>5</v>
      </c>
      <c r="G262">
        <v>1</v>
      </c>
      <c r="H262" t="s">
        <v>955</v>
      </c>
    </row>
    <row r="263" spans="1:8" x14ac:dyDescent="0.2">
      <c r="A263" t="s">
        <v>649</v>
      </c>
      <c r="B263" t="s">
        <v>6</v>
      </c>
      <c r="C263" t="s">
        <v>7</v>
      </c>
      <c r="D263" t="s">
        <v>12</v>
      </c>
      <c r="E263">
        <v>2</v>
      </c>
      <c r="F263">
        <v>6</v>
      </c>
      <c r="G263">
        <v>0</v>
      </c>
      <c r="H263" t="s">
        <v>949</v>
      </c>
    </row>
    <row r="264" spans="1:8" x14ac:dyDescent="0.2">
      <c r="A264" t="s">
        <v>650</v>
      </c>
      <c r="B264" t="s">
        <v>6</v>
      </c>
      <c r="C264" t="s">
        <v>7</v>
      </c>
      <c r="D264" t="s">
        <v>12</v>
      </c>
      <c r="E264">
        <v>2</v>
      </c>
      <c r="F264">
        <v>6</v>
      </c>
      <c r="G264">
        <v>1</v>
      </c>
      <c r="H264" t="s">
        <v>956</v>
      </c>
    </row>
    <row r="265" spans="1:8" x14ac:dyDescent="0.2">
      <c r="A265" t="s">
        <v>651</v>
      </c>
      <c r="B265" t="s">
        <v>6</v>
      </c>
      <c r="C265" t="s">
        <v>7</v>
      </c>
      <c r="D265" t="s">
        <v>12</v>
      </c>
      <c r="E265">
        <v>2</v>
      </c>
      <c r="F265">
        <v>7</v>
      </c>
      <c r="G265">
        <v>0</v>
      </c>
      <c r="H265" t="s">
        <v>949</v>
      </c>
    </row>
    <row r="266" spans="1:8" x14ac:dyDescent="0.2">
      <c r="A266" t="s">
        <v>652</v>
      </c>
      <c r="B266" t="s">
        <v>6</v>
      </c>
      <c r="C266" t="s">
        <v>7</v>
      </c>
      <c r="D266" t="s">
        <v>12</v>
      </c>
      <c r="E266">
        <v>2</v>
      </c>
      <c r="F266">
        <v>7</v>
      </c>
      <c r="G266">
        <v>1</v>
      </c>
      <c r="H266" t="s">
        <v>957</v>
      </c>
    </row>
    <row r="267" spans="1:8" x14ac:dyDescent="0.2">
      <c r="A267" t="s">
        <v>653</v>
      </c>
      <c r="B267" t="s">
        <v>6</v>
      </c>
      <c r="C267" t="s">
        <v>7</v>
      </c>
      <c r="D267" t="s">
        <v>12</v>
      </c>
      <c r="E267">
        <v>2</v>
      </c>
      <c r="F267">
        <v>8</v>
      </c>
      <c r="G267">
        <v>0</v>
      </c>
      <c r="H267" t="s">
        <v>949</v>
      </c>
    </row>
    <row r="268" spans="1:8" x14ac:dyDescent="0.2">
      <c r="A268" t="s">
        <v>654</v>
      </c>
      <c r="B268" t="s">
        <v>6</v>
      </c>
      <c r="C268" t="s">
        <v>7</v>
      </c>
      <c r="D268" t="s">
        <v>12</v>
      </c>
      <c r="E268">
        <v>2</v>
      </c>
      <c r="F268">
        <v>8</v>
      </c>
      <c r="G268">
        <v>1</v>
      </c>
      <c r="H268" t="s">
        <v>958</v>
      </c>
    </row>
    <row r="269" spans="1:8" x14ac:dyDescent="0.2">
      <c r="A269" t="s">
        <v>655</v>
      </c>
      <c r="B269" t="s">
        <v>6</v>
      </c>
      <c r="C269" t="s">
        <v>7</v>
      </c>
      <c r="D269" t="s">
        <v>12</v>
      </c>
      <c r="E269">
        <v>2</v>
      </c>
      <c r="F269">
        <v>9</v>
      </c>
      <c r="G269">
        <v>0</v>
      </c>
      <c r="H269" t="s">
        <v>949</v>
      </c>
    </row>
    <row r="270" spans="1:8" x14ac:dyDescent="0.2">
      <c r="A270" t="s">
        <v>656</v>
      </c>
      <c r="B270" t="s">
        <v>6</v>
      </c>
      <c r="C270" t="s">
        <v>7</v>
      </c>
      <c r="D270" t="s">
        <v>12</v>
      </c>
      <c r="E270">
        <v>2</v>
      </c>
      <c r="F270">
        <v>9</v>
      </c>
      <c r="G270">
        <v>1</v>
      </c>
      <c r="H270" t="s">
        <v>959</v>
      </c>
    </row>
    <row r="271" spans="1:8" x14ac:dyDescent="0.2">
      <c r="A271" t="s">
        <v>293</v>
      </c>
      <c r="B271" t="s">
        <v>8</v>
      </c>
      <c r="C271" t="s">
        <v>9</v>
      </c>
      <c r="D271">
        <v>0</v>
      </c>
      <c r="E271">
        <v>0</v>
      </c>
      <c r="F271">
        <v>0</v>
      </c>
      <c r="G271">
        <v>0</v>
      </c>
      <c r="H271" t="s">
        <v>413</v>
      </c>
    </row>
    <row r="272" spans="1:8" x14ac:dyDescent="0.2">
      <c r="A272" t="s">
        <v>294</v>
      </c>
      <c r="B272" t="s">
        <v>8</v>
      </c>
      <c r="C272" t="s">
        <v>9</v>
      </c>
      <c r="D272">
        <v>0</v>
      </c>
      <c r="E272">
        <v>0</v>
      </c>
      <c r="F272">
        <v>0</v>
      </c>
      <c r="G272">
        <v>1</v>
      </c>
      <c r="H272" t="s">
        <v>413</v>
      </c>
    </row>
    <row r="273" spans="1:8" x14ac:dyDescent="0.2">
      <c r="A273" t="s">
        <v>295</v>
      </c>
      <c r="B273" t="s">
        <v>8</v>
      </c>
      <c r="C273" t="s">
        <v>9</v>
      </c>
      <c r="D273">
        <v>0</v>
      </c>
      <c r="E273">
        <v>0</v>
      </c>
      <c r="F273">
        <v>1</v>
      </c>
      <c r="G273">
        <v>0</v>
      </c>
      <c r="H273" t="s">
        <v>413</v>
      </c>
    </row>
    <row r="274" spans="1:8" x14ac:dyDescent="0.2">
      <c r="A274" t="s">
        <v>296</v>
      </c>
      <c r="B274" t="s">
        <v>8</v>
      </c>
      <c r="C274" t="s">
        <v>9</v>
      </c>
      <c r="D274">
        <v>0</v>
      </c>
      <c r="E274">
        <v>0</v>
      </c>
      <c r="F274">
        <v>1</v>
      </c>
      <c r="G274">
        <v>1</v>
      </c>
      <c r="H274" t="s">
        <v>413</v>
      </c>
    </row>
    <row r="275" spans="1:8" x14ac:dyDescent="0.2">
      <c r="A275" t="s">
        <v>297</v>
      </c>
      <c r="B275" t="s">
        <v>8</v>
      </c>
      <c r="C275" t="s">
        <v>9</v>
      </c>
      <c r="D275">
        <v>0</v>
      </c>
      <c r="E275">
        <v>1</v>
      </c>
      <c r="F275">
        <v>0</v>
      </c>
      <c r="G275">
        <v>0</v>
      </c>
      <c r="H275" t="s">
        <v>413</v>
      </c>
    </row>
    <row r="276" spans="1:8" x14ac:dyDescent="0.2">
      <c r="A276" t="s">
        <v>298</v>
      </c>
      <c r="B276" t="s">
        <v>8</v>
      </c>
      <c r="C276" t="s">
        <v>9</v>
      </c>
      <c r="D276">
        <v>0</v>
      </c>
      <c r="E276">
        <v>1</v>
      </c>
      <c r="F276">
        <v>0</v>
      </c>
      <c r="G276">
        <v>1</v>
      </c>
      <c r="H276" t="s">
        <v>413</v>
      </c>
    </row>
    <row r="277" spans="1:8" x14ac:dyDescent="0.2">
      <c r="A277" t="s">
        <v>299</v>
      </c>
      <c r="B277" t="s">
        <v>8</v>
      </c>
      <c r="C277" t="s">
        <v>9</v>
      </c>
      <c r="D277">
        <v>0</v>
      </c>
      <c r="E277">
        <v>1</v>
      </c>
      <c r="F277">
        <v>1</v>
      </c>
      <c r="G277">
        <v>0</v>
      </c>
      <c r="H277" t="s">
        <v>413</v>
      </c>
    </row>
    <row r="278" spans="1:8" x14ac:dyDescent="0.2">
      <c r="A278" t="s">
        <v>300</v>
      </c>
      <c r="B278" t="s">
        <v>8</v>
      </c>
      <c r="C278" t="s">
        <v>9</v>
      </c>
      <c r="D278">
        <v>0</v>
      </c>
      <c r="E278">
        <v>1</v>
      </c>
      <c r="F278">
        <v>1</v>
      </c>
      <c r="G278">
        <v>1</v>
      </c>
      <c r="H278" t="s">
        <v>413</v>
      </c>
    </row>
    <row r="279" spans="1:8" x14ac:dyDescent="0.2">
      <c r="A279" t="s">
        <v>301</v>
      </c>
      <c r="B279" t="s">
        <v>8</v>
      </c>
      <c r="C279" t="s">
        <v>9</v>
      </c>
      <c r="D279">
        <v>0</v>
      </c>
      <c r="E279">
        <v>2</v>
      </c>
      <c r="F279">
        <v>0</v>
      </c>
      <c r="G279">
        <v>0</v>
      </c>
      <c r="H279" t="s">
        <v>413</v>
      </c>
    </row>
    <row r="280" spans="1:8" x14ac:dyDescent="0.2">
      <c r="A280" t="s">
        <v>302</v>
      </c>
      <c r="B280" t="s">
        <v>8</v>
      </c>
      <c r="C280" t="s">
        <v>9</v>
      </c>
      <c r="D280">
        <v>0</v>
      </c>
      <c r="E280">
        <v>2</v>
      </c>
      <c r="F280">
        <v>0</v>
      </c>
      <c r="G280">
        <v>1</v>
      </c>
      <c r="H280" t="s">
        <v>413</v>
      </c>
    </row>
    <row r="281" spans="1:8" x14ac:dyDescent="0.2">
      <c r="A281" t="s">
        <v>303</v>
      </c>
      <c r="B281" t="s">
        <v>8</v>
      </c>
      <c r="C281" t="s">
        <v>9</v>
      </c>
      <c r="D281">
        <v>0</v>
      </c>
      <c r="E281">
        <v>2</v>
      </c>
      <c r="F281">
        <v>1</v>
      </c>
      <c r="G281">
        <v>0</v>
      </c>
      <c r="H281" t="s">
        <v>413</v>
      </c>
    </row>
    <row r="282" spans="1:8" x14ac:dyDescent="0.2">
      <c r="A282" t="s">
        <v>304</v>
      </c>
      <c r="B282" t="s">
        <v>8</v>
      </c>
      <c r="C282" t="s">
        <v>9</v>
      </c>
      <c r="D282">
        <v>0</v>
      </c>
      <c r="E282">
        <v>2</v>
      </c>
      <c r="F282">
        <v>1</v>
      </c>
      <c r="G282">
        <v>1</v>
      </c>
      <c r="H282" t="s">
        <v>413</v>
      </c>
    </row>
    <row r="283" spans="1:8" x14ac:dyDescent="0.2">
      <c r="A283" t="s">
        <v>305</v>
      </c>
      <c r="B283" t="s">
        <v>8</v>
      </c>
      <c r="C283" t="s">
        <v>9</v>
      </c>
      <c r="D283">
        <v>0</v>
      </c>
      <c r="E283">
        <v>3</v>
      </c>
      <c r="F283">
        <v>0</v>
      </c>
      <c r="G283">
        <v>0</v>
      </c>
      <c r="H283" t="s">
        <v>413</v>
      </c>
    </row>
    <row r="284" spans="1:8" x14ac:dyDescent="0.2">
      <c r="A284" t="s">
        <v>306</v>
      </c>
      <c r="B284" t="s">
        <v>8</v>
      </c>
      <c r="C284" t="s">
        <v>9</v>
      </c>
      <c r="D284">
        <v>0</v>
      </c>
      <c r="E284">
        <v>3</v>
      </c>
      <c r="F284">
        <v>0</v>
      </c>
      <c r="G284">
        <v>1</v>
      </c>
      <c r="H284" t="s">
        <v>413</v>
      </c>
    </row>
    <row r="285" spans="1:8" x14ac:dyDescent="0.2">
      <c r="A285" t="s">
        <v>307</v>
      </c>
      <c r="B285" t="s">
        <v>8</v>
      </c>
      <c r="C285" t="s">
        <v>9</v>
      </c>
      <c r="D285">
        <v>0</v>
      </c>
      <c r="E285">
        <v>3</v>
      </c>
      <c r="F285">
        <v>1</v>
      </c>
      <c r="G285">
        <v>0</v>
      </c>
      <c r="H285" t="s">
        <v>413</v>
      </c>
    </row>
    <row r="286" spans="1:8" x14ac:dyDescent="0.2">
      <c r="A286" t="s">
        <v>308</v>
      </c>
      <c r="B286" t="s">
        <v>8</v>
      </c>
      <c r="C286" t="s">
        <v>9</v>
      </c>
      <c r="D286">
        <v>0</v>
      </c>
      <c r="E286">
        <v>3</v>
      </c>
      <c r="F286">
        <v>1</v>
      </c>
      <c r="G286">
        <v>1</v>
      </c>
      <c r="H286" t="s">
        <v>413</v>
      </c>
    </row>
    <row r="287" spans="1:8" x14ac:dyDescent="0.2">
      <c r="A287" t="s">
        <v>309</v>
      </c>
      <c r="B287" t="s">
        <v>8</v>
      </c>
      <c r="C287" t="s">
        <v>9</v>
      </c>
      <c r="D287">
        <v>0</v>
      </c>
      <c r="E287">
        <v>4</v>
      </c>
      <c r="F287">
        <v>0</v>
      </c>
      <c r="G287">
        <v>0</v>
      </c>
      <c r="H287" t="s">
        <v>413</v>
      </c>
    </row>
    <row r="288" spans="1:8" x14ac:dyDescent="0.2">
      <c r="A288" t="s">
        <v>310</v>
      </c>
      <c r="B288" t="s">
        <v>8</v>
      </c>
      <c r="C288" t="s">
        <v>9</v>
      </c>
      <c r="D288">
        <v>0</v>
      </c>
      <c r="E288">
        <v>4</v>
      </c>
      <c r="F288">
        <v>0</v>
      </c>
      <c r="G288">
        <v>1</v>
      </c>
      <c r="H288" t="s">
        <v>413</v>
      </c>
    </row>
    <row r="289" spans="1:8" x14ac:dyDescent="0.2">
      <c r="A289" t="s">
        <v>311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 t="s">
        <v>413</v>
      </c>
    </row>
    <row r="290" spans="1:8" x14ac:dyDescent="0.2">
      <c r="A290" t="s">
        <v>312</v>
      </c>
      <c r="B290" t="s">
        <v>8</v>
      </c>
      <c r="C290" t="s">
        <v>9</v>
      </c>
      <c r="D290">
        <v>0</v>
      </c>
      <c r="E290">
        <v>4</v>
      </c>
      <c r="F290">
        <v>1</v>
      </c>
      <c r="G290">
        <v>1</v>
      </c>
      <c r="H290" t="s">
        <v>413</v>
      </c>
    </row>
    <row r="291" spans="1:8" x14ac:dyDescent="0.2">
      <c r="A291" t="s">
        <v>313</v>
      </c>
      <c r="B291" t="s">
        <v>8</v>
      </c>
      <c r="C291" t="s">
        <v>9</v>
      </c>
      <c r="D291">
        <v>0</v>
      </c>
      <c r="E291">
        <v>5</v>
      </c>
      <c r="F291">
        <v>0</v>
      </c>
      <c r="G291">
        <v>0</v>
      </c>
      <c r="H291" t="s">
        <v>413</v>
      </c>
    </row>
    <row r="292" spans="1:8" x14ac:dyDescent="0.2">
      <c r="A292" t="s">
        <v>314</v>
      </c>
      <c r="B292" t="s">
        <v>8</v>
      </c>
      <c r="C292" t="s">
        <v>9</v>
      </c>
      <c r="D292">
        <v>0</v>
      </c>
      <c r="E292">
        <v>5</v>
      </c>
      <c r="F292">
        <v>0</v>
      </c>
      <c r="G292">
        <v>1</v>
      </c>
      <c r="H292" t="s">
        <v>413</v>
      </c>
    </row>
    <row r="293" spans="1:8" x14ac:dyDescent="0.2">
      <c r="A293" t="s">
        <v>315</v>
      </c>
      <c r="B293" t="s">
        <v>8</v>
      </c>
      <c r="C293" t="s">
        <v>9</v>
      </c>
      <c r="D293">
        <v>0</v>
      </c>
      <c r="E293">
        <v>5</v>
      </c>
      <c r="F293">
        <v>1</v>
      </c>
      <c r="G293">
        <v>0</v>
      </c>
      <c r="H293" t="s">
        <v>413</v>
      </c>
    </row>
    <row r="294" spans="1:8" x14ac:dyDescent="0.2">
      <c r="A294" t="s">
        <v>316</v>
      </c>
      <c r="B294" t="s">
        <v>8</v>
      </c>
      <c r="C294" t="s">
        <v>9</v>
      </c>
      <c r="D294">
        <v>0</v>
      </c>
      <c r="E294">
        <v>5</v>
      </c>
      <c r="F294">
        <v>1</v>
      </c>
      <c r="G294">
        <v>1</v>
      </c>
      <c r="H294" t="s">
        <v>413</v>
      </c>
    </row>
    <row r="295" spans="1:8" x14ac:dyDescent="0.2">
      <c r="A295" t="s">
        <v>317</v>
      </c>
      <c r="B295" t="s">
        <v>8</v>
      </c>
      <c r="C295" t="s">
        <v>9</v>
      </c>
      <c r="D295">
        <v>0</v>
      </c>
      <c r="E295">
        <v>6</v>
      </c>
      <c r="F295">
        <v>0</v>
      </c>
      <c r="G295">
        <v>0</v>
      </c>
      <c r="H295" t="s">
        <v>413</v>
      </c>
    </row>
    <row r="296" spans="1:8" x14ac:dyDescent="0.2">
      <c r="A296" t="s">
        <v>318</v>
      </c>
      <c r="B296" t="s">
        <v>8</v>
      </c>
      <c r="C296" t="s">
        <v>9</v>
      </c>
      <c r="D296">
        <v>0</v>
      </c>
      <c r="E296">
        <v>6</v>
      </c>
      <c r="F296">
        <v>0</v>
      </c>
      <c r="G296">
        <v>1</v>
      </c>
      <c r="H296" t="s">
        <v>413</v>
      </c>
    </row>
    <row r="297" spans="1:8" x14ac:dyDescent="0.2">
      <c r="A297" t="s">
        <v>319</v>
      </c>
      <c r="B297" t="s">
        <v>8</v>
      </c>
      <c r="C297" t="s">
        <v>9</v>
      </c>
      <c r="D297">
        <v>0</v>
      </c>
      <c r="E297">
        <v>6</v>
      </c>
      <c r="F297">
        <v>1</v>
      </c>
      <c r="G297">
        <v>0</v>
      </c>
      <c r="H297" t="s">
        <v>413</v>
      </c>
    </row>
    <row r="298" spans="1:8" x14ac:dyDescent="0.2">
      <c r="A298" t="s">
        <v>320</v>
      </c>
      <c r="B298" t="s">
        <v>8</v>
      </c>
      <c r="C298" t="s">
        <v>9</v>
      </c>
      <c r="D298">
        <v>0</v>
      </c>
      <c r="E298">
        <v>6</v>
      </c>
      <c r="F298">
        <v>1</v>
      </c>
      <c r="G298">
        <v>1</v>
      </c>
      <c r="H298" t="s">
        <v>413</v>
      </c>
    </row>
    <row r="299" spans="1:8" x14ac:dyDescent="0.2">
      <c r="A299" t="s">
        <v>321</v>
      </c>
      <c r="B299" t="s">
        <v>8</v>
      </c>
      <c r="C299" t="s">
        <v>9</v>
      </c>
      <c r="D299">
        <v>0</v>
      </c>
      <c r="E299">
        <v>7</v>
      </c>
      <c r="F299">
        <v>0</v>
      </c>
      <c r="G299">
        <v>0</v>
      </c>
      <c r="H299" t="s">
        <v>413</v>
      </c>
    </row>
    <row r="300" spans="1:8" x14ac:dyDescent="0.2">
      <c r="A300" t="s">
        <v>322</v>
      </c>
      <c r="B300" t="s">
        <v>8</v>
      </c>
      <c r="C300" t="s">
        <v>9</v>
      </c>
      <c r="D300">
        <v>0</v>
      </c>
      <c r="E300">
        <v>7</v>
      </c>
      <c r="F300">
        <v>0</v>
      </c>
      <c r="G300">
        <v>1</v>
      </c>
      <c r="H300" t="s">
        <v>413</v>
      </c>
    </row>
    <row r="301" spans="1:8" x14ac:dyDescent="0.2">
      <c r="A301" t="s">
        <v>323</v>
      </c>
      <c r="B301" t="s">
        <v>8</v>
      </c>
      <c r="C301" t="s">
        <v>9</v>
      </c>
      <c r="D301">
        <v>0</v>
      </c>
      <c r="E301">
        <v>7</v>
      </c>
      <c r="F301">
        <v>1</v>
      </c>
      <c r="G301">
        <v>0</v>
      </c>
      <c r="H301" t="s">
        <v>413</v>
      </c>
    </row>
    <row r="302" spans="1:8" x14ac:dyDescent="0.2">
      <c r="A302" t="s">
        <v>324</v>
      </c>
      <c r="B302" t="s">
        <v>8</v>
      </c>
      <c r="C302" t="s">
        <v>9</v>
      </c>
      <c r="D302">
        <v>0</v>
      </c>
      <c r="E302">
        <v>7</v>
      </c>
      <c r="F302">
        <v>1</v>
      </c>
      <c r="G302">
        <v>1</v>
      </c>
      <c r="H302" t="s">
        <v>413</v>
      </c>
    </row>
    <row r="303" spans="1:8" x14ac:dyDescent="0.2">
      <c r="A303" t="s">
        <v>325</v>
      </c>
      <c r="B303" t="s">
        <v>8</v>
      </c>
      <c r="C303" t="s">
        <v>9</v>
      </c>
      <c r="D303">
        <v>0</v>
      </c>
      <c r="E303">
        <v>8</v>
      </c>
      <c r="F303">
        <v>0</v>
      </c>
      <c r="G303">
        <v>0</v>
      </c>
      <c r="H303" t="s">
        <v>413</v>
      </c>
    </row>
    <row r="304" spans="1:8" x14ac:dyDescent="0.2">
      <c r="A304" t="s">
        <v>326</v>
      </c>
      <c r="B304" t="s">
        <v>8</v>
      </c>
      <c r="C304" t="s">
        <v>9</v>
      </c>
      <c r="D304">
        <v>0</v>
      </c>
      <c r="E304">
        <v>8</v>
      </c>
      <c r="F304">
        <v>0</v>
      </c>
      <c r="G304">
        <v>1</v>
      </c>
      <c r="H304" t="s">
        <v>413</v>
      </c>
    </row>
    <row r="305" spans="1:8" x14ac:dyDescent="0.2">
      <c r="A305" t="s">
        <v>327</v>
      </c>
      <c r="B305" t="s">
        <v>8</v>
      </c>
      <c r="C305" t="s">
        <v>9</v>
      </c>
      <c r="D305">
        <v>0</v>
      </c>
      <c r="E305">
        <v>8</v>
      </c>
      <c r="F305">
        <v>1</v>
      </c>
      <c r="G305">
        <v>0</v>
      </c>
      <c r="H305" t="s">
        <v>413</v>
      </c>
    </row>
    <row r="306" spans="1:8" x14ac:dyDescent="0.2">
      <c r="A306" t="s">
        <v>328</v>
      </c>
      <c r="B306" t="s">
        <v>8</v>
      </c>
      <c r="C306" t="s">
        <v>9</v>
      </c>
      <c r="D306">
        <v>0</v>
      </c>
      <c r="E306">
        <v>8</v>
      </c>
      <c r="F306">
        <v>1</v>
      </c>
      <c r="G306">
        <v>1</v>
      </c>
      <c r="H306" t="s">
        <v>413</v>
      </c>
    </row>
    <row r="307" spans="1:8" x14ac:dyDescent="0.2">
      <c r="A307" t="s">
        <v>329</v>
      </c>
      <c r="B307" t="s">
        <v>8</v>
      </c>
      <c r="C307" t="s">
        <v>9</v>
      </c>
      <c r="D307">
        <v>0</v>
      </c>
      <c r="E307">
        <v>9</v>
      </c>
      <c r="F307">
        <v>0</v>
      </c>
      <c r="G307">
        <v>0</v>
      </c>
      <c r="H307" t="s">
        <v>413</v>
      </c>
    </row>
    <row r="308" spans="1:8" x14ac:dyDescent="0.2">
      <c r="A308" t="s">
        <v>330</v>
      </c>
      <c r="B308" t="s">
        <v>8</v>
      </c>
      <c r="C308" t="s">
        <v>9</v>
      </c>
      <c r="D308">
        <v>0</v>
      </c>
      <c r="E308">
        <v>9</v>
      </c>
      <c r="F308">
        <v>0</v>
      </c>
      <c r="G308">
        <v>1</v>
      </c>
      <c r="H308" t="s">
        <v>413</v>
      </c>
    </row>
    <row r="309" spans="1:8" x14ac:dyDescent="0.2">
      <c r="A309" t="s">
        <v>331</v>
      </c>
      <c r="B309" t="s">
        <v>8</v>
      </c>
      <c r="C309" t="s">
        <v>9</v>
      </c>
      <c r="D309">
        <v>0</v>
      </c>
      <c r="E309">
        <v>9</v>
      </c>
      <c r="F309">
        <v>1</v>
      </c>
      <c r="G309">
        <v>0</v>
      </c>
      <c r="H309" t="s">
        <v>413</v>
      </c>
    </row>
    <row r="310" spans="1:8" x14ac:dyDescent="0.2">
      <c r="A310" t="s">
        <v>332</v>
      </c>
      <c r="B310" t="s">
        <v>8</v>
      </c>
      <c r="C310" t="s">
        <v>9</v>
      </c>
      <c r="D310">
        <v>0</v>
      </c>
      <c r="E310">
        <v>9</v>
      </c>
      <c r="F310">
        <v>1</v>
      </c>
      <c r="G310">
        <v>1</v>
      </c>
      <c r="H310" t="s">
        <v>413</v>
      </c>
    </row>
    <row r="311" spans="1:8" x14ac:dyDescent="0.2">
      <c r="A311" t="s">
        <v>333</v>
      </c>
      <c r="B311" t="s">
        <v>8</v>
      </c>
      <c r="C311" t="s">
        <v>9</v>
      </c>
      <c r="D311">
        <v>1</v>
      </c>
      <c r="E311">
        <v>0</v>
      </c>
      <c r="F311">
        <v>0</v>
      </c>
      <c r="G311">
        <v>0</v>
      </c>
      <c r="H311" t="s">
        <v>413</v>
      </c>
    </row>
    <row r="312" spans="1:8" x14ac:dyDescent="0.2">
      <c r="A312" t="s">
        <v>334</v>
      </c>
      <c r="B312" t="s">
        <v>8</v>
      </c>
      <c r="C312" t="s">
        <v>9</v>
      </c>
      <c r="D312">
        <v>1</v>
      </c>
      <c r="E312">
        <v>0</v>
      </c>
      <c r="F312">
        <v>0</v>
      </c>
      <c r="G312">
        <v>1</v>
      </c>
      <c r="H312" t="s">
        <v>413</v>
      </c>
    </row>
    <row r="313" spans="1:8" x14ac:dyDescent="0.2">
      <c r="A313" t="s">
        <v>335</v>
      </c>
      <c r="B313" t="s">
        <v>8</v>
      </c>
      <c r="C313" t="s">
        <v>9</v>
      </c>
      <c r="D313">
        <v>1</v>
      </c>
      <c r="E313">
        <v>0</v>
      </c>
      <c r="F313">
        <v>1</v>
      </c>
      <c r="G313">
        <v>0</v>
      </c>
      <c r="H313" t="s">
        <v>413</v>
      </c>
    </row>
    <row r="314" spans="1:8" x14ac:dyDescent="0.2">
      <c r="A314" t="s">
        <v>336</v>
      </c>
      <c r="B314" t="s">
        <v>8</v>
      </c>
      <c r="C314" t="s">
        <v>9</v>
      </c>
      <c r="D314">
        <v>1</v>
      </c>
      <c r="E314">
        <v>0</v>
      </c>
      <c r="F314">
        <v>1</v>
      </c>
      <c r="G314">
        <v>1</v>
      </c>
      <c r="H314" t="s">
        <v>413</v>
      </c>
    </row>
    <row r="315" spans="1:8" x14ac:dyDescent="0.2">
      <c r="A315" t="s">
        <v>337</v>
      </c>
      <c r="B315" t="s">
        <v>8</v>
      </c>
      <c r="C315" t="s">
        <v>9</v>
      </c>
      <c r="D315">
        <v>1</v>
      </c>
      <c r="E315">
        <v>1</v>
      </c>
      <c r="F315">
        <v>0</v>
      </c>
      <c r="G315">
        <v>0</v>
      </c>
      <c r="H315" t="s">
        <v>413</v>
      </c>
    </row>
    <row r="316" spans="1:8" x14ac:dyDescent="0.2">
      <c r="A316" t="s">
        <v>338</v>
      </c>
      <c r="B316" t="s">
        <v>8</v>
      </c>
      <c r="C316" t="s">
        <v>9</v>
      </c>
      <c r="D316">
        <v>1</v>
      </c>
      <c r="E316">
        <v>1</v>
      </c>
      <c r="F316">
        <v>0</v>
      </c>
      <c r="G316">
        <v>1</v>
      </c>
      <c r="H316" t="s">
        <v>413</v>
      </c>
    </row>
    <row r="317" spans="1:8" x14ac:dyDescent="0.2">
      <c r="A317" t="s">
        <v>339</v>
      </c>
      <c r="B317" t="s">
        <v>8</v>
      </c>
      <c r="C317" t="s">
        <v>9</v>
      </c>
      <c r="D317">
        <v>1</v>
      </c>
      <c r="E317">
        <v>1</v>
      </c>
      <c r="F317">
        <v>1</v>
      </c>
      <c r="G317">
        <v>0</v>
      </c>
      <c r="H317" t="s">
        <v>413</v>
      </c>
    </row>
    <row r="318" spans="1:8" x14ac:dyDescent="0.2">
      <c r="A318" t="s">
        <v>340</v>
      </c>
      <c r="B318" t="s">
        <v>8</v>
      </c>
      <c r="C318" t="s">
        <v>9</v>
      </c>
      <c r="D318">
        <v>1</v>
      </c>
      <c r="E318">
        <v>1</v>
      </c>
      <c r="F318">
        <v>1</v>
      </c>
      <c r="G318">
        <v>1</v>
      </c>
      <c r="H318" t="s">
        <v>413</v>
      </c>
    </row>
    <row r="319" spans="1:8" x14ac:dyDescent="0.2">
      <c r="A319" t="s">
        <v>341</v>
      </c>
      <c r="B319" t="s">
        <v>8</v>
      </c>
      <c r="C319" t="s">
        <v>9</v>
      </c>
      <c r="D319">
        <v>1</v>
      </c>
      <c r="E319">
        <v>2</v>
      </c>
      <c r="F319">
        <v>0</v>
      </c>
      <c r="G319">
        <v>0</v>
      </c>
      <c r="H319" t="s">
        <v>413</v>
      </c>
    </row>
    <row r="320" spans="1:8" x14ac:dyDescent="0.2">
      <c r="A320" t="s">
        <v>342</v>
      </c>
      <c r="B320" t="s">
        <v>8</v>
      </c>
      <c r="C320" t="s">
        <v>9</v>
      </c>
      <c r="D320">
        <v>1</v>
      </c>
      <c r="E320">
        <v>2</v>
      </c>
      <c r="F320">
        <v>0</v>
      </c>
      <c r="G320">
        <v>1</v>
      </c>
      <c r="H320" t="s">
        <v>413</v>
      </c>
    </row>
    <row r="321" spans="1:8" x14ac:dyDescent="0.2">
      <c r="A321" t="s">
        <v>343</v>
      </c>
      <c r="B321" t="s">
        <v>8</v>
      </c>
      <c r="C321" t="s">
        <v>9</v>
      </c>
      <c r="D321">
        <v>1</v>
      </c>
      <c r="E321">
        <v>2</v>
      </c>
      <c r="F321">
        <v>1</v>
      </c>
      <c r="G321">
        <v>0</v>
      </c>
      <c r="H321" t="s">
        <v>413</v>
      </c>
    </row>
    <row r="322" spans="1:8" x14ac:dyDescent="0.2">
      <c r="A322" t="s">
        <v>344</v>
      </c>
      <c r="B322" t="s">
        <v>8</v>
      </c>
      <c r="C322" t="s">
        <v>9</v>
      </c>
      <c r="D322">
        <v>1</v>
      </c>
      <c r="E322">
        <v>2</v>
      </c>
      <c r="F322">
        <v>1</v>
      </c>
      <c r="G322">
        <v>1</v>
      </c>
      <c r="H322" t="s">
        <v>413</v>
      </c>
    </row>
    <row r="323" spans="1:8" x14ac:dyDescent="0.2">
      <c r="A323" t="s">
        <v>345</v>
      </c>
      <c r="B323" t="s">
        <v>8</v>
      </c>
      <c r="C323" t="s">
        <v>9</v>
      </c>
      <c r="D323">
        <v>1</v>
      </c>
      <c r="E323">
        <v>3</v>
      </c>
      <c r="F323">
        <v>0</v>
      </c>
      <c r="G323">
        <v>0</v>
      </c>
      <c r="H323" t="s">
        <v>413</v>
      </c>
    </row>
    <row r="324" spans="1:8" x14ac:dyDescent="0.2">
      <c r="A324" t="s">
        <v>346</v>
      </c>
      <c r="B324" t="s">
        <v>8</v>
      </c>
      <c r="C324" t="s">
        <v>9</v>
      </c>
      <c r="D324">
        <v>1</v>
      </c>
      <c r="E324">
        <v>3</v>
      </c>
      <c r="F324">
        <v>0</v>
      </c>
      <c r="G324">
        <v>1</v>
      </c>
      <c r="H324" t="s">
        <v>413</v>
      </c>
    </row>
    <row r="325" spans="1:8" x14ac:dyDescent="0.2">
      <c r="A325" t="s">
        <v>347</v>
      </c>
      <c r="B325" t="s">
        <v>8</v>
      </c>
      <c r="C325" t="s">
        <v>9</v>
      </c>
      <c r="D325">
        <v>1</v>
      </c>
      <c r="E325">
        <v>3</v>
      </c>
      <c r="F325">
        <v>1</v>
      </c>
      <c r="G325">
        <v>0</v>
      </c>
      <c r="H325" t="s">
        <v>413</v>
      </c>
    </row>
    <row r="326" spans="1:8" x14ac:dyDescent="0.2">
      <c r="A326" t="s">
        <v>348</v>
      </c>
      <c r="B326" t="s">
        <v>8</v>
      </c>
      <c r="C326" t="s">
        <v>9</v>
      </c>
      <c r="D326">
        <v>1</v>
      </c>
      <c r="E326">
        <v>3</v>
      </c>
      <c r="F326">
        <v>1</v>
      </c>
      <c r="G326">
        <v>1</v>
      </c>
      <c r="H326" t="s">
        <v>413</v>
      </c>
    </row>
    <row r="327" spans="1:8" x14ac:dyDescent="0.2">
      <c r="A327" t="s">
        <v>349</v>
      </c>
      <c r="B327" t="s">
        <v>8</v>
      </c>
      <c r="C327" t="s">
        <v>9</v>
      </c>
      <c r="D327">
        <v>1</v>
      </c>
      <c r="E327">
        <v>4</v>
      </c>
      <c r="F327">
        <v>0</v>
      </c>
      <c r="G327">
        <v>0</v>
      </c>
      <c r="H327" t="s">
        <v>413</v>
      </c>
    </row>
    <row r="328" spans="1:8" x14ac:dyDescent="0.2">
      <c r="A328" t="s">
        <v>350</v>
      </c>
      <c r="B328" t="s">
        <v>8</v>
      </c>
      <c r="C328" t="s">
        <v>9</v>
      </c>
      <c r="D328">
        <v>1</v>
      </c>
      <c r="E328">
        <v>4</v>
      </c>
      <c r="F328">
        <v>0</v>
      </c>
      <c r="G328">
        <v>1</v>
      </c>
      <c r="H328" t="s">
        <v>413</v>
      </c>
    </row>
    <row r="329" spans="1:8" x14ac:dyDescent="0.2">
      <c r="A329" t="s">
        <v>351</v>
      </c>
      <c r="B329" t="s">
        <v>8</v>
      </c>
      <c r="C329" t="s">
        <v>9</v>
      </c>
      <c r="D329">
        <v>1</v>
      </c>
      <c r="E329">
        <v>4</v>
      </c>
      <c r="F329">
        <v>1</v>
      </c>
      <c r="G329">
        <v>0</v>
      </c>
      <c r="H329" t="s">
        <v>413</v>
      </c>
    </row>
    <row r="330" spans="1:8" x14ac:dyDescent="0.2">
      <c r="A330" t="s">
        <v>352</v>
      </c>
      <c r="B330" t="s">
        <v>8</v>
      </c>
      <c r="C330" t="s">
        <v>9</v>
      </c>
      <c r="D330">
        <v>1</v>
      </c>
      <c r="E330">
        <v>4</v>
      </c>
      <c r="F330">
        <v>1</v>
      </c>
      <c r="G330">
        <v>1</v>
      </c>
      <c r="H330" t="s">
        <v>413</v>
      </c>
    </row>
    <row r="331" spans="1:8" x14ac:dyDescent="0.2">
      <c r="A331" t="s">
        <v>353</v>
      </c>
      <c r="B331" t="s">
        <v>8</v>
      </c>
      <c r="C331" t="s">
        <v>9</v>
      </c>
      <c r="D331">
        <v>1</v>
      </c>
      <c r="E331">
        <v>5</v>
      </c>
      <c r="F331">
        <v>0</v>
      </c>
      <c r="G331">
        <v>0</v>
      </c>
      <c r="H331" t="s">
        <v>413</v>
      </c>
    </row>
    <row r="332" spans="1:8" x14ac:dyDescent="0.2">
      <c r="A332" t="s">
        <v>354</v>
      </c>
      <c r="B332" t="s">
        <v>8</v>
      </c>
      <c r="C332" t="s">
        <v>9</v>
      </c>
      <c r="D332">
        <v>1</v>
      </c>
      <c r="E332">
        <v>5</v>
      </c>
      <c r="F332">
        <v>0</v>
      </c>
      <c r="G332">
        <v>1</v>
      </c>
      <c r="H332" t="s">
        <v>413</v>
      </c>
    </row>
    <row r="333" spans="1:8" x14ac:dyDescent="0.2">
      <c r="A333" t="s">
        <v>355</v>
      </c>
      <c r="B333" t="s">
        <v>8</v>
      </c>
      <c r="C333" t="s">
        <v>9</v>
      </c>
      <c r="D333">
        <v>1</v>
      </c>
      <c r="E333">
        <v>5</v>
      </c>
      <c r="F333">
        <v>1</v>
      </c>
      <c r="G333">
        <v>0</v>
      </c>
      <c r="H333" t="s">
        <v>413</v>
      </c>
    </row>
    <row r="334" spans="1:8" x14ac:dyDescent="0.2">
      <c r="A334" t="s">
        <v>356</v>
      </c>
      <c r="B334" t="s">
        <v>8</v>
      </c>
      <c r="C334" t="s">
        <v>9</v>
      </c>
      <c r="D334">
        <v>1</v>
      </c>
      <c r="E334">
        <v>5</v>
      </c>
      <c r="F334">
        <v>1</v>
      </c>
      <c r="G334">
        <v>1</v>
      </c>
      <c r="H334" t="s">
        <v>413</v>
      </c>
    </row>
    <row r="335" spans="1:8" x14ac:dyDescent="0.2">
      <c r="A335" t="s">
        <v>357</v>
      </c>
      <c r="B335" t="s">
        <v>8</v>
      </c>
      <c r="C335" t="s">
        <v>9</v>
      </c>
      <c r="D335">
        <v>1</v>
      </c>
      <c r="E335">
        <v>6</v>
      </c>
      <c r="F335">
        <v>0</v>
      </c>
      <c r="G335">
        <v>0</v>
      </c>
      <c r="H335" t="s">
        <v>413</v>
      </c>
    </row>
    <row r="336" spans="1:8" x14ac:dyDescent="0.2">
      <c r="A336" t="s">
        <v>358</v>
      </c>
      <c r="B336" t="s">
        <v>8</v>
      </c>
      <c r="C336" t="s">
        <v>9</v>
      </c>
      <c r="D336">
        <v>1</v>
      </c>
      <c r="E336">
        <v>6</v>
      </c>
      <c r="F336">
        <v>0</v>
      </c>
      <c r="G336">
        <v>1</v>
      </c>
      <c r="H336" t="s">
        <v>413</v>
      </c>
    </row>
    <row r="337" spans="1:8" x14ac:dyDescent="0.2">
      <c r="A337" t="s">
        <v>359</v>
      </c>
      <c r="B337" t="s">
        <v>8</v>
      </c>
      <c r="C337" t="s">
        <v>9</v>
      </c>
      <c r="D337">
        <v>1</v>
      </c>
      <c r="E337">
        <v>6</v>
      </c>
      <c r="F337">
        <v>1</v>
      </c>
      <c r="G337">
        <v>0</v>
      </c>
      <c r="H337" t="s">
        <v>413</v>
      </c>
    </row>
    <row r="338" spans="1:8" x14ac:dyDescent="0.2">
      <c r="A338" t="s">
        <v>360</v>
      </c>
      <c r="B338" t="s">
        <v>8</v>
      </c>
      <c r="C338" t="s">
        <v>9</v>
      </c>
      <c r="D338">
        <v>1</v>
      </c>
      <c r="E338">
        <v>6</v>
      </c>
      <c r="F338">
        <v>1</v>
      </c>
      <c r="G338">
        <v>1</v>
      </c>
      <c r="H338" t="s">
        <v>413</v>
      </c>
    </row>
    <row r="339" spans="1:8" x14ac:dyDescent="0.2">
      <c r="A339" t="s">
        <v>361</v>
      </c>
      <c r="B339" t="s">
        <v>8</v>
      </c>
      <c r="C339" t="s">
        <v>9</v>
      </c>
      <c r="D339">
        <v>1</v>
      </c>
      <c r="E339">
        <v>7</v>
      </c>
      <c r="F339">
        <v>0</v>
      </c>
      <c r="G339">
        <v>0</v>
      </c>
      <c r="H339" t="s">
        <v>413</v>
      </c>
    </row>
    <row r="340" spans="1:8" x14ac:dyDescent="0.2">
      <c r="A340" t="s">
        <v>362</v>
      </c>
      <c r="B340" t="s">
        <v>8</v>
      </c>
      <c r="C340" t="s">
        <v>9</v>
      </c>
      <c r="D340">
        <v>1</v>
      </c>
      <c r="E340">
        <v>7</v>
      </c>
      <c r="F340">
        <v>0</v>
      </c>
      <c r="G340">
        <v>1</v>
      </c>
      <c r="H340" t="s">
        <v>413</v>
      </c>
    </row>
    <row r="341" spans="1:8" x14ac:dyDescent="0.2">
      <c r="A341" t="s">
        <v>363</v>
      </c>
      <c r="B341" t="s">
        <v>8</v>
      </c>
      <c r="C341" t="s">
        <v>9</v>
      </c>
      <c r="D341">
        <v>1</v>
      </c>
      <c r="E341">
        <v>7</v>
      </c>
      <c r="F341">
        <v>1</v>
      </c>
      <c r="G341">
        <v>0</v>
      </c>
      <c r="H341" t="s">
        <v>413</v>
      </c>
    </row>
    <row r="342" spans="1:8" x14ac:dyDescent="0.2">
      <c r="A342" t="s">
        <v>364</v>
      </c>
      <c r="B342" t="s">
        <v>8</v>
      </c>
      <c r="C342" t="s">
        <v>9</v>
      </c>
      <c r="D342">
        <v>1</v>
      </c>
      <c r="E342">
        <v>7</v>
      </c>
      <c r="F342">
        <v>1</v>
      </c>
      <c r="G342">
        <v>1</v>
      </c>
      <c r="H342" t="s">
        <v>413</v>
      </c>
    </row>
    <row r="343" spans="1:8" x14ac:dyDescent="0.2">
      <c r="A343" t="s">
        <v>365</v>
      </c>
      <c r="B343" t="s">
        <v>8</v>
      </c>
      <c r="C343" t="s">
        <v>9</v>
      </c>
      <c r="D343">
        <v>1</v>
      </c>
      <c r="E343">
        <v>8</v>
      </c>
      <c r="F343">
        <v>0</v>
      </c>
      <c r="G343">
        <v>0</v>
      </c>
      <c r="H343" t="s">
        <v>413</v>
      </c>
    </row>
    <row r="344" spans="1:8" x14ac:dyDescent="0.2">
      <c r="A344" t="s">
        <v>366</v>
      </c>
      <c r="B344" t="s">
        <v>8</v>
      </c>
      <c r="C344" t="s">
        <v>9</v>
      </c>
      <c r="D344">
        <v>1</v>
      </c>
      <c r="E344">
        <v>8</v>
      </c>
      <c r="F344">
        <v>0</v>
      </c>
      <c r="G344">
        <v>1</v>
      </c>
      <c r="H344" t="s">
        <v>413</v>
      </c>
    </row>
    <row r="345" spans="1:8" x14ac:dyDescent="0.2">
      <c r="A345" t="s">
        <v>367</v>
      </c>
      <c r="B345" t="s">
        <v>8</v>
      </c>
      <c r="C345" t="s">
        <v>9</v>
      </c>
      <c r="D345">
        <v>1</v>
      </c>
      <c r="E345">
        <v>8</v>
      </c>
      <c r="F345">
        <v>1</v>
      </c>
      <c r="G345">
        <v>0</v>
      </c>
      <c r="H345" t="s">
        <v>413</v>
      </c>
    </row>
    <row r="346" spans="1:8" x14ac:dyDescent="0.2">
      <c r="A346" t="s">
        <v>368</v>
      </c>
      <c r="B346" t="s">
        <v>8</v>
      </c>
      <c r="C346" t="s">
        <v>9</v>
      </c>
      <c r="D346">
        <v>1</v>
      </c>
      <c r="E346">
        <v>8</v>
      </c>
      <c r="F346">
        <v>1</v>
      </c>
      <c r="G346">
        <v>1</v>
      </c>
      <c r="H346" t="s">
        <v>413</v>
      </c>
    </row>
    <row r="347" spans="1:8" x14ac:dyDescent="0.2">
      <c r="A347" t="s">
        <v>369</v>
      </c>
      <c r="B347" t="s">
        <v>8</v>
      </c>
      <c r="C347" t="s">
        <v>9</v>
      </c>
      <c r="D347">
        <v>1</v>
      </c>
      <c r="E347">
        <v>9</v>
      </c>
      <c r="F347">
        <v>0</v>
      </c>
      <c r="G347">
        <v>0</v>
      </c>
      <c r="H347" t="s">
        <v>413</v>
      </c>
    </row>
    <row r="348" spans="1:8" x14ac:dyDescent="0.2">
      <c r="A348" t="s">
        <v>370</v>
      </c>
      <c r="B348" t="s">
        <v>8</v>
      </c>
      <c r="C348" t="s">
        <v>9</v>
      </c>
      <c r="D348">
        <v>1</v>
      </c>
      <c r="E348">
        <v>9</v>
      </c>
      <c r="F348">
        <v>0</v>
      </c>
      <c r="G348">
        <v>1</v>
      </c>
      <c r="H348" t="s">
        <v>413</v>
      </c>
    </row>
    <row r="349" spans="1:8" x14ac:dyDescent="0.2">
      <c r="A349" t="s">
        <v>371</v>
      </c>
      <c r="B349" t="s">
        <v>8</v>
      </c>
      <c r="C349" t="s">
        <v>9</v>
      </c>
      <c r="D349">
        <v>1</v>
      </c>
      <c r="E349">
        <v>9</v>
      </c>
      <c r="F349">
        <v>1</v>
      </c>
      <c r="G349">
        <v>0</v>
      </c>
      <c r="H349" t="s">
        <v>413</v>
      </c>
    </row>
    <row r="350" spans="1:8" x14ac:dyDescent="0.2">
      <c r="A350" t="s">
        <v>372</v>
      </c>
      <c r="B350" t="s">
        <v>8</v>
      </c>
      <c r="C350" t="s">
        <v>9</v>
      </c>
      <c r="D350">
        <v>1</v>
      </c>
      <c r="E350">
        <v>9</v>
      </c>
      <c r="F350">
        <v>1</v>
      </c>
      <c r="G350">
        <v>1</v>
      </c>
      <c r="H350" t="s">
        <v>413</v>
      </c>
    </row>
    <row r="351" spans="1:8" x14ac:dyDescent="0.2">
      <c r="A351" t="s">
        <v>373</v>
      </c>
      <c r="B351" t="s">
        <v>8</v>
      </c>
      <c r="C351" t="s">
        <v>9</v>
      </c>
      <c r="D351">
        <v>2</v>
      </c>
      <c r="E351">
        <v>0</v>
      </c>
      <c r="F351">
        <v>0</v>
      </c>
      <c r="G351">
        <v>0</v>
      </c>
      <c r="H351" t="s">
        <v>413</v>
      </c>
    </row>
    <row r="352" spans="1:8" x14ac:dyDescent="0.2">
      <c r="A352" t="s">
        <v>374</v>
      </c>
      <c r="B352" t="s">
        <v>8</v>
      </c>
      <c r="C352" t="s">
        <v>9</v>
      </c>
      <c r="D352">
        <v>2</v>
      </c>
      <c r="E352">
        <v>0</v>
      </c>
      <c r="F352">
        <v>0</v>
      </c>
      <c r="G352">
        <v>1</v>
      </c>
      <c r="H352" t="s">
        <v>413</v>
      </c>
    </row>
    <row r="353" spans="1:8" x14ac:dyDescent="0.2">
      <c r="A353" t="s">
        <v>375</v>
      </c>
      <c r="B353" t="s">
        <v>8</v>
      </c>
      <c r="C353" t="s">
        <v>9</v>
      </c>
      <c r="D353">
        <v>2</v>
      </c>
      <c r="E353">
        <v>0</v>
      </c>
      <c r="F353">
        <v>1</v>
      </c>
      <c r="G353">
        <v>0</v>
      </c>
      <c r="H353" t="s">
        <v>413</v>
      </c>
    </row>
    <row r="354" spans="1:8" x14ac:dyDescent="0.2">
      <c r="A354" t="s">
        <v>376</v>
      </c>
      <c r="B354" t="s">
        <v>8</v>
      </c>
      <c r="C354" t="s">
        <v>9</v>
      </c>
      <c r="D354">
        <v>2</v>
      </c>
      <c r="E354">
        <v>0</v>
      </c>
      <c r="F354">
        <v>1</v>
      </c>
      <c r="G354">
        <v>1</v>
      </c>
      <c r="H354" t="s">
        <v>413</v>
      </c>
    </row>
    <row r="355" spans="1:8" x14ac:dyDescent="0.2">
      <c r="A355" t="s">
        <v>377</v>
      </c>
      <c r="B355" t="s">
        <v>8</v>
      </c>
      <c r="C355" t="s">
        <v>9</v>
      </c>
      <c r="D355">
        <v>2</v>
      </c>
      <c r="E355">
        <v>1</v>
      </c>
      <c r="F355">
        <v>0</v>
      </c>
      <c r="G355">
        <v>0</v>
      </c>
      <c r="H355" t="s">
        <v>413</v>
      </c>
    </row>
    <row r="356" spans="1:8" x14ac:dyDescent="0.2">
      <c r="A356" t="s">
        <v>378</v>
      </c>
      <c r="B356" t="s">
        <v>8</v>
      </c>
      <c r="C356" t="s">
        <v>9</v>
      </c>
      <c r="D356">
        <v>2</v>
      </c>
      <c r="E356">
        <v>1</v>
      </c>
      <c r="F356">
        <v>0</v>
      </c>
      <c r="G356">
        <v>1</v>
      </c>
      <c r="H356" t="s">
        <v>413</v>
      </c>
    </row>
    <row r="357" spans="1:8" x14ac:dyDescent="0.2">
      <c r="A357" t="s">
        <v>379</v>
      </c>
      <c r="B357" t="s">
        <v>8</v>
      </c>
      <c r="C357" t="s">
        <v>9</v>
      </c>
      <c r="D357">
        <v>2</v>
      </c>
      <c r="E357">
        <v>1</v>
      </c>
      <c r="F357">
        <v>1</v>
      </c>
      <c r="G357">
        <v>0</v>
      </c>
      <c r="H357" t="s">
        <v>413</v>
      </c>
    </row>
    <row r="358" spans="1:8" x14ac:dyDescent="0.2">
      <c r="A358" t="s">
        <v>380</v>
      </c>
      <c r="B358" t="s">
        <v>8</v>
      </c>
      <c r="C358" t="s">
        <v>9</v>
      </c>
      <c r="D358">
        <v>2</v>
      </c>
      <c r="E358">
        <v>1</v>
      </c>
      <c r="F358">
        <v>1</v>
      </c>
      <c r="G358">
        <v>1</v>
      </c>
      <c r="H358" t="s">
        <v>413</v>
      </c>
    </row>
    <row r="359" spans="1:8" x14ac:dyDescent="0.2">
      <c r="A359" t="s">
        <v>381</v>
      </c>
      <c r="B359" t="s">
        <v>8</v>
      </c>
      <c r="C359" t="s">
        <v>9</v>
      </c>
      <c r="D359">
        <v>2</v>
      </c>
      <c r="E359">
        <v>2</v>
      </c>
      <c r="F359">
        <v>0</v>
      </c>
      <c r="G359">
        <v>0</v>
      </c>
      <c r="H359" t="s">
        <v>413</v>
      </c>
    </row>
    <row r="360" spans="1:8" x14ac:dyDescent="0.2">
      <c r="A360" t="s">
        <v>382</v>
      </c>
      <c r="B360" t="s">
        <v>8</v>
      </c>
      <c r="C360" t="s">
        <v>9</v>
      </c>
      <c r="D360">
        <v>2</v>
      </c>
      <c r="E360">
        <v>2</v>
      </c>
      <c r="F360">
        <v>0</v>
      </c>
      <c r="G360">
        <v>1</v>
      </c>
      <c r="H360" t="s">
        <v>413</v>
      </c>
    </row>
    <row r="361" spans="1:8" x14ac:dyDescent="0.2">
      <c r="A361" t="s">
        <v>383</v>
      </c>
      <c r="B361" t="s">
        <v>8</v>
      </c>
      <c r="C361" t="s">
        <v>9</v>
      </c>
      <c r="D361">
        <v>2</v>
      </c>
      <c r="E361">
        <v>2</v>
      </c>
      <c r="F361">
        <v>1</v>
      </c>
      <c r="G361">
        <v>0</v>
      </c>
      <c r="H361" t="s">
        <v>413</v>
      </c>
    </row>
    <row r="362" spans="1:8" x14ac:dyDescent="0.2">
      <c r="A362" t="s">
        <v>384</v>
      </c>
      <c r="B362" t="s">
        <v>8</v>
      </c>
      <c r="C362" t="s">
        <v>9</v>
      </c>
      <c r="D362">
        <v>2</v>
      </c>
      <c r="E362">
        <v>2</v>
      </c>
      <c r="F362">
        <v>1</v>
      </c>
      <c r="G362">
        <v>1</v>
      </c>
      <c r="H362" t="s">
        <v>413</v>
      </c>
    </row>
    <row r="363" spans="1:8" x14ac:dyDescent="0.2">
      <c r="A363" t="s">
        <v>385</v>
      </c>
      <c r="B363" t="s">
        <v>8</v>
      </c>
      <c r="C363" t="s">
        <v>9</v>
      </c>
      <c r="D363">
        <v>2</v>
      </c>
      <c r="E363">
        <v>3</v>
      </c>
      <c r="F363">
        <v>0</v>
      </c>
      <c r="G363">
        <v>0</v>
      </c>
      <c r="H363" t="s">
        <v>413</v>
      </c>
    </row>
    <row r="364" spans="1:8" x14ac:dyDescent="0.2">
      <c r="A364" t="s">
        <v>386</v>
      </c>
      <c r="B364" t="s">
        <v>8</v>
      </c>
      <c r="C364" t="s">
        <v>9</v>
      </c>
      <c r="D364">
        <v>2</v>
      </c>
      <c r="E364">
        <v>3</v>
      </c>
      <c r="F364">
        <v>0</v>
      </c>
      <c r="G364">
        <v>1</v>
      </c>
      <c r="H364" t="s">
        <v>413</v>
      </c>
    </row>
    <row r="365" spans="1:8" x14ac:dyDescent="0.2">
      <c r="A365" t="s">
        <v>387</v>
      </c>
      <c r="B365" t="s">
        <v>8</v>
      </c>
      <c r="C365" t="s">
        <v>9</v>
      </c>
      <c r="D365">
        <v>2</v>
      </c>
      <c r="E365">
        <v>3</v>
      </c>
      <c r="F365">
        <v>1</v>
      </c>
      <c r="G365">
        <v>0</v>
      </c>
      <c r="H365" t="s">
        <v>413</v>
      </c>
    </row>
    <row r="366" spans="1:8" x14ac:dyDescent="0.2">
      <c r="A366" t="s">
        <v>388</v>
      </c>
      <c r="B366" t="s">
        <v>8</v>
      </c>
      <c r="C366" t="s">
        <v>9</v>
      </c>
      <c r="D366">
        <v>2</v>
      </c>
      <c r="E366">
        <v>3</v>
      </c>
      <c r="F366">
        <v>1</v>
      </c>
      <c r="G366">
        <v>1</v>
      </c>
      <c r="H366" t="s">
        <v>413</v>
      </c>
    </row>
    <row r="367" spans="1:8" x14ac:dyDescent="0.2">
      <c r="A367" t="s">
        <v>389</v>
      </c>
      <c r="B367" t="s">
        <v>8</v>
      </c>
      <c r="C367" t="s">
        <v>9</v>
      </c>
      <c r="D367">
        <v>2</v>
      </c>
      <c r="E367">
        <v>4</v>
      </c>
      <c r="F367">
        <v>0</v>
      </c>
      <c r="G367">
        <v>0</v>
      </c>
      <c r="H367" t="s">
        <v>413</v>
      </c>
    </row>
    <row r="368" spans="1:8" x14ac:dyDescent="0.2">
      <c r="A368" t="s">
        <v>390</v>
      </c>
      <c r="B368" t="s">
        <v>8</v>
      </c>
      <c r="C368" t="s">
        <v>9</v>
      </c>
      <c r="D368">
        <v>2</v>
      </c>
      <c r="E368">
        <v>4</v>
      </c>
      <c r="F368">
        <v>0</v>
      </c>
      <c r="G368">
        <v>1</v>
      </c>
      <c r="H368" t="s">
        <v>413</v>
      </c>
    </row>
    <row r="369" spans="1:8" x14ac:dyDescent="0.2">
      <c r="A369" t="s">
        <v>391</v>
      </c>
      <c r="B369" t="s">
        <v>8</v>
      </c>
      <c r="C369" t="s">
        <v>9</v>
      </c>
      <c r="D369">
        <v>2</v>
      </c>
      <c r="E369">
        <v>4</v>
      </c>
      <c r="F369">
        <v>1</v>
      </c>
      <c r="G369">
        <v>0</v>
      </c>
      <c r="H369" t="s">
        <v>413</v>
      </c>
    </row>
    <row r="370" spans="1:8" x14ac:dyDescent="0.2">
      <c r="A370" t="s">
        <v>392</v>
      </c>
      <c r="B370" t="s">
        <v>8</v>
      </c>
      <c r="C370" t="s">
        <v>9</v>
      </c>
      <c r="D370">
        <v>2</v>
      </c>
      <c r="E370">
        <v>4</v>
      </c>
      <c r="F370">
        <v>1</v>
      </c>
      <c r="G370">
        <v>1</v>
      </c>
      <c r="H370" t="s">
        <v>413</v>
      </c>
    </row>
    <row r="371" spans="1:8" x14ac:dyDescent="0.2">
      <c r="A371" t="s">
        <v>393</v>
      </c>
      <c r="B371" t="s">
        <v>8</v>
      </c>
      <c r="C371" t="s">
        <v>9</v>
      </c>
      <c r="D371">
        <v>2</v>
      </c>
      <c r="E371">
        <v>5</v>
      </c>
      <c r="F371">
        <v>0</v>
      </c>
      <c r="G371">
        <v>0</v>
      </c>
      <c r="H371" t="s">
        <v>413</v>
      </c>
    </row>
    <row r="372" spans="1:8" x14ac:dyDescent="0.2">
      <c r="A372" t="s">
        <v>394</v>
      </c>
      <c r="B372" t="s">
        <v>8</v>
      </c>
      <c r="C372" t="s">
        <v>9</v>
      </c>
      <c r="D372">
        <v>2</v>
      </c>
      <c r="E372">
        <v>5</v>
      </c>
      <c r="F372">
        <v>0</v>
      </c>
      <c r="G372">
        <v>1</v>
      </c>
      <c r="H372" t="s">
        <v>413</v>
      </c>
    </row>
    <row r="373" spans="1:8" x14ac:dyDescent="0.2">
      <c r="A373" t="s">
        <v>395</v>
      </c>
      <c r="B373" t="s">
        <v>8</v>
      </c>
      <c r="C373" t="s">
        <v>9</v>
      </c>
      <c r="D373">
        <v>2</v>
      </c>
      <c r="E373">
        <v>5</v>
      </c>
      <c r="F373">
        <v>1</v>
      </c>
      <c r="G373">
        <v>0</v>
      </c>
      <c r="H373" t="s">
        <v>413</v>
      </c>
    </row>
    <row r="374" spans="1:8" x14ac:dyDescent="0.2">
      <c r="A374" t="s">
        <v>396</v>
      </c>
      <c r="B374" t="s">
        <v>8</v>
      </c>
      <c r="C374" t="s">
        <v>9</v>
      </c>
      <c r="D374">
        <v>2</v>
      </c>
      <c r="E374">
        <v>5</v>
      </c>
      <c r="F374">
        <v>1</v>
      </c>
      <c r="G374">
        <v>1</v>
      </c>
      <c r="H374" t="s">
        <v>413</v>
      </c>
    </row>
    <row r="375" spans="1:8" x14ac:dyDescent="0.2">
      <c r="A375" t="s">
        <v>397</v>
      </c>
      <c r="B375" t="s">
        <v>8</v>
      </c>
      <c r="C375" t="s">
        <v>9</v>
      </c>
      <c r="D375">
        <v>2</v>
      </c>
      <c r="E375">
        <v>6</v>
      </c>
      <c r="F375">
        <v>0</v>
      </c>
      <c r="G375">
        <v>0</v>
      </c>
      <c r="H375" t="s">
        <v>413</v>
      </c>
    </row>
    <row r="376" spans="1:8" x14ac:dyDescent="0.2">
      <c r="A376" t="s">
        <v>398</v>
      </c>
      <c r="B376" t="s">
        <v>8</v>
      </c>
      <c r="C376" t="s">
        <v>9</v>
      </c>
      <c r="D376">
        <v>2</v>
      </c>
      <c r="E376">
        <v>6</v>
      </c>
      <c r="F376">
        <v>0</v>
      </c>
      <c r="G376">
        <v>1</v>
      </c>
      <c r="H376" t="s">
        <v>413</v>
      </c>
    </row>
    <row r="377" spans="1:8" x14ac:dyDescent="0.2">
      <c r="A377" t="s">
        <v>399</v>
      </c>
      <c r="B377" t="s">
        <v>8</v>
      </c>
      <c r="C377" t="s">
        <v>9</v>
      </c>
      <c r="D377">
        <v>2</v>
      </c>
      <c r="E377">
        <v>6</v>
      </c>
      <c r="F377">
        <v>1</v>
      </c>
      <c r="G377">
        <v>0</v>
      </c>
      <c r="H377" t="s">
        <v>413</v>
      </c>
    </row>
    <row r="378" spans="1:8" x14ac:dyDescent="0.2">
      <c r="A378" t="s">
        <v>400</v>
      </c>
      <c r="B378" t="s">
        <v>8</v>
      </c>
      <c r="C378" t="s">
        <v>9</v>
      </c>
      <c r="D378">
        <v>2</v>
      </c>
      <c r="E378">
        <v>6</v>
      </c>
      <c r="F378">
        <v>1</v>
      </c>
      <c r="G378">
        <v>1</v>
      </c>
      <c r="H378" t="s">
        <v>413</v>
      </c>
    </row>
    <row r="379" spans="1:8" x14ac:dyDescent="0.2">
      <c r="A379" t="s">
        <v>401</v>
      </c>
      <c r="B379" t="s">
        <v>8</v>
      </c>
      <c r="C379" t="s">
        <v>9</v>
      </c>
      <c r="D379">
        <v>2</v>
      </c>
      <c r="E379">
        <v>7</v>
      </c>
      <c r="F379">
        <v>0</v>
      </c>
      <c r="G379">
        <v>0</v>
      </c>
      <c r="H379" t="s">
        <v>413</v>
      </c>
    </row>
    <row r="380" spans="1:8" x14ac:dyDescent="0.2">
      <c r="A380" t="s">
        <v>402</v>
      </c>
      <c r="B380" t="s">
        <v>8</v>
      </c>
      <c r="C380" t="s">
        <v>9</v>
      </c>
      <c r="D380">
        <v>2</v>
      </c>
      <c r="E380">
        <v>7</v>
      </c>
      <c r="F380">
        <v>0</v>
      </c>
      <c r="G380">
        <v>1</v>
      </c>
      <c r="H380" t="s">
        <v>413</v>
      </c>
    </row>
    <row r="381" spans="1:8" x14ac:dyDescent="0.2">
      <c r="A381" t="s">
        <v>403</v>
      </c>
      <c r="B381" t="s">
        <v>8</v>
      </c>
      <c r="C381" t="s">
        <v>9</v>
      </c>
      <c r="D381">
        <v>2</v>
      </c>
      <c r="E381">
        <v>7</v>
      </c>
      <c r="F381">
        <v>1</v>
      </c>
      <c r="G381">
        <v>0</v>
      </c>
      <c r="H381" t="s">
        <v>413</v>
      </c>
    </row>
    <row r="382" spans="1:8" x14ac:dyDescent="0.2">
      <c r="A382" t="s">
        <v>404</v>
      </c>
      <c r="B382" t="s">
        <v>8</v>
      </c>
      <c r="C382" t="s">
        <v>9</v>
      </c>
      <c r="D382">
        <v>2</v>
      </c>
      <c r="E382">
        <v>7</v>
      </c>
      <c r="F382">
        <v>1</v>
      </c>
      <c r="G382">
        <v>1</v>
      </c>
      <c r="H382" t="s">
        <v>413</v>
      </c>
    </row>
    <row r="383" spans="1:8" x14ac:dyDescent="0.2">
      <c r="A383" t="s">
        <v>405</v>
      </c>
      <c r="B383" t="s">
        <v>8</v>
      </c>
      <c r="C383" t="s">
        <v>9</v>
      </c>
      <c r="D383">
        <v>2</v>
      </c>
      <c r="E383">
        <v>8</v>
      </c>
      <c r="F383">
        <v>0</v>
      </c>
      <c r="G383">
        <v>0</v>
      </c>
      <c r="H383" t="s">
        <v>413</v>
      </c>
    </row>
    <row r="384" spans="1:8" x14ac:dyDescent="0.2">
      <c r="A384" t="s">
        <v>406</v>
      </c>
      <c r="B384" t="s">
        <v>8</v>
      </c>
      <c r="C384" t="s">
        <v>9</v>
      </c>
      <c r="D384">
        <v>2</v>
      </c>
      <c r="E384">
        <v>8</v>
      </c>
      <c r="F384">
        <v>0</v>
      </c>
      <c r="G384">
        <v>1</v>
      </c>
      <c r="H384" t="s">
        <v>413</v>
      </c>
    </row>
    <row r="385" spans="1:8" x14ac:dyDescent="0.2">
      <c r="A385" t="s">
        <v>407</v>
      </c>
      <c r="B385" t="s">
        <v>8</v>
      </c>
      <c r="C385" t="s">
        <v>9</v>
      </c>
      <c r="D385">
        <v>2</v>
      </c>
      <c r="E385">
        <v>8</v>
      </c>
      <c r="F385">
        <v>1</v>
      </c>
      <c r="G385">
        <v>0</v>
      </c>
      <c r="H385" t="s">
        <v>413</v>
      </c>
    </row>
    <row r="386" spans="1:8" x14ac:dyDescent="0.2">
      <c r="A386" t="s">
        <v>408</v>
      </c>
      <c r="B386" t="s">
        <v>8</v>
      </c>
      <c r="C386" t="s">
        <v>9</v>
      </c>
      <c r="D386">
        <v>2</v>
      </c>
      <c r="E386">
        <v>8</v>
      </c>
      <c r="F386">
        <v>1</v>
      </c>
      <c r="G386">
        <v>1</v>
      </c>
      <c r="H386" t="s">
        <v>413</v>
      </c>
    </row>
    <row r="387" spans="1:8" x14ac:dyDescent="0.2">
      <c r="A387" t="s">
        <v>409</v>
      </c>
      <c r="B387" t="s">
        <v>8</v>
      </c>
      <c r="C387" t="s">
        <v>9</v>
      </c>
      <c r="D387">
        <v>2</v>
      </c>
      <c r="E387">
        <v>9</v>
      </c>
      <c r="F387">
        <v>0</v>
      </c>
      <c r="G387">
        <v>0</v>
      </c>
      <c r="H387" t="s">
        <v>413</v>
      </c>
    </row>
    <row r="388" spans="1:8" x14ac:dyDescent="0.2">
      <c r="A388" t="s">
        <v>410</v>
      </c>
      <c r="B388" t="s">
        <v>8</v>
      </c>
      <c r="C388" t="s">
        <v>9</v>
      </c>
      <c r="D388">
        <v>2</v>
      </c>
      <c r="E388">
        <v>9</v>
      </c>
      <c r="F388">
        <v>0</v>
      </c>
      <c r="G388">
        <v>1</v>
      </c>
      <c r="H388" t="s">
        <v>413</v>
      </c>
    </row>
    <row r="389" spans="1:8" x14ac:dyDescent="0.2">
      <c r="A389" t="s">
        <v>411</v>
      </c>
      <c r="B389" t="s">
        <v>8</v>
      </c>
      <c r="C389" t="s">
        <v>9</v>
      </c>
      <c r="D389">
        <v>2</v>
      </c>
      <c r="E389">
        <v>9</v>
      </c>
      <c r="F389">
        <v>1</v>
      </c>
      <c r="G389">
        <v>0</v>
      </c>
      <c r="H389" t="s">
        <v>413</v>
      </c>
    </row>
    <row r="390" spans="1:8" x14ac:dyDescent="0.2">
      <c r="A390" t="s">
        <v>412</v>
      </c>
      <c r="B390" t="s">
        <v>8</v>
      </c>
      <c r="C390" t="s">
        <v>9</v>
      </c>
      <c r="D390">
        <v>2</v>
      </c>
      <c r="E390">
        <v>9</v>
      </c>
      <c r="F390">
        <v>1</v>
      </c>
      <c r="G390">
        <v>1</v>
      </c>
      <c r="H390" t="s">
        <v>413</v>
      </c>
    </row>
    <row r="391" spans="1:8" x14ac:dyDescent="0.2">
      <c r="A391" t="s">
        <v>657</v>
      </c>
      <c r="B391" t="s">
        <v>7</v>
      </c>
      <c r="C391" t="s">
        <v>9</v>
      </c>
      <c r="D391">
        <v>0</v>
      </c>
      <c r="E391">
        <v>0</v>
      </c>
      <c r="F391">
        <v>0</v>
      </c>
      <c r="G391">
        <v>0</v>
      </c>
      <c r="H391" t="s">
        <v>927</v>
      </c>
    </row>
    <row r="392" spans="1:8" x14ac:dyDescent="0.2">
      <c r="A392" t="s">
        <v>173</v>
      </c>
      <c r="B392" t="s">
        <v>7</v>
      </c>
      <c r="C392" t="s">
        <v>9</v>
      </c>
      <c r="D392">
        <v>0</v>
      </c>
      <c r="E392">
        <v>0</v>
      </c>
      <c r="F392">
        <v>0</v>
      </c>
      <c r="G392">
        <v>1</v>
      </c>
      <c r="H392" t="s">
        <v>72</v>
      </c>
    </row>
    <row r="393" spans="1:8" x14ac:dyDescent="0.2">
      <c r="A393" t="s">
        <v>174</v>
      </c>
      <c r="B393" t="s">
        <v>7</v>
      </c>
      <c r="C393" t="s">
        <v>9</v>
      </c>
      <c r="D393">
        <v>0</v>
      </c>
      <c r="E393">
        <v>0</v>
      </c>
      <c r="F393">
        <v>1</v>
      </c>
      <c r="G393">
        <v>0</v>
      </c>
      <c r="H393" t="s">
        <v>72</v>
      </c>
    </row>
    <row r="394" spans="1:8" x14ac:dyDescent="0.2">
      <c r="A394" t="s">
        <v>658</v>
      </c>
      <c r="B394" t="s">
        <v>7</v>
      </c>
      <c r="C394" t="s">
        <v>9</v>
      </c>
      <c r="D394">
        <v>0</v>
      </c>
      <c r="E394">
        <v>0</v>
      </c>
      <c r="F394">
        <v>1</v>
      </c>
      <c r="G394">
        <v>1</v>
      </c>
      <c r="H394" t="s">
        <v>928</v>
      </c>
    </row>
    <row r="395" spans="1:8" x14ac:dyDescent="0.2">
      <c r="A395" t="s">
        <v>659</v>
      </c>
      <c r="B395" t="s">
        <v>7</v>
      </c>
      <c r="C395" t="s">
        <v>9</v>
      </c>
      <c r="D395">
        <v>0</v>
      </c>
      <c r="E395">
        <v>1</v>
      </c>
      <c r="F395">
        <v>0</v>
      </c>
      <c r="G395">
        <v>0</v>
      </c>
      <c r="H395" t="s">
        <v>960</v>
      </c>
    </row>
    <row r="396" spans="1:8" x14ac:dyDescent="0.2">
      <c r="A396" t="s">
        <v>175</v>
      </c>
      <c r="B396" t="s">
        <v>7</v>
      </c>
      <c r="C396" t="s">
        <v>9</v>
      </c>
      <c r="D396">
        <v>0</v>
      </c>
      <c r="E396">
        <v>1</v>
      </c>
      <c r="F396">
        <v>0</v>
      </c>
      <c r="G396">
        <v>1</v>
      </c>
      <c r="H396" t="s">
        <v>72</v>
      </c>
    </row>
    <row r="397" spans="1:8" x14ac:dyDescent="0.2">
      <c r="A397" t="s">
        <v>176</v>
      </c>
      <c r="B397" t="s">
        <v>7</v>
      </c>
      <c r="C397" t="s">
        <v>9</v>
      </c>
      <c r="D397">
        <v>0</v>
      </c>
      <c r="E397">
        <v>1</v>
      </c>
      <c r="F397">
        <v>1</v>
      </c>
      <c r="G397">
        <v>0</v>
      </c>
      <c r="H397" t="s">
        <v>72</v>
      </c>
    </row>
    <row r="398" spans="1:8" x14ac:dyDescent="0.2">
      <c r="A398" t="s">
        <v>660</v>
      </c>
      <c r="B398" t="s">
        <v>7</v>
      </c>
      <c r="C398" t="s">
        <v>9</v>
      </c>
      <c r="D398">
        <v>0</v>
      </c>
      <c r="E398">
        <v>1</v>
      </c>
      <c r="F398">
        <v>1</v>
      </c>
      <c r="G398">
        <v>1</v>
      </c>
      <c r="H398" t="s">
        <v>929</v>
      </c>
    </row>
    <row r="399" spans="1:8" x14ac:dyDescent="0.2">
      <c r="A399" t="s">
        <v>661</v>
      </c>
      <c r="B399" t="s">
        <v>7</v>
      </c>
      <c r="C399" t="s">
        <v>9</v>
      </c>
      <c r="D399">
        <v>0</v>
      </c>
      <c r="E399">
        <v>2</v>
      </c>
      <c r="F399">
        <v>0</v>
      </c>
      <c r="G399">
        <v>0</v>
      </c>
      <c r="H399" t="s">
        <v>960</v>
      </c>
    </row>
    <row r="400" spans="1:8" x14ac:dyDescent="0.2">
      <c r="A400" t="s">
        <v>177</v>
      </c>
      <c r="B400" t="s">
        <v>7</v>
      </c>
      <c r="C400" t="s">
        <v>9</v>
      </c>
      <c r="D400">
        <v>0</v>
      </c>
      <c r="E400">
        <v>2</v>
      </c>
      <c r="F400">
        <v>0</v>
      </c>
      <c r="G400">
        <v>1</v>
      </c>
      <c r="H400" t="s">
        <v>72</v>
      </c>
    </row>
    <row r="401" spans="1:8" x14ac:dyDescent="0.2">
      <c r="A401" t="s">
        <v>178</v>
      </c>
      <c r="B401" t="s">
        <v>7</v>
      </c>
      <c r="C401" t="s">
        <v>9</v>
      </c>
      <c r="D401">
        <v>0</v>
      </c>
      <c r="E401">
        <v>2</v>
      </c>
      <c r="F401">
        <v>1</v>
      </c>
      <c r="G401">
        <v>0</v>
      </c>
      <c r="H401" t="s">
        <v>72</v>
      </c>
    </row>
    <row r="402" spans="1:8" x14ac:dyDescent="0.2">
      <c r="A402" t="s">
        <v>662</v>
      </c>
      <c r="B402" t="s">
        <v>7</v>
      </c>
      <c r="C402" t="s">
        <v>9</v>
      </c>
      <c r="D402">
        <v>0</v>
      </c>
      <c r="E402">
        <v>2</v>
      </c>
      <c r="F402">
        <v>1</v>
      </c>
      <c r="G402">
        <v>1</v>
      </c>
      <c r="H402" t="s">
        <v>930</v>
      </c>
    </row>
    <row r="403" spans="1:8" x14ac:dyDescent="0.2">
      <c r="A403" t="s">
        <v>663</v>
      </c>
      <c r="B403" t="s">
        <v>7</v>
      </c>
      <c r="C403" t="s">
        <v>9</v>
      </c>
      <c r="D403">
        <v>0</v>
      </c>
      <c r="E403">
        <v>3</v>
      </c>
      <c r="F403">
        <v>0</v>
      </c>
      <c r="G403">
        <v>0</v>
      </c>
      <c r="H403" t="s">
        <v>961</v>
      </c>
    </row>
    <row r="404" spans="1:8" x14ac:dyDescent="0.2">
      <c r="A404" t="s">
        <v>179</v>
      </c>
      <c r="B404" t="s">
        <v>7</v>
      </c>
      <c r="C404" t="s">
        <v>9</v>
      </c>
      <c r="D404">
        <v>0</v>
      </c>
      <c r="E404">
        <v>3</v>
      </c>
      <c r="F404">
        <v>0</v>
      </c>
      <c r="G404">
        <v>1</v>
      </c>
      <c r="H404" t="s">
        <v>72</v>
      </c>
    </row>
    <row r="405" spans="1:8" x14ac:dyDescent="0.2">
      <c r="A405" t="s">
        <v>180</v>
      </c>
      <c r="B405" t="s">
        <v>7</v>
      </c>
      <c r="C405" t="s">
        <v>9</v>
      </c>
      <c r="D405">
        <v>0</v>
      </c>
      <c r="E405">
        <v>3</v>
      </c>
      <c r="F405">
        <v>1</v>
      </c>
      <c r="G405">
        <v>0</v>
      </c>
      <c r="H405" t="s">
        <v>72</v>
      </c>
    </row>
    <row r="406" spans="1:8" x14ac:dyDescent="0.2">
      <c r="A406" t="s">
        <v>664</v>
      </c>
      <c r="B406" t="s">
        <v>7</v>
      </c>
      <c r="C406" t="s">
        <v>9</v>
      </c>
      <c r="D406">
        <v>0</v>
      </c>
      <c r="E406">
        <v>3</v>
      </c>
      <c r="F406">
        <v>1</v>
      </c>
      <c r="G406">
        <v>1</v>
      </c>
      <c r="H406" t="s">
        <v>931</v>
      </c>
    </row>
    <row r="407" spans="1:8" x14ac:dyDescent="0.2">
      <c r="A407" t="s">
        <v>665</v>
      </c>
      <c r="B407" t="s">
        <v>7</v>
      </c>
      <c r="C407" t="s">
        <v>9</v>
      </c>
      <c r="D407">
        <v>0</v>
      </c>
      <c r="E407">
        <v>4</v>
      </c>
      <c r="F407">
        <v>0</v>
      </c>
      <c r="G407">
        <v>0</v>
      </c>
      <c r="H407" t="s">
        <v>961</v>
      </c>
    </row>
    <row r="408" spans="1:8" x14ac:dyDescent="0.2">
      <c r="A408" t="s">
        <v>181</v>
      </c>
      <c r="B408" t="s">
        <v>7</v>
      </c>
      <c r="C408" t="s">
        <v>9</v>
      </c>
      <c r="D408">
        <v>0</v>
      </c>
      <c r="E408">
        <v>4</v>
      </c>
      <c r="F408">
        <v>0</v>
      </c>
      <c r="G408">
        <v>1</v>
      </c>
      <c r="H408" t="s">
        <v>72</v>
      </c>
    </row>
    <row r="409" spans="1:8" x14ac:dyDescent="0.2">
      <c r="A409" t="s">
        <v>182</v>
      </c>
      <c r="B409" t="s">
        <v>7</v>
      </c>
      <c r="C409" t="s">
        <v>9</v>
      </c>
      <c r="D409">
        <v>0</v>
      </c>
      <c r="E409">
        <v>4</v>
      </c>
      <c r="F409">
        <v>1</v>
      </c>
      <c r="G409">
        <v>0</v>
      </c>
      <c r="H409" t="s">
        <v>72</v>
      </c>
    </row>
    <row r="410" spans="1:8" x14ac:dyDescent="0.2">
      <c r="A410" t="s">
        <v>666</v>
      </c>
      <c r="B410" t="s">
        <v>7</v>
      </c>
      <c r="C410" t="s">
        <v>9</v>
      </c>
      <c r="D410">
        <v>0</v>
      </c>
      <c r="E410">
        <v>4</v>
      </c>
      <c r="F410">
        <v>1</v>
      </c>
      <c r="G410">
        <v>1</v>
      </c>
      <c r="H410" t="s">
        <v>932</v>
      </c>
    </row>
    <row r="411" spans="1:8" x14ac:dyDescent="0.2">
      <c r="A411" t="s">
        <v>667</v>
      </c>
      <c r="B411" t="s">
        <v>7</v>
      </c>
      <c r="C411" t="s">
        <v>9</v>
      </c>
      <c r="D411">
        <v>0</v>
      </c>
      <c r="E411">
        <v>5</v>
      </c>
      <c r="F411">
        <v>0</v>
      </c>
      <c r="G411">
        <v>0</v>
      </c>
      <c r="H411" t="s">
        <v>962</v>
      </c>
    </row>
    <row r="412" spans="1:8" x14ac:dyDescent="0.2">
      <c r="A412" t="s">
        <v>183</v>
      </c>
      <c r="B412" t="s">
        <v>7</v>
      </c>
      <c r="C412" t="s">
        <v>9</v>
      </c>
      <c r="D412">
        <v>0</v>
      </c>
      <c r="E412">
        <v>5</v>
      </c>
      <c r="F412">
        <v>0</v>
      </c>
      <c r="G412">
        <v>1</v>
      </c>
      <c r="H412" t="s">
        <v>72</v>
      </c>
    </row>
    <row r="413" spans="1:8" x14ac:dyDescent="0.2">
      <c r="A413" t="s">
        <v>184</v>
      </c>
      <c r="B413" t="s">
        <v>7</v>
      </c>
      <c r="C413" t="s">
        <v>9</v>
      </c>
      <c r="D413">
        <v>0</v>
      </c>
      <c r="E413">
        <v>5</v>
      </c>
      <c r="F413">
        <v>1</v>
      </c>
      <c r="G413">
        <v>0</v>
      </c>
      <c r="H413" t="s">
        <v>72</v>
      </c>
    </row>
    <row r="414" spans="1:8" x14ac:dyDescent="0.2">
      <c r="A414" t="s">
        <v>668</v>
      </c>
      <c r="B414" t="s">
        <v>7</v>
      </c>
      <c r="C414" t="s">
        <v>9</v>
      </c>
      <c r="D414">
        <v>0</v>
      </c>
      <c r="E414">
        <v>5</v>
      </c>
      <c r="F414">
        <v>1</v>
      </c>
      <c r="G414">
        <v>1</v>
      </c>
      <c r="H414" t="s">
        <v>933</v>
      </c>
    </row>
    <row r="415" spans="1:8" x14ac:dyDescent="0.2">
      <c r="A415" t="s">
        <v>669</v>
      </c>
      <c r="B415" t="s">
        <v>7</v>
      </c>
      <c r="C415" t="s">
        <v>9</v>
      </c>
      <c r="D415">
        <v>0</v>
      </c>
      <c r="E415">
        <v>6</v>
      </c>
      <c r="F415">
        <v>0</v>
      </c>
      <c r="G415">
        <v>0</v>
      </c>
      <c r="H415" t="s">
        <v>963</v>
      </c>
    </row>
    <row r="416" spans="1:8" x14ac:dyDescent="0.2">
      <c r="A416" t="s">
        <v>185</v>
      </c>
      <c r="B416" t="s">
        <v>7</v>
      </c>
      <c r="C416" t="s">
        <v>9</v>
      </c>
      <c r="D416">
        <v>0</v>
      </c>
      <c r="E416">
        <v>6</v>
      </c>
      <c r="F416">
        <v>0</v>
      </c>
      <c r="G416">
        <v>1</v>
      </c>
      <c r="H416" t="s">
        <v>72</v>
      </c>
    </row>
    <row r="417" spans="1:8" x14ac:dyDescent="0.2">
      <c r="A417" t="s">
        <v>186</v>
      </c>
      <c r="B417" t="s">
        <v>7</v>
      </c>
      <c r="C417" t="s">
        <v>9</v>
      </c>
      <c r="D417">
        <v>0</v>
      </c>
      <c r="E417">
        <v>6</v>
      </c>
      <c r="F417">
        <v>1</v>
      </c>
      <c r="G417">
        <v>0</v>
      </c>
      <c r="H417" t="s">
        <v>72</v>
      </c>
    </row>
    <row r="418" spans="1:8" x14ac:dyDescent="0.2">
      <c r="A418" t="s">
        <v>670</v>
      </c>
      <c r="B418" t="s">
        <v>7</v>
      </c>
      <c r="C418" t="s">
        <v>9</v>
      </c>
      <c r="D418">
        <v>0</v>
      </c>
      <c r="E418">
        <v>6</v>
      </c>
      <c r="F418">
        <v>1</v>
      </c>
      <c r="G418">
        <v>1</v>
      </c>
      <c r="H418" t="s">
        <v>934</v>
      </c>
    </row>
    <row r="419" spans="1:8" x14ac:dyDescent="0.2">
      <c r="A419" t="s">
        <v>671</v>
      </c>
      <c r="B419" t="s">
        <v>7</v>
      </c>
      <c r="C419" t="s">
        <v>9</v>
      </c>
      <c r="D419">
        <v>0</v>
      </c>
      <c r="E419">
        <v>7</v>
      </c>
      <c r="F419">
        <v>0</v>
      </c>
      <c r="G419">
        <v>0</v>
      </c>
      <c r="H419" t="s">
        <v>964</v>
      </c>
    </row>
    <row r="420" spans="1:8" x14ac:dyDescent="0.2">
      <c r="A420" t="s">
        <v>187</v>
      </c>
      <c r="B420" t="s">
        <v>7</v>
      </c>
      <c r="C420" t="s">
        <v>9</v>
      </c>
      <c r="D420">
        <v>0</v>
      </c>
      <c r="E420">
        <v>7</v>
      </c>
      <c r="F420">
        <v>0</v>
      </c>
      <c r="G420">
        <v>1</v>
      </c>
      <c r="H420" t="s">
        <v>72</v>
      </c>
    </row>
    <row r="421" spans="1:8" x14ac:dyDescent="0.2">
      <c r="A421" t="s">
        <v>188</v>
      </c>
      <c r="B421" t="s">
        <v>7</v>
      </c>
      <c r="C421" t="s">
        <v>9</v>
      </c>
      <c r="D421">
        <v>0</v>
      </c>
      <c r="E421">
        <v>7</v>
      </c>
      <c r="F421">
        <v>1</v>
      </c>
      <c r="G421">
        <v>0</v>
      </c>
      <c r="H421" t="s">
        <v>72</v>
      </c>
    </row>
    <row r="422" spans="1:8" x14ac:dyDescent="0.2">
      <c r="A422" t="s">
        <v>672</v>
      </c>
      <c r="B422" t="s">
        <v>7</v>
      </c>
      <c r="C422" t="s">
        <v>9</v>
      </c>
      <c r="D422">
        <v>0</v>
      </c>
      <c r="E422">
        <v>7</v>
      </c>
      <c r="F422">
        <v>1</v>
      </c>
      <c r="G422">
        <v>1</v>
      </c>
      <c r="H422" t="s">
        <v>935</v>
      </c>
    </row>
    <row r="423" spans="1:8" x14ac:dyDescent="0.2">
      <c r="A423" t="s">
        <v>673</v>
      </c>
      <c r="B423" t="s">
        <v>7</v>
      </c>
      <c r="C423" t="s">
        <v>9</v>
      </c>
      <c r="D423">
        <v>0</v>
      </c>
      <c r="E423">
        <v>8</v>
      </c>
      <c r="F423">
        <v>0</v>
      </c>
      <c r="G423">
        <v>0</v>
      </c>
      <c r="H423" t="s">
        <v>964</v>
      </c>
    </row>
    <row r="424" spans="1:8" x14ac:dyDescent="0.2">
      <c r="A424" t="s">
        <v>189</v>
      </c>
      <c r="B424" t="s">
        <v>7</v>
      </c>
      <c r="C424" t="s">
        <v>9</v>
      </c>
      <c r="D424">
        <v>0</v>
      </c>
      <c r="E424">
        <v>8</v>
      </c>
      <c r="F424">
        <v>0</v>
      </c>
      <c r="G424">
        <v>1</v>
      </c>
      <c r="H424" t="s">
        <v>72</v>
      </c>
    </row>
    <row r="425" spans="1:8" x14ac:dyDescent="0.2">
      <c r="A425" t="s">
        <v>190</v>
      </c>
      <c r="B425" t="s">
        <v>7</v>
      </c>
      <c r="C425" t="s">
        <v>9</v>
      </c>
      <c r="D425">
        <v>0</v>
      </c>
      <c r="E425">
        <v>8</v>
      </c>
      <c r="F425">
        <v>1</v>
      </c>
      <c r="G425">
        <v>0</v>
      </c>
      <c r="H425" t="s">
        <v>72</v>
      </c>
    </row>
    <row r="426" spans="1:8" x14ac:dyDescent="0.2">
      <c r="A426" t="s">
        <v>674</v>
      </c>
      <c r="B426" t="s">
        <v>7</v>
      </c>
      <c r="C426" t="s">
        <v>9</v>
      </c>
      <c r="D426">
        <v>0</v>
      </c>
      <c r="E426">
        <v>8</v>
      </c>
      <c r="F426">
        <v>1</v>
      </c>
      <c r="G426">
        <v>1</v>
      </c>
      <c r="H426" t="s">
        <v>936</v>
      </c>
    </row>
    <row r="427" spans="1:8" x14ac:dyDescent="0.2">
      <c r="A427" t="s">
        <v>675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 t="s">
        <v>965</v>
      </c>
    </row>
    <row r="428" spans="1:8" x14ac:dyDescent="0.2">
      <c r="A428" t="s">
        <v>191</v>
      </c>
      <c r="B428" t="s">
        <v>7</v>
      </c>
      <c r="C428" t="s">
        <v>9</v>
      </c>
      <c r="D428">
        <v>0</v>
      </c>
      <c r="E428">
        <v>9</v>
      </c>
      <c r="F428">
        <v>0</v>
      </c>
      <c r="G428">
        <v>1</v>
      </c>
      <c r="H428" t="s">
        <v>72</v>
      </c>
    </row>
    <row r="429" spans="1:8" x14ac:dyDescent="0.2">
      <c r="A429" t="s">
        <v>192</v>
      </c>
      <c r="B429" t="s">
        <v>7</v>
      </c>
      <c r="C429" t="s">
        <v>9</v>
      </c>
      <c r="D429">
        <v>0</v>
      </c>
      <c r="E429">
        <v>9</v>
      </c>
      <c r="F429">
        <v>1</v>
      </c>
      <c r="G429">
        <v>0</v>
      </c>
      <c r="H429" t="s">
        <v>72</v>
      </c>
    </row>
    <row r="430" spans="1:8" x14ac:dyDescent="0.2">
      <c r="A430" t="s">
        <v>676</v>
      </c>
      <c r="B430" t="s">
        <v>7</v>
      </c>
      <c r="C430" t="s">
        <v>9</v>
      </c>
      <c r="D430">
        <v>0</v>
      </c>
      <c r="E430">
        <v>9</v>
      </c>
      <c r="F430">
        <v>1</v>
      </c>
      <c r="G430">
        <v>1</v>
      </c>
      <c r="H430" t="s">
        <v>937</v>
      </c>
    </row>
    <row r="431" spans="1:8" x14ac:dyDescent="0.2">
      <c r="A431" t="s">
        <v>677</v>
      </c>
      <c r="B431" t="s">
        <v>7</v>
      </c>
      <c r="C431" t="s">
        <v>9</v>
      </c>
      <c r="D431">
        <v>1</v>
      </c>
      <c r="E431">
        <v>0</v>
      </c>
      <c r="F431">
        <v>0</v>
      </c>
      <c r="G431">
        <v>0</v>
      </c>
      <c r="H431" t="s">
        <v>938</v>
      </c>
    </row>
    <row r="432" spans="1:8" x14ac:dyDescent="0.2">
      <c r="A432" t="s">
        <v>193</v>
      </c>
      <c r="B432" t="s">
        <v>7</v>
      </c>
      <c r="C432" t="s">
        <v>9</v>
      </c>
      <c r="D432">
        <v>1</v>
      </c>
      <c r="E432">
        <v>0</v>
      </c>
      <c r="F432">
        <v>0</v>
      </c>
      <c r="G432">
        <v>1</v>
      </c>
      <c r="H432" t="s">
        <v>72</v>
      </c>
    </row>
    <row r="433" spans="1:8" x14ac:dyDescent="0.2">
      <c r="A433" t="s">
        <v>194</v>
      </c>
      <c r="B433" t="s">
        <v>7</v>
      </c>
      <c r="C433" t="s">
        <v>9</v>
      </c>
      <c r="D433">
        <v>1</v>
      </c>
      <c r="E433">
        <v>0</v>
      </c>
      <c r="F433">
        <v>1</v>
      </c>
      <c r="G433">
        <v>0</v>
      </c>
      <c r="H433" t="s">
        <v>72</v>
      </c>
    </row>
    <row r="434" spans="1:8" x14ac:dyDescent="0.2">
      <c r="A434" t="s">
        <v>678</v>
      </c>
      <c r="B434" t="s">
        <v>7</v>
      </c>
      <c r="C434" t="s">
        <v>9</v>
      </c>
      <c r="D434">
        <v>1</v>
      </c>
      <c r="E434">
        <v>0</v>
      </c>
      <c r="F434">
        <v>1</v>
      </c>
      <c r="G434">
        <v>1</v>
      </c>
      <c r="H434" t="s">
        <v>939</v>
      </c>
    </row>
    <row r="435" spans="1:8" x14ac:dyDescent="0.2">
      <c r="A435" t="s">
        <v>679</v>
      </c>
      <c r="B435" t="s">
        <v>7</v>
      </c>
      <c r="C435" t="s">
        <v>9</v>
      </c>
      <c r="D435">
        <v>1</v>
      </c>
      <c r="E435">
        <v>1</v>
      </c>
      <c r="F435">
        <v>0</v>
      </c>
      <c r="G435">
        <v>0</v>
      </c>
      <c r="H435" t="s">
        <v>966</v>
      </c>
    </row>
    <row r="436" spans="1:8" x14ac:dyDescent="0.2">
      <c r="A436" t="s">
        <v>195</v>
      </c>
      <c r="B436" t="s">
        <v>7</v>
      </c>
      <c r="C436" t="s">
        <v>9</v>
      </c>
      <c r="D436">
        <v>1</v>
      </c>
      <c r="E436">
        <v>1</v>
      </c>
      <c r="F436">
        <v>0</v>
      </c>
      <c r="G436">
        <v>1</v>
      </c>
      <c r="H436" t="s">
        <v>72</v>
      </c>
    </row>
    <row r="437" spans="1:8" x14ac:dyDescent="0.2">
      <c r="A437" t="s">
        <v>196</v>
      </c>
      <c r="B437" t="s">
        <v>7</v>
      </c>
      <c r="C437" t="s">
        <v>9</v>
      </c>
      <c r="D437">
        <v>1</v>
      </c>
      <c r="E437">
        <v>1</v>
      </c>
      <c r="F437">
        <v>1</v>
      </c>
      <c r="G437">
        <v>0</v>
      </c>
      <c r="H437" t="s">
        <v>72</v>
      </c>
    </row>
    <row r="438" spans="1:8" x14ac:dyDescent="0.2">
      <c r="A438" t="s">
        <v>680</v>
      </c>
      <c r="B438" t="s">
        <v>7</v>
      </c>
      <c r="C438" t="s">
        <v>9</v>
      </c>
      <c r="D438">
        <v>1</v>
      </c>
      <c r="E438">
        <v>1</v>
      </c>
      <c r="F438">
        <v>1</v>
      </c>
      <c r="G438">
        <v>1</v>
      </c>
      <c r="H438" t="s">
        <v>940</v>
      </c>
    </row>
    <row r="439" spans="1:8" x14ac:dyDescent="0.2">
      <c r="A439" t="s">
        <v>681</v>
      </c>
      <c r="B439" t="s">
        <v>7</v>
      </c>
      <c r="C439" t="s">
        <v>9</v>
      </c>
      <c r="D439">
        <v>1</v>
      </c>
      <c r="E439">
        <v>2</v>
      </c>
      <c r="F439">
        <v>0</v>
      </c>
      <c r="G439">
        <v>0</v>
      </c>
      <c r="H439" t="s">
        <v>967</v>
      </c>
    </row>
    <row r="440" spans="1:8" x14ac:dyDescent="0.2">
      <c r="A440" t="s">
        <v>197</v>
      </c>
      <c r="B440" t="s">
        <v>7</v>
      </c>
      <c r="C440" t="s">
        <v>9</v>
      </c>
      <c r="D440">
        <v>1</v>
      </c>
      <c r="E440">
        <v>2</v>
      </c>
      <c r="F440">
        <v>0</v>
      </c>
      <c r="G440">
        <v>1</v>
      </c>
      <c r="H440" t="s">
        <v>72</v>
      </c>
    </row>
    <row r="441" spans="1:8" x14ac:dyDescent="0.2">
      <c r="A441" t="s">
        <v>198</v>
      </c>
      <c r="B441" t="s">
        <v>7</v>
      </c>
      <c r="C441" t="s">
        <v>9</v>
      </c>
      <c r="D441">
        <v>1</v>
      </c>
      <c r="E441">
        <v>2</v>
      </c>
      <c r="F441">
        <v>1</v>
      </c>
      <c r="G441">
        <v>0</v>
      </c>
      <c r="H441" t="s">
        <v>72</v>
      </c>
    </row>
    <row r="442" spans="1:8" x14ac:dyDescent="0.2">
      <c r="A442" t="s">
        <v>682</v>
      </c>
      <c r="B442" t="s">
        <v>7</v>
      </c>
      <c r="C442" t="s">
        <v>9</v>
      </c>
      <c r="D442">
        <v>1</v>
      </c>
      <c r="E442">
        <v>2</v>
      </c>
      <c r="F442">
        <v>1</v>
      </c>
      <c r="G442">
        <v>1</v>
      </c>
      <c r="H442" t="s">
        <v>941</v>
      </c>
    </row>
    <row r="443" spans="1:8" x14ac:dyDescent="0.2">
      <c r="A443" t="s">
        <v>683</v>
      </c>
      <c r="B443" t="s">
        <v>7</v>
      </c>
      <c r="C443" t="s">
        <v>9</v>
      </c>
      <c r="D443">
        <v>1</v>
      </c>
      <c r="E443">
        <v>3</v>
      </c>
      <c r="F443">
        <v>0</v>
      </c>
      <c r="G443">
        <v>0</v>
      </c>
      <c r="H443" t="s">
        <v>968</v>
      </c>
    </row>
    <row r="444" spans="1:8" x14ac:dyDescent="0.2">
      <c r="A444" t="s">
        <v>199</v>
      </c>
      <c r="B444" t="s">
        <v>7</v>
      </c>
      <c r="C444" t="s">
        <v>9</v>
      </c>
      <c r="D444">
        <v>1</v>
      </c>
      <c r="E444">
        <v>3</v>
      </c>
      <c r="F444">
        <v>0</v>
      </c>
      <c r="G444">
        <v>1</v>
      </c>
      <c r="H444" t="s">
        <v>72</v>
      </c>
    </row>
    <row r="445" spans="1:8" x14ac:dyDescent="0.2">
      <c r="A445" t="s">
        <v>200</v>
      </c>
      <c r="B445" t="s">
        <v>7</v>
      </c>
      <c r="C445" t="s">
        <v>9</v>
      </c>
      <c r="D445">
        <v>1</v>
      </c>
      <c r="E445">
        <v>3</v>
      </c>
      <c r="F445">
        <v>1</v>
      </c>
      <c r="G445">
        <v>0</v>
      </c>
      <c r="H445" t="s">
        <v>72</v>
      </c>
    </row>
    <row r="446" spans="1:8" x14ac:dyDescent="0.2">
      <c r="A446" t="s">
        <v>684</v>
      </c>
      <c r="B446" t="s">
        <v>7</v>
      </c>
      <c r="C446" t="s">
        <v>9</v>
      </c>
      <c r="D446">
        <v>1</v>
      </c>
      <c r="E446">
        <v>3</v>
      </c>
      <c r="F446">
        <v>1</v>
      </c>
      <c r="G446">
        <v>1</v>
      </c>
      <c r="H446" t="s">
        <v>942</v>
      </c>
    </row>
    <row r="447" spans="1:8" x14ac:dyDescent="0.2">
      <c r="A447" t="s">
        <v>685</v>
      </c>
      <c r="B447" t="s">
        <v>7</v>
      </c>
      <c r="C447" t="s">
        <v>9</v>
      </c>
      <c r="D447">
        <v>1</v>
      </c>
      <c r="E447">
        <v>4</v>
      </c>
      <c r="F447">
        <v>0</v>
      </c>
      <c r="G447">
        <v>0</v>
      </c>
      <c r="H447" t="s">
        <v>969</v>
      </c>
    </row>
    <row r="448" spans="1:8" x14ac:dyDescent="0.2">
      <c r="A448" t="s">
        <v>201</v>
      </c>
      <c r="B448" t="s">
        <v>7</v>
      </c>
      <c r="C448" t="s">
        <v>9</v>
      </c>
      <c r="D448">
        <v>1</v>
      </c>
      <c r="E448">
        <v>4</v>
      </c>
      <c r="F448">
        <v>0</v>
      </c>
      <c r="G448">
        <v>1</v>
      </c>
      <c r="H448" t="s">
        <v>72</v>
      </c>
    </row>
    <row r="449" spans="1:8" x14ac:dyDescent="0.2">
      <c r="A449" t="s">
        <v>202</v>
      </c>
      <c r="B449" t="s">
        <v>7</v>
      </c>
      <c r="C449" t="s">
        <v>9</v>
      </c>
      <c r="D449">
        <v>1</v>
      </c>
      <c r="E449">
        <v>4</v>
      </c>
      <c r="F449">
        <v>1</v>
      </c>
      <c r="G449">
        <v>0</v>
      </c>
      <c r="H449" t="s">
        <v>72</v>
      </c>
    </row>
    <row r="450" spans="1:8" x14ac:dyDescent="0.2">
      <c r="A450" t="s">
        <v>686</v>
      </c>
      <c r="B450" t="s">
        <v>7</v>
      </c>
      <c r="C450" t="s">
        <v>9</v>
      </c>
      <c r="D450">
        <v>1</v>
      </c>
      <c r="E450">
        <v>4</v>
      </c>
      <c r="F450">
        <v>1</v>
      </c>
      <c r="G450">
        <v>1</v>
      </c>
      <c r="H450" t="s">
        <v>943</v>
      </c>
    </row>
    <row r="451" spans="1:8" x14ac:dyDescent="0.2">
      <c r="A451" t="s">
        <v>687</v>
      </c>
      <c r="B451" t="s">
        <v>7</v>
      </c>
      <c r="C451" t="s">
        <v>9</v>
      </c>
      <c r="D451">
        <v>1</v>
      </c>
      <c r="E451">
        <v>5</v>
      </c>
      <c r="F451">
        <v>0</v>
      </c>
      <c r="G451">
        <v>0</v>
      </c>
      <c r="H451" t="s">
        <v>970</v>
      </c>
    </row>
    <row r="452" spans="1:8" x14ac:dyDescent="0.2">
      <c r="A452" t="s">
        <v>203</v>
      </c>
      <c r="B452" t="s">
        <v>7</v>
      </c>
      <c r="C452" t="s">
        <v>9</v>
      </c>
      <c r="D452">
        <v>1</v>
      </c>
      <c r="E452">
        <v>5</v>
      </c>
      <c r="F452">
        <v>0</v>
      </c>
      <c r="G452">
        <v>1</v>
      </c>
      <c r="H452" t="s">
        <v>72</v>
      </c>
    </row>
    <row r="453" spans="1:8" x14ac:dyDescent="0.2">
      <c r="A453" t="s">
        <v>204</v>
      </c>
      <c r="B453" t="s">
        <v>7</v>
      </c>
      <c r="C453" t="s">
        <v>9</v>
      </c>
      <c r="D453">
        <v>1</v>
      </c>
      <c r="E453">
        <v>5</v>
      </c>
      <c r="F453">
        <v>1</v>
      </c>
      <c r="G453">
        <v>0</v>
      </c>
      <c r="H453" t="s">
        <v>72</v>
      </c>
    </row>
    <row r="454" spans="1:8" x14ac:dyDescent="0.2">
      <c r="A454" t="s">
        <v>688</v>
      </c>
      <c r="B454" t="s">
        <v>7</v>
      </c>
      <c r="C454" t="s">
        <v>9</v>
      </c>
      <c r="D454">
        <v>1</v>
      </c>
      <c r="E454">
        <v>5</v>
      </c>
      <c r="F454">
        <v>1</v>
      </c>
      <c r="G454">
        <v>1</v>
      </c>
      <c r="H454" t="s">
        <v>944</v>
      </c>
    </row>
    <row r="455" spans="1:8" x14ac:dyDescent="0.2">
      <c r="A455" t="s">
        <v>689</v>
      </c>
      <c r="B455" t="s">
        <v>7</v>
      </c>
      <c r="C455" t="s">
        <v>9</v>
      </c>
      <c r="D455">
        <v>1</v>
      </c>
      <c r="E455">
        <v>6</v>
      </c>
      <c r="F455">
        <v>0</v>
      </c>
      <c r="G455">
        <v>0</v>
      </c>
      <c r="H455" t="s">
        <v>971</v>
      </c>
    </row>
    <row r="456" spans="1:8" x14ac:dyDescent="0.2">
      <c r="A456" t="s">
        <v>205</v>
      </c>
      <c r="B456" t="s">
        <v>7</v>
      </c>
      <c r="C456" t="s">
        <v>9</v>
      </c>
      <c r="D456">
        <v>1</v>
      </c>
      <c r="E456">
        <v>6</v>
      </c>
      <c r="F456">
        <v>0</v>
      </c>
      <c r="G456">
        <v>1</v>
      </c>
      <c r="H456" t="s">
        <v>72</v>
      </c>
    </row>
    <row r="457" spans="1:8" x14ac:dyDescent="0.2">
      <c r="A457" t="s">
        <v>206</v>
      </c>
      <c r="B457" t="s">
        <v>7</v>
      </c>
      <c r="C457" t="s">
        <v>9</v>
      </c>
      <c r="D457">
        <v>1</v>
      </c>
      <c r="E457">
        <v>6</v>
      </c>
      <c r="F457">
        <v>1</v>
      </c>
      <c r="G457">
        <v>0</v>
      </c>
      <c r="H457" t="s">
        <v>72</v>
      </c>
    </row>
    <row r="458" spans="1:8" x14ac:dyDescent="0.2">
      <c r="A458" t="s">
        <v>690</v>
      </c>
      <c r="B458" t="s">
        <v>7</v>
      </c>
      <c r="C458" t="s">
        <v>9</v>
      </c>
      <c r="D458">
        <v>1</v>
      </c>
      <c r="E458">
        <v>6</v>
      </c>
      <c r="F458">
        <v>1</v>
      </c>
      <c r="G458">
        <v>1</v>
      </c>
      <c r="H458" t="s">
        <v>945</v>
      </c>
    </row>
    <row r="459" spans="1:8" x14ac:dyDescent="0.2">
      <c r="A459" t="s">
        <v>691</v>
      </c>
      <c r="B459" t="s">
        <v>7</v>
      </c>
      <c r="C459" t="s">
        <v>9</v>
      </c>
      <c r="D459">
        <v>1</v>
      </c>
      <c r="E459">
        <v>7</v>
      </c>
      <c r="F459">
        <v>0</v>
      </c>
      <c r="G459">
        <v>0</v>
      </c>
      <c r="H459" t="s">
        <v>972</v>
      </c>
    </row>
    <row r="460" spans="1:8" x14ac:dyDescent="0.2">
      <c r="A460" t="s">
        <v>207</v>
      </c>
      <c r="B460" t="s">
        <v>7</v>
      </c>
      <c r="C460" t="s">
        <v>9</v>
      </c>
      <c r="D460">
        <v>1</v>
      </c>
      <c r="E460">
        <v>7</v>
      </c>
      <c r="F460">
        <v>0</v>
      </c>
      <c r="G460">
        <v>1</v>
      </c>
      <c r="H460" t="s">
        <v>72</v>
      </c>
    </row>
    <row r="461" spans="1:8" x14ac:dyDescent="0.2">
      <c r="A461" t="s">
        <v>208</v>
      </c>
      <c r="B461" t="s">
        <v>7</v>
      </c>
      <c r="C461" t="s">
        <v>9</v>
      </c>
      <c r="D461">
        <v>1</v>
      </c>
      <c r="E461">
        <v>7</v>
      </c>
      <c r="F461">
        <v>1</v>
      </c>
      <c r="G461">
        <v>0</v>
      </c>
      <c r="H461" t="s">
        <v>72</v>
      </c>
    </row>
    <row r="462" spans="1:8" x14ac:dyDescent="0.2">
      <c r="A462" t="s">
        <v>692</v>
      </c>
      <c r="B462" t="s">
        <v>7</v>
      </c>
      <c r="C462" t="s">
        <v>9</v>
      </c>
      <c r="D462">
        <v>1</v>
      </c>
      <c r="E462">
        <v>7</v>
      </c>
      <c r="F462">
        <v>1</v>
      </c>
      <c r="G462">
        <v>1</v>
      </c>
      <c r="H462" t="s">
        <v>946</v>
      </c>
    </row>
    <row r="463" spans="1:8" x14ac:dyDescent="0.2">
      <c r="A463" t="s">
        <v>693</v>
      </c>
      <c r="B463" t="s">
        <v>7</v>
      </c>
      <c r="C463" t="s">
        <v>9</v>
      </c>
      <c r="D463">
        <v>1</v>
      </c>
      <c r="E463">
        <v>8</v>
      </c>
      <c r="F463">
        <v>0</v>
      </c>
      <c r="G463">
        <v>0</v>
      </c>
      <c r="H463" t="s">
        <v>973</v>
      </c>
    </row>
    <row r="464" spans="1:8" x14ac:dyDescent="0.2">
      <c r="A464" t="s">
        <v>209</v>
      </c>
      <c r="B464" t="s">
        <v>7</v>
      </c>
      <c r="C464" t="s">
        <v>9</v>
      </c>
      <c r="D464">
        <v>1</v>
      </c>
      <c r="E464">
        <v>8</v>
      </c>
      <c r="F464">
        <v>0</v>
      </c>
      <c r="G464">
        <v>1</v>
      </c>
      <c r="H464" t="s">
        <v>72</v>
      </c>
    </row>
    <row r="465" spans="1:8" x14ac:dyDescent="0.2">
      <c r="A465" t="s">
        <v>210</v>
      </c>
      <c r="B465" t="s">
        <v>7</v>
      </c>
      <c r="C465" t="s">
        <v>9</v>
      </c>
      <c r="D465">
        <v>1</v>
      </c>
      <c r="E465">
        <v>8</v>
      </c>
      <c r="F465">
        <v>1</v>
      </c>
      <c r="G465">
        <v>0</v>
      </c>
      <c r="H465" t="s">
        <v>72</v>
      </c>
    </row>
    <row r="466" spans="1:8" x14ac:dyDescent="0.2">
      <c r="A466" t="s">
        <v>694</v>
      </c>
      <c r="B466" t="s">
        <v>7</v>
      </c>
      <c r="C466" t="s">
        <v>9</v>
      </c>
      <c r="D466">
        <v>1</v>
      </c>
      <c r="E466">
        <v>8</v>
      </c>
      <c r="F466">
        <v>1</v>
      </c>
      <c r="G466">
        <v>1</v>
      </c>
      <c r="H466" t="s">
        <v>947</v>
      </c>
    </row>
    <row r="467" spans="1:8" x14ac:dyDescent="0.2">
      <c r="A467" t="s">
        <v>695</v>
      </c>
      <c r="B467" t="s">
        <v>7</v>
      </c>
      <c r="C467" t="s">
        <v>9</v>
      </c>
      <c r="D467">
        <v>1</v>
      </c>
      <c r="E467">
        <v>9</v>
      </c>
      <c r="F467">
        <v>0</v>
      </c>
      <c r="G467">
        <v>0</v>
      </c>
      <c r="H467" t="s">
        <v>974</v>
      </c>
    </row>
    <row r="468" spans="1:8" x14ac:dyDescent="0.2">
      <c r="A468" t="s">
        <v>211</v>
      </c>
      <c r="B468" t="s">
        <v>7</v>
      </c>
      <c r="C468" t="s">
        <v>9</v>
      </c>
      <c r="D468">
        <v>1</v>
      </c>
      <c r="E468">
        <v>9</v>
      </c>
      <c r="F468">
        <v>0</v>
      </c>
      <c r="G468">
        <v>1</v>
      </c>
      <c r="H468" t="s">
        <v>72</v>
      </c>
    </row>
    <row r="469" spans="1:8" x14ac:dyDescent="0.2">
      <c r="A469" t="s">
        <v>212</v>
      </c>
      <c r="B469" t="s">
        <v>7</v>
      </c>
      <c r="C469" t="s">
        <v>9</v>
      </c>
      <c r="D469">
        <v>1</v>
      </c>
      <c r="E469">
        <v>9</v>
      </c>
      <c r="F469">
        <v>1</v>
      </c>
      <c r="G469">
        <v>0</v>
      </c>
      <c r="H469" t="s">
        <v>72</v>
      </c>
    </row>
    <row r="470" spans="1:8" x14ac:dyDescent="0.2">
      <c r="A470" t="s">
        <v>696</v>
      </c>
      <c r="B470" t="s">
        <v>7</v>
      </c>
      <c r="C470" t="s">
        <v>9</v>
      </c>
      <c r="D470">
        <v>1</v>
      </c>
      <c r="E470">
        <v>9</v>
      </c>
      <c r="F470">
        <v>1</v>
      </c>
      <c r="G470">
        <v>1</v>
      </c>
      <c r="H470" t="s">
        <v>948</v>
      </c>
    </row>
    <row r="471" spans="1:8" x14ac:dyDescent="0.2">
      <c r="A471" t="s">
        <v>697</v>
      </c>
      <c r="B471" t="s">
        <v>7</v>
      </c>
      <c r="C471" t="s">
        <v>9</v>
      </c>
      <c r="D471">
        <v>2</v>
      </c>
      <c r="E471">
        <v>0</v>
      </c>
      <c r="F471">
        <v>0</v>
      </c>
      <c r="G471">
        <v>0</v>
      </c>
      <c r="H471" t="s">
        <v>949</v>
      </c>
    </row>
    <row r="472" spans="1:8" x14ac:dyDescent="0.2">
      <c r="A472" t="s">
        <v>213</v>
      </c>
      <c r="B472" t="s">
        <v>7</v>
      </c>
      <c r="C472" t="s">
        <v>9</v>
      </c>
      <c r="D472">
        <v>2</v>
      </c>
      <c r="E472">
        <v>0</v>
      </c>
      <c r="F472">
        <v>0</v>
      </c>
      <c r="G472">
        <v>1</v>
      </c>
      <c r="H472" t="s">
        <v>72</v>
      </c>
    </row>
    <row r="473" spans="1:8" x14ac:dyDescent="0.2">
      <c r="A473" t="s">
        <v>214</v>
      </c>
      <c r="B473" t="s">
        <v>7</v>
      </c>
      <c r="C473" t="s">
        <v>9</v>
      </c>
      <c r="D473">
        <v>2</v>
      </c>
      <c r="E473">
        <v>0</v>
      </c>
      <c r="F473">
        <v>1</v>
      </c>
      <c r="G473">
        <v>0</v>
      </c>
      <c r="H473" t="s">
        <v>72</v>
      </c>
    </row>
    <row r="474" spans="1:8" x14ac:dyDescent="0.2">
      <c r="A474" t="s">
        <v>698</v>
      </c>
      <c r="B474" t="s">
        <v>7</v>
      </c>
      <c r="C474" t="s">
        <v>9</v>
      </c>
      <c r="D474">
        <v>2</v>
      </c>
      <c r="E474">
        <v>0</v>
      </c>
      <c r="F474">
        <v>1</v>
      </c>
      <c r="G474">
        <v>1</v>
      </c>
      <c r="H474" t="s">
        <v>950</v>
      </c>
    </row>
    <row r="475" spans="1:8" x14ac:dyDescent="0.2">
      <c r="A475" t="s">
        <v>699</v>
      </c>
      <c r="B475" t="s">
        <v>7</v>
      </c>
      <c r="C475" t="s">
        <v>9</v>
      </c>
      <c r="D475">
        <v>2</v>
      </c>
      <c r="E475">
        <v>1</v>
      </c>
      <c r="F475">
        <v>0</v>
      </c>
      <c r="G475">
        <v>0</v>
      </c>
      <c r="H475" t="s">
        <v>975</v>
      </c>
    </row>
    <row r="476" spans="1:8" x14ac:dyDescent="0.2">
      <c r="A476" t="s">
        <v>215</v>
      </c>
      <c r="B476" t="s">
        <v>7</v>
      </c>
      <c r="C476" t="s">
        <v>9</v>
      </c>
      <c r="D476">
        <v>2</v>
      </c>
      <c r="E476">
        <v>1</v>
      </c>
      <c r="F476">
        <v>0</v>
      </c>
      <c r="G476">
        <v>1</v>
      </c>
      <c r="H476" t="s">
        <v>72</v>
      </c>
    </row>
    <row r="477" spans="1:8" x14ac:dyDescent="0.2">
      <c r="A477" t="s">
        <v>216</v>
      </c>
      <c r="B477" t="s">
        <v>7</v>
      </c>
      <c r="C477" t="s">
        <v>9</v>
      </c>
      <c r="D477">
        <v>2</v>
      </c>
      <c r="E477">
        <v>1</v>
      </c>
      <c r="F477">
        <v>1</v>
      </c>
      <c r="G477">
        <v>0</v>
      </c>
      <c r="H477" t="s">
        <v>72</v>
      </c>
    </row>
    <row r="478" spans="1:8" x14ac:dyDescent="0.2">
      <c r="A478" t="s">
        <v>700</v>
      </c>
      <c r="B478" t="s">
        <v>7</v>
      </c>
      <c r="C478" t="s">
        <v>9</v>
      </c>
      <c r="D478">
        <v>2</v>
      </c>
      <c r="E478">
        <v>1</v>
      </c>
      <c r="F478">
        <v>1</v>
      </c>
      <c r="G478">
        <v>1</v>
      </c>
      <c r="H478" t="s">
        <v>951</v>
      </c>
    </row>
    <row r="479" spans="1:8" x14ac:dyDescent="0.2">
      <c r="A479" t="s">
        <v>701</v>
      </c>
      <c r="B479" t="s">
        <v>7</v>
      </c>
      <c r="C479" t="s">
        <v>9</v>
      </c>
      <c r="D479">
        <v>2</v>
      </c>
      <c r="E479">
        <v>2</v>
      </c>
      <c r="F479">
        <v>0</v>
      </c>
      <c r="G479">
        <v>0</v>
      </c>
      <c r="H479" t="s">
        <v>976</v>
      </c>
    </row>
    <row r="480" spans="1:8" x14ac:dyDescent="0.2">
      <c r="A480" t="s">
        <v>217</v>
      </c>
      <c r="B480" t="s">
        <v>7</v>
      </c>
      <c r="C480" t="s">
        <v>9</v>
      </c>
      <c r="D480">
        <v>2</v>
      </c>
      <c r="E480">
        <v>2</v>
      </c>
      <c r="F480">
        <v>0</v>
      </c>
      <c r="G480">
        <v>1</v>
      </c>
      <c r="H480" t="s">
        <v>72</v>
      </c>
    </row>
    <row r="481" spans="1:8" x14ac:dyDescent="0.2">
      <c r="A481" t="s">
        <v>218</v>
      </c>
      <c r="B481" t="s">
        <v>7</v>
      </c>
      <c r="C481" t="s">
        <v>9</v>
      </c>
      <c r="D481">
        <v>2</v>
      </c>
      <c r="E481">
        <v>2</v>
      </c>
      <c r="F481">
        <v>1</v>
      </c>
      <c r="G481">
        <v>0</v>
      </c>
      <c r="H481" t="s">
        <v>72</v>
      </c>
    </row>
    <row r="482" spans="1:8" x14ac:dyDescent="0.2">
      <c r="A482" t="s">
        <v>702</v>
      </c>
      <c r="B482" t="s">
        <v>7</v>
      </c>
      <c r="C482" t="s">
        <v>9</v>
      </c>
      <c r="D482">
        <v>2</v>
      </c>
      <c r="E482">
        <v>2</v>
      </c>
      <c r="F482">
        <v>1</v>
      </c>
      <c r="G482">
        <v>1</v>
      </c>
      <c r="H482" t="s">
        <v>952</v>
      </c>
    </row>
    <row r="483" spans="1:8" x14ac:dyDescent="0.2">
      <c r="A483" t="s">
        <v>703</v>
      </c>
      <c r="B483" t="s">
        <v>7</v>
      </c>
      <c r="C483" t="s">
        <v>9</v>
      </c>
      <c r="D483">
        <v>2</v>
      </c>
      <c r="E483">
        <v>3</v>
      </c>
      <c r="F483">
        <v>0</v>
      </c>
      <c r="G483">
        <v>0</v>
      </c>
      <c r="H483" t="s">
        <v>977</v>
      </c>
    </row>
    <row r="484" spans="1:8" x14ac:dyDescent="0.2">
      <c r="A484" t="s">
        <v>219</v>
      </c>
      <c r="B484" t="s">
        <v>7</v>
      </c>
      <c r="C484" t="s">
        <v>9</v>
      </c>
      <c r="D484">
        <v>2</v>
      </c>
      <c r="E484">
        <v>3</v>
      </c>
      <c r="F484">
        <v>0</v>
      </c>
      <c r="G484">
        <v>1</v>
      </c>
      <c r="H484" t="s">
        <v>72</v>
      </c>
    </row>
    <row r="485" spans="1:8" x14ac:dyDescent="0.2">
      <c r="A485" t="s">
        <v>220</v>
      </c>
      <c r="B485" t="s">
        <v>7</v>
      </c>
      <c r="C485" t="s">
        <v>9</v>
      </c>
      <c r="D485">
        <v>2</v>
      </c>
      <c r="E485">
        <v>3</v>
      </c>
      <c r="F485">
        <v>1</v>
      </c>
      <c r="G485">
        <v>0</v>
      </c>
      <c r="H485" t="s">
        <v>72</v>
      </c>
    </row>
    <row r="486" spans="1:8" x14ac:dyDescent="0.2">
      <c r="A486" t="s">
        <v>704</v>
      </c>
      <c r="B486" t="s">
        <v>7</v>
      </c>
      <c r="C486" t="s">
        <v>9</v>
      </c>
      <c r="D486">
        <v>2</v>
      </c>
      <c r="E486">
        <v>3</v>
      </c>
      <c r="F486">
        <v>1</v>
      </c>
      <c r="G486">
        <v>1</v>
      </c>
      <c r="H486" t="s">
        <v>953</v>
      </c>
    </row>
    <row r="487" spans="1:8" x14ac:dyDescent="0.2">
      <c r="A487" t="s">
        <v>705</v>
      </c>
      <c r="B487" t="s">
        <v>7</v>
      </c>
      <c r="C487" t="s">
        <v>9</v>
      </c>
      <c r="D487">
        <v>2</v>
      </c>
      <c r="E487">
        <v>4</v>
      </c>
      <c r="F487">
        <v>0</v>
      </c>
      <c r="G487">
        <v>0</v>
      </c>
      <c r="H487" t="s">
        <v>978</v>
      </c>
    </row>
    <row r="488" spans="1:8" x14ac:dyDescent="0.2">
      <c r="A488" t="s">
        <v>221</v>
      </c>
      <c r="B488" t="s">
        <v>7</v>
      </c>
      <c r="C488" t="s">
        <v>9</v>
      </c>
      <c r="D488">
        <v>2</v>
      </c>
      <c r="E488">
        <v>4</v>
      </c>
      <c r="F488">
        <v>0</v>
      </c>
      <c r="G488">
        <v>1</v>
      </c>
      <c r="H488" t="s">
        <v>72</v>
      </c>
    </row>
    <row r="489" spans="1:8" x14ac:dyDescent="0.2">
      <c r="A489" t="s">
        <v>222</v>
      </c>
      <c r="B489" t="s">
        <v>7</v>
      </c>
      <c r="C489" t="s">
        <v>9</v>
      </c>
      <c r="D489">
        <v>2</v>
      </c>
      <c r="E489">
        <v>4</v>
      </c>
      <c r="F489">
        <v>1</v>
      </c>
      <c r="G489">
        <v>0</v>
      </c>
      <c r="H489" t="s">
        <v>72</v>
      </c>
    </row>
    <row r="490" spans="1:8" x14ac:dyDescent="0.2">
      <c r="A490" t="s">
        <v>706</v>
      </c>
      <c r="B490" t="s">
        <v>7</v>
      </c>
      <c r="C490" t="s">
        <v>9</v>
      </c>
      <c r="D490">
        <v>2</v>
      </c>
      <c r="E490">
        <v>4</v>
      </c>
      <c r="F490">
        <v>1</v>
      </c>
      <c r="G490">
        <v>1</v>
      </c>
      <c r="H490" t="s">
        <v>954</v>
      </c>
    </row>
    <row r="491" spans="1:8" x14ac:dyDescent="0.2">
      <c r="A491" t="s">
        <v>707</v>
      </c>
      <c r="B491" t="s">
        <v>7</v>
      </c>
      <c r="C491" t="s">
        <v>9</v>
      </c>
      <c r="D491">
        <v>2</v>
      </c>
      <c r="E491">
        <v>5</v>
      </c>
      <c r="F491">
        <v>0</v>
      </c>
      <c r="G491">
        <v>0</v>
      </c>
      <c r="H491" t="s">
        <v>977</v>
      </c>
    </row>
    <row r="492" spans="1:8" x14ac:dyDescent="0.2">
      <c r="A492" t="s">
        <v>223</v>
      </c>
      <c r="B492" t="s">
        <v>7</v>
      </c>
      <c r="C492" t="s">
        <v>9</v>
      </c>
      <c r="D492">
        <v>2</v>
      </c>
      <c r="E492">
        <v>5</v>
      </c>
      <c r="F492">
        <v>0</v>
      </c>
      <c r="G492">
        <v>1</v>
      </c>
      <c r="H492" t="s">
        <v>72</v>
      </c>
    </row>
    <row r="493" spans="1:8" x14ac:dyDescent="0.2">
      <c r="A493" t="s">
        <v>224</v>
      </c>
      <c r="B493" t="s">
        <v>7</v>
      </c>
      <c r="C493" t="s">
        <v>9</v>
      </c>
      <c r="D493">
        <v>2</v>
      </c>
      <c r="E493">
        <v>5</v>
      </c>
      <c r="F493">
        <v>1</v>
      </c>
      <c r="G493">
        <v>0</v>
      </c>
      <c r="H493" t="s">
        <v>72</v>
      </c>
    </row>
    <row r="494" spans="1:8" x14ac:dyDescent="0.2">
      <c r="A494" t="s">
        <v>708</v>
      </c>
      <c r="B494" t="s">
        <v>7</v>
      </c>
      <c r="C494" t="s">
        <v>9</v>
      </c>
      <c r="D494">
        <v>2</v>
      </c>
      <c r="E494">
        <v>5</v>
      </c>
      <c r="F494">
        <v>1</v>
      </c>
      <c r="G494">
        <v>1</v>
      </c>
      <c r="H494" t="s">
        <v>955</v>
      </c>
    </row>
    <row r="495" spans="1:8" x14ac:dyDescent="0.2">
      <c r="A495" t="s">
        <v>709</v>
      </c>
      <c r="B495" t="s">
        <v>7</v>
      </c>
      <c r="C495" t="s">
        <v>9</v>
      </c>
      <c r="D495">
        <v>2</v>
      </c>
      <c r="E495">
        <v>6</v>
      </c>
      <c r="F495">
        <v>0</v>
      </c>
      <c r="G495">
        <v>0</v>
      </c>
      <c r="H495" t="s">
        <v>979</v>
      </c>
    </row>
    <row r="496" spans="1:8" x14ac:dyDescent="0.2">
      <c r="A496" t="s">
        <v>225</v>
      </c>
      <c r="B496" t="s">
        <v>7</v>
      </c>
      <c r="C496" t="s">
        <v>9</v>
      </c>
      <c r="D496">
        <v>2</v>
      </c>
      <c r="E496">
        <v>6</v>
      </c>
      <c r="F496">
        <v>0</v>
      </c>
      <c r="G496">
        <v>1</v>
      </c>
      <c r="H496" t="s">
        <v>72</v>
      </c>
    </row>
    <row r="497" spans="1:8" x14ac:dyDescent="0.2">
      <c r="A497" t="s">
        <v>226</v>
      </c>
      <c r="B497" t="s">
        <v>7</v>
      </c>
      <c r="C497" t="s">
        <v>9</v>
      </c>
      <c r="D497">
        <v>2</v>
      </c>
      <c r="E497">
        <v>6</v>
      </c>
      <c r="F497">
        <v>1</v>
      </c>
      <c r="G497">
        <v>0</v>
      </c>
      <c r="H497" t="s">
        <v>72</v>
      </c>
    </row>
    <row r="498" spans="1:8" x14ac:dyDescent="0.2">
      <c r="A498" t="s">
        <v>710</v>
      </c>
      <c r="B498" t="s">
        <v>7</v>
      </c>
      <c r="C498" t="s">
        <v>9</v>
      </c>
      <c r="D498">
        <v>2</v>
      </c>
      <c r="E498">
        <v>6</v>
      </c>
      <c r="F498">
        <v>1</v>
      </c>
      <c r="G498">
        <v>1</v>
      </c>
      <c r="H498" t="s">
        <v>956</v>
      </c>
    </row>
    <row r="499" spans="1:8" x14ac:dyDescent="0.2">
      <c r="A499" t="s">
        <v>711</v>
      </c>
      <c r="B499" t="s">
        <v>7</v>
      </c>
      <c r="C499" t="s">
        <v>9</v>
      </c>
      <c r="D499">
        <v>2</v>
      </c>
      <c r="E499">
        <v>7</v>
      </c>
      <c r="F499">
        <v>0</v>
      </c>
      <c r="G499">
        <v>0</v>
      </c>
      <c r="H499" t="s">
        <v>976</v>
      </c>
    </row>
    <row r="500" spans="1:8" x14ac:dyDescent="0.2">
      <c r="A500" t="s">
        <v>227</v>
      </c>
      <c r="B500" t="s">
        <v>7</v>
      </c>
      <c r="C500" t="s">
        <v>9</v>
      </c>
      <c r="D500">
        <v>2</v>
      </c>
      <c r="E500">
        <v>7</v>
      </c>
      <c r="F500">
        <v>0</v>
      </c>
      <c r="G500">
        <v>1</v>
      </c>
      <c r="H500" t="s">
        <v>72</v>
      </c>
    </row>
    <row r="501" spans="1:8" x14ac:dyDescent="0.2">
      <c r="A501" t="s">
        <v>228</v>
      </c>
      <c r="B501" t="s">
        <v>7</v>
      </c>
      <c r="C501" t="s">
        <v>9</v>
      </c>
      <c r="D501">
        <v>2</v>
      </c>
      <c r="E501">
        <v>7</v>
      </c>
      <c r="F501">
        <v>1</v>
      </c>
      <c r="G501">
        <v>0</v>
      </c>
      <c r="H501" t="s">
        <v>72</v>
      </c>
    </row>
    <row r="502" spans="1:8" x14ac:dyDescent="0.2">
      <c r="A502" t="s">
        <v>712</v>
      </c>
      <c r="B502" t="s">
        <v>7</v>
      </c>
      <c r="C502" t="s">
        <v>9</v>
      </c>
      <c r="D502">
        <v>2</v>
      </c>
      <c r="E502">
        <v>7</v>
      </c>
      <c r="F502">
        <v>1</v>
      </c>
      <c r="G502">
        <v>1</v>
      </c>
      <c r="H502" t="s">
        <v>957</v>
      </c>
    </row>
    <row r="503" spans="1:8" x14ac:dyDescent="0.2">
      <c r="A503" t="s">
        <v>713</v>
      </c>
      <c r="B503" t="s">
        <v>7</v>
      </c>
      <c r="C503" t="s">
        <v>9</v>
      </c>
      <c r="D503">
        <v>2</v>
      </c>
      <c r="E503">
        <v>8</v>
      </c>
      <c r="F503">
        <v>0</v>
      </c>
      <c r="G503">
        <v>0</v>
      </c>
      <c r="H503" t="s">
        <v>980</v>
      </c>
    </row>
    <row r="504" spans="1:8" x14ac:dyDescent="0.2">
      <c r="A504" t="s">
        <v>229</v>
      </c>
      <c r="B504" t="s">
        <v>7</v>
      </c>
      <c r="C504" t="s">
        <v>9</v>
      </c>
      <c r="D504">
        <v>2</v>
      </c>
      <c r="E504">
        <v>8</v>
      </c>
      <c r="F504">
        <v>0</v>
      </c>
      <c r="G504">
        <v>1</v>
      </c>
      <c r="H504" t="s">
        <v>72</v>
      </c>
    </row>
    <row r="505" spans="1:8" x14ac:dyDescent="0.2">
      <c r="A505" t="s">
        <v>230</v>
      </c>
      <c r="B505" t="s">
        <v>7</v>
      </c>
      <c r="C505" t="s">
        <v>9</v>
      </c>
      <c r="D505">
        <v>2</v>
      </c>
      <c r="E505">
        <v>8</v>
      </c>
      <c r="F505">
        <v>1</v>
      </c>
      <c r="G505">
        <v>0</v>
      </c>
      <c r="H505" t="s">
        <v>72</v>
      </c>
    </row>
    <row r="506" spans="1:8" x14ac:dyDescent="0.2">
      <c r="A506" t="s">
        <v>714</v>
      </c>
      <c r="B506" t="s">
        <v>7</v>
      </c>
      <c r="C506" t="s">
        <v>9</v>
      </c>
      <c r="D506">
        <v>2</v>
      </c>
      <c r="E506">
        <v>8</v>
      </c>
      <c r="F506">
        <v>1</v>
      </c>
      <c r="G506">
        <v>1</v>
      </c>
      <c r="H506" t="s">
        <v>958</v>
      </c>
    </row>
    <row r="507" spans="1:8" x14ac:dyDescent="0.2">
      <c r="A507" t="s">
        <v>715</v>
      </c>
      <c r="B507" t="s">
        <v>7</v>
      </c>
      <c r="C507" t="s">
        <v>9</v>
      </c>
      <c r="D507">
        <v>2</v>
      </c>
      <c r="E507">
        <v>9</v>
      </c>
      <c r="F507">
        <v>0</v>
      </c>
      <c r="G507">
        <v>0</v>
      </c>
      <c r="H507" t="s">
        <v>981</v>
      </c>
    </row>
    <row r="508" spans="1:8" x14ac:dyDescent="0.2">
      <c r="A508" t="s">
        <v>231</v>
      </c>
      <c r="B508" t="s">
        <v>7</v>
      </c>
      <c r="C508" t="s">
        <v>9</v>
      </c>
      <c r="D508">
        <v>2</v>
      </c>
      <c r="E508">
        <v>9</v>
      </c>
      <c r="F508">
        <v>0</v>
      </c>
      <c r="G508">
        <v>1</v>
      </c>
      <c r="H508" t="s">
        <v>72</v>
      </c>
    </row>
    <row r="509" spans="1:8" x14ac:dyDescent="0.2">
      <c r="A509" t="s">
        <v>232</v>
      </c>
      <c r="B509" t="s">
        <v>7</v>
      </c>
      <c r="C509" t="s">
        <v>9</v>
      </c>
      <c r="D509">
        <v>2</v>
      </c>
      <c r="E509">
        <v>9</v>
      </c>
      <c r="F509">
        <v>1</v>
      </c>
      <c r="G509">
        <v>0</v>
      </c>
      <c r="H509" t="s">
        <v>72</v>
      </c>
    </row>
    <row r="510" spans="1:8" x14ac:dyDescent="0.2">
      <c r="A510" t="s">
        <v>716</v>
      </c>
      <c r="B510" t="s">
        <v>7</v>
      </c>
      <c r="C510" t="s">
        <v>9</v>
      </c>
      <c r="D510">
        <v>2</v>
      </c>
      <c r="E510">
        <v>9</v>
      </c>
      <c r="F510">
        <v>1</v>
      </c>
      <c r="G510">
        <v>1</v>
      </c>
      <c r="H510" t="s">
        <v>959</v>
      </c>
    </row>
    <row r="511" spans="1:8" x14ac:dyDescent="0.2">
      <c r="A511" t="s">
        <v>717</v>
      </c>
      <c r="B511" t="s">
        <v>10</v>
      </c>
      <c r="C511" t="s">
        <v>9</v>
      </c>
      <c r="D511">
        <v>0</v>
      </c>
      <c r="E511">
        <v>0</v>
      </c>
      <c r="F511">
        <v>0</v>
      </c>
      <c r="G511">
        <v>0</v>
      </c>
      <c r="H511" t="s">
        <v>982</v>
      </c>
    </row>
    <row r="512" spans="1:8" x14ac:dyDescent="0.2">
      <c r="A512" t="s">
        <v>233</v>
      </c>
      <c r="B512" t="s">
        <v>10</v>
      </c>
      <c r="C512" t="s">
        <v>9</v>
      </c>
      <c r="D512">
        <v>0</v>
      </c>
      <c r="E512">
        <v>0</v>
      </c>
      <c r="F512">
        <v>0</v>
      </c>
      <c r="G512">
        <v>1</v>
      </c>
      <c r="H512" t="s">
        <v>72</v>
      </c>
    </row>
    <row r="513" spans="1:8" x14ac:dyDescent="0.2">
      <c r="A513" t="s">
        <v>234</v>
      </c>
      <c r="B513" t="s">
        <v>10</v>
      </c>
      <c r="C513" t="s">
        <v>9</v>
      </c>
      <c r="D513">
        <v>0</v>
      </c>
      <c r="E513">
        <v>0</v>
      </c>
      <c r="F513">
        <v>1</v>
      </c>
      <c r="G513">
        <v>0</v>
      </c>
      <c r="H513" t="s">
        <v>72</v>
      </c>
    </row>
    <row r="514" spans="1:8" x14ac:dyDescent="0.2">
      <c r="A514" t="s">
        <v>718</v>
      </c>
      <c r="B514" t="s">
        <v>10</v>
      </c>
      <c r="C514" t="s">
        <v>9</v>
      </c>
      <c r="D514">
        <v>0</v>
      </c>
      <c r="E514">
        <v>0</v>
      </c>
      <c r="F514">
        <v>1</v>
      </c>
      <c r="G514">
        <v>1</v>
      </c>
      <c r="H514" t="s">
        <v>983</v>
      </c>
    </row>
    <row r="515" spans="1:8" x14ac:dyDescent="0.2">
      <c r="A515" t="s">
        <v>719</v>
      </c>
      <c r="B515" t="s">
        <v>10</v>
      </c>
      <c r="C515" t="s">
        <v>9</v>
      </c>
      <c r="D515">
        <v>0</v>
      </c>
      <c r="E515">
        <v>1</v>
      </c>
      <c r="F515">
        <v>0</v>
      </c>
      <c r="G515">
        <v>0</v>
      </c>
      <c r="H515" t="s">
        <v>984</v>
      </c>
    </row>
    <row r="516" spans="1:8" x14ac:dyDescent="0.2">
      <c r="A516" t="s">
        <v>235</v>
      </c>
      <c r="B516" t="s">
        <v>10</v>
      </c>
      <c r="C516" t="s">
        <v>9</v>
      </c>
      <c r="D516">
        <v>0</v>
      </c>
      <c r="E516">
        <v>1</v>
      </c>
      <c r="F516">
        <v>0</v>
      </c>
      <c r="G516">
        <v>1</v>
      </c>
      <c r="H516" t="s">
        <v>72</v>
      </c>
    </row>
    <row r="517" spans="1:8" x14ac:dyDescent="0.2">
      <c r="A517" t="s">
        <v>236</v>
      </c>
      <c r="B517" t="s">
        <v>10</v>
      </c>
      <c r="C517" t="s">
        <v>9</v>
      </c>
      <c r="D517">
        <v>0</v>
      </c>
      <c r="E517">
        <v>1</v>
      </c>
      <c r="F517">
        <v>1</v>
      </c>
      <c r="G517">
        <v>0</v>
      </c>
      <c r="H517" t="s">
        <v>72</v>
      </c>
    </row>
    <row r="518" spans="1:8" x14ac:dyDescent="0.2">
      <c r="A518" t="s">
        <v>720</v>
      </c>
      <c r="B518" t="s">
        <v>10</v>
      </c>
      <c r="C518" t="s">
        <v>9</v>
      </c>
      <c r="D518">
        <v>0</v>
      </c>
      <c r="E518">
        <v>1</v>
      </c>
      <c r="F518">
        <v>1</v>
      </c>
      <c r="G518">
        <v>1</v>
      </c>
      <c r="H518" t="s">
        <v>985</v>
      </c>
    </row>
    <row r="519" spans="1:8" x14ac:dyDescent="0.2">
      <c r="A519" t="s">
        <v>721</v>
      </c>
      <c r="B519" t="s">
        <v>10</v>
      </c>
      <c r="C519" t="s">
        <v>9</v>
      </c>
      <c r="D519">
        <v>0</v>
      </c>
      <c r="E519">
        <v>2</v>
      </c>
      <c r="F519">
        <v>0</v>
      </c>
      <c r="G519">
        <v>0</v>
      </c>
      <c r="H519" t="s">
        <v>986</v>
      </c>
    </row>
    <row r="520" spans="1:8" x14ac:dyDescent="0.2">
      <c r="A520" t="s">
        <v>237</v>
      </c>
      <c r="B520" t="s">
        <v>10</v>
      </c>
      <c r="C520" t="s">
        <v>9</v>
      </c>
      <c r="D520">
        <v>0</v>
      </c>
      <c r="E520">
        <v>2</v>
      </c>
      <c r="F520">
        <v>0</v>
      </c>
      <c r="G520">
        <v>1</v>
      </c>
      <c r="H520" t="s">
        <v>72</v>
      </c>
    </row>
    <row r="521" spans="1:8" x14ac:dyDescent="0.2">
      <c r="A521" t="s">
        <v>238</v>
      </c>
      <c r="B521" t="s">
        <v>10</v>
      </c>
      <c r="C521" t="s">
        <v>9</v>
      </c>
      <c r="D521">
        <v>0</v>
      </c>
      <c r="E521">
        <v>2</v>
      </c>
      <c r="F521">
        <v>1</v>
      </c>
      <c r="G521">
        <v>0</v>
      </c>
      <c r="H521" t="s">
        <v>72</v>
      </c>
    </row>
    <row r="522" spans="1:8" x14ac:dyDescent="0.2">
      <c r="A522" t="s">
        <v>722</v>
      </c>
      <c r="B522" t="s">
        <v>10</v>
      </c>
      <c r="C522" t="s">
        <v>9</v>
      </c>
      <c r="D522">
        <v>0</v>
      </c>
      <c r="E522">
        <v>2</v>
      </c>
      <c r="F522">
        <v>1</v>
      </c>
      <c r="G522">
        <v>1</v>
      </c>
      <c r="H522" t="s">
        <v>987</v>
      </c>
    </row>
    <row r="523" spans="1:8" x14ac:dyDescent="0.2">
      <c r="A523" t="s">
        <v>723</v>
      </c>
      <c r="B523" t="s">
        <v>10</v>
      </c>
      <c r="C523" t="s">
        <v>9</v>
      </c>
      <c r="D523">
        <v>0</v>
      </c>
      <c r="E523">
        <v>3</v>
      </c>
      <c r="F523">
        <v>0</v>
      </c>
      <c r="G523">
        <v>0</v>
      </c>
      <c r="H523" t="s">
        <v>988</v>
      </c>
    </row>
    <row r="524" spans="1:8" x14ac:dyDescent="0.2">
      <c r="A524" t="s">
        <v>239</v>
      </c>
      <c r="B524" t="s">
        <v>10</v>
      </c>
      <c r="C524" t="s">
        <v>9</v>
      </c>
      <c r="D524">
        <v>0</v>
      </c>
      <c r="E524">
        <v>3</v>
      </c>
      <c r="F524">
        <v>0</v>
      </c>
      <c r="G524">
        <v>1</v>
      </c>
      <c r="H524" t="s">
        <v>72</v>
      </c>
    </row>
    <row r="525" spans="1:8" x14ac:dyDescent="0.2">
      <c r="A525" t="s">
        <v>240</v>
      </c>
      <c r="B525" t="s">
        <v>10</v>
      </c>
      <c r="C525" t="s">
        <v>9</v>
      </c>
      <c r="D525">
        <v>0</v>
      </c>
      <c r="E525">
        <v>3</v>
      </c>
      <c r="F525">
        <v>1</v>
      </c>
      <c r="G525">
        <v>0</v>
      </c>
      <c r="H525" t="s">
        <v>72</v>
      </c>
    </row>
    <row r="526" spans="1:8" x14ac:dyDescent="0.2">
      <c r="A526" t="s">
        <v>724</v>
      </c>
      <c r="B526" t="s">
        <v>10</v>
      </c>
      <c r="C526" t="s">
        <v>9</v>
      </c>
      <c r="D526">
        <v>0</v>
      </c>
      <c r="E526">
        <v>3</v>
      </c>
      <c r="F526">
        <v>1</v>
      </c>
      <c r="G526">
        <v>1</v>
      </c>
      <c r="H526" t="s">
        <v>989</v>
      </c>
    </row>
    <row r="527" spans="1:8" x14ac:dyDescent="0.2">
      <c r="A527" t="s">
        <v>725</v>
      </c>
      <c r="B527" t="s">
        <v>10</v>
      </c>
      <c r="C527" t="s">
        <v>9</v>
      </c>
      <c r="D527">
        <v>0</v>
      </c>
      <c r="E527">
        <v>4</v>
      </c>
      <c r="F527">
        <v>0</v>
      </c>
      <c r="G527">
        <v>0</v>
      </c>
      <c r="H527" t="s">
        <v>988</v>
      </c>
    </row>
    <row r="528" spans="1:8" x14ac:dyDescent="0.2">
      <c r="A528" t="s">
        <v>241</v>
      </c>
      <c r="B528" t="s">
        <v>10</v>
      </c>
      <c r="C528" t="s">
        <v>9</v>
      </c>
      <c r="D528">
        <v>0</v>
      </c>
      <c r="E528">
        <v>4</v>
      </c>
      <c r="F528">
        <v>0</v>
      </c>
      <c r="G528">
        <v>1</v>
      </c>
      <c r="H528" t="s">
        <v>72</v>
      </c>
    </row>
    <row r="529" spans="1:8" x14ac:dyDescent="0.2">
      <c r="A529" t="s">
        <v>242</v>
      </c>
      <c r="B529" t="s">
        <v>10</v>
      </c>
      <c r="C529" t="s">
        <v>9</v>
      </c>
      <c r="D529">
        <v>0</v>
      </c>
      <c r="E529">
        <v>4</v>
      </c>
      <c r="F529">
        <v>1</v>
      </c>
      <c r="G529">
        <v>0</v>
      </c>
      <c r="H529" t="s">
        <v>72</v>
      </c>
    </row>
    <row r="530" spans="1:8" x14ac:dyDescent="0.2">
      <c r="A530" t="s">
        <v>726</v>
      </c>
      <c r="B530" t="s">
        <v>10</v>
      </c>
      <c r="C530" t="s">
        <v>9</v>
      </c>
      <c r="D530">
        <v>0</v>
      </c>
      <c r="E530">
        <v>4</v>
      </c>
      <c r="F530">
        <v>1</v>
      </c>
      <c r="G530">
        <v>1</v>
      </c>
      <c r="H530" t="s">
        <v>990</v>
      </c>
    </row>
    <row r="531" spans="1:8" x14ac:dyDescent="0.2">
      <c r="A531" t="s">
        <v>727</v>
      </c>
      <c r="B531" t="s">
        <v>10</v>
      </c>
      <c r="C531" t="s">
        <v>9</v>
      </c>
      <c r="D531">
        <v>0</v>
      </c>
      <c r="E531">
        <v>5</v>
      </c>
      <c r="F531">
        <v>0</v>
      </c>
      <c r="G531">
        <v>0</v>
      </c>
      <c r="H531" t="s">
        <v>991</v>
      </c>
    </row>
    <row r="532" spans="1:8" x14ac:dyDescent="0.2">
      <c r="A532" t="s">
        <v>243</v>
      </c>
      <c r="B532" t="s">
        <v>10</v>
      </c>
      <c r="C532" t="s">
        <v>9</v>
      </c>
      <c r="D532">
        <v>0</v>
      </c>
      <c r="E532">
        <v>5</v>
      </c>
      <c r="F532">
        <v>0</v>
      </c>
      <c r="G532">
        <v>1</v>
      </c>
      <c r="H532" t="s">
        <v>72</v>
      </c>
    </row>
    <row r="533" spans="1:8" x14ac:dyDescent="0.2">
      <c r="A533" t="s">
        <v>244</v>
      </c>
      <c r="B533" t="s">
        <v>10</v>
      </c>
      <c r="C533" t="s">
        <v>9</v>
      </c>
      <c r="D533">
        <v>0</v>
      </c>
      <c r="E533">
        <v>5</v>
      </c>
      <c r="F533">
        <v>1</v>
      </c>
      <c r="G533">
        <v>0</v>
      </c>
      <c r="H533" t="s">
        <v>72</v>
      </c>
    </row>
    <row r="534" spans="1:8" x14ac:dyDescent="0.2">
      <c r="A534" t="s">
        <v>728</v>
      </c>
      <c r="B534" t="s">
        <v>10</v>
      </c>
      <c r="C534" t="s">
        <v>9</v>
      </c>
      <c r="D534">
        <v>0</v>
      </c>
      <c r="E534">
        <v>5</v>
      </c>
      <c r="F534">
        <v>1</v>
      </c>
      <c r="G534">
        <v>1</v>
      </c>
      <c r="H534" t="s">
        <v>992</v>
      </c>
    </row>
    <row r="535" spans="1:8" x14ac:dyDescent="0.2">
      <c r="A535" t="s">
        <v>729</v>
      </c>
      <c r="B535" t="s">
        <v>10</v>
      </c>
      <c r="C535" t="s">
        <v>9</v>
      </c>
      <c r="D535">
        <v>0</v>
      </c>
      <c r="E535">
        <v>6</v>
      </c>
      <c r="F535">
        <v>0</v>
      </c>
      <c r="G535">
        <v>0</v>
      </c>
      <c r="H535" t="s">
        <v>993</v>
      </c>
    </row>
    <row r="536" spans="1:8" x14ac:dyDescent="0.2">
      <c r="A536" t="s">
        <v>245</v>
      </c>
      <c r="B536" t="s">
        <v>10</v>
      </c>
      <c r="C536" t="s">
        <v>9</v>
      </c>
      <c r="D536">
        <v>0</v>
      </c>
      <c r="E536">
        <v>6</v>
      </c>
      <c r="F536">
        <v>0</v>
      </c>
      <c r="G536">
        <v>1</v>
      </c>
      <c r="H536" t="s">
        <v>72</v>
      </c>
    </row>
    <row r="537" spans="1:8" x14ac:dyDescent="0.2">
      <c r="A537" t="s">
        <v>246</v>
      </c>
      <c r="B537" t="s">
        <v>10</v>
      </c>
      <c r="C537" t="s">
        <v>9</v>
      </c>
      <c r="D537">
        <v>0</v>
      </c>
      <c r="E537">
        <v>6</v>
      </c>
      <c r="F537">
        <v>1</v>
      </c>
      <c r="G537">
        <v>0</v>
      </c>
      <c r="H537" t="s">
        <v>72</v>
      </c>
    </row>
    <row r="538" spans="1:8" x14ac:dyDescent="0.2">
      <c r="A538" t="s">
        <v>730</v>
      </c>
      <c r="B538" t="s">
        <v>10</v>
      </c>
      <c r="C538" t="s">
        <v>9</v>
      </c>
      <c r="D538">
        <v>0</v>
      </c>
      <c r="E538">
        <v>6</v>
      </c>
      <c r="F538">
        <v>1</v>
      </c>
      <c r="G538">
        <v>1</v>
      </c>
      <c r="H538" t="s">
        <v>994</v>
      </c>
    </row>
    <row r="539" spans="1:8" x14ac:dyDescent="0.2">
      <c r="A539" t="s">
        <v>731</v>
      </c>
      <c r="B539" t="s">
        <v>10</v>
      </c>
      <c r="C539" t="s">
        <v>9</v>
      </c>
      <c r="D539">
        <v>0</v>
      </c>
      <c r="E539">
        <v>7</v>
      </c>
      <c r="F539">
        <v>0</v>
      </c>
      <c r="G539">
        <v>0</v>
      </c>
      <c r="H539" t="s">
        <v>986</v>
      </c>
    </row>
    <row r="540" spans="1:8" x14ac:dyDescent="0.2">
      <c r="A540" t="s">
        <v>247</v>
      </c>
      <c r="B540" t="s">
        <v>10</v>
      </c>
      <c r="C540" t="s">
        <v>9</v>
      </c>
      <c r="D540">
        <v>0</v>
      </c>
      <c r="E540">
        <v>7</v>
      </c>
      <c r="F540">
        <v>0</v>
      </c>
      <c r="G540">
        <v>1</v>
      </c>
      <c r="H540" t="s">
        <v>72</v>
      </c>
    </row>
    <row r="541" spans="1:8" x14ac:dyDescent="0.2">
      <c r="A541" t="s">
        <v>248</v>
      </c>
      <c r="B541" t="s">
        <v>10</v>
      </c>
      <c r="C541" t="s">
        <v>9</v>
      </c>
      <c r="D541">
        <v>0</v>
      </c>
      <c r="E541">
        <v>7</v>
      </c>
      <c r="F541">
        <v>1</v>
      </c>
      <c r="G541">
        <v>0</v>
      </c>
      <c r="H541" t="s">
        <v>72</v>
      </c>
    </row>
    <row r="542" spans="1:8" x14ac:dyDescent="0.2">
      <c r="A542" t="s">
        <v>732</v>
      </c>
      <c r="B542" t="s">
        <v>10</v>
      </c>
      <c r="C542" t="s">
        <v>9</v>
      </c>
      <c r="D542">
        <v>0</v>
      </c>
      <c r="E542">
        <v>7</v>
      </c>
      <c r="F542">
        <v>1</v>
      </c>
      <c r="G542">
        <v>1</v>
      </c>
      <c r="H542" t="s">
        <v>995</v>
      </c>
    </row>
    <row r="543" spans="1:8" x14ac:dyDescent="0.2">
      <c r="A543" t="s">
        <v>733</v>
      </c>
      <c r="B543" t="s">
        <v>10</v>
      </c>
      <c r="C543" t="s">
        <v>9</v>
      </c>
      <c r="D543">
        <v>0</v>
      </c>
      <c r="E543">
        <v>8</v>
      </c>
      <c r="F543">
        <v>0</v>
      </c>
      <c r="G543">
        <v>0</v>
      </c>
      <c r="H543" t="s">
        <v>986</v>
      </c>
    </row>
    <row r="544" spans="1:8" x14ac:dyDescent="0.2">
      <c r="A544" t="s">
        <v>249</v>
      </c>
      <c r="B544" t="s">
        <v>10</v>
      </c>
      <c r="C544" t="s">
        <v>9</v>
      </c>
      <c r="D544">
        <v>0</v>
      </c>
      <c r="E544">
        <v>8</v>
      </c>
      <c r="F544">
        <v>0</v>
      </c>
      <c r="G544">
        <v>1</v>
      </c>
      <c r="H544" t="s">
        <v>72</v>
      </c>
    </row>
    <row r="545" spans="1:8" x14ac:dyDescent="0.2">
      <c r="A545" t="s">
        <v>250</v>
      </c>
      <c r="B545" t="s">
        <v>10</v>
      </c>
      <c r="C545" t="s">
        <v>9</v>
      </c>
      <c r="D545">
        <v>0</v>
      </c>
      <c r="E545">
        <v>8</v>
      </c>
      <c r="F545">
        <v>1</v>
      </c>
      <c r="G545">
        <v>0</v>
      </c>
      <c r="H545" t="s">
        <v>72</v>
      </c>
    </row>
    <row r="546" spans="1:8" x14ac:dyDescent="0.2">
      <c r="A546" t="s">
        <v>734</v>
      </c>
      <c r="B546" t="s">
        <v>10</v>
      </c>
      <c r="C546" t="s">
        <v>9</v>
      </c>
      <c r="D546">
        <v>0</v>
      </c>
      <c r="E546">
        <v>8</v>
      </c>
      <c r="F546">
        <v>1</v>
      </c>
      <c r="G546">
        <v>1</v>
      </c>
      <c r="H546" t="s">
        <v>996</v>
      </c>
    </row>
    <row r="547" spans="1:8" x14ac:dyDescent="0.2">
      <c r="A547" t="s">
        <v>735</v>
      </c>
      <c r="B547" t="s">
        <v>10</v>
      </c>
      <c r="C547" t="s">
        <v>9</v>
      </c>
      <c r="D547">
        <v>0</v>
      </c>
      <c r="E547">
        <v>9</v>
      </c>
      <c r="F547">
        <v>0</v>
      </c>
      <c r="G547">
        <v>0</v>
      </c>
      <c r="H547" t="s">
        <v>997</v>
      </c>
    </row>
    <row r="548" spans="1:8" x14ac:dyDescent="0.2">
      <c r="A548" t="s">
        <v>251</v>
      </c>
      <c r="B548" t="s">
        <v>10</v>
      </c>
      <c r="C548" t="s">
        <v>9</v>
      </c>
      <c r="D548">
        <v>0</v>
      </c>
      <c r="E548">
        <v>9</v>
      </c>
      <c r="F548">
        <v>0</v>
      </c>
      <c r="G548">
        <v>1</v>
      </c>
      <c r="H548" t="s">
        <v>72</v>
      </c>
    </row>
    <row r="549" spans="1:8" x14ac:dyDescent="0.2">
      <c r="A549" t="s">
        <v>252</v>
      </c>
      <c r="B549" t="s">
        <v>10</v>
      </c>
      <c r="C549" t="s">
        <v>9</v>
      </c>
      <c r="D549">
        <v>0</v>
      </c>
      <c r="E549">
        <v>9</v>
      </c>
      <c r="F549">
        <v>1</v>
      </c>
      <c r="G549">
        <v>0</v>
      </c>
      <c r="H549" t="s">
        <v>72</v>
      </c>
    </row>
    <row r="550" spans="1:8" x14ac:dyDescent="0.2">
      <c r="A550" t="s">
        <v>736</v>
      </c>
      <c r="B550" t="s">
        <v>10</v>
      </c>
      <c r="C550" t="s">
        <v>9</v>
      </c>
      <c r="D550">
        <v>0</v>
      </c>
      <c r="E550">
        <v>9</v>
      </c>
      <c r="F550">
        <v>1</v>
      </c>
      <c r="G550">
        <v>1</v>
      </c>
      <c r="H550" t="s">
        <v>998</v>
      </c>
    </row>
    <row r="551" spans="1:8" x14ac:dyDescent="0.2">
      <c r="A551" t="s">
        <v>737</v>
      </c>
      <c r="B551" t="s">
        <v>10</v>
      </c>
      <c r="C551" t="s">
        <v>9</v>
      </c>
      <c r="D551">
        <v>1</v>
      </c>
      <c r="E551">
        <v>0</v>
      </c>
      <c r="F551">
        <v>0</v>
      </c>
      <c r="G551">
        <v>0</v>
      </c>
      <c r="H551" t="s">
        <v>999</v>
      </c>
    </row>
    <row r="552" spans="1:8" x14ac:dyDescent="0.2">
      <c r="A552" t="s">
        <v>253</v>
      </c>
      <c r="B552" t="s">
        <v>10</v>
      </c>
      <c r="C552" t="s">
        <v>9</v>
      </c>
      <c r="D552">
        <v>1</v>
      </c>
      <c r="E552">
        <v>0</v>
      </c>
      <c r="F552">
        <v>0</v>
      </c>
      <c r="G552">
        <v>1</v>
      </c>
      <c r="H552" t="s">
        <v>72</v>
      </c>
    </row>
    <row r="553" spans="1:8" x14ac:dyDescent="0.2">
      <c r="A553" t="s">
        <v>254</v>
      </c>
      <c r="B553" t="s">
        <v>10</v>
      </c>
      <c r="C553" t="s">
        <v>9</v>
      </c>
      <c r="D553">
        <v>1</v>
      </c>
      <c r="E553">
        <v>0</v>
      </c>
      <c r="F553">
        <v>1</v>
      </c>
      <c r="G553">
        <v>0</v>
      </c>
      <c r="H553" t="s">
        <v>72</v>
      </c>
    </row>
    <row r="554" spans="1:8" x14ac:dyDescent="0.2">
      <c r="A554" t="s">
        <v>738</v>
      </c>
      <c r="B554" t="s">
        <v>10</v>
      </c>
      <c r="C554" t="s">
        <v>9</v>
      </c>
      <c r="D554">
        <v>1</v>
      </c>
      <c r="E554">
        <v>0</v>
      </c>
      <c r="F554">
        <v>1</v>
      </c>
      <c r="G554">
        <v>1</v>
      </c>
      <c r="H554" t="s">
        <v>1000</v>
      </c>
    </row>
    <row r="555" spans="1:8" x14ac:dyDescent="0.2">
      <c r="A555" t="s">
        <v>739</v>
      </c>
      <c r="B555" t="s">
        <v>10</v>
      </c>
      <c r="C555" t="s">
        <v>9</v>
      </c>
      <c r="D555">
        <v>1</v>
      </c>
      <c r="E555">
        <v>1</v>
      </c>
      <c r="F555">
        <v>0</v>
      </c>
      <c r="G555">
        <v>0</v>
      </c>
      <c r="H555" t="s">
        <v>1001</v>
      </c>
    </row>
    <row r="556" spans="1:8" x14ac:dyDescent="0.2">
      <c r="A556" t="s">
        <v>255</v>
      </c>
      <c r="B556" t="s">
        <v>10</v>
      </c>
      <c r="C556" t="s">
        <v>9</v>
      </c>
      <c r="D556">
        <v>1</v>
      </c>
      <c r="E556">
        <v>1</v>
      </c>
      <c r="F556">
        <v>0</v>
      </c>
      <c r="G556">
        <v>1</v>
      </c>
      <c r="H556" t="s">
        <v>72</v>
      </c>
    </row>
    <row r="557" spans="1:8" x14ac:dyDescent="0.2">
      <c r="A557" t="s">
        <v>256</v>
      </c>
      <c r="B557" t="s">
        <v>10</v>
      </c>
      <c r="C557" t="s">
        <v>9</v>
      </c>
      <c r="D557">
        <v>1</v>
      </c>
      <c r="E557">
        <v>1</v>
      </c>
      <c r="F557">
        <v>1</v>
      </c>
      <c r="G557">
        <v>0</v>
      </c>
      <c r="H557" t="s">
        <v>72</v>
      </c>
    </row>
    <row r="558" spans="1:8" x14ac:dyDescent="0.2">
      <c r="A558" t="s">
        <v>740</v>
      </c>
      <c r="B558" t="s">
        <v>10</v>
      </c>
      <c r="C558" t="s">
        <v>9</v>
      </c>
      <c r="D558">
        <v>1</v>
      </c>
      <c r="E558">
        <v>1</v>
      </c>
      <c r="F558">
        <v>1</v>
      </c>
      <c r="G558">
        <v>1</v>
      </c>
      <c r="H558" t="s">
        <v>1002</v>
      </c>
    </row>
    <row r="559" spans="1:8" x14ac:dyDescent="0.2">
      <c r="A559" t="s">
        <v>741</v>
      </c>
      <c r="B559" t="s">
        <v>10</v>
      </c>
      <c r="C559" t="s">
        <v>9</v>
      </c>
      <c r="D559">
        <v>1</v>
      </c>
      <c r="E559">
        <v>2</v>
      </c>
      <c r="F559">
        <v>0</v>
      </c>
      <c r="G559">
        <v>0</v>
      </c>
      <c r="H559" t="s">
        <v>1003</v>
      </c>
    </row>
    <row r="560" spans="1:8" x14ac:dyDescent="0.2">
      <c r="A560" t="s">
        <v>257</v>
      </c>
      <c r="B560" t="s">
        <v>10</v>
      </c>
      <c r="C560" t="s">
        <v>9</v>
      </c>
      <c r="D560">
        <v>1</v>
      </c>
      <c r="E560">
        <v>2</v>
      </c>
      <c r="F560">
        <v>0</v>
      </c>
      <c r="G560">
        <v>1</v>
      </c>
      <c r="H560" t="s">
        <v>72</v>
      </c>
    </row>
    <row r="561" spans="1:8" x14ac:dyDescent="0.2">
      <c r="A561" t="s">
        <v>258</v>
      </c>
      <c r="B561" t="s">
        <v>10</v>
      </c>
      <c r="C561" t="s">
        <v>9</v>
      </c>
      <c r="D561">
        <v>1</v>
      </c>
      <c r="E561">
        <v>2</v>
      </c>
      <c r="F561">
        <v>1</v>
      </c>
      <c r="G561">
        <v>0</v>
      </c>
      <c r="H561" t="s">
        <v>72</v>
      </c>
    </row>
    <row r="562" spans="1:8" x14ac:dyDescent="0.2">
      <c r="A562" t="s">
        <v>742</v>
      </c>
      <c r="B562" t="s">
        <v>10</v>
      </c>
      <c r="C562" t="s">
        <v>9</v>
      </c>
      <c r="D562">
        <v>1</v>
      </c>
      <c r="E562">
        <v>2</v>
      </c>
      <c r="F562">
        <v>1</v>
      </c>
      <c r="G562">
        <v>1</v>
      </c>
      <c r="H562" t="s">
        <v>1004</v>
      </c>
    </row>
    <row r="563" spans="1:8" x14ac:dyDescent="0.2">
      <c r="A563" t="s">
        <v>743</v>
      </c>
      <c r="B563" t="s">
        <v>10</v>
      </c>
      <c r="C563" t="s">
        <v>9</v>
      </c>
      <c r="D563">
        <v>1</v>
      </c>
      <c r="E563">
        <v>3</v>
      </c>
      <c r="F563">
        <v>0</v>
      </c>
      <c r="G563">
        <v>0</v>
      </c>
      <c r="H563" t="s">
        <v>1005</v>
      </c>
    </row>
    <row r="564" spans="1:8" x14ac:dyDescent="0.2">
      <c r="A564" t="s">
        <v>259</v>
      </c>
      <c r="B564" t="s">
        <v>10</v>
      </c>
      <c r="C564" t="s">
        <v>9</v>
      </c>
      <c r="D564">
        <v>1</v>
      </c>
      <c r="E564">
        <v>3</v>
      </c>
      <c r="F564">
        <v>0</v>
      </c>
      <c r="G564">
        <v>1</v>
      </c>
      <c r="H564" t="s">
        <v>72</v>
      </c>
    </row>
    <row r="565" spans="1:8" x14ac:dyDescent="0.2">
      <c r="A565" t="s">
        <v>260</v>
      </c>
      <c r="B565" t="s">
        <v>10</v>
      </c>
      <c r="C565" t="s">
        <v>9</v>
      </c>
      <c r="D565">
        <v>1</v>
      </c>
      <c r="E565">
        <v>3</v>
      </c>
      <c r="F565">
        <v>1</v>
      </c>
      <c r="G565">
        <v>0</v>
      </c>
      <c r="H565" t="s">
        <v>72</v>
      </c>
    </row>
    <row r="566" spans="1:8" x14ac:dyDescent="0.2">
      <c r="A566" t="s">
        <v>744</v>
      </c>
      <c r="B566" t="s">
        <v>10</v>
      </c>
      <c r="C566" t="s">
        <v>9</v>
      </c>
      <c r="D566">
        <v>1</v>
      </c>
      <c r="E566">
        <v>3</v>
      </c>
      <c r="F566">
        <v>1</v>
      </c>
      <c r="G566">
        <v>1</v>
      </c>
      <c r="H566" t="s">
        <v>1006</v>
      </c>
    </row>
    <row r="567" spans="1:8" x14ac:dyDescent="0.2">
      <c r="A567" t="s">
        <v>745</v>
      </c>
      <c r="B567" t="s">
        <v>10</v>
      </c>
      <c r="C567" t="s">
        <v>9</v>
      </c>
      <c r="D567">
        <v>1</v>
      </c>
      <c r="E567">
        <v>4</v>
      </c>
      <c r="F567">
        <v>0</v>
      </c>
      <c r="G567">
        <v>0</v>
      </c>
      <c r="H567" t="s">
        <v>1007</v>
      </c>
    </row>
    <row r="568" spans="1:8" x14ac:dyDescent="0.2">
      <c r="A568" t="s">
        <v>261</v>
      </c>
      <c r="B568" t="s">
        <v>10</v>
      </c>
      <c r="C568" t="s">
        <v>9</v>
      </c>
      <c r="D568">
        <v>1</v>
      </c>
      <c r="E568">
        <v>4</v>
      </c>
      <c r="F568">
        <v>0</v>
      </c>
      <c r="G568">
        <v>1</v>
      </c>
      <c r="H568" t="s">
        <v>72</v>
      </c>
    </row>
    <row r="569" spans="1:8" x14ac:dyDescent="0.2">
      <c r="A569" t="s">
        <v>262</v>
      </c>
      <c r="B569" t="s">
        <v>10</v>
      </c>
      <c r="C569" t="s">
        <v>9</v>
      </c>
      <c r="D569">
        <v>1</v>
      </c>
      <c r="E569">
        <v>4</v>
      </c>
      <c r="F569">
        <v>1</v>
      </c>
      <c r="G569">
        <v>0</v>
      </c>
      <c r="H569" t="s">
        <v>72</v>
      </c>
    </row>
    <row r="570" spans="1:8" x14ac:dyDescent="0.2">
      <c r="A570" t="s">
        <v>746</v>
      </c>
      <c r="B570" t="s">
        <v>10</v>
      </c>
      <c r="C570" t="s">
        <v>9</v>
      </c>
      <c r="D570">
        <v>1</v>
      </c>
      <c r="E570">
        <v>4</v>
      </c>
      <c r="F570">
        <v>1</v>
      </c>
      <c r="G570">
        <v>1</v>
      </c>
      <c r="H570" t="s">
        <v>1008</v>
      </c>
    </row>
    <row r="571" spans="1:8" x14ac:dyDescent="0.2">
      <c r="A571" t="s">
        <v>747</v>
      </c>
      <c r="B571" t="s">
        <v>10</v>
      </c>
      <c r="C571" t="s">
        <v>9</v>
      </c>
      <c r="D571">
        <v>1</v>
      </c>
      <c r="E571">
        <v>5</v>
      </c>
      <c r="F571">
        <v>0</v>
      </c>
      <c r="G571">
        <v>0</v>
      </c>
      <c r="H571" t="s">
        <v>1001</v>
      </c>
    </row>
    <row r="572" spans="1:8" x14ac:dyDescent="0.2">
      <c r="A572" t="s">
        <v>263</v>
      </c>
      <c r="B572" t="s">
        <v>10</v>
      </c>
      <c r="C572" t="s">
        <v>9</v>
      </c>
      <c r="D572">
        <v>1</v>
      </c>
      <c r="E572">
        <v>5</v>
      </c>
      <c r="F572">
        <v>0</v>
      </c>
      <c r="G572">
        <v>1</v>
      </c>
      <c r="H572" t="s">
        <v>72</v>
      </c>
    </row>
    <row r="573" spans="1:8" x14ac:dyDescent="0.2">
      <c r="A573" t="s">
        <v>264</v>
      </c>
      <c r="B573" t="s">
        <v>10</v>
      </c>
      <c r="C573" t="s">
        <v>9</v>
      </c>
      <c r="D573">
        <v>1</v>
      </c>
      <c r="E573">
        <v>5</v>
      </c>
      <c r="F573">
        <v>1</v>
      </c>
      <c r="G573">
        <v>0</v>
      </c>
      <c r="H573" t="s">
        <v>72</v>
      </c>
    </row>
    <row r="574" spans="1:8" x14ac:dyDescent="0.2">
      <c r="A574" t="s">
        <v>748</v>
      </c>
      <c r="B574" t="s">
        <v>10</v>
      </c>
      <c r="C574" t="s">
        <v>9</v>
      </c>
      <c r="D574">
        <v>1</v>
      </c>
      <c r="E574">
        <v>5</v>
      </c>
      <c r="F574">
        <v>1</v>
      </c>
      <c r="G574">
        <v>1</v>
      </c>
      <c r="H574" t="s">
        <v>1009</v>
      </c>
    </row>
    <row r="575" spans="1:8" x14ac:dyDescent="0.2">
      <c r="A575" t="s">
        <v>749</v>
      </c>
      <c r="B575" t="s">
        <v>10</v>
      </c>
      <c r="C575" t="s">
        <v>9</v>
      </c>
      <c r="D575">
        <v>1</v>
      </c>
      <c r="E575">
        <v>6</v>
      </c>
      <c r="F575">
        <v>0</v>
      </c>
      <c r="G575">
        <v>0</v>
      </c>
      <c r="H575" t="s">
        <v>1010</v>
      </c>
    </row>
    <row r="576" spans="1:8" x14ac:dyDescent="0.2">
      <c r="A576" t="s">
        <v>265</v>
      </c>
      <c r="B576" t="s">
        <v>10</v>
      </c>
      <c r="C576" t="s">
        <v>9</v>
      </c>
      <c r="D576">
        <v>1</v>
      </c>
      <c r="E576">
        <v>6</v>
      </c>
      <c r="F576">
        <v>0</v>
      </c>
      <c r="G576">
        <v>1</v>
      </c>
      <c r="H576" t="s">
        <v>72</v>
      </c>
    </row>
    <row r="577" spans="1:8" x14ac:dyDescent="0.2">
      <c r="A577" t="s">
        <v>266</v>
      </c>
      <c r="B577" t="s">
        <v>10</v>
      </c>
      <c r="C577" t="s">
        <v>9</v>
      </c>
      <c r="D577">
        <v>1</v>
      </c>
      <c r="E577">
        <v>6</v>
      </c>
      <c r="F577">
        <v>1</v>
      </c>
      <c r="G577">
        <v>0</v>
      </c>
      <c r="H577" t="s">
        <v>72</v>
      </c>
    </row>
    <row r="578" spans="1:8" x14ac:dyDescent="0.2">
      <c r="A578" t="s">
        <v>750</v>
      </c>
      <c r="B578" t="s">
        <v>10</v>
      </c>
      <c r="C578" t="s">
        <v>9</v>
      </c>
      <c r="D578">
        <v>1</v>
      </c>
      <c r="E578">
        <v>6</v>
      </c>
      <c r="F578">
        <v>1</v>
      </c>
      <c r="G578">
        <v>1</v>
      </c>
      <c r="H578" t="s">
        <v>1011</v>
      </c>
    </row>
    <row r="579" spans="1:8" x14ac:dyDescent="0.2">
      <c r="A579" t="s">
        <v>751</v>
      </c>
      <c r="B579" t="s">
        <v>10</v>
      </c>
      <c r="C579" t="s">
        <v>9</v>
      </c>
      <c r="D579">
        <v>1</v>
      </c>
      <c r="E579">
        <v>7</v>
      </c>
      <c r="F579">
        <v>0</v>
      </c>
      <c r="G579">
        <v>0</v>
      </c>
      <c r="H579" t="s">
        <v>1012</v>
      </c>
    </row>
    <row r="580" spans="1:8" x14ac:dyDescent="0.2">
      <c r="A580" t="s">
        <v>267</v>
      </c>
      <c r="B580" t="s">
        <v>10</v>
      </c>
      <c r="C580" t="s">
        <v>9</v>
      </c>
      <c r="D580">
        <v>1</v>
      </c>
      <c r="E580">
        <v>7</v>
      </c>
      <c r="F580">
        <v>0</v>
      </c>
      <c r="G580">
        <v>1</v>
      </c>
      <c r="H580" t="s">
        <v>72</v>
      </c>
    </row>
    <row r="581" spans="1:8" x14ac:dyDescent="0.2">
      <c r="A581" t="s">
        <v>268</v>
      </c>
      <c r="B581" t="s">
        <v>10</v>
      </c>
      <c r="C581" t="s">
        <v>9</v>
      </c>
      <c r="D581">
        <v>1</v>
      </c>
      <c r="E581">
        <v>7</v>
      </c>
      <c r="F581">
        <v>1</v>
      </c>
      <c r="G581">
        <v>0</v>
      </c>
      <c r="H581" t="s">
        <v>72</v>
      </c>
    </row>
    <row r="582" spans="1:8" x14ac:dyDescent="0.2">
      <c r="A582" t="s">
        <v>752</v>
      </c>
      <c r="B582" t="s">
        <v>10</v>
      </c>
      <c r="C582" t="s">
        <v>9</v>
      </c>
      <c r="D582">
        <v>1</v>
      </c>
      <c r="E582">
        <v>7</v>
      </c>
      <c r="F582">
        <v>1</v>
      </c>
      <c r="G582">
        <v>1</v>
      </c>
      <c r="H582" t="s">
        <v>1013</v>
      </c>
    </row>
    <row r="583" spans="1:8" x14ac:dyDescent="0.2">
      <c r="A583" t="s">
        <v>753</v>
      </c>
      <c r="B583" t="s">
        <v>10</v>
      </c>
      <c r="C583" t="s">
        <v>9</v>
      </c>
      <c r="D583">
        <v>1</v>
      </c>
      <c r="E583">
        <v>8</v>
      </c>
      <c r="F583">
        <v>0</v>
      </c>
      <c r="G583">
        <v>0</v>
      </c>
      <c r="H583" t="s">
        <v>1014</v>
      </c>
    </row>
    <row r="584" spans="1:8" x14ac:dyDescent="0.2">
      <c r="A584" t="s">
        <v>269</v>
      </c>
      <c r="B584" t="s">
        <v>10</v>
      </c>
      <c r="C584" t="s">
        <v>9</v>
      </c>
      <c r="D584">
        <v>1</v>
      </c>
      <c r="E584">
        <v>8</v>
      </c>
      <c r="F584">
        <v>0</v>
      </c>
      <c r="G584">
        <v>1</v>
      </c>
      <c r="H584" t="s">
        <v>72</v>
      </c>
    </row>
    <row r="585" spans="1:8" x14ac:dyDescent="0.2">
      <c r="A585" t="s">
        <v>270</v>
      </c>
      <c r="B585" t="s">
        <v>10</v>
      </c>
      <c r="C585" t="s">
        <v>9</v>
      </c>
      <c r="D585">
        <v>1</v>
      </c>
      <c r="E585">
        <v>8</v>
      </c>
      <c r="F585">
        <v>1</v>
      </c>
      <c r="G585">
        <v>0</v>
      </c>
      <c r="H585" t="s">
        <v>72</v>
      </c>
    </row>
    <row r="586" spans="1:8" x14ac:dyDescent="0.2">
      <c r="A586" t="s">
        <v>754</v>
      </c>
      <c r="B586" t="s">
        <v>10</v>
      </c>
      <c r="C586" t="s">
        <v>9</v>
      </c>
      <c r="D586">
        <v>1</v>
      </c>
      <c r="E586">
        <v>8</v>
      </c>
      <c r="F586">
        <v>1</v>
      </c>
      <c r="G586">
        <v>1</v>
      </c>
      <c r="H586" t="s">
        <v>1015</v>
      </c>
    </row>
    <row r="587" spans="1:8" x14ac:dyDescent="0.2">
      <c r="A587" t="s">
        <v>755</v>
      </c>
      <c r="B587" t="s">
        <v>10</v>
      </c>
      <c r="C587" t="s">
        <v>9</v>
      </c>
      <c r="D587">
        <v>1</v>
      </c>
      <c r="E587">
        <v>9</v>
      </c>
      <c r="F587">
        <v>0</v>
      </c>
      <c r="G587">
        <v>0</v>
      </c>
      <c r="H587" t="s">
        <v>1016</v>
      </c>
    </row>
    <row r="588" spans="1:8" x14ac:dyDescent="0.2">
      <c r="A588" t="s">
        <v>271</v>
      </c>
      <c r="B588" t="s">
        <v>10</v>
      </c>
      <c r="C588" t="s">
        <v>9</v>
      </c>
      <c r="D588">
        <v>1</v>
      </c>
      <c r="E588">
        <v>9</v>
      </c>
      <c r="F588">
        <v>0</v>
      </c>
      <c r="G588">
        <v>1</v>
      </c>
      <c r="H588" t="s">
        <v>72</v>
      </c>
    </row>
    <row r="589" spans="1:8" x14ac:dyDescent="0.2">
      <c r="A589" t="s">
        <v>272</v>
      </c>
      <c r="B589" t="s">
        <v>10</v>
      </c>
      <c r="C589" t="s">
        <v>9</v>
      </c>
      <c r="D589">
        <v>1</v>
      </c>
      <c r="E589">
        <v>9</v>
      </c>
      <c r="F589">
        <v>1</v>
      </c>
      <c r="G589">
        <v>0</v>
      </c>
      <c r="H589" t="s">
        <v>72</v>
      </c>
    </row>
    <row r="590" spans="1:8" x14ac:dyDescent="0.2">
      <c r="A590" t="s">
        <v>756</v>
      </c>
      <c r="B590" t="s">
        <v>10</v>
      </c>
      <c r="C590" t="s">
        <v>9</v>
      </c>
      <c r="D590">
        <v>1</v>
      </c>
      <c r="E590">
        <v>9</v>
      </c>
      <c r="F590">
        <v>1</v>
      </c>
      <c r="G590">
        <v>1</v>
      </c>
      <c r="H590" t="s">
        <v>1017</v>
      </c>
    </row>
    <row r="591" spans="1:8" x14ac:dyDescent="0.2">
      <c r="A591" t="s">
        <v>757</v>
      </c>
      <c r="B591" t="s">
        <v>10</v>
      </c>
      <c r="C591" t="s">
        <v>9</v>
      </c>
      <c r="D591">
        <v>2</v>
      </c>
      <c r="E591">
        <v>0</v>
      </c>
      <c r="F591">
        <v>0</v>
      </c>
      <c r="G591">
        <v>0</v>
      </c>
      <c r="H591" t="s">
        <v>1018</v>
      </c>
    </row>
    <row r="592" spans="1:8" x14ac:dyDescent="0.2">
      <c r="A592" t="s">
        <v>273</v>
      </c>
      <c r="B592" t="s">
        <v>10</v>
      </c>
      <c r="C592" t="s">
        <v>9</v>
      </c>
      <c r="D592">
        <v>2</v>
      </c>
      <c r="E592">
        <v>0</v>
      </c>
      <c r="F592">
        <v>0</v>
      </c>
      <c r="G592">
        <v>1</v>
      </c>
      <c r="H592" t="s">
        <v>72</v>
      </c>
    </row>
    <row r="593" spans="1:8" x14ac:dyDescent="0.2">
      <c r="A593" t="s">
        <v>274</v>
      </c>
      <c r="B593" t="s">
        <v>10</v>
      </c>
      <c r="C593" t="s">
        <v>9</v>
      </c>
      <c r="D593">
        <v>2</v>
      </c>
      <c r="E593">
        <v>0</v>
      </c>
      <c r="F593">
        <v>1</v>
      </c>
      <c r="G593">
        <v>0</v>
      </c>
      <c r="H593" t="s">
        <v>72</v>
      </c>
    </row>
    <row r="594" spans="1:8" x14ac:dyDescent="0.2">
      <c r="A594" t="s">
        <v>758</v>
      </c>
      <c r="B594" t="s">
        <v>10</v>
      </c>
      <c r="C594" t="s">
        <v>9</v>
      </c>
      <c r="D594">
        <v>2</v>
      </c>
      <c r="E594">
        <v>0</v>
      </c>
      <c r="F594">
        <v>1</v>
      </c>
      <c r="G594">
        <v>1</v>
      </c>
      <c r="H594" t="s">
        <v>1019</v>
      </c>
    </row>
    <row r="595" spans="1:8" x14ac:dyDescent="0.2">
      <c r="A595" t="s">
        <v>759</v>
      </c>
      <c r="B595" t="s">
        <v>10</v>
      </c>
      <c r="C595" t="s">
        <v>9</v>
      </c>
      <c r="D595">
        <v>2</v>
      </c>
      <c r="E595">
        <v>1</v>
      </c>
      <c r="F595">
        <v>0</v>
      </c>
      <c r="G595">
        <v>0</v>
      </c>
      <c r="H595" t="s">
        <v>1020</v>
      </c>
    </row>
    <row r="596" spans="1:8" x14ac:dyDescent="0.2">
      <c r="A596" t="s">
        <v>275</v>
      </c>
      <c r="B596" t="s">
        <v>10</v>
      </c>
      <c r="C596" t="s">
        <v>9</v>
      </c>
      <c r="D596">
        <v>2</v>
      </c>
      <c r="E596">
        <v>1</v>
      </c>
      <c r="F596">
        <v>0</v>
      </c>
      <c r="G596">
        <v>1</v>
      </c>
      <c r="H596" t="s">
        <v>72</v>
      </c>
    </row>
    <row r="597" spans="1:8" x14ac:dyDescent="0.2">
      <c r="A597" t="s">
        <v>276</v>
      </c>
      <c r="B597" t="s">
        <v>10</v>
      </c>
      <c r="C597" t="s">
        <v>9</v>
      </c>
      <c r="D597">
        <v>2</v>
      </c>
      <c r="E597">
        <v>1</v>
      </c>
      <c r="F597">
        <v>1</v>
      </c>
      <c r="G597">
        <v>0</v>
      </c>
      <c r="H597" t="s">
        <v>72</v>
      </c>
    </row>
    <row r="598" spans="1:8" x14ac:dyDescent="0.2">
      <c r="A598" t="s">
        <v>760</v>
      </c>
      <c r="B598" t="s">
        <v>10</v>
      </c>
      <c r="C598" t="s">
        <v>9</v>
      </c>
      <c r="D598">
        <v>2</v>
      </c>
      <c r="E598">
        <v>1</v>
      </c>
      <c r="F598">
        <v>1</v>
      </c>
      <c r="G598">
        <v>1</v>
      </c>
      <c r="H598" t="s">
        <v>1021</v>
      </c>
    </row>
    <row r="599" spans="1:8" x14ac:dyDescent="0.2">
      <c r="A599" t="s">
        <v>761</v>
      </c>
      <c r="B599" t="s">
        <v>10</v>
      </c>
      <c r="C599" t="s">
        <v>9</v>
      </c>
      <c r="D599">
        <v>2</v>
      </c>
      <c r="E599">
        <v>2</v>
      </c>
      <c r="F599">
        <v>0</v>
      </c>
      <c r="G599">
        <v>0</v>
      </c>
      <c r="H599" t="s">
        <v>1020</v>
      </c>
    </row>
    <row r="600" spans="1:8" x14ac:dyDescent="0.2">
      <c r="A600" t="s">
        <v>277</v>
      </c>
      <c r="B600" t="s">
        <v>10</v>
      </c>
      <c r="C600" t="s">
        <v>9</v>
      </c>
      <c r="D600">
        <v>2</v>
      </c>
      <c r="E600">
        <v>2</v>
      </c>
      <c r="F600">
        <v>0</v>
      </c>
      <c r="G600">
        <v>1</v>
      </c>
      <c r="H600" t="s">
        <v>72</v>
      </c>
    </row>
    <row r="601" spans="1:8" x14ac:dyDescent="0.2">
      <c r="A601" t="s">
        <v>278</v>
      </c>
      <c r="B601" t="s">
        <v>10</v>
      </c>
      <c r="C601" t="s">
        <v>9</v>
      </c>
      <c r="D601">
        <v>2</v>
      </c>
      <c r="E601">
        <v>2</v>
      </c>
      <c r="F601">
        <v>1</v>
      </c>
      <c r="G601">
        <v>0</v>
      </c>
      <c r="H601" t="s">
        <v>72</v>
      </c>
    </row>
    <row r="602" spans="1:8" x14ac:dyDescent="0.2">
      <c r="A602" t="s">
        <v>762</v>
      </c>
      <c r="B602" t="s">
        <v>10</v>
      </c>
      <c r="C602" t="s">
        <v>9</v>
      </c>
      <c r="D602">
        <v>2</v>
      </c>
      <c r="E602">
        <v>2</v>
      </c>
      <c r="F602">
        <v>1</v>
      </c>
      <c r="G602">
        <v>1</v>
      </c>
      <c r="H602" t="s">
        <v>1022</v>
      </c>
    </row>
    <row r="603" spans="1:8" x14ac:dyDescent="0.2">
      <c r="A603" t="s">
        <v>763</v>
      </c>
      <c r="B603" t="s">
        <v>10</v>
      </c>
      <c r="C603" t="s">
        <v>9</v>
      </c>
      <c r="D603">
        <v>2</v>
      </c>
      <c r="E603">
        <v>3</v>
      </c>
      <c r="F603">
        <v>0</v>
      </c>
      <c r="G603">
        <v>0</v>
      </c>
      <c r="H603" t="s">
        <v>1023</v>
      </c>
    </row>
    <row r="604" spans="1:8" x14ac:dyDescent="0.2">
      <c r="A604" t="s">
        <v>279</v>
      </c>
      <c r="B604" t="s">
        <v>10</v>
      </c>
      <c r="C604" t="s">
        <v>9</v>
      </c>
      <c r="D604">
        <v>2</v>
      </c>
      <c r="E604">
        <v>3</v>
      </c>
      <c r="F604">
        <v>0</v>
      </c>
      <c r="G604">
        <v>1</v>
      </c>
      <c r="H604" t="s">
        <v>72</v>
      </c>
    </row>
    <row r="605" spans="1:8" x14ac:dyDescent="0.2">
      <c r="A605" t="s">
        <v>280</v>
      </c>
      <c r="B605" t="s">
        <v>10</v>
      </c>
      <c r="C605" t="s">
        <v>9</v>
      </c>
      <c r="D605">
        <v>2</v>
      </c>
      <c r="E605">
        <v>3</v>
      </c>
      <c r="F605">
        <v>1</v>
      </c>
      <c r="G605">
        <v>0</v>
      </c>
      <c r="H605" t="s">
        <v>72</v>
      </c>
    </row>
    <row r="606" spans="1:8" x14ac:dyDescent="0.2">
      <c r="A606" t="s">
        <v>764</v>
      </c>
      <c r="B606" t="s">
        <v>10</v>
      </c>
      <c r="C606" t="s">
        <v>9</v>
      </c>
      <c r="D606">
        <v>2</v>
      </c>
      <c r="E606">
        <v>3</v>
      </c>
      <c r="F606">
        <v>1</v>
      </c>
      <c r="G606">
        <v>1</v>
      </c>
      <c r="H606" t="s">
        <v>1024</v>
      </c>
    </row>
    <row r="607" spans="1:8" x14ac:dyDescent="0.2">
      <c r="A607" t="s">
        <v>765</v>
      </c>
      <c r="B607" t="s">
        <v>10</v>
      </c>
      <c r="C607" t="s">
        <v>9</v>
      </c>
      <c r="D607">
        <v>2</v>
      </c>
      <c r="E607">
        <v>4</v>
      </c>
      <c r="F607">
        <v>0</v>
      </c>
      <c r="G607">
        <v>0</v>
      </c>
      <c r="H607" t="s">
        <v>1023</v>
      </c>
    </row>
    <row r="608" spans="1:8" x14ac:dyDescent="0.2">
      <c r="A608" t="s">
        <v>281</v>
      </c>
      <c r="B608" t="s">
        <v>10</v>
      </c>
      <c r="C608" t="s">
        <v>9</v>
      </c>
      <c r="D608">
        <v>2</v>
      </c>
      <c r="E608">
        <v>4</v>
      </c>
      <c r="F608">
        <v>0</v>
      </c>
      <c r="G608">
        <v>1</v>
      </c>
      <c r="H608" t="s">
        <v>72</v>
      </c>
    </row>
    <row r="609" spans="1:8" x14ac:dyDescent="0.2">
      <c r="A609" t="s">
        <v>282</v>
      </c>
      <c r="B609" t="s">
        <v>10</v>
      </c>
      <c r="C609" t="s">
        <v>9</v>
      </c>
      <c r="D609">
        <v>2</v>
      </c>
      <c r="E609">
        <v>4</v>
      </c>
      <c r="F609">
        <v>1</v>
      </c>
      <c r="G609">
        <v>0</v>
      </c>
      <c r="H609" t="s">
        <v>72</v>
      </c>
    </row>
    <row r="610" spans="1:8" x14ac:dyDescent="0.2">
      <c r="A610" t="s">
        <v>766</v>
      </c>
      <c r="B610" t="s">
        <v>10</v>
      </c>
      <c r="C610" t="s">
        <v>9</v>
      </c>
      <c r="D610">
        <v>2</v>
      </c>
      <c r="E610">
        <v>4</v>
      </c>
      <c r="F610">
        <v>1</v>
      </c>
      <c r="G610">
        <v>1</v>
      </c>
      <c r="H610" t="s">
        <v>1025</v>
      </c>
    </row>
    <row r="611" spans="1:8" x14ac:dyDescent="0.2">
      <c r="A611" t="s">
        <v>767</v>
      </c>
      <c r="B611" t="s">
        <v>10</v>
      </c>
      <c r="C611" t="s">
        <v>9</v>
      </c>
      <c r="D611">
        <v>2</v>
      </c>
      <c r="E611">
        <v>5</v>
      </c>
      <c r="F611">
        <v>0</v>
      </c>
      <c r="G611">
        <v>0</v>
      </c>
      <c r="H611" t="s">
        <v>1026</v>
      </c>
    </row>
    <row r="612" spans="1:8" x14ac:dyDescent="0.2">
      <c r="A612" t="s">
        <v>283</v>
      </c>
      <c r="B612" t="s">
        <v>10</v>
      </c>
      <c r="C612" t="s">
        <v>9</v>
      </c>
      <c r="D612">
        <v>2</v>
      </c>
      <c r="E612">
        <v>5</v>
      </c>
      <c r="F612">
        <v>0</v>
      </c>
      <c r="G612">
        <v>1</v>
      </c>
      <c r="H612" t="s">
        <v>72</v>
      </c>
    </row>
    <row r="613" spans="1:8" x14ac:dyDescent="0.2">
      <c r="A613" t="s">
        <v>284</v>
      </c>
      <c r="B613" t="s">
        <v>10</v>
      </c>
      <c r="C613" t="s">
        <v>9</v>
      </c>
      <c r="D613">
        <v>2</v>
      </c>
      <c r="E613">
        <v>5</v>
      </c>
      <c r="F613">
        <v>1</v>
      </c>
      <c r="G613">
        <v>0</v>
      </c>
      <c r="H613" t="s">
        <v>72</v>
      </c>
    </row>
    <row r="614" spans="1:8" x14ac:dyDescent="0.2">
      <c r="A614" t="s">
        <v>768</v>
      </c>
      <c r="B614" t="s">
        <v>10</v>
      </c>
      <c r="C614" t="s">
        <v>9</v>
      </c>
      <c r="D614">
        <v>2</v>
      </c>
      <c r="E614">
        <v>5</v>
      </c>
      <c r="F614">
        <v>1</v>
      </c>
      <c r="G614">
        <v>1</v>
      </c>
      <c r="H614" t="s">
        <v>1027</v>
      </c>
    </row>
    <row r="615" spans="1:8" x14ac:dyDescent="0.2">
      <c r="A615" t="s">
        <v>769</v>
      </c>
      <c r="B615" t="s">
        <v>10</v>
      </c>
      <c r="C615" t="s">
        <v>9</v>
      </c>
      <c r="D615">
        <v>2</v>
      </c>
      <c r="E615">
        <v>6</v>
      </c>
      <c r="F615">
        <v>0</v>
      </c>
      <c r="G615">
        <v>0</v>
      </c>
      <c r="H615" t="s">
        <v>1028</v>
      </c>
    </row>
    <row r="616" spans="1:8" x14ac:dyDescent="0.2">
      <c r="A616" t="s">
        <v>285</v>
      </c>
      <c r="B616" t="s">
        <v>10</v>
      </c>
      <c r="C616" t="s">
        <v>9</v>
      </c>
      <c r="D616">
        <v>2</v>
      </c>
      <c r="E616">
        <v>6</v>
      </c>
      <c r="F616">
        <v>0</v>
      </c>
      <c r="G616">
        <v>1</v>
      </c>
      <c r="H616" t="s">
        <v>72</v>
      </c>
    </row>
    <row r="617" spans="1:8" x14ac:dyDescent="0.2">
      <c r="A617" t="s">
        <v>286</v>
      </c>
      <c r="B617" t="s">
        <v>10</v>
      </c>
      <c r="C617" t="s">
        <v>9</v>
      </c>
      <c r="D617">
        <v>2</v>
      </c>
      <c r="E617">
        <v>6</v>
      </c>
      <c r="F617">
        <v>1</v>
      </c>
      <c r="G617">
        <v>0</v>
      </c>
      <c r="H617" t="s">
        <v>72</v>
      </c>
    </row>
    <row r="618" spans="1:8" x14ac:dyDescent="0.2">
      <c r="A618" t="s">
        <v>770</v>
      </c>
      <c r="B618" t="s">
        <v>10</v>
      </c>
      <c r="C618" t="s">
        <v>9</v>
      </c>
      <c r="D618">
        <v>2</v>
      </c>
      <c r="E618">
        <v>6</v>
      </c>
      <c r="F618">
        <v>1</v>
      </c>
      <c r="G618">
        <v>1</v>
      </c>
      <c r="H618" t="s">
        <v>1029</v>
      </c>
    </row>
    <row r="619" spans="1:8" x14ac:dyDescent="0.2">
      <c r="A619" t="s">
        <v>771</v>
      </c>
      <c r="B619" t="s">
        <v>10</v>
      </c>
      <c r="C619" t="s">
        <v>9</v>
      </c>
      <c r="D619">
        <v>2</v>
      </c>
      <c r="E619">
        <v>7</v>
      </c>
      <c r="F619">
        <v>0</v>
      </c>
      <c r="G619">
        <v>0</v>
      </c>
      <c r="H619" t="s">
        <v>1026</v>
      </c>
    </row>
    <row r="620" spans="1:8" x14ac:dyDescent="0.2">
      <c r="A620" t="s">
        <v>287</v>
      </c>
      <c r="B620" t="s">
        <v>10</v>
      </c>
      <c r="C620" t="s">
        <v>9</v>
      </c>
      <c r="D620">
        <v>2</v>
      </c>
      <c r="E620">
        <v>7</v>
      </c>
      <c r="F620">
        <v>0</v>
      </c>
      <c r="G620">
        <v>1</v>
      </c>
      <c r="H620" t="s">
        <v>72</v>
      </c>
    </row>
    <row r="621" spans="1:8" x14ac:dyDescent="0.2">
      <c r="A621" t="s">
        <v>288</v>
      </c>
      <c r="B621" t="s">
        <v>10</v>
      </c>
      <c r="C621" t="s">
        <v>9</v>
      </c>
      <c r="D621">
        <v>2</v>
      </c>
      <c r="E621">
        <v>7</v>
      </c>
      <c r="F621">
        <v>1</v>
      </c>
      <c r="G621">
        <v>0</v>
      </c>
      <c r="H621" t="s">
        <v>72</v>
      </c>
    </row>
    <row r="622" spans="1:8" x14ac:dyDescent="0.2">
      <c r="A622" t="s">
        <v>772</v>
      </c>
      <c r="B622" t="s">
        <v>10</v>
      </c>
      <c r="C622" t="s">
        <v>9</v>
      </c>
      <c r="D622">
        <v>2</v>
      </c>
      <c r="E622">
        <v>7</v>
      </c>
      <c r="F622">
        <v>1</v>
      </c>
      <c r="G622">
        <v>1</v>
      </c>
      <c r="H622" t="s">
        <v>1030</v>
      </c>
    </row>
    <row r="623" spans="1:8" x14ac:dyDescent="0.2">
      <c r="A623" t="s">
        <v>773</v>
      </c>
      <c r="B623" t="s">
        <v>10</v>
      </c>
      <c r="C623" t="s">
        <v>9</v>
      </c>
      <c r="D623">
        <v>2</v>
      </c>
      <c r="E623">
        <v>8</v>
      </c>
      <c r="F623">
        <v>0</v>
      </c>
      <c r="G623">
        <v>0</v>
      </c>
      <c r="H623" t="s">
        <v>1031</v>
      </c>
    </row>
    <row r="624" spans="1:8" x14ac:dyDescent="0.2">
      <c r="A624" t="s">
        <v>289</v>
      </c>
      <c r="B624" t="s">
        <v>10</v>
      </c>
      <c r="C624" t="s">
        <v>9</v>
      </c>
      <c r="D624">
        <v>2</v>
      </c>
      <c r="E624">
        <v>8</v>
      </c>
      <c r="F624">
        <v>0</v>
      </c>
      <c r="G624">
        <v>1</v>
      </c>
      <c r="H624" t="s">
        <v>72</v>
      </c>
    </row>
    <row r="625" spans="1:8" x14ac:dyDescent="0.2">
      <c r="A625" t="s">
        <v>290</v>
      </c>
      <c r="B625" t="s">
        <v>10</v>
      </c>
      <c r="C625" t="s">
        <v>9</v>
      </c>
      <c r="D625">
        <v>2</v>
      </c>
      <c r="E625">
        <v>8</v>
      </c>
      <c r="F625">
        <v>1</v>
      </c>
      <c r="G625">
        <v>0</v>
      </c>
      <c r="H625" t="s">
        <v>72</v>
      </c>
    </row>
    <row r="626" spans="1:8" x14ac:dyDescent="0.2">
      <c r="A626" t="s">
        <v>774</v>
      </c>
      <c r="B626" t="s">
        <v>10</v>
      </c>
      <c r="C626" t="s">
        <v>9</v>
      </c>
      <c r="D626">
        <v>2</v>
      </c>
      <c r="E626">
        <v>8</v>
      </c>
      <c r="F626">
        <v>1</v>
      </c>
      <c r="G626">
        <v>1</v>
      </c>
      <c r="H626" t="s">
        <v>1032</v>
      </c>
    </row>
    <row r="627" spans="1:8" x14ac:dyDescent="0.2">
      <c r="A627" t="s">
        <v>775</v>
      </c>
      <c r="B627" t="s">
        <v>10</v>
      </c>
      <c r="C627" t="s">
        <v>9</v>
      </c>
      <c r="D627">
        <v>2</v>
      </c>
      <c r="E627">
        <v>9</v>
      </c>
      <c r="F627">
        <v>0</v>
      </c>
      <c r="G627">
        <v>0</v>
      </c>
      <c r="H627" t="s">
        <v>1033</v>
      </c>
    </row>
    <row r="628" spans="1:8" x14ac:dyDescent="0.2">
      <c r="A628" t="s">
        <v>291</v>
      </c>
      <c r="B628" t="s">
        <v>10</v>
      </c>
      <c r="C628" t="s">
        <v>9</v>
      </c>
      <c r="D628">
        <v>2</v>
      </c>
      <c r="E628">
        <v>9</v>
      </c>
      <c r="F628">
        <v>0</v>
      </c>
      <c r="G628">
        <v>1</v>
      </c>
      <c r="H628" t="s">
        <v>72</v>
      </c>
    </row>
    <row r="629" spans="1:8" x14ac:dyDescent="0.2">
      <c r="A629" t="s">
        <v>292</v>
      </c>
      <c r="B629" t="s">
        <v>10</v>
      </c>
      <c r="C629" t="s">
        <v>9</v>
      </c>
      <c r="D629">
        <v>2</v>
      </c>
      <c r="E629">
        <v>9</v>
      </c>
      <c r="F629">
        <v>1</v>
      </c>
      <c r="G629">
        <v>0</v>
      </c>
      <c r="H629" t="s">
        <v>72</v>
      </c>
    </row>
    <row r="630" spans="1:8" x14ac:dyDescent="0.2">
      <c r="A630" t="s">
        <v>776</v>
      </c>
      <c r="B630" t="s">
        <v>10</v>
      </c>
      <c r="C630" t="s">
        <v>9</v>
      </c>
      <c r="D630">
        <v>2</v>
      </c>
      <c r="E630">
        <v>9</v>
      </c>
      <c r="F630">
        <v>1</v>
      </c>
      <c r="G630">
        <v>1</v>
      </c>
      <c r="H630" t="s">
        <v>1034</v>
      </c>
    </row>
    <row r="631" spans="1:8" x14ac:dyDescent="0.2">
      <c r="A631" t="s">
        <v>414</v>
      </c>
      <c r="B631" t="s">
        <v>11</v>
      </c>
      <c r="C631" t="s">
        <v>12</v>
      </c>
      <c r="D631" t="s">
        <v>12</v>
      </c>
      <c r="E631" t="s">
        <v>12</v>
      </c>
      <c r="F631">
        <v>0</v>
      </c>
      <c r="G631">
        <v>0</v>
      </c>
      <c r="H631" t="s">
        <v>444</v>
      </c>
    </row>
    <row r="632" spans="1:8" x14ac:dyDescent="0.2">
      <c r="A632" t="s">
        <v>415</v>
      </c>
      <c r="B632" t="s">
        <v>11</v>
      </c>
      <c r="C632" t="s">
        <v>12</v>
      </c>
      <c r="D632" t="s">
        <v>12</v>
      </c>
      <c r="E632" t="s">
        <v>12</v>
      </c>
      <c r="F632">
        <v>0</v>
      </c>
      <c r="G632">
        <v>1</v>
      </c>
      <c r="H632" t="s">
        <v>444</v>
      </c>
    </row>
    <row r="633" spans="1:8" x14ac:dyDescent="0.2">
      <c r="A633" t="s">
        <v>416</v>
      </c>
      <c r="B633" t="s">
        <v>11</v>
      </c>
      <c r="C633" t="s">
        <v>12</v>
      </c>
      <c r="D633" t="s">
        <v>12</v>
      </c>
      <c r="E633" t="s">
        <v>12</v>
      </c>
      <c r="F633">
        <v>0</v>
      </c>
      <c r="G633">
        <v>2</v>
      </c>
      <c r="H633" t="s">
        <v>69</v>
      </c>
    </row>
    <row r="634" spans="1:8" x14ac:dyDescent="0.2">
      <c r="A634" t="s">
        <v>417</v>
      </c>
      <c r="B634" t="s">
        <v>11</v>
      </c>
      <c r="C634" t="s">
        <v>12</v>
      </c>
      <c r="D634" t="s">
        <v>12</v>
      </c>
      <c r="E634" t="s">
        <v>12</v>
      </c>
      <c r="F634">
        <v>0</v>
      </c>
      <c r="G634">
        <v>3</v>
      </c>
      <c r="H634" t="s">
        <v>69</v>
      </c>
    </row>
    <row r="635" spans="1:8" x14ac:dyDescent="0.2">
      <c r="A635" t="s">
        <v>418</v>
      </c>
      <c r="B635" t="s">
        <v>11</v>
      </c>
      <c r="C635" t="s">
        <v>12</v>
      </c>
      <c r="D635" t="s">
        <v>12</v>
      </c>
      <c r="E635" t="s">
        <v>12</v>
      </c>
      <c r="F635">
        <v>0</v>
      </c>
      <c r="G635">
        <v>4</v>
      </c>
      <c r="H635" t="s">
        <v>445</v>
      </c>
    </row>
    <row r="636" spans="1:8" x14ac:dyDescent="0.2">
      <c r="A636" t="s">
        <v>419</v>
      </c>
      <c r="B636" t="s">
        <v>11</v>
      </c>
      <c r="C636" t="s">
        <v>12</v>
      </c>
      <c r="D636" t="s">
        <v>12</v>
      </c>
      <c r="E636" t="s">
        <v>12</v>
      </c>
      <c r="F636">
        <v>0</v>
      </c>
      <c r="G636">
        <v>5</v>
      </c>
      <c r="H636" t="s">
        <v>445</v>
      </c>
    </row>
    <row r="637" spans="1:8" x14ac:dyDescent="0.2">
      <c r="A637" t="s">
        <v>420</v>
      </c>
      <c r="B637" t="s">
        <v>11</v>
      </c>
      <c r="C637" t="s">
        <v>12</v>
      </c>
      <c r="D637" t="s">
        <v>12</v>
      </c>
      <c r="E637" t="s">
        <v>12</v>
      </c>
      <c r="F637">
        <v>0</v>
      </c>
      <c r="G637">
        <v>6</v>
      </c>
      <c r="H637" t="s">
        <v>74</v>
      </c>
    </row>
    <row r="638" spans="1:8" x14ac:dyDescent="0.2">
      <c r="A638" t="s">
        <v>421</v>
      </c>
      <c r="B638" t="s">
        <v>11</v>
      </c>
      <c r="C638" t="s">
        <v>12</v>
      </c>
      <c r="D638" t="s">
        <v>12</v>
      </c>
      <c r="E638" t="s">
        <v>12</v>
      </c>
      <c r="F638">
        <v>0</v>
      </c>
      <c r="G638">
        <v>7</v>
      </c>
      <c r="H638" t="s">
        <v>74</v>
      </c>
    </row>
    <row r="639" spans="1:8" x14ac:dyDescent="0.2">
      <c r="A639" t="s">
        <v>422</v>
      </c>
      <c r="B639" t="s">
        <v>11</v>
      </c>
      <c r="C639" t="s">
        <v>12</v>
      </c>
      <c r="D639" t="s">
        <v>12</v>
      </c>
      <c r="E639" t="s">
        <v>12</v>
      </c>
      <c r="F639">
        <v>0</v>
      </c>
      <c r="G639">
        <v>8</v>
      </c>
      <c r="H639" t="s">
        <v>446</v>
      </c>
    </row>
    <row r="640" spans="1:8" x14ac:dyDescent="0.2">
      <c r="A640" t="s">
        <v>423</v>
      </c>
      <c r="B640" t="s">
        <v>11</v>
      </c>
      <c r="C640" t="s">
        <v>12</v>
      </c>
      <c r="D640" t="s">
        <v>12</v>
      </c>
      <c r="E640" t="s">
        <v>12</v>
      </c>
      <c r="F640">
        <v>0</v>
      </c>
      <c r="G640">
        <v>9</v>
      </c>
      <c r="H640" t="s">
        <v>446</v>
      </c>
    </row>
    <row r="641" spans="1:8" x14ac:dyDescent="0.2">
      <c r="A641" t="s">
        <v>424</v>
      </c>
      <c r="B641" t="s">
        <v>11</v>
      </c>
      <c r="C641" t="s">
        <v>12</v>
      </c>
      <c r="D641" t="s">
        <v>12</v>
      </c>
      <c r="E641" t="s">
        <v>12</v>
      </c>
      <c r="F641">
        <v>1</v>
      </c>
      <c r="G641">
        <v>0</v>
      </c>
      <c r="H641" t="s">
        <v>444</v>
      </c>
    </row>
    <row r="642" spans="1:8" x14ac:dyDescent="0.2">
      <c r="A642" t="s">
        <v>425</v>
      </c>
      <c r="B642" t="s">
        <v>11</v>
      </c>
      <c r="C642" t="s">
        <v>12</v>
      </c>
      <c r="D642" t="s">
        <v>12</v>
      </c>
      <c r="E642" t="s">
        <v>12</v>
      </c>
      <c r="F642">
        <v>1</v>
      </c>
      <c r="G642">
        <v>1</v>
      </c>
      <c r="H642" t="s">
        <v>444</v>
      </c>
    </row>
    <row r="643" spans="1:8" x14ac:dyDescent="0.2">
      <c r="A643" t="s">
        <v>426</v>
      </c>
      <c r="B643" t="s">
        <v>11</v>
      </c>
      <c r="C643" t="s">
        <v>12</v>
      </c>
      <c r="D643" t="s">
        <v>12</v>
      </c>
      <c r="E643" t="s">
        <v>12</v>
      </c>
      <c r="F643">
        <v>1</v>
      </c>
      <c r="G643">
        <v>2</v>
      </c>
      <c r="H643" t="s">
        <v>69</v>
      </c>
    </row>
    <row r="644" spans="1:8" x14ac:dyDescent="0.2">
      <c r="A644" t="s">
        <v>427</v>
      </c>
      <c r="B644" t="s">
        <v>11</v>
      </c>
      <c r="C644" t="s">
        <v>12</v>
      </c>
      <c r="D644" t="s">
        <v>12</v>
      </c>
      <c r="E644" t="s">
        <v>12</v>
      </c>
      <c r="F644">
        <v>1</v>
      </c>
      <c r="G644">
        <v>3</v>
      </c>
      <c r="H644" t="s">
        <v>69</v>
      </c>
    </row>
    <row r="645" spans="1:8" x14ac:dyDescent="0.2">
      <c r="A645" t="s">
        <v>428</v>
      </c>
      <c r="B645" t="s">
        <v>11</v>
      </c>
      <c r="C645" t="s">
        <v>12</v>
      </c>
      <c r="D645" t="s">
        <v>12</v>
      </c>
      <c r="E645" t="s">
        <v>12</v>
      </c>
      <c r="F645">
        <v>1</v>
      </c>
      <c r="G645">
        <v>4</v>
      </c>
      <c r="H645" t="s">
        <v>445</v>
      </c>
    </row>
    <row r="646" spans="1:8" x14ac:dyDescent="0.2">
      <c r="A646" t="s">
        <v>429</v>
      </c>
      <c r="B646" t="s">
        <v>11</v>
      </c>
      <c r="C646" t="s">
        <v>12</v>
      </c>
      <c r="D646" t="s">
        <v>12</v>
      </c>
      <c r="E646" t="s">
        <v>12</v>
      </c>
      <c r="F646">
        <v>1</v>
      </c>
      <c r="G646">
        <v>5</v>
      </c>
      <c r="H646" t="s">
        <v>445</v>
      </c>
    </row>
    <row r="647" spans="1:8" x14ac:dyDescent="0.2">
      <c r="A647" t="s">
        <v>430</v>
      </c>
      <c r="B647" t="s">
        <v>11</v>
      </c>
      <c r="C647" t="s">
        <v>12</v>
      </c>
      <c r="D647" t="s">
        <v>12</v>
      </c>
      <c r="E647" t="s">
        <v>12</v>
      </c>
      <c r="F647">
        <v>1</v>
      </c>
      <c r="G647">
        <v>6</v>
      </c>
      <c r="H647" t="s">
        <v>74</v>
      </c>
    </row>
    <row r="648" spans="1:8" x14ac:dyDescent="0.2">
      <c r="A648" t="s">
        <v>431</v>
      </c>
      <c r="B648" t="s">
        <v>11</v>
      </c>
      <c r="C648" t="s">
        <v>12</v>
      </c>
      <c r="D648" t="s">
        <v>12</v>
      </c>
      <c r="E648" t="s">
        <v>12</v>
      </c>
      <c r="F648">
        <v>1</v>
      </c>
      <c r="G648">
        <v>7</v>
      </c>
      <c r="H648" t="s">
        <v>74</v>
      </c>
    </row>
    <row r="649" spans="1:8" x14ac:dyDescent="0.2">
      <c r="A649" t="s">
        <v>432</v>
      </c>
      <c r="B649" t="s">
        <v>11</v>
      </c>
      <c r="C649" t="s">
        <v>12</v>
      </c>
      <c r="D649" t="s">
        <v>12</v>
      </c>
      <c r="E649" t="s">
        <v>12</v>
      </c>
      <c r="F649">
        <v>1</v>
      </c>
      <c r="G649">
        <v>8</v>
      </c>
      <c r="H649" t="s">
        <v>446</v>
      </c>
    </row>
    <row r="650" spans="1:8" x14ac:dyDescent="0.2">
      <c r="A650" t="s">
        <v>433</v>
      </c>
      <c r="B650" t="s">
        <v>11</v>
      </c>
      <c r="C650" t="s">
        <v>12</v>
      </c>
      <c r="D650" t="s">
        <v>12</v>
      </c>
      <c r="E650" t="s">
        <v>12</v>
      </c>
      <c r="F650">
        <v>1</v>
      </c>
      <c r="G650">
        <v>9</v>
      </c>
      <c r="H650" t="s">
        <v>446</v>
      </c>
    </row>
    <row r="651" spans="1:8" x14ac:dyDescent="0.2">
      <c r="A651" t="s">
        <v>434</v>
      </c>
      <c r="B651" t="s">
        <v>11</v>
      </c>
      <c r="C651" t="s">
        <v>12</v>
      </c>
      <c r="D651" t="s">
        <v>12</v>
      </c>
      <c r="E651" t="s">
        <v>12</v>
      </c>
      <c r="F651">
        <v>2</v>
      </c>
      <c r="G651">
        <v>0</v>
      </c>
      <c r="H651" t="s">
        <v>444</v>
      </c>
    </row>
    <row r="652" spans="1:8" x14ac:dyDescent="0.2">
      <c r="A652" t="s">
        <v>435</v>
      </c>
      <c r="B652" t="s">
        <v>11</v>
      </c>
      <c r="C652" t="s">
        <v>12</v>
      </c>
      <c r="D652" t="s">
        <v>12</v>
      </c>
      <c r="E652" t="s">
        <v>12</v>
      </c>
      <c r="F652">
        <v>2</v>
      </c>
      <c r="G652">
        <v>1</v>
      </c>
      <c r="H652" t="s">
        <v>444</v>
      </c>
    </row>
    <row r="653" spans="1:8" x14ac:dyDescent="0.2">
      <c r="A653" t="s">
        <v>436</v>
      </c>
      <c r="B653" t="s">
        <v>11</v>
      </c>
      <c r="C653" t="s">
        <v>12</v>
      </c>
      <c r="D653" t="s">
        <v>12</v>
      </c>
      <c r="E653" t="s">
        <v>12</v>
      </c>
      <c r="F653">
        <v>2</v>
      </c>
      <c r="G653">
        <v>2</v>
      </c>
      <c r="H653" t="s">
        <v>69</v>
      </c>
    </row>
    <row r="654" spans="1:8" x14ac:dyDescent="0.2">
      <c r="A654" t="s">
        <v>437</v>
      </c>
      <c r="B654" t="s">
        <v>11</v>
      </c>
      <c r="C654" t="s">
        <v>12</v>
      </c>
      <c r="D654" t="s">
        <v>12</v>
      </c>
      <c r="E654" t="s">
        <v>12</v>
      </c>
      <c r="F654">
        <v>2</v>
      </c>
      <c r="G654">
        <v>3</v>
      </c>
      <c r="H654" t="s">
        <v>69</v>
      </c>
    </row>
    <row r="655" spans="1:8" x14ac:dyDescent="0.2">
      <c r="A655" t="s">
        <v>438</v>
      </c>
      <c r="B655" t="s">
        <v>11</v>
      </c>
      <c r="C655" t="s">
        <v>12</v>
      </c>
      <c r="D655" t="s">
        <v>12</v>
      </c>
      <c r="E655" t="s">
        <v>12</v>
      </c>
      <c r="F655">
        <v>2</v>
      </c>
      <c r="G655">
        <v>4</v>
      </c>
      <c r="H655" t="s">
        <v>445</v>
      </c>
    </row>
    <row r="656" spans="1:8" x14ac:dyDescent="0.2">
      <c r="A656" t="s">
        <v>439</v>
      </c>
      <c r="B656" t="s">
        <v>11</v>
      </c>
      <c r="C656" t="s">
        <v>12</v>
      </c>
      <c r="D656" t="s">
        <v>12</v>
      </c>
      <c r="E656" t="s">
        <v>12</v>
      </c>
      <c r="F656">
        <v>2</v>
      </c>
      <c r="G656">
        <v>5</v>
      </c>
      <c r="H656" t="s">
        <v>445</v>
      </c>
    </row>
    <row r="657" spans="1:8" x14ac:dyDescent="0.2">
      <c r="A657" t="s">
        <v>440</v>
      </c>
      <c r="B657" t="s">
        <v>11</v>
      </c>
      <c r="C657" t="s">
        <v>12</v>
      </c>
      <c r="D657" t="s">
        <v>12</v>
      </c>
      <c r="E657" t="s">
        <v>12</v>
      </c>
      <c r="F657">
        <v>2</v>
      </c>
      <c r="G657">
        <v>6</v>
      </c>
      <c r="H657" t="s">
        <v>74</v>
      </c>
    </row>
    <row r="658" spans="1:8" x14ac:dyDescent="0.2">
      <c r="A658" t="s">
        <v>441</v>
      </c>
      <c r="B658" t="s">
        <v>11</v>
      </c>
      <c r="C658" t="s">
        <v>12</v>
      </c>
      <c r="D658" t="s">
        <v>12</v>
      </c>
      <c r="E658" t="s">
        <v>12</v>
      </c>
      <c r="F658">
        <v>2</v>
      </c>
      <c r="G658">
        <v>7</v>
      </c>
      <c r="H658" t="s">
        <v>74</v>
      </c>
    </row>
    <row r="659" spans="1:8" x14ac:dyDescent="0.2">
      <c r="A659" t="s">
        <v>442</v>
      </c>
      <c r="B659" t="s">
        <v>11</v>
      </c>
      <c r="C659" t="s">
        <v>12</v>
      </c>
      <c r="D659" t="s">
        <v>12</v>
      </c>
      <c r="E659" t="s">
        <v>12</v>
      </c>
      <c r="F659">
        <v>2</v>
      </c>
      <c r="G659">
        <v>8</v>
      </c>
      <c r="H659" t="s">
        <v>446</v>
      </c>
    </row>
    <row r="660" spans="1:8" x14ac:dyDescent="0.2">
      <c r="A660" t="s">
        <v>443</v>
      </c>
      <c r="B660" t="s">
        <v>11</v>
      </c>
      <c r="C660" t="s">
        <v>12</v>
      </c>
      <c r="D660" t="s">
        <v>12</v>
      </c>
      <c r="E660" t="s">
        <v>12</v>
      </c>
      <c r="F660">
        <v>2</v>
      </c>
      <c r="G660">
        <v>9</v>
      </c>
      <c r="H660" t="s">
        <v>446</v>
      </c>
    </row>
    <row r="661" spans="1:8" x14ac:dyDescent="0.2">
      <c r="A661" t="e">
        <f>IF(NOT(ISBLANK([1]Variables!A661)),[1]Variables!A661,"")</f>
        <v>#REF!</v>
      </c>
    </row>
    <row r="662" spans="1:8" x14ac:dyDescent="0.2">
      <c r="A662" t="e">
        <f>IF(NOT(ISBLANK([1]Variables!A662)),[1]Variables!A662,"")</f>
        <v>#REF!</v>
      </c>
    </row>
    <row r="663" spans="1:8" x14ac:dyDescent="0.2">
      <c r="A663" t="e">
        <f>IF(NOT(ISBLANK([1]Variables!A663)),[1]Variables!A663,"")</f>
        <v>#REF!</v>
      </c>
    </row>
    <row r="664" spans="1:8" x14ac:dyDescent="0.2">
      <c r="A664" t="e">
        <f>IF(NOT(ISBLANK([1]Variables!A664)),[1]Variables!A664,"")</f>
        <v>#REF!</v>
      </c>
    </row>
    <row r="665" spans="1:8" x14ac:dyDescent="0.2">
      <c r="A665" t="e">
        <f>IF(NOT(ISBLANK([1]Variables!A665)),[1]Variables!A665,"")</f>
        <v>#REF!</v>
      </c>
    </row>
    <row r="666" spans="1:8" x14ac:dyDescent="0.2">
      <c r="A666" t="e">
        <f>IF(NOT(ISBLANK([1]Variables!A666)),[1]Variables!A666,"")</f>
        <v>#REF!</v>
      </c>
    </row>
    <row r="667" spans="1:8" x14ac:dyDescent="0.2">
      <c r="A667" t="e">
        <f>IF(NOT(ISBLANK([1]Variables!A667)),[1]Variables!A667,"")</f>
        <v>#REF!</v>
      </c>
    </row>
    <row r="668" spans="1:8" x14ac:dyDescent="0.2">
      <c r="A668" t="e">
        <f>IF(NOT(ISBLANK([1]Variables!A668)),[1]Variables!A668,"")</f>
        <v>#REF!</v>
      </c>
    </row>
    <row r="669" spans="1:8" x14ac:dyDescent="0.2">
      <c r="A669" t="e">
        <f>IF(NOT(ISBLANK([1]Variables!A669)),[1]Variables!A669,"")</f>
        <v>#REF!</v>
      </c>
    </row>
    <row r="670" spans="1:8" x14ac:dyDescent="0.2">
      <c r="A670" t="e">
        <f>IF(NOT(ISBLANK([1]Variables!A670)),[1]Variables!A670,"")</f>
        <v>#REF!</v>
      </c>
    </row>
    <row r="671" spans="1:8" x14ac:dyDescent="0.2">
      <c r="A671" t="e">
        <f>IF(NOT(ISBLANK([1]Variables!A671)),[1]Variables!A671,"")</f>
        <v>#REF!</v>
      </c>
    </row>
    <row r="672" spans="1:8" x14ac:dyDescent="0.2">
      <c r="A672" t="e">
        <f>IF(NOT(ISBLANK([1]Variables!A672)),[1]Variables!A672,"")</f>
        <v>#REF!</v>
      </c>
    </row>
    <row r="673" spans="1:1" x14ac:dyDescent="0.2">
      <c r="A673" t="e">
        <f>IF(NOT(ISBLANK([1]Variables!A673)),[1]Variables!A673,"")</f>
        <v>#REF!</v>
      </c>
    </row>
    <row r="674" spans="1:1" x14ac:dyDescent="0.2">
      <c r="A674" t="e">
        <f>IF(NOT(ISBLANK([1]Variables!A674)),[1]Variables!A674,"")</f>
        <v>#REF!</v>
      </c>
    </row>
    <row r="675" spans="1:1" x14ac:dyDescent="0.2">
      <c r="A675" t="e">
        <f>IF(NOT(ISBLANK([1]Variables!A675)),[1]Variables!A675,"")</f>
        <v>#REF!</v>
      </c>
    </row>
    <row r="676" spans="1:1" x14ac:dyDescent="0.2">
      <c r="A676" t="e">
        <f>IF(NOT(ISBLANK([1]Variables!A676)),[1]Variables!A676,"")</f>
        <v>#REF!</v>
      </c>
    </row>
    <row r="677" spans="1:1" x14ac:dyDescent="0.2">
      <c r="A677" t="e">
        <f>IF(NOT(ISBLANK([1]Variables!A677)),[1]Variables!A677,"")</f>
        <v>#REF!</v>
      </c>
    </row>
    <row r="678" spans="1:1" x14ac:dyDescent="0.2">
      <c r="A678" t="e">
        <f>IF(NOT(ISBLANK([1]Variables!A678)),[1]Variables!A678,"")</f>
        <v>#REF!</v>
      </c>
    </row>
    <row r="679" spans="1:1" x14ac:dyDescent="0.2">
      <c r="A679" t="e">
        <f>IF(NOT(ISBLANK([1]Variables!A679)),[1]Variables!A679,"")</f>
        <v>#REF!</v>
      </c>
    </row>
    <row r="680" spans="1:1" x14ac:dyDescent="0.2">
      <c r="A680" t="e">
        <f>IF(NOT(ISBLANK([1]Variables!A680)),[1]Variables!A680,"")</f>
        <v>#REF!</v>
      </c>
    </row>
    <row r="681" spans="1:1" x14ac:dyDescent="0.2">
      <c r="A681" t="e">
        <f>IF(NOT(ISBLANK([1]Variables!A681)),[1]Variables!A681,"")</f>
        <v>#REF!</v>
      </c>
    </row>
    <row r="682" spans="1:1" x14ac:dyDescent="0.2">
      <c r="A682" t="e">
        <f>IF(NOT(ISBLANK([1]Variables!A682)),[1]Variables!A682,"")</f>
        <v>#REF!</v>
      </c>
    </row>
    <row r="683" spans="1:1" x14ac:dyDescent="0.2">
      <c r="A683" t="e">
        <f>IF(NOT(ISBLANK([1]Variables!A683)),[1]Variables!A683,"")</f>
        <v>#REF!</v>
      </c>
    </row>
    <row r="684" spans="1:1" x14ac:dyDescent="0.2">
      <c r="A684" t="e">
        <f>IF(NOT(ISBLANK([1]Variables!A684)),[1]Variables!A684,"")</f>
        <v>#REF!</v>
      </c>
    </row>
    <row r="685" spans="1:1" x14ac:dyDescent="0.2">
      <c r="A685" t="e">
        <f>IF(NOT(ISBLANK([1]Variables!A685)),[1]Variables!A685,"")</f>
        <v>#REF!</v>
      </c>
    </row>
    <row r="686" spans="1:1" x14ac:dyDescent="0.2">
      <c r="A686" t="e">
        <f>IF(NOT(ISBLANK([1]Variables!A686)),[1]Variables!A686,"")</f>
        <v>#REF!</v>
      </c>
    </row>
    <row r="687" spans="1:1" x14ac:dyDescent="0.2">
      <c r="A687" t="e">
        <f>IF(NOT(ISBLANK([1]Variables!A687)),[1]Variables!A687,"")</f>
        <v>#REF!</v>
      </c>
    </row>
    <row r="688" spans="1:1" x14ac:dyDescent="0.2">
      <c r="A688" t="e">
        <f>IF(NOT(ISBLANK([1]Variables!A688)),[1]Variables!A688,"")</f>
        <v>#REF!</v>
      </c>
    </row>
    <row r="689" spans="1:1" x14ac:dyDescent="0.2">
      <c r="A689" t="e">
        <f>IF(NOT(ISBLANK([1]Variables!A689)),[1]Variables!A689,"")</f>
        <v>#REF!</v>
      </c>
    </row>
    <row r="690" spans="1:1" x14ac:dyDescent="0.2">
      <c r="A690" t="e">
        <f>IF(NOT(ISBLANK([1]Variables!A690)),[1]Variables!A690,"")</f>
        <v>#REF!</v>
      </c>
    </row>
    <row r="691" spans="1:1" x14ac:dyDescent="0.2">
      <c r="A691" t="e">
        <f>IF(NOT(ISBLANK([1]Variables!A691)),[1]Variables!A691,"")</f>
        <v>#REF!</v>
      </c>
    </row>
    <row r="692" spans="1:1" x14ac:dyDescent="0.2">
      <c r="A692" t="e">
        <f>IF(NOT(ISBLANK([1]Variables!A692)),[1]Variables!A692,"")</f>
        <v>#REF!</v>
      </c>
    </row>
    <row r="693" spans="1:1" x14ac:dyDescent="0.2">
      <c r="A693" t="e">
        <f>IF(NOT(ISBLANK([1]Variables!A693)),[1]Variables!A693,"")</f>
        <v>#REF!</v>
      </c>
    </row>
    <row r="694" spans="1:1" x14ac:dyDescent="0.2">
      <c r="A694" t="e">
        <f>IF(NOT(ISBLANK([1]Variables!A694)),[1]Variables!A694,"")</f>
        <v>#REF!</v>
      </c>
    </row>
    <row r="695" spans="1:1" x14ac:dyDescent="0.2">
      <c r="A695" t="e">
        <f>IF(NOT(ISBLANK([1]Variables!A695)),[1]Variables!A695,"")</f>
        <v>#REF!</v>
      </c>
    </row>
    <row r="696" spans="1:1" x14ac:dyDescent="0.2">
      <c r="A696" t="e">
        <f>IF(NOT(ISBLANK([1]Variables!A696)),[1]Variables!A696,"")</f>
        <v>#REF!</v>
      </c>
    </row>
    <row r="697" spans="1:1" x14ac:dyDescent="0.2">
      <c r="A697" t="e">
        <f>IF(NOT(ISBLANK([1]Variables!A697)),[1]Variables!A697,"")</f>
        <v>#REF!</v>
      </c>
    </row>
    <row r="698" spans="1:1" x14ac:dyDescent="0.2">
      <c r="A698" t="e">
        <f>IF(NOT(ISBLANK([1]Variables!A698)),[1]Variables!A698,"")</f>
        <v>#REF!</v>
      </c>
    </row>
    <row r="699" spans="1:1" x14ac:dyDescent="0.2">
      <c r="A699" t="e">
        <f>IF(NOT(ISBLANK([1]Variables!A699)),[1]Variables!A699,"")</f>
        <v>#REF!</v>
      </c>
    </row>
    <row r="700" spans="1:1" x14ac:dyDescent="0.2">
      <c r="A700" t="e">
        <f>IF(NOT(ISBLANK([1]Variables!A700)),[1]Variables!A700,"")</f>
        <v>#REF!</v>
      </c>
    </row>
    <row r="701" spans="1:1" x14ac:dyDescent="0.2">
      <c r="A701" t="e">
        <f>IF(NOT(ISBLANK([1]Variables!A701)),[1]Variables!A701,"")</f>
        <v>#REF!</v>
      </c>
    </row>
    <row r="702" spans="1:1" x14ac:dyDescent="0.2">
      <c r="A702" t="e">
        <f>IF(NOT(ISBLANK([1]Variables!A702)),[1]Variables!A702,"")</f>
        <v>#REF!</v>
      </c>
    </row>
    <row r="703" spans="1:1" x14ac:dyDescent="0.2">
      <c r="A703" t="e">
        <f>IF(NOT(ISBLANK([1]Variables!A703)),[1]Variables!A703,"")</f>
        <v>#REF!</v>
      </c>
    </row>
    <row r="704" spans="1:1" x14ac:dyDescent="0.2">
      <c r="A704" t="e">
        <f>IF(NOT(ISBLANK([1]Variables!A704)),[1]Variables!A704,"")</f>
        <v>#REF!</v>
      </c>
    </row>
    <row r="705" spans="1:1" x14ac:dyDescent="0.2">
      <c r="A705" t="e">
        <f>IF(NOT(ISBLANK([1]Variables!A705)),[1]Variables!A705,"")</f>
        <v>#REF!</v>
      </c>
    </row>
    <row r="706" spans="1:1" x14ac:dyDescent="0.2">
      <c r="A706" t="e">
        <f>IF(NOT(ISBLANK([1]Variables!A706)),[1]Variables!A706,"")</f>
        <v>#REF!</v>
      </c>
    </row>
    <row r="707" spans="1:1" x14ac:dyDescent="0.2">
      <c r="A707" t="e">
        <f>IF(NOT(ISBLANK([1]Variables!A707)),[1]Variables!A707,"")</f>
        <v>#REF!</v>
      </c>
    </row>
    <row r="708" spans="1:1" x14ac:dyDescent="0.2">
      <c r="A708" t="e">
        <f>IF(NOT(ISBLANK([1]Variables!A708)),[1]Variables!A708,"")</f>
        <v>#REF!</v>
      </c>
    </row>
    <row r="709" spans="1:1" x14ac:dyDescent="0.2">
      <c r="A709" t="e">
        <f>IF(NOT(ISBLANK([1]Variables!A709)),[1]Variables!A709,"")</f>
        <v>#REF!</v>
      </c>
    </row>
    <row r="710" spans="1:1" x14ac:dyDescent="0.2">
      <c r="A710" t="e">
        <f>IF(NOT(ISBLANK([1]Variables!A710)),[1]Variables!A710,"")</f>
        <v>#REF!</v>
      </c>
    </row>
    <row r="711" spans="1:1" x14ac:dyDescent="0.2">
      <c r="A711" t="e">
        <f>IF(NOT(ISBLANK([1]Variables!A711)),[1]Variables!A711,"")</f>
        <v>#REF!</v>
      </c>
    </row>
    <row r="712" spans="1:1" x14ac:dyDescent="0.2">
      <c r="A712" t="e">
        <f>IF(NOT(ISBLANK([1]Variables!A712)),[1]Variables!A712,"")</f>
        <v>#REF!</v>
      </c>
    </row>
    <row r="713" spans="1:1" x14ac:dyDescent="0.2">
      <c r="A713" t="e">
        <f>IF(NOT(ISBLANK([1]Variables!A713)),[1]Variables!A713,"")</f>
        <v>#REF!</v>
      </c>
    </row>
    <row r="714" spans="1:1" x14ac:dyDescent="0.2">
      <c r="A714" t="e">
        <f>IF(NOT(ISBLANK([1]Variables!A714)),[1]Variables!A714,"")</f>
        <v>#REF!</v>
      </c>
    </row>
    <row r="715" spans="1:1" x14ac:dyDescent="0.2">
      <c r="A715" t="e">
        <f>IF(NOT(ISBLANK([1]Variables!A715)),[1]Variables!A715,"")</f>
        <v>#REF!</v>
      </c>
    </row>
    <row r="716" spans="1:1" x14ac:dyDescent="0.2">
      <c r="A716" t="e">
        <f>IF(NOT(ISBLANK([1]Variables!A716)),[1]Variables!A716,"")</f>
        <v>#REF!</v>
      </c>
    </row>
    <row r="717" spans="1:1" x14ac:dyDescent="0.2">
      <c r="A717" t="e">
        <f>IF(NOT(ISBLANK([1]Variables!A717)),[1]Variables!A717,"")</f>
        <v>#REF!</v>
      </c>
    </row>
    <row r="718" spans="1:1" x14ac:dyDescent="0.2">
      <c r="A718" t="e">
        <f>IF(NOT(ISBLANK([1]Variables!A718)),[1]Variables!A718,"")</f>
        <v>#REF!</v>
      </c>
    </row>
    <row r="719" spans="1:1" x14ac:dyDescent="0.2">
      <c r="A719" t="e">
        <f>IF(NOT(ISBLANK([1]Variables!A719)),[1]Variables!A719,"")</f>
        <v>#REF!</v>
      </c>
    </row>
    <row r="720" spans="1:1" x14ac:dyDescent="0.2">
      <c r="A720" t="e">
        <f>IF(NOT(ISBLANK([1]Variables!A720)),[1]Variables!A720,"")</f>
        <v>#REF!</v>
      </c>
    </row>
    <row r="721" spans="1:1" x14ac:dyDescent="0.2">
      <c r="A721" t="e">
        <f>IF(NOT(ISBLANK([1]Variables!A721)),[1]Variables!A721,"")</f>
        <v>#REF!</v>
      </c>
    </row>
    <row r="722" spans="1:1" x14ac:dyDescent="0.2">
      <c r="A722" t="e">
        <f>IF(NOT(ISBLANK([1]Variables!A722)),[1]Variables!A722,"")</f>
        <v>#REF!</v>
      </c>
    </row>
    <row r="723" spans="1:1" x14ac:dyDescent="0.2">
      <c r="A723" t="e">
        <f>IF(NOT(ISBLANK([1]Variables!A723)),[1]Variables!A723,"")</f>
        <v>#REF!</v>
      </c>
    </row>
    <row r="724" spans="1:1" x14ac:dyDescent="0.2">
      <c r="A724" t="e">
        <f>IF(NOT(ISBLANK([1]Variables!A724)),[1]Variables!A724,"")</f>
        <v>#REF!</v>
      </c>
    </row>
    <row r="725" spans="1:1" x14ac:dyDescent="0.2">
      <c r="A725" t="e">
        <f>IF(NOT(ISBLANK([1]Variables!A725)),[1]Variables!A725,"")</f>
        <v>#REF!</v>
      </c>
    </row>
    <row r="726" spans="1:1" x14ac:dyDescent="0.2">
      <c r="A726" t="e">
        <f>IF(NOT(ISBLANK([1]Variables!A726)),[1]Variables!A726,"")</f>
        <v>#REF!</v>
      </c>
    </row>
    <row r="727" spans="1:1" x14ac:dyDescent="0.2">
      <c r="A727" t="e">
        <f>IF(NOT(ISBLANK([1]Variables!A727)),[1]Variables!A727,"")</f>
        <v>#REF!</v>
      </c>
    </row>
    <row r="728" spans="1:1" x14ac:dyDescent="0.2">
      <c r="A728" t="e">
        <f>IF(NOT(ISBLANK([1]Variables!A728)),[1]Variables!A728,"")</f>
        <v>#REF!</v>
      </c>
    </row>
    <row r="729" spans="1:1" x14ac:dyDescent="0.2">
      <c r="A729" t="e">
        <f>IF(NOT(ISBLANK([1]Variables!A729)),[1]Variables!A729,"")</f>
        <v>#REF!</v>
      </c>
    </row>
    <row r="730" spans="1:1" x14ac:dyDescent="0.2">
      <c r="A730" t="e">
        <f>IF(NOT(ISBLANK([1]Variables!A730)),[1]Variables!A730,"")</f>
        <v>#REF!</v>
      </c>
    </row>
    <row r="731" spans="1:1" x14ac:dyDescent="0.2">
      <c r="A731" t="e">
        <f>IF(NOT(ISBLANK([1]Variables!A731)),[1]Variables!A731,"")</f>
        <v>#REF!</v>
      </c>
    </row>
    <row r="732" spans="1:1" x14ac:dyDescent="0.2">
      <c r="A732" t="e">
        <f>IF(NOT(ISBLANK([1]Variables!A732)),[1]Variables!A732,"")</f>
        <v>#REF!</v>
      </c>
    </row>
    <row r="733" spans="1:1" x14ac:dyDescent="0.2">
      <c r="A733" t="e">
        <f>IF(NOT(ISBLANK([1]Variables!A733)),[1]Variables!A733,"")</f>
        <v>#REF!</v>
      </c>
    </row>
    <row r="734" spans="1:1" x14ac:dyDescent="0.2">
      <c r="A734" t="e">
        <f>IF(NOT(ISBLANK([1]Variables!A734)),[1]Variables!A734,"")</f>
        <v>#REF!</v>
      </c>
    </row>
    <row r="735" spans="1:1" x14ac:dyDescent="0.2">
      <c r="A735" t="e">
        <f>IF(NOT(ISBLANK([1]Variables!A735)),[1]Variables!A735,"")</f>
        <v>#REF!</v>
      </c>
    </row>
    <row r="736" spans="1:1" x14ac:dyDescent="0.2">
      <c r="A736" t="e">
        <f>IF(NOT(ISBLANK([1]Variables!A736)),[1]Variables!A736,"")</f>
        <v>#REF!</v>
      </c>
    </row>
    <row r="737" spans="1:1" x14ac:dyDescent="0.2">
      <c r="A737" t="e">
        <f>IF(NOT(ISBLANK([1]Variables!A737)),[1]Variables!A737,"")</f>
        <v>#REF!</v>
      </c>
    </row>
    <row r="738" spans="1:1" x14ac:dyDescent="0.2">
      <c r="A738" t="e">
        <f>IF(NOT(ISBLANK([1]Variables!A738)),[1]Variables!A738,"")</f>
        <v>#REF!</v>
      </c>
    </row>
    <row r="739" spans="1:1" x14ac:dyDescent="0.2">
      <c r="A739" t="e">
        <f>IF(NOT(ISBLANK([1]Variables!A739)),[1]Variables!A739,"")</f>
        <v>#REF!</v>
      </c>
    </row>
    <row r="740" spans="1:1" x14ac:dyDescent="0.2">
      <c r="A740" t="e">
        <f>IF(NOT(ISBLANK([1]Variables!A740)),[1]Variables!A740,"")</f>
        <v>#REF!</v>
      </c>
    </row>
    <row r="741" spans="1:1" x14ac:dyDescent="0.2">
      <c r="A741" t="e">
        <f>IF(NOT(ISBLANK([1]Variables!A741)),[1]Variables!A741,"")</f>
        <v>#REF!</v>
      </c>
    </row>
    <row r="742" spans="1:1" x14ac:dyDescent="0.2">
      <c r="A742" t="e">
        <f>IF(NOT(ISBLANK([1]Variables!A742)),[1]Variables!A742,"")</f>
        <v>#REF!</v>
      </c>
    </row>
    <row r="743" spans="1:1" x14ac:dyDescent="0.2">
      <c r="A743" t="e">
        <f>IF(NOT(ISBLANK([1]Variables!A743)),[1]Variables!A743,"")</f>
        <v>#REF!</v>
      </c>
    </row>
    <row r="744" spans="1:1" x14ac:dyDescent="0.2">
      <c r="A744" t="e">
        <f>IF(NOT(ISBLANK([1]Variables!A744)),[1]Variables!A744,"")</f>
        <v>#REF!</v>
      </c>
    </row>
    <row r="745" spans="1:1" x14ac:dyDescent="0.2">
      <c r="A745" t="e">
        <f>IF(NOT(ISBLANK([1]Variables!A745)),[1]Variables!A745,"")</f>
        <v>#REF!</v>
      </c>
    </row>
    <row r="746" spans="1:1" x14ac:dyDescent="0.2">
      <c r="A746" t="e">
        <f>IF(NOT(ISBLANK([1]Variables!A746)),[1]Variables!A746,"")</f>
        <v>#REF!</v>
      </c>
    </row>
    <row r="747" spans="1:1" x14ac:dyDescent="0.2">
      <c r="A747" t="e">
        <f>IF(NOT(ISBLANK([1]Variables!A747)),[1]Variables!A747,"")</f>
        <v>#REF!</v>
      </c>
    </row>
    <row r="748" spans="1:1" x14ac:dyDescent="0.2">
      <c r="A748" t="e">
        <f>IF(NOT(ISBLANK([1]Variables!A748)),[1]Variables!A748,"")</f>
        <v>#REF!</v>
      </c>
    </row>
    <row r="749" spans="1:1" x14ac:dyDescent="0.2">
      <c r="A749" t="e">
        <f>IF(NOT(ISBLANK([1]Variables!A749)),[1]Variables!A749,"")</f>
        <v>#REF!</v>
      </c>
    </row>
    <row r="750" spans="1:1" x14ac:dyDescent="0.2">
      <c r="A750" t="e">
        <f>IF(NOT(ISBLANK([1]Variables!A750)),[1]Variables!A750,"")</f>
        <v>#REF!</v>
      </c>
    </row>
    <row r="751" spans="1:1" x14ac:dyDescent="0.2">
      <c r="A751" t="e">
        <f>IF(NOT(ISBLANK([1]Variables!A751)),[1]Variables!A751,"")</f>
        <v>#REF!</v>
      </c>
    </row>
    <row r="752" spans="1:1" x14ac:dyDescent="0.2">
      <c r="A752" t="e">
        <f>IF(NOT(ISBLANK([1]Variables!A752)),[1]Variables!A752,"")</f>
        <v>#REF!</v>
      </c>
    </row>
    <row r="753" spans="1:1" x14ac:dyDescent="0.2">
      <c r="A753" t="e">
        <f>IF(NOT(ISBLANK([1]Variables!A753)),[1]Variables!A753,"")</f>
        <v>#REF!</v>
      </c>
    </row>
    <row r="754" spans="1:1" x14ac:dyDescent="0.2">
      <c r="A754" t="e">
        <f>IF(NOT(ISBLANK([1]Variables!A754)),[1]Variables!A754,"")</f>
        <v>#REF!</v>
      </c>
    </row>
    <row r="755" spans="1:1" x14ac:dyDescent="0.2">
      <c r="A755" t="e">
        <f>IF(NOT(ISBLANK([1]Variables!A755)),[1]Variables!A755,"")</f>
        <v>#REF!</v>
      </c>
    </row>
    <row r="756" spans="1:1" x14ac:dyDescent="0.2">
      <c r="A756" t="e">
        <f>IF(NOT(ISBLANK([1]Variables!A756)),[1]Variables!A756,"")</f>
        <v>#REF!</v>
      </c>
    </row>
    <row r="757" spans="1:1" x14ac:dyDescent="0.2">
      <c r="A757" t="e">
        <f>IF(NOT(ISBLANK([1]Variables!A757)),[1]Variables!A757,"")</f>
        <v>#REF!</v>
      </c>
    </row>
    <row r="758" spans="1:1" x14ac:dyDescent="0.2">
      <c r="A758" t="e">
        <f>IF(NOT(ISBLANK([1]Variables!A758)),[1]Variables!A758,"")</f>
        <v>#REF!</v>
      </c>
    </row>
    <row r="759" spans="1:1" x14ac:dyDescent="0.2">
      <c r="A759" t="e">
        <f>IF(NOT(ISBLANK([1]Variables!A759)),[1]Variables!A759,"")</f>
        <v>#REF!</v>
      </c>
    </row>
    <row r="760" spans="1:1" x14ac:dyDescent="0.2">
      <c r="A760" t="e">
        <f>IF(NOT(ISBLANK([1]Variables!A760)),[1]Variables!A760,"")</f>
        <v>#REF!</v>
      </c>
    </row>
    <row r="761" spans="1:1" x14ac:dyDescent="0.2">
      <c r="A761" t="e">
        <f>IF(NOT(ISBLANK([1]Variables!A761)),[1]Variables!A761,"")</f>
        <v>#REF!</v>
      </c>
    </row>
    <row r="762" spans="1:1" x14ac:dyDescent="0.2">
      <c r="A762" t="e">
        <f>IF(NOT(ISBLANK([1]Variables!A762)),[1]Variables!A762,"")</f>
        <v>#REF!</v>
      </c>
    </row>
    <row r="763" spans="1:1" x14ac:dyDescent="0.2">
      <c r="A763" t="e">
        <f>IF(NOT(ISBLANK([1]Variables!A763)),[1]Variables!A763,"")</f>
        <v>#REF!</v>
      </c>
    </row>
    <row r="764" spans="1:1" x14ac:dyDescent="0.2">
      <c r="A764" t="e">
        <f>IF(NOT(ISBLANK([1]Variables!A764)),[1]Variables!A764,"")</f>
        <v>#REF!</v>
      </c>
    </row>
    <row r="765" spans="1:1" x14ac:dyDescent="0.2">
      <c r="A765" t="e">
        <f>IF(NOT(ISBLANK([1]Variables!A765)),[1]Variables!A765,"")</f>
        <v>#REF!</v>
      </c>
    </row>
    <row r="766" spans="1:1" x14ac:dyDescent="0.2">
      <c r="A766" t="e">
        <f>IF(NOT(ISBLANK([1]Variables!A766)),[1]Variables!A766,"")</f>
        <v>#REF!</v>
      </c>
    </row>
    <row r="767" spans="1:1" x14ac:dyDescent="0.2">
      <c r="A767" t="e">
        <f>IF(NOT(ISBLANK([1]Variables!A767)),[1]Variables!A767,"")</f>
        <v>#REF!</v>
      </c>
    </row>
    <row r="768" spans="1:1" x14ac:dyDescent="0.2">
      <c r="A768" t="e">
        <f>IF(NOT(ISBLANK([1]Variables!A768)),[1]Variables!A768,"")</f>
        <v>#REF!</v>
      </c>
    </row>
    <row r="769" spans="1:1" x14ac:dyDescent="0.2">
      <c r="A769" t="e">
        <f>IF(NOT(ISBLANK([1]Variables!A769)),[1]Variables!A769,"")</f>
        <v>#REF!</v>
      </c>
    </row>
    <row r="770" spans="1:1" x14ac:dyDescent="0.2">
      <c r="A770" t="e">
        <f>IF(NOT(ISBLANK([1]Variables!A770)),[1]Variables!A770,"")</f>
        <v>#REF!</v>
      </c>
    </row>
    <row r="771" spans="1:1" x14ac:dyDescent="0.2">
      <c r="A771" t="e">
        <f>IF(NOT(ISBLANK([1]Variables!A771)),[1]Variables!A771,"")</f>
        <v>#REF!</v>
      </c>
    </row>
    <row r="772" spans="1:1" x14ac:dyDescent="0.2">
      <c r="A772" t="e">
        <f>IF(NOT(ISBLANK([1]Variables!A772)),[1]Variables!A772,"")</f>
        <v>#REF!</v>
      </c>
    </row>
    <row r="773" spans="1:1" x14ac:dyDescent="0.2">
      <c r="A773" t="e">
        <f>IF(NOT(ISBLANK([1]Variables!A773)),[1]Variables!A773,"")</f>
        <v>#REF!</v>
      </c>
    </row>
    <row r="774" spans="1:1" x14ac:dyDescent="0.2">
      <c r="A774" t="e">
        <f>IF(NOT(ISBLANK([1]Variables!A774)),[1]Variables!A774,"")</f>
        <v>#REF!</v>
      </c>
    </row>
    <row r="775" spans="1:1" x14ac:dyDescent="0.2">
      <c r="A775" t="e">
        <f>IF(NOT(ISBLANK([1]Variables!A775)),[1]Variables!A775,"")</f>
        <v>#REF!</v>
      </c>
    </row>
    <row r="776" spans="1:1" x14ac:dyDescent="0.2">
      <c r="A776" t="e">
        <f>IF(NOT(ISBLANK([1]Variables!A776)),[1]Variables!A776,"")</f>
        <v>#REF!</v>
      </c>
    </row>
    <row r="777" spans="1:1" x14ac:dyDescent="0.2">
      <c r="A777" t="e">
        <f>IF(NOT(ISBLANK([1]Variables!A777)),[1]Variables!A777,"")</f>
        <v>#REF!</v>
      </c>
    </row>
    <row r="778" spans="1:1" x14ac:dyDescent="0.2">
      <c r="A778" t="e">
        <f>IF(NOT(ISBLANK([1]Variables!A778)),[1]Variables!A778,"")</f>
        <v>#REF!</v>
      </c>
    </row>
    <row r="779" spans="1:1" x14ac:dyDescent="0.2">
      <c r="A779" t="e">
        <f>IF(NOT(ISBLANK([1]Variables!A779)),[1]Variables!A779,"")</f>
        <v>#REF!</v>
      </c>
    </row>
    <row r="780" spans="1:1" x14ac:dyDescent="0.2">
      <c r="A780" t="e">
        <f>IF(NOT(ISBLANK([1]Variables!A780)),[1]Variables!A780,"")</f>
        <v>#REF!</v>
      </c>
    </row>
    <row r="781" spans="1:1" x14ac:dyDescent="0.2">
      <c r="A781" t="e">
        <f>IF(NOT(ISBLANK([1]Variables!A781)),[1]Variables!A781,"")</f>
        <v>#REF!</v>
      </c>
    </row>
    <row r="782" spans="1:1" x14ac:dyDescent="0.2">
      <c r="A782" t="e">
        <f>IF(NOT(ISBLANK([1]Variables!A782)),[1]Variables!A782,"")</f>
        <v>#REF!</v>
      </c>
    </row>
    <row r="783" spans="1:1" x14ac:dyDescent="0.2">
      <c r="A783" t="e">
        <f>IF(NOT(ISBLANK([1]Variables!A783)),[1]Variables!A783,"")</f>
        <v>#REF!</v>
      </c>
    </row>
    <row r="784" spans="1:1" x14ac:dyDescent="0.2">
      <c r="A784" t="e">
        <f>IF(NOT(ISBLANK([1]Variables!A784)),[1]Variables!A784,"")</f>
        <v>#REF!</v>
      </c>
    </row>
    <row r="785" spans="1:1" x14ac:dyDescent="0.2">
      <c r="A785" t="e">
        <f>IF(NOT(ISBLANK([1]Variables!A785)),[1]Variables!A785,"")</f>
        <v>#REF!</v>
      </c>
    </row>
    <row r="786" spans="1:1" x14ac:dyDescent="0.2">
      <c r="A786" t="e">
        <f>IF(NOT(ISBLANK([1]Variables!A786)),[1]Variables!A786,"")</f>
        <v>#REF!</v>
      </c>
    </row>
    <row r="787" spans="1:1" x14ac:dyDescent="0.2">
      <c r="A787" t="e">
        <f>IF(NOT(ISBLANK([1]Variables!A787)),[1]Variables!A787,"")</f>
        <v>#REF!</v>
      </c>
    </row>
    <row r="788" spans="1:1" x14ac:dyDescent="0.2">
      <c r="A788" t="e">
        <f>IF(NOT(ISBLANK([1]Variables!A788)),[1]Variables!A788,"")</f>
        <v>#REF!</v>
      </c>
    </row>
    <row r="789" spans="1:1" x14ac:dyDescent="0.2">
      <c r="A789" t="e">
        <f>IF(NOT(ISBLANK([1]Variables!A789)),[1]Variables!A789,"")</f>
        <v>#REF!</v>
      </c>
    </row>
    <row r="790" spans="1:1" x14ac:dyDescent="0.2">
      <c r="A790" t="e">
        <f>IF(NOT(ISBLANK([1]Variables!A790)),[1]Variables!A790,"")</f>
        <v>#REF!</v>
      </c>
    </row>
    <row r="791" spans="1:1" x14ac:dyDescent="0.2">
      <c r="A791" t="e">
        <f>IF(NOT(ISBLANK([1]Variables!A791)),[1]Variables!A791,"")</f>
        <v>#REF!</v>
      </c>
    </row>
    <row r="792" spans="1:1" x14ac:dyDescent="0.2">
      <c r="A792" t="e">
        <f>IF(NOT(ISBLANK([1]Variables!A792)),[1]Variables!A792,"")</f>
        <v>#REF!</v>
      </c>
    </row>
    <row r="793" spans="1:1" x14ac:dyDescent="0.2">
      <c r="A793" t="e">
        <f>IF(NOT(ISBLANK([1]Variables!A793)),[1]Variables!A793,"")</f>
        <v>#REF!</v>
      </c>
    </row>
    <row r="794" spans="1:1" x14ac:dyDescent="0.2">
      <c r="A794" t="e">
        <f>IF(NOT(ISBLANK([1]Variables!A794)),[1]Variables!A794,"")</f>
        <v>#REF!</v>
      </c>
    </row>
    <row r="795" spans="1:1" x14ac:dyDescent="0.2">
      <c r="A795" t="e">
        <f>IF(NOT(ISBLANK([1]Variables!A795)),[1]Variables!A795,"")</f>
        <v>#REF!</v>
      </c>
    </row>
    <row r="796" spans="1:1" x14ac:dyDescent="0.2">
      <c r="A796" t="e">
        <f>IF(NOT(ISBLANK([1]Variables!A796)),[1]Variables!A796,"")</f>
        <v>#REF!</v>
      </c>
    </row>
    <row r="797" spans="1:1" x14ac:dyDescent="0.2">
      <c r="A797" t="e">
        <f>IF(NOT(ISBLANK([1]Variables!A797)),[1]Variables!A797,"")</f>
        <v>#REF!</v>
      </c>
    </row>
    <row r="798" spans="1:1" x14ac:dyDescent="0.2">
      <c r="A798" t="e">
        <f>IF(NOT(ISBLANK([1]Variables!A798)),[1]Variables!A798,"")</f>
        <v>#REF!</v>
      </c>
    </row>
    <row r="799" spans="1:1" x14ac:dyDescent="0.2">
      <c r="A799" t="e">
        <f>IF(NOT(ISBLANK([1]Variables!A799)),[1]Variables!A799,"")</f>
        <v>#REF!</v>
      </c>
    </row>
    <row r="800" spans="1:1" x14ac:dyDescent="0.2">
      <c r="A800" t="e">
        <f>IF(NOT(ISBLANK([1]Variables!A800)),[1]Variables!A800,"")</f>
        <v>#REF!</v>
      </c>
    </row>
    <row r="801" spans="1:1" x14ac:dyDescent="0.2">
      <c r="A801" t="e">
        <f>IF(NOT(ISBLANK([1]Variables!A801)),[1]Variables!A801,"")</f>
        <v>#REF!</v>
      </c>
    </row>
    <row r="802" spans="1:1" x14ac:dyDescent="0.2">
      <c r="A802" t="e">
        <f>IF(NOT(ISBLANK([1]Variables!A802)),[1]Variables!A802,"")</f>
        <v>#REF!</v>
      </c>
    </row>
    <row r="803" spans="1:1" x14ac:dyDescent="0.2">
      <c r="A803" t="e">
        <f>IF(NOT(ISBLANK([1]Variables!A803)),[1]Variables!A803,"")</f>
        <v>#REF!</v>
      </c>
    </row>
    <row r="804" spans="1:1" x14ac:dyDescent="0.2">
      <c r="A804" t="e">
        <f>IF(NOT(ISBLANK([1]Variables!A804)),[1]Variables!A804,"")</f>
        <v>#REF!</v>
      </c>
    </row>
    <row r="805" spans="1:1" x14ac:dyDescent="0.2">
      <c r="A805" t="e">
        <f>IF(NOT(ISBLANK([1]Variables!A805)),[1]Variables!A805,"")</f>
        <v>#REF!</v>
      </c>
    </row>
    <row r="806" spans="1:1" x14ac:dyDescent="0.2">
      <c r="A806" t="e">
        <f>IF(NOT(ISBLANK([1]Variables!A806)),[1]Variables!A806,"")</f>
        <v>#REF!</v>
      </c>
    </row>
    <row r="807" spans="1:1" x14ac:dyDescent="0.2">
      <c r="A807" t="e">
        <f>IF(NOT(ISBLANK([1]Variables!A807)),[1]Variables!A807,"")</f>
        <v>#REF!</v>
      </c>
    </row>
    <row r="808" spans="1:1" x14ac:dyDescent="0.2">
      <c r="A808" t="e">
        <f>IF(NOT(ISBLANK([1]Variables!A808)),[1]Variables!A808,"")</f>
        <v>#REF!</v>
      </c>
    </row>
    <row r="809" spans="1:1" x14ac:dyDescent="0.2">
      <c r="A809" t="e">
        <f>IF(NOT(ISBLANK([1]Variables!A809)),[1]Variables!A809,"")</f>
        <v>#REF!</v>
      </c>
    </row>
    <row r="810" spans="1:1" x14ac:dyDescent="0.2">
      <c r="A810" t="e">
        <f>IF(NOT(ISBLANK([1]Variables!A810)),[1]Variables!A810,"")</f>
        <v>#REF!</v>
      </c>
    </row>
    <row r="811" spans="1:1" x14ac:dyDescent="0.2">
      <c r="A811" t="e">
        <f>IF(NOT(ISBLANK([1]Variables!A811)),[1]Variables!A811,"")</f>
        <v>#REF!</v>
      </c>
    </row>
    <row r="812" spans="1:1" x14ac:dyDescent="0.2">
      <c r="A812" t="e">
        <f>IF(NOT(ISBLANK([1]Variables!A812)),[1]Variables!A812,"")</f>
        <v>#REF!</v>
      </c>
    </row>
    <row r="813" spans="1:1" x14ac:dyDescent="0.2">
      <c r="A813" t="e">
        <f>IF(NOT(ISBLANK([1]Variables!A813)),[1]Variables!A813,"")</f>
        <v>#REF!</v>
      </c>
    </row>
    <row r="814" spans="1:1" x14ac:dyDescent="0.2">
      <c r="A814" t="e">
        <f>IF(NOT(ISBLANK([1]Variables!A814)),[1]Variables!A814,"")</f>
        <v>#REF!</v>
      </c>
    </row>
    <row r="815" spans="1:1" x14ac:dyDescent="0.2">
      <c r="A815" t="e">
        <f>IF(NOT(ISBLANK([1]Variables!A815)),[1]Variables!A815,"")</f>
        <v>#REF!</v>
      </c>
    </row>
    <row r="816" spans="1:1" x14ac:dyDescent="0.2">
      <c r="A816" t="e">
        <f>IF(NOT(ISBLANK([1]Variables!A816)),[1]Variables!A816,"")</f>
        <v>#REF!</v>
      </c>
    </row>
    <row r="817" spans="1:1" x14ac:dyDescent="0.2">
      <c r="A817" t="e">
        <f>IF(NOT(ISBLANK([1]Variables!A817)),[1]Variables!A817,"")</f>
        <v>#REF!</v>
      </c>
    </row>
    <row r="818" spans="1:1" x14ac:dyDescent="0.2">
      <c r="A818" t="e">
        <f>IF(NOT(ISBLANK([1]Variables!A818)),[1]Variables!A818,"")</f>
        <v>#REF!</v>
      </c>
    </row>
    <row r="819" spans="1:1" x14ac:dyDescent="0.2">
      <c r="A819" t="e">
        <f>IF(NOT(ISBLANK([1]Variables!A819)),[1]Variables!A819,"")</f>
        <v>#REF!</v>
      </c>
    </row>
    <row r="820" spans="1:1" x14ac:dyDescent="0.2">
      <c r="A820" t="e">
        <f>IF(NOT(ISBLANK([1]Variables!A820)),[1]Variables!A820,"")</f>
        <v>#REF!</v>
      </c>
    </row>
    <row r="821" spans="1:1" x14ac:dyDescent="0.2">
      <c r="A821" t="e">
        <f>IF(NOT(ISBLANK([1]Variables!A821)),[1]Variables!A821,"")</f>
        <v>#REF!</v>
      </c>
    </row>
    <row r="822" spans="1:1" x14ac:dyDescent="0.2">
      <c r="A822" t="e">
        <f>IF(NOT(ISBLANK([1]Variables!A822)),[1]Variables!A822,"")</f>
        <v>#REF!</v>
      </c>
    </row>
    <row r="823" spans="1:1" x14ac:dyDescent="0.2">
      <c r="A823" t="e">
        <f>IF(NOT(ISBLANK([1]Variables!A823)),[1]Variables!A823,"")</f>
        <v>#REF!</v>
      </c>
    </row>
    <row r="824" spans="1:1" x14ac:dyDescent="0.2">
      <c r="A824" t="e">
        <f>IF(NOT(ISBLANK([1]Variables!A824)),[1]Variables!A824,"")</f>
        <v>#REF!</v>
      </c>
    </row>
    <row r="825" spans="1:1" x14ac:dyDescent="0.2">
      <c r="A825" t="e">
        <f>IF(NOT(ISBLANK([1]Variables!A825)),[1]Variables!A825,"")</f>
        <v>#REF!</v>
      </c>
    </row>
    <row r="826" spans="1:1" x14ac:dyDescent="0.2">
      <c r="A826" t="e">
        <f>IF(NOT(ISBLANK([1]Variables!A826)),[1]Variables!A826,"")</f>
        <v>#REF!</v>
      </c>
    </row>
    <row r="827" spans="1:1" x14ac:dyDescent="0.2">
      <c r="A827" t="e">
        <f>IF(NOT(ISBLANK([1]Variables!A827)),[1]Variables!A827,"")</f>
        <v>#REF!</v>
      </c>
    </row>
    <row r="828" spans="1:1" x14ac:dyDescent="0.2">
      <c r="A828" t="e">
        <f>IF(NOT(ISBLANK([1]Variables!A828)),[1]Variables!A828,"")</f>
        <v>#REF!</v>
      </c>
    </row>
    <row r="829" spans="1:1" x14ac:dyDescent="0.2">
      <c r="A829" t="e">
        <f>IF(NOT(ISBLANK([1]Variables!A829)),[1]Variables!A829,"")</f>
        <v>#REF!</v>
      </c>
    </row>
    <row r="830" spans="1:1" x14ac:dyDescent="0.2">
      <c r="A830" t="e">
        <f>IF(NOT(ISBLANK([1]Variables!A830)),[1]Variables!A830,"")</f>
        <v>#REF!</v>
      </c>
    </row>
    <row r="831" spans="1:1" x14ac:dyDescent="0.2">
      <c r="A831" t="e">
        <f>IF(NOT(ISBLANK([1]Variables!A831)),[1]Variables!A831,"")</f>
        <v>#REF!</v>
      </c>
    </row>
    <row r="832" spans="1:1" x14ac:dyDescent="0.2">
      <c r="A832" t="e">
        <f>IF(NOT(ISBLANK([1]Variables!A832)),[1]Variables!A832,"")</f>
        <v>#REF!</v>
      </c>
    </row>
    <row r="833" spans="1:1" x14ac:dyDescent="0.2">
      <c r="A833" t="e">
        <f>IF(NOT(ISBLANK([1]Variables!A833)),[1]Variables!A833,"")</f>
        <v>#REF!</v>
      </c>
    </row>
    <row r="834" spans="1:1" x14ac:dyDescent="0.2">
      <c r="A834" t="e">
        <f>IF(NOT(ISBLANK([1]Variables!A834)),[1]Variables!A834,"")</f>
        <v>#REF!</v>
      </c>
    </row>
    <row r="835" spans="1:1" x14ac:dyDescent="0.2">
      <c r="A835" t="e">
        <f>IF(NOT(ISBLANK([1]Variables!A835)),[1]Variables!A835,"")</f>
        <v>#REF!</v>
      </c>
    </row>
    <row r="836" spans="1:1" x14ac:dyDescent="0.2">
      <c r="A836" t="e">
        <f>IF(NOT(ISBLANK([1]Variables!A836)),[1]Variables!A836,"")</f>
        <v>#REF!</v>
      </c>
    </row>
    <row r="837" spans="1:1" x14ac:dyDescent="0.2">
      <c r="A837" t="e">
        <f>IF(NOT(ISBLANK([1]Variables!A837)),[1]Variables!A837,"")</f>
        <v>#REF!</v>
      </c>
    </row>
    <row r="838" spans="1:1" x14ac:dyDescent="0.2">
      <c r="A838" t="e">
        <f>IF(NOT(ISBLANK([1]Variables!A838)),[1]Variables!A838,"")</f>
        <v>#REF!</v>
      </c>
    </row>
    <row r="839" spans="1:1" x14ac:dyDescent="0.2">
      <c r="A839" t="e">
        <f>IF(NOT(ISBLANK([1]Variables!A839)),[1]Variables!A839,"")</f>
        <v>#REF!</v>
      </c>
    </row>
    <row r="840" spans="1:1" x14ac:dyDescent="0.2">
      <c r="A840" t="e">
        <f>IF(NOT(ISBLANK([1]Variables!A840)),[1]Variables!A840,"")</f>
        <v>#REF!</v>
      </c>
    </row>
    <row r="841" spans="1:1" x14ac:dyDescent="0.2">
      <c r="A841" t="e">
        <f>IF(NOT(ISBLANK([1]Variables!A841)),[1]Variables!A841,"")</f>
        <v>#REF!</v>
      </c>
    </row>
    <row r="842" spans="1:1" x14ac:dyDescent="0.2">
      <c r="A842" t="e">
        <f>IF(NOT(ISBLANK([1]Variables!A842)),[1]Variables!A842,"")</f>
        <v>#REF!</v>
      </c>
    </row>
    <row r="843" spans="1:1" x14ac:dyDescent="0.2">
      <c r="A843" t="e">
        <f>IF(NOT(ISBLANK([1]Variables!A843)),[1]Variables!A843,"")</f>
        <v>#REF!</v>
      </c>
    </row>
    <row r="844" spans="1:1" x14ac:dyDescent="0.2">
      <c r="A844" t="e">
        <f>IF(NOT(ISBLANK([1]Variables!A844)),[1]Variables!A844,"")</f>
        <v>#REF!</v>
      </c>
    </row>
    <row r="845" spans="1:1" x14ac:dyDescent="0.2">
      <c r="A845" t="e">
        <f>IF(NOT(ISBLANK([1]Variables!A845)),[1]Variables!A845,"")</f>
        <v>#REF!</v>
      </c>
    </row>
    <row r="846" spans="1:1" x14ac:dyDescent="0.2">
      <c r="A846" t="e">
        <f>IF(NOT(ISBLANK([1]Variables!A846)),[1]Variables!A846,"")</f>
        <v>#REF!</v>
      </c>
    </row>
    <row r="847" spans="1:1" x14ac:dyDescent="0.2">
      <c r="A847" t="e">
        <f>IF(NOT(ISBLANK([1]Variables!A847)),[1]Variables!A847,"")</f>
        <v>#REF!</v>
      </c>
    </row>
    <row r="848" spans="1:1" x14ac:dyDescent="0.2">
      <c r="A848" t="e">
        <f>IF(NOT(ISBLANK([1]Variables!A848)),[1]Variables!A848,"")</f>
        <v>#REF!</v>
      </c>
    </row>
    <row r="849" spans="1:1" x14ac:dyDescent="0.2">
      <c r="A849" t="e">
        <f>IF(NOT(ISBLANK([1]Variables!A849)),[1]Variables!A849,"")</f>
        <v>#REF!</v>
      </c>
    </row>
    <row r="850" spans="1:1" x14ac:dyDescent="0.2">
      <c r="A850" t="e">
        <f>IF(NOT(ISBLANK([1]Variables!A850)),[1]Variables!A850,"")</f>
        <v>#REF!</v>
      </c>
    </row>
    <row r="851" spans="1:1" x14ac:dyDescent="0.2">
      <c r="A851" t="e">
        <f>IF(NOT(ISBLANK([1]Variables!A851)),[1]Variables!A851,"")</f>
        <v>#REF!</v>
      </c>
    </row>
    <row r="852" spans="1:1" x14ac:dyDescent="0.2">
      <c r="A852" t="e">
        <f>IF(NOT(ISBLANK([1]Variables!A852)),[1]Variables!A852,"")</f>
        <v>#REF!</v>
      </c>
    </row>
    <row r="853" spans="1:1" x14ac:dyDescent="0.2">
      <c r="A853" t="e">
        <f>IF(NOT(ISBLANK([1]Variables!A853)),[1]Variables!A853,"")</f>
        <v>#REF!</v>
      </c>
    </row>
    <row r="854" spans="1:1" x14ac:dyDescent="0.2">
      <c r="A854" t="e">
        <f>IF(NOT(ISBLANK([1]Variables!A854)),[1]Variables!A854,"")</f>
        <v>#REF!</v>
      </c>
    </row>
    <row r="855" spans="1:1" x14ac:dyDescent="0.2">
      <c r="A855" t="e">
        <f>IF(NOT(ISBLANK([1]Variables!A855)),[1]Variables!A855,"")</f>
        <v>#REF!</v>
      </c>
    </row>
    <row r="856" spans="1:1" x14ac:dyDescent="0.2">
      <c r="A856" t="e">
        <f>IF(NOT(ISBLANK([1]Variables!A856)),[1]Variables!A856,"")</f>
        <v>#REF!</v>
      </c>
    </row>
    <row r="857" spans="1:1" x14ac:dyDescent="0.2">
      <c r="A857" t="e">
        <f>IF(NOT(ISBLANK([1]Variables!A857)),[1]Variables!A857,"")</f>
        <v>#REF!</v>
      </c>
    </row>
    <row r="858" spans="1:1" x14ac:dyDescent="0.2">
      <c r="A858" t="e">
        <f>IF(NOT(ISBLANK([1]Variables!A858)),[1]Variables!A858,"")</f>
        <v>#REF!</v>
      </c>
    </row>
    <row r="859" spans="1:1" x14ac:dyDescent="0.2">
      <c r="A859" t="e">
        <f>IF(NOT(ISBLANK([1]Variables!A859)),[1]Variables!A859,"")</f>
        <v>#REF!</v>
      </c>
    </row>
    <row r="860" spans="1:1" x14ac:dyDescent="0.2">
      <c r="A860" t="e">
        <f>IF(NOT(ISBLANK([1]Variables!A860)),[1]Variables!A860,"")</f>
        <v>#REF!</v>
      </c>
    </row>
    <row r="861" spans="1:1" x14ac:dyDescent="0.2">
      <c r="A861" t="e">
        <f>IF(NOT(ISBLANK([1]Variables!A861)),[1]Variables!A861,"")</f>
        <v>#REF!</v>
      </c>
    </row>
    <row r="862" spans="1:1" x14ac:dyDescent="0.2">
      <c r="A862" t="e">
        <f>IF(NOT(ISBLANK([1]Variables!A862)),[1]Variables!A862,"")</f>
        <v>#REF!</v>
      </c>
    </row>
    <row r="863" spans="1:1" x14ac:dyDescent="0.2">
      <c r="A863" t="e">
        <f>IF(NOT(ISBLANK([1]Variables!A863)),[1]Variables!A863,"")</f>
        <v>#REF!</v>
      </c>
    </row>
    <row r="864" spans="1:1" x14ac:dyDescent="0.2">
      <c r="A864" t="e">
        <f>IF(NOT(ISBLANK([1]Variables!A864)),[1]Variables!A864,"")</f>
        <v>#REF!</v>
      </c>
    </row>
    <row r="865" spans="1:1" x14ac:dyDescent="0.2">
      <c r="A865" t="e">
        <f>IF(NOT(ISBLANK([1]Variables!A865)),[1]Variables!A865,"")</f>
        <v>#REF!</v>
      </c>
    </row>
    <row r="866" spans="1:1" x14ac:dyDescent="0.2">
      <c r="A866" t="e">
        <f>IF(NOT(ISBLANK([1]Variables!A866)),[1]Variables!A866,"")</f>
        <v>#REF!</v>
      </c>
    </row>
    <row r="867" spans="1:1" x14ac:dyDescent="0.2">
      <c r="A867" t="e">
        <f>IF(NOT(ISBLANK([1]Variables!A867)),[1]Variables!A867,"")</f>
        <v>#REF!</v>
      </c>
    </row>
    <row r="868" spans="1:1" x14ac:dyDescent="0.2">
      <c r="A868" t="e">
        <f>IF(NOT(ISBLANK([1]Variables!A868)),[1]Variables!A868,"")</f>
        <v>#REF!</v>
      </c>
    </row>
    <row r="869" spans="1:1" x14ac:dyDescent="0.2">
      <c r="A869" t="e">
        <f>IF(NOT(ISBLANK([1]Variables!A869)),[1]Variables!A869,"")</f>
        <v>#REF!</v>
      </c>
    </row>
    <row r="870" spans="1:1" x14ac:dyDescent="0.2">
      <c r="A870" t="e">
        <f>IF(NOT(ISBLANK([1]Variables!A870)),[1]Variables!A870,"")</f>
        <v>#REF!</v>
      </c>
    </row>
    <row r="871" spans="1:1" x14ac:dyDescent="0.2">
      <c r="A871" t="e">
        <f>IF(NOT(ISBLANK([1]Variables!A871)),[1]Variables!A871,"")</f>
        <v>#REF!</v>
      </c>
    </row>
    <row r="872" spans="1:1" x14ac:dyDescent="0.2">
      <c r="A872" t="e">
        <f>IF(NOT(ISBLANK([1]Variables!A872)),[1]Variables!A872,"")</f>
        <v>#REF!</v>
      </c>
    </row>
    <row r="873" spans="1:1" x14ac:dyDescent="0.2">
      <c r="A873" t="e">
        <f>IF(NOT(ISBLANK([1]Variables!A873)),[1]Variables!A873,"")</f>
        <v>#REF!</v>
      </c>
    </row>
    <row r="874" spans="1:1" x14ac:dyDescent="0.2">
      <c r="A874" t="e">
        <f>IF(NOT(ISBLANK([1]Variables!A874)),[1]Variables!A874,"")</f>
        <v>#REF!</v>
      </c>
    </row>
    <row r="875" spans="1:1" x14ac:dyDescent="0.2">
      <c r="A875" t="e">
        <f>IF(NOT(ISBLANK([1]Variables!A875)),[1]Variables!A875,"")</f>
        <v>#REF!</v>
      </c>
    </row>
    <row r="876" spans="1:1" x14ac:dyDescent="0.2">
      <c r="A876" t="e">
        <f>IF(NOT(ISBLANK([1]Variables!A876)),[1]Variables!A876,"")</f>
        <v>#REF!</v>
      </c>
    </row>
    <row r="877" spans="1:1" x14ac:dyDescent="0.2">
      <c r="A877" t="e">
        <f>IF(NOT(ISBLANK([1]Variables!A877)),[1]Variables!A877,"")</f>
        <v>#REF!</v>
      </c>
    </row>
    <row r="878" spans="1:1" x14ac:dyDescent="0.2">
      <c r="A878" t="e">
        <f>IF(NOT(ISBLANK([1]Variables!A878)),[1]Variables!A878,"")</f>
        <v>#REF!</v>
      </c>
    </row>
    <row r="879" spans="1:1" x14ac:dyDescent="0.2">
      <c r="A879" t="e">
        <f>IF(NOT(ISBLANK([1]Variables!A879)),[1]Variables!A879,"")</f>
        <v>#REF!</v>
      </c>
    </row>
    <row r="880" spans="1:1" x14ac:dyDescent="0.2">
      <c r="A880" t="e">
        <f>IF(NOT(ISBLANK([1]Variables!A880)),[1]Variables!A880,"")</f>
        <v>#REF!</v>
      </c>
    </row>
    <row r="881" spans="1:1" x14ac:dyDescent="0.2">
      <c r="A881" t="e">
        <f>IF(NOT(ISBLANK([1]Variables!A881)),[1]Variables!A881,"")</f>
        <v>#REF!</v>
      </c>
    </row>
    <row r="882" spans="1:1" x14ac:dyDescent="0.2">
      <c r="A882" t="e">
        <f>IF(NOT(ISBLANK([1]Variables!A882)),[1]Variables!A882,"")</f>
        <v>#REF!</v>
      </c>
    </row>
    <row r="883" spans="1:1" x14ac:dyDescent="0.2">
      <c r="A883" t="e">
        <f>IF(NOT(ISBLANK([1]Variables!A883)),[1]Variables!A883,"")</f>
        <v>#REF!</v>
      </c>
    </row>
    <row r="884" spans="1:1" x14ac:dyDescent="0.2">
      <c r="A884" t="e">
        <f>IF(NOT(ISBLANK([1]Variables!A884)),[1]Variables!A884,"")</f>
        <v>#REF!</v>
      </c>
    </row>
    <row r="885" spans="1:1" x14ac:dyDescent="0.2">
      <c r="A885" t="e">
        <f>IF(NOT(ISBLANK([1]Variables!A885)),[1]Variables!A885,"")</f>
        <v>#REF!</v>
      </c>
    </row>
    <row r="886" spans="1:1" x14ac:dyDescent="0.2">
      <c r="A886" t="e">
        <f>IF(NOT(ISBLANK([1]Variables!A886)),[1]Variables!A886,"")</f>
        <v>#REF!</v>
      </c>
    </row>
    <row r="887" spans="1:1" x14ac:dyDescent="0.2">
      <c r="A887" t="e">
        <f>IF(NOT(ISBLANK([1]Variables!A887)),[1]Variables!A887,"")</f>
        <v>#REF!</v>
      </c>
    </row>
    <row r="888" spans="1:1" x14ac:dyDescent="0.2">
      <c r="A888" t="e">
        <f>IF(NOT(ISBLANK([1]Variables!A888)),[1]Variables!A888,"")</f>
        <v>#REF!</v>
      </c>
    </row>
    <row r="889" spans="1:1" x14ac:dyDescent="0.2">
      <c r="A889" t="e">
        <f>IF(NOT(ISBLANK([1]Variables!A889)),[1]Variables!A889,"")</f>
        <v>#REF!</v>
      </c>
    </row>
    <row r="890" spans="1:1" x14ac:dyDescent="0.2">
      <c r="A890" t="e">
        <f>IF(NOT(ISBLANK([1]Variables!A890)),[1]Variables!A890,"")</f>
        <v>#REF!</v>
      </c>
    </row>
    <row r="891" spans="1:1" x14ac:dyDescent="0.2">
      <c r="A891" t="e">
        <f>IF(NOT(ISBLANK([1]Variables!A891)),[1]Variables!A891,"")</f>
        <v>#REF!</v>
      </c>
    </row>
    <row r="892" spans="1:1" x14ac:dyDescent="0.2">
      <c r="A892" t="e">
        <f>IF(NOT(ISBLANK([1]Variables!A892)),[1]Variables!A892,"")</f>
        <v>#REF!</v>
      </c>
    </row>
    <row r="893" spans="1:1" x14ac:dyDescent="0.2">
      <c r="A893" t="e">
        <f>IF(NOT(ISBLANK([1]Variables!A893)),[1]Variables!A893,"")</f>
        <v>#REF!</v>
      </c>
    </row>
    <row r="894" spans="1:1" x14ac:dyDescent="0.2">
      <c r="A894" t="e">
        <f>IF(NOT(ISBLANK([1]Variables!A894)),[1]Variables!A894,"")</f>
        <v>#REF!</v>
      </c>
    </row>
    <row r="895" spans="1:1" x14ac:dyDescent="0.2">
      <c r="A895" t="e">
        <f>IF(NOT(ISBLANK([1]Variables!A895)),[1]Variables!A895,"")</f>
        <v>#REF!</v>
      </c>
    </row>
    <row r="896" spans="1:1" x14ac:dyDescent="0.2">
      <c r="A896" t="e">
        <f>IF(NOT(ISBLANK([1]Variables!A896)),[1]Variables!A896,"")</f>
        <v>#REF!</v>
      </c>
    </row>
    <row r="897" spans="1:1" x14ac:dyDescent="0.2">
      <c r="A897" t="e">
        <f>IF(NOT(ISBLANK([1]Variables!A897)),[1]Variables!A897,"")</f>
        <v>#REF!</v>
      </c>
    </row>
    <row r="898" spans="1:1" x14ac:dyDescent="0.2">
      <c r="A898" t="e">
        <f>IF(NOT(ISBLANK([1]Variables!A898)),[1]Variables!A898,"")</f>
        <v>#REF!</v>
      </c>
    </row>
    <row r="899" spans="1:1" x14ac:dyDescent="0.2">
      <c r="A899" t="e">
        <f>IF(NOT(ISBLANK([1]Variables!A899)),[1]Variables!A899,"")</f>
        <v>#REF!</v>
      </c>
    </row>
    <row r="900" spans="1:1" x14ac:dyDescent="0.2">
      <c r="A900" t="e">
        <f>IF(NOT(ISBLANK([1]Variables!A900)),[1]Variables!A900,"")</f>
        <v>#REF!</v>
      </c>
    </row>
    <row r="901" spans="1:1" x14ac:dyDescent="0.2">
      <c r="A901" t="e">
        <f>IF(NOT(ISBLANK([1]Variables!A901)),[1]Variables!A901,"")</f>
        <v>#REF!</v>
      </c>
    </row>
    <row r="902" spans="1:1" x14ac:dyDescent="0.2">
      <c r="A902" t="e">
        <f>IF(NOT(ISBLANK([1]Variables!A902)),[1]Variables!A902,"")</f>
        <v>#REF!</v>
      </c>
    </row>
    <row r="903" spans="1:1" x14ac:dyDescent="0.2">
      <c r="A903" t="e">
        <f>IF(NOT(ISBLANK([1]Variables!A903)),[1]Variables!A903,"")</f>
        <v>#REF!</v>
      </c>
    </row>
    <row r="904" spans="1:1" x14ac:dyDescent="0.2">
      <c r="A904" t="e">
        <f>IF(NOT(ISBLANK([1]Variables!A904)),[1]Variables!A904,"")</f>
        <v>#REF!</v>
      </c>
    </row>
    <row r="905" spans="1:1" x14ac:dyDescent="0.2">
      <c r="A905" t="e">
        <f>IF(NOT(ISBLANK([1]Variables!A905)),[1]Variables!A905,"")</f>
        <v>#REF!</v>
      </c>
    </row>
    <row r="906" spans="1:1" x14ac:dyDescent="0.2">
      <c r="A906" t="e">
        <f>IF(NOT(ISBLANK([1]Variables!A906)),[1]Variables!A906,"")</f>
        <v>#REF!</v>
      </c>
    </row>
    <row r="907" spans="1:1" x14ac:dyDescent="0.2">
      <c r="A907" t="e">
        <f>IF(NOT(ISBLANK([1]Variables!A907)),[1]Variables!A907,"")</f>
        <v>#REF!</v>
      </c>
    </row>
    <row r="908" spans="1:1" x14ac:dyDescent="0.2">
      <c r="A908" t="e">
        <f>IF(NOT(ISBLANK([1]Variables!A908)),[1]Variables!A908,"")</f>
        <v>#REF!</v>
      </c>
    </row>
    <row r="909" spans="1:1" x14ac:dyDescent="0.2">
      <c r="A909" t="e">
        <f>IF(NOT(ISBLANK([1]Variables!A909)),[1]Variables!A909,"")</f>
        <v>#REF!</v>
      </c>
    </row>
    <row r="910" spans="1:1" x14ac:dyDescent="0.2">
      <c r="A910" t="e">
        <f>IF(NOT(ISBLANK([1]Variables!A910)),[1]Variables!A910,"")</f>
        <v>#REF!</v>
      </c>
    </row>
    <row r="911" spans="1:1" x14ac:dyDescent="0.2">
      <c r="A911" t="e">
        <f>IF(NOT(ISBLANK([1]Variables!A911)),[1]Variables!A911,"")</f>
        <v>#REF!</v>
      </c>
    </row>
    <row r="912" spans="1:1" x14ac:dyDescent="0.2">
      <c r="A912" t="e">
        <f>IF(NOT(ISBLANK([1]Variables!A912)),[1]Variables!A912,"")</f>
        <v>#REF!</v>
      </c>
    </row>
    <row r="913" spans="1:1" x14ac:dyDescent="0.2">
      <c r="A913" t="e">
        <f>IF(NOT(ISBLANK([1]Variables!A913)),[1]Variables!A913,"")</f>
        <v>#REF!</v>
      </c>
    </row>
    <row r="914" spans="1:1" x14ac:dyDescent="0.2">
      <c r="A914" t="e">
        <f>IF(NOT(ISBLANK([1]Variables!A914)),[1]Variables!A914,"")</f>
        <v>#REF!</v>
      </c>
    </row>
    <row r="915" spans="1:1" x14ac:dyDescent="0.2">
      <c r="A915" t="e">
        <f>IF(NOT(ISBLANK([1]Variables!A915)),[1]Variables!A915,"")</f>
        <v>#REF!</v>
      </c>
    </row>
    <row r="916" spans="1:1" x14ac:dyDescent="0.2">
      <c r="A916" t="e">
        <f>IF(NOT(ISBLANK([1]Variables!A916)),[1]Variables!A916,"")</f>
        <v>#REF!</v>
      </c>
    </row>
    <row r="917" spans="1:1" x14ac:dyDescent="0.2">
      <c r="A917" t="e">
        <f>IF(NOT(ISBLANK([1]Variables!A917)),[1]Variables!A917,"")</f>
        <v>#REF!</v>
      </c>
    </row>
    <row r="918" spans="1:1" x14ac:dyDescent="0.2">
      <c r="A918" t="e">
        <f>IF(NOT(ISBLANK([1]Variables!A918)),[1]Variables!A918,"")</f>
        <v>#REF!</v>
      </c>
    </row>
    <row r="919" spans="1:1" x14ac:dyDescent="0.2">
      <c r="A919" t="e">
        <f>IF(NOT(ISBLANK([1]Variables!A919)),[1]Variables!A919,"")</f>
        <v>#REF!</v>
      </c>
    </row>
    <row r="920" spans="1:1" x14ac:dyDescent="0.2">
      <c r="A920" t="e">
        <f>IF(NOT(ISBLANK([1]Variables!A920)),[1]Variables!A920,"")</f>
        <v>#REF!</v>
      </c>
    </row>
    <row r="921" spans="1:1" x14ac:dyDescent="0.2">
      <c r="A921" t="e">
        <f>IF(NOT(ISBLANK([1]Variables!A921)),[1]Variables!A921,"")</f>
        <v>#REF!</v>
      </c>
    </row>
    <row r="922" spans="1:1" x14ac:dyDescent="0.2">
      <c r="A922" t="e">
        <f>IF(NOT(ISBLANK([1]Variables!A922)),[1]Variables!A922,"")</f>
        <v>#REF!</v>
      </c>
    </row>
    <row r="923" spans="1:1" x14ac:dyDescent="0.2">
      <c r="A923" t="e">
        <f>IF(NOT(ISBLANK([1]Variables!A923)),[1]Variables!A923,"")</f>
        <v>#REF!</v>
      </c>
    </row>
    <row r="924" spans="1:1" x14ac:dyDescent="0.2">
      <c r="A924" t="e">
        <f>IF(NOT(ISBLANK([1]Variables!A924)),[1]Variables!A924,"")</f>
        <v>#REF!</v>
      </c>
    </row>
    <row r="925" spans="1:1" x14ac:dyDescent="0.2">
      <c r="A925" t="e">
        <f>IF(NOT(ISBLANK([1]Variables!A925)),[1]Variables!A925,"")</f>
        <v>#REF!</v>
      </c>
    </row>
    <row r="926" spans="1:1" x14ac:dyDescent="0.2">
      <c r="A926" t="e">
        <f>IF(NOT(ISBLANK([1]Variables!A926)),[1]Variables!A926,"")</f>
        <v>#REF!</v>
      </c>
    </row>
    <row r="927" spans="1:1" x14ac:dyDescent="0.2">
      <c r="A927" t="e">
        <f>IF(NOT(ISBLANK([1]Variables!A927)),[1]Variables!A927,"")</f>
        <v>#REF!</v>
      </c>
    </row>
    <row r="928" spans="1:1" x14ac:dyDescent="0.2">
      <c r="A928" t="e">
        <f>IF(NOT(ISBLANK([1]Variables!A928)),[1]Variables!A928,"")</f>
        <v>#REF!</v>
      </c>
    </row>
    <row r="929" spans="1:1" x14ac:dyDescent="0.2">
      <c r="A929" t="e">
        <f>IF(NOT(ISBLANK([1]Variables!A929)),[1]Variables!A929,"")</f>
        <v>#REF!</v>
      </c>
    </row>
    <row r="930" spans="1:1" x14ac:dyDescent="0.2">
      <c r="A930" t="e">
        <f>IF(NOT(ISBLANK([1]Variables!A930)),[1]Variables!A930,"")</f>
        <v>#REF!</v>
      </c>
    </row>
    <row r="931" spans="1:1" x14ac:dyDescent="0.2">
      <c r="A931" t="e">
        <f>IF(NOT(ISBLANK([1]Variables!A931)),[1]Variables!A931,"")</f>
        <v>#REF!</v>
      </c>
    </row>
    <row r="932" spans="1:1" x14ac:dyDescent="0.2">
      <c r="A932" t="e">
        <f>IF(NOT(ISBLANK([1]Variables!A932)),[1]Variables!A932,"")</f>
        <v>#REF!</v>
      </c>
    </row>
    <row r="933" spans="1:1" x14ac:dyDescent="0.2">
      <c r="A933" t="e">
        <f>IF(NOT(ISBLANK([1]Variables!A933)),[1]Variables!A933,"")</f>
        <v>#REF!</v>
      </c>
    </row>
    <row r="934" spans="1:1" x14ac:dyDescent="0.2">
      <c r="A934" t="e">
        <f>IF(NOT(ISBLANK([1]Variables!A934)),[1]Variables!A934,"")</f>
        <v>#REF!</v>
      </c>
    </row>
    <row r="935" spans="1:1" x14ac:dyDescent="0.2">
      <c r="A935" t="e">
        <f>IF(NOT(ISBLANK([1]Variables!A935)),[1]Variables!A935,"")</f>
        <v>#REF!</v>
      </c>
    </row>
    <row r="936" spans="1:1" x14ac:dyDescent="0.2">
      <c r="A936" t="e">
        <f>IF(NOT(ISBLANK([1]Variables!A936)),[1]Variables!A936,"")</f>
        <v>#REF!</v>
      </c>
    </row>
    <row r="937" spans="1:1" x14ac:dyDescent="0.2">
      <c r="A937" t="e">
        <f>IF(NOT(ISBLANK([1]Variables!A937)),[1]Variables!A937,"")</f>
        <v>#REF!</v>
      </c>
    </row>
    <row r="938" spans="1:1" x14ac:dyDescent="0.2">
      <c r="A938" t="e">
        <f>IF(NOT(ISBLANK([1]Variables!A938)),[1]Variables!A938,"")</f>
        <v>#REF!</v>
      </c>
    </row>
    <row r="939" spans="1:1" x14ac:dyDescent="0.2">
      <c r="A939" t="e">
        <f>IF(NOT(ISBLANK([1]Variables!A939)),[1]Variables!A939,"")</f>
        <v>#REF!</v>
      </c>
    </row>
    <row r="940" spans="1:1" x14ac:dyDescent="0.2">
      <c r="A940" t="e">
        <f>IF(NOT(ISBLANK([1]Variables!A940)),[1]Variables!A940,"")</f>
        <v>#REF!</v>
      </c>
    </row>
    <row r="941" spans="1:1" x14ac:dyDescent="0.2">
      <c r="A941" t="e">
        <f>IF(NOT(ISBLANK([1]Variables!A941)),[1]Variables!A941,"")</f>
        <v>#REF!</v>
      </c>
    </row>
    <row r="942" spans="1:1" x14ac:dyDescent="0.2">
      <c r="A942" t="e">
        <f>IF(NOT(ISBLANK([1]Variables!A942)),[1]Variables!A942,"")</f>
        <v>#REF!</v>
      </c>
    </row>
    <row r="943" spans="1:1" x14ac:dyDescent="0.2">
      <c r="A943" t="e">
        <f>IF(NOT(ISBLANK([1]Variables!A943)),[1]Variables!A943,"")</f>
        <v>#REF!</v>
      </c>
    </row>
    <row r="944" spans="1:1" x14ac:dyDescent="0.2">
      <c r="A944" t="e">
        <f>IF(NOT(ISBLANK([1]Variables!A944)),[1]Variables!A944,"")</f>
        <v>#REF!</v>
      </c>
    </row>
    <row r="945" spans="1:1" x14ac:dyDescent="0.2">
      <c r="A945" t="e">
        <f>IF(NOT(ISBLANK([1]Variables!A945)),[1]Variables!A945,"")</f>
        <v>#REF!</v>
      </c>
    </row>
    <row r="946" spans="1:1" x14ac:dyDescent="0.2">
      <c r="A946" t="e">
        <f>IF(NOT(ISBLANK([1]Variables!A946)),[1]Variables!A946,"")</f>
        <v>#REF!</v>
      </c>
    </row>
    <row r="947" spans="1:1" x14ac:dyDescent="0.2">
      <c r="A947" t="e">
        <f>IF(NOT(ISBLANK([1]Variables!A947)),[1]Variables!A947,"")</f>
        <v>#REF!</v>
      </c>
    </row>
    <row r="948" spans="1:1" x14ac:dyDescent="0.2">
      <c r="A948" t="e">
        <f>IF(NOT(ISBLANK([1]Variables!A948)),[1]Variables!A948,"")</f>
        <v>#REF!</v>
      </c>
    </row>
    <row r="949" spans="1:1" x14ac:dyDescent="0.2">
      <c r="A949" t="e">
        <f>IF(NOT(ISBLANK([1]Variables!A949)),[1]Variables!A949,"")</f>
        <v>#REF!</v>
      </c>
    </row>
    <row r="950" spans="1:1" x14ac:dyDescent="0.2">
      <c r="A950" t="e">
        <f>IF(NOT(ISBLANK([1]Variables!A950)),[1]Variables!A950,"")</f>
        <v>#REF!</v>
      </c>
    </row>
    <row r="951" spans="1:1" x14ac:dyDescent="0.2">
      <c r="A951" t="e">
        <f>IF(NOT(ISBLANK([1]Variables!A951)),[1]Variables!A951,"")</f>
        <v>#REF!</v>
      </c>
    </row>
    <row r="952" spans="1:1" x14ac:dyDescent="0.2">
      <c r="A952" t="e">
        <f>IF(NOT(ISBLANK([1]Variables!A952)),[1]Variables!A952,"")</f>
        <v>#REF!</v>
      </c>
    </row>
    <row r="953" spans="1:1" x14ac:dyDescent="0.2">
      <c r="A953" t="e">
        <f>IF(NOT(ISBLANK([1]Variables!A953)),[1]Variables!A953,"")</f>
        <v>#REF!</v>
      </c>
    </row>
    <row r="954" spans="1:1" x14ac:dyDescent="0.2">
      <c r="A954" t="e">
        <f>IF(NOT(ISBLANK([1]Variables!A954)),[1]Variables!A954,"")</f>
        <v>#REF!</v>
      </c>
    </row>
    <row r="955" spans="1:1" x14ac:dyDescent="0.2">
      <c r="A955" t="e">
        <f>IF(NOT(ISBLANK([1]Variables!A955)),[1]Variables!A955,"")</f>
        <v>#REF!</v>
      </c>
    </row>
    <row r="956" spans="1:1" x14ac:dyDescent="0.2">
      <c r="A956" t="e">
        <f>IF(NOT(ISBLANK([1]Variables!A956)),[1]Variables!A956,"")</f>
        <v>#REF!</v>
      </c>
    </row>
    <row r="957" spans="1:1" x14ac:dyDescent="0.2">
      <c r="A957" t="e">
        <f>IF(NOT(ISBLANK([1]Variables!A957)),[1]Variables!A957,"")</f>
        <v>#REF!</v>
      </c>
    </row>
    <row r="958" spans="1:1" x14ac:dyDescent="0.2">
      <c r="A958" t="e">
        <f>IF(NOT(ISBLANK([1]Variables!A958)),[1]Variables!A958,"")</f>
        <v>#REF!</v>
      </c>
    </row>
    <row r="959" spans="1:1" x14ac:dyDescent="0.2">
      <c r="A959" t="e">
        <f>IF(NOT(ISBLANK([1]Variables!A959)),[1]Variables!A959,"")</f>
        <v>#REF!</v>
      </c>
    </row>
    <row r="960" spans="1:1" x14ac:dyDescent="0.2">
      <c r="A960" t="e">
        <f>IF(NOT(ISBLANK([1]Variables!A960)),[1]Variables!A960,"")</f>
        <v>#REF!</v>
      </c>
    </row>
    <row r="961" spans="1:1" x14ac:dyDescent="0.2">
      <c r="A961" t="e">
        <f>IF(NOT(ISBLANK([1]Variables!A961)),[1]Variables!A961,"")</f>
        <v>#REF!</v>
      </c>
    </row>
    <row r="962" spans="1:1" x14ac:dyDescent="0.2">
      <c r="A962" t="e">
        <f>IF(NOT(ISBLANK([1]Variables!A962)),[1]Variables!A962,"")</f>
        <v>#REF!</v>
      </c>
    </row>
    <row r="963" spans="1:1" x14ac:dyDescent="0.2">
      <c r="A963" t="e">
        <f>IF(NOT(ISBLANK([1]Variables!A963)),[1]Variables!A963,"")</f>
        <v>#REF!</v>
      </c>
    </row>
    <row r="964" spans="1:1" x14ac:dyDescent="0.2">
      <c r="A964" t="e">
        <f>IF(NOT(ISBLANK([1]Variables!A964)),[1]Variables!A964,"")</f>
        <v>#REF!</v>
      </c>
    </row>
    <row r="965" spans="1:1" x14ac:dyDescent="0.2">
      <c r="A965" t="e">
        <f>IF(NOT(ISBLANK([1]Variables!A965)),[1]Variables!A965,"")</f>
        <v>#REF!</v>
      </c>
    </row>
    <row r="966" spans="1:1" x14ac:dyDescent="0.2">
      <c r="A966" t="e">
        <f>IF(NOT(ISBLANK([1]Variables!A966)),[1]Variables!A966,"")</f>
        <v>#REF!</v>
      </c>
    </row>
    <row r="967" spans="1:1" x14ac:dyDescent="0.2">
      <c r="A967" t="e">
        <f>IF(NOT(ISBLANK([1]Variables!A967)),[1]Variables!A967,"")</f>
        <v>#REF!</v>
      </c>
    </row>
    <row r="968" spans="1:1" x14ac:dyDescent="0.2">
      <c r="A968" t="e">
        <f>IF(NOT(ISBLANK([1]Variables!A968)),[1]Variables!A968,"")</f>
        <v>#REF!</v>
      </c>
    </row>
    <row r="969" spans="1:1" x14ac:dyDescent="0.2">
      <c r="A969" t="e">
        <f>IF(NOT(ISBLANK([1]Variables!A969)),[1]Variables!A969,"")</f>
        <v>#REF!</v>
      </c>
    </row>
    <row r="970" spans="1:1" x14ac:dyDescent="0.2">
      <c r="A970" t="e">
        <f>IF(NOT(ISBLANK([1]Variables!A970)),[1]Variables!A970,"")</f>
        <v>#REF!</v>
      </c>
    </row>
    <row r="971" spans="1:1" x14ac:dyDescent="0.2">
      <c r="A971" t="e">
        <f>IF(NOT(ISBLANK([1]Variables!A971)),[1]Variables!A971,"")</f>
        <v>#REF!</v>
      </c>
    </row>
    <row r="972" spans="1:1" x14ac:dyDescent="0.2">
      <c r="A972" t="e">
        <f>IF(NOT(ISBLANK([1]Variables!A972)),[1]Variables!A972,"")</f>
        <v>#REF!</v>
      </c>
    </row>
    <row r="973" spans="1:1" x14ac:dyDescent="0.2">
      <c r="A973" t="e">
        <f>IF(NOT(ISBLANK([1]Variables!A973)),[1]Variables!A973,"")</f>
        <v>#REF!</v>
      </c>
    </row>
    <row r="974" spans="1:1" x14ac:dyDescent="0.2">
      <c r="A974" t="e">
        <f>IF(NOT(ISBLANK([1]Variables!A974)),[1]Variables!A974,"")</f>
        <v>#REF!</v>
      </c>
    </row>
    <row r="975" spans="1:1" x14ac:dyDescent="0.2">
      <c r="A975" t="e">
        <f>IF(NOT(ISBLANK([1]Variables!A975)),[1]Variables!A975,"")</f>
        <v>#REF!</v>
      </c>
    </row>
    <row r="976" spans="1:1" x14ac:dyDescent="0.2">
      <c r="A976" t="e">
        <f>IF(NOT(ISBLANK([1]Variables!A976)),[1]Variables!A976,"")</f>
        <v>#REF!</v>
      </c>
    </row>
    <row r="977" spans="1:1" x14ac:dyDescent="0.2">
      <c r="A977" t="e">
        <f>IF(NOT(ISBLANK([1]Variables!A977)),[1]Variables!A977,"")</f>
        <v>#REF!</v>
      </c>
    </row>
    <row r="978" spans="1:1" x14ac:dyDescent="0.2">
      <c r="A978" t="e">
        <f>IF(NOT(ISBLANK([1]Variables!A978)),[1]Variables!A978,"")</f>
        <v>#REF!</v>
      </c>
    </row>
    <row r="979" spans="1:1" x14ac:dyDescent="0.2">
      <c r="A979" t="e">
        <f>IF(NOT(ISBLANK([1]Variables!A979)),[1]Variables!A979,"")</f>
        <v>#REF!</v>
      </c>
    </row>
    <row r="980" spans="1:1" x14ac:dyDescent="0.2">
      <c r="A980" t="e">
        <f>IF(NOT(ISBLANK([1]Variables!A980)),[1]Variables!A980,"")</f>
        <v>#REF!</v>
      </c>
    </row>
    <row r="981" spans="1:1" x14ac:dyDescent="0.2">
      <c r="A981" t="e">
        <f>IF(NOT(ISBLANK([1]Variables!A981)),[1]Variables!A981,"")</f>
        <v>#REF!</v>
      </c>
    </row>
    <row r="982" spans="1:1" x14ac:dyDescent="0.2">
      <c r="A982" t="e">
        <f>IF(NOT(ISBLANK([1]Variables!A982)),[1]Variables!A982,"")</f>
        <v>#REF!</v>
      </c>
    </row>
    <row r="983" spans="1:1" x14ac:dyDescent="0.2">
      <c r="A983" t="e">
        <f>IF(NOT(ISBLANK([1]Variables!A983)),[1]Variables!A983,"")</f>
        <v>#REF!</v>
      </c>
    </row>
    <row r="984" spans="1:1" x14ac:dyDescent="0.2">
      <c r="A984" t="e">
        <f>IF(NOT(ISBLANK([1]Variables!A984)),[1]Variables!A984,"")</f>
        <v>#REF!</v>
      </c>
    </row>
    <row r="985" spans="1:1" x14ac:dyDescent="0.2">
      <c r="A985" t="e">
        <f>IF(NOT(ISBLANK([1]Variables!A985)),[1]Variables!A985,"")</f>
        <v>#REF!</v>
      </c>
    </row>
    <row r="986" spans="1:1" x14ac:dyDescent="0.2">
      <c r="A986" t="e">
        <f>IF(NOT(ISBLANK([1]Variables!A986)),[1]Variables!A986,"")</f>
        <v>#REF!</v>
      </c>
    </row>
    <row r="987" spans="1:1" x14ac:dyDescent="0.2">
      <c r="A987" t="e">
        <f>IF(NOT(ISBLANK([1]Variables!A987)),[1]Variables!A987,"")</f>
        <v>#REF!</v>
      </c>
    </row>
    <row r="988" spans="1:1" x14ac:dyDescent="0.2">
      <c r="A988" t="e">
        <f>IF(NOT(ISBLANK([1]Variables!A988)),[1]Variables!A988,"")</f>
        <v>#REF!</v>
      </c>
    </row>
    <row r="989" spans="1:1" x14ac:dyDescent="0.2">
      <c r="A989" t="e">
        <f>IF(NOT(ISBLANK([1]Variables!A989)),[1]Variables!A989,"")</f>
        <v>#REF!</v>
      </c>
    </row>
    <row r="990" spans="1:1" x14ac:dyDescent="0.2">
      <c r="A990" t="e">
        <f>IF(NOT(ISBLANK([1]Variables!A990)),[1]Variables!A990,"")</f>
        <v>#REF!</v>
      </c>
    </row>
    <row r="991" spans="1:1" x14ac:dyDescent="0.2">
      <c r="A991" t="e">
        <f>IF(NOT(ISBLANK([1]Variables!A991)),[1]Variables!A991,"")</f>
        <v>#REF!</v>
      </c>
    </row>
    <row r="992" spans="1:1" x14ac:dyDescent="0.2">
      <c r="A992" t="e">
        <f>IF(NOT(ISBLANK([1]Variables!A992)),[1]Variables!A992,"")</f>
        <v>#REF!</v>
      </c>
    </row>
    <row r="993" spans="1:1" x14ac:dyDescent="0.2">
      <c r="A993" t="e">
        <f>IF(NOT(ISBLANK([1]Variables!A993)),[1]Variables!A993,"")</f>
        <v>#REF!</v>
      </c>
    </row>
    <row r="994" spans="1:1" x14ac:dyDescent="0.2">
      <c r="A994" t="e">
        <f>IF(NOT(ISBLANK([1]Variables!A994)),[1]Variables!A994,"")</f>
        <v>#REF!</v>
      </c>
    </row>
    <row r="995" spans="1:1" x14ac:dyDescent="0.2">
      <c r="A995" t="e">
        <f>IF(NOT(ISBLANK([1]Variables!A995)),[1]Variables!A995,"")</f>
        <v>#REF!</v>
      </c>
    </row>
    <row r="996" spans="1:1" x14ac:dyDescent="0.2">
      <c r="A996" t="e">
        <f>IF(NOT(ISBLANK([1]Variables!A996)),[1]Variables!A996,"")</f>
        <v>#REF!</v>
      </c>
    </row>
    <row r="997" spans="1:1" x14ac:dyDescent="0.2">
      <c r="A997" t="e">
        <f>IF(NOT(ISBLANK([1]Variables!A997)),[1]Variables!A997,"")</f>
        <v>#REF!</v>
      </c>
    </row>
    <row r="998" spans="1:1" x14ac:dyDescent="0.2">
      <c r="A998" t="e">
        <f>IF(NOT(ISBLANK([1]Variables!A998)),[1]Variables!A998,"")</f>
        <v>#REF!</v>
      </c>
    </row>
    <row r="999" spans="1:1" x14ac:dyDescent="0.2">
      <c r="A999" t="e">
        <f>IF(NOT(ISBLANK([1]Variables!A999)),[1]Variables!A999,"")</f>
        <v>#REF!</v>
      </c>
    </row>
    <row r="1000" spans="1:1" x14ac:dyDescent="0.2">
      <c r="A1000" t="e">
        <f>IF(NOT(ISBLANK([1]Variables!A1000)),[1]Variables!A1000,"")</f>
        <v>#REF!</v>
      </c>
    </row>
    <row r="1001" spans="1:1" x14ac:dyDescent="0.2">
      <c r="A1001" t="e">
        <f>IF(NOT(ISBLANK([1]Variables!A1001)),[1]Variables!A1001,"")</f>
        <v>#REF!</v>
      </c>
    </row>
    <row r="1002" spans="1:1" x14ac:dyDescent="0.2">
      <c r="A1002" t="e">
        <f>IF(NOT(ISBLANK([1]Variables!A1002)),[1]Variables!A1002,"")</f>
        <v>#REF!</v>
      </c>
    </row>
    <row r="1003" spans="1:1" x14ac:dyDescent="0.2">
      <c r="A1003" t="e">
        <f>IF(NOT(ISBLANK([1]Variables!A1003)),[1]Variables!A1003,"")</f>
        <v>#REF!</v>
      </c>
    </row>
    <row r="1004" spans="1:1" x14ac:dyDescent="0.2">
      <c r="A1004" t="e">
        <f>IF(NOT(ISBLANK([1]Variables!A1004)),[1]Variables!A1004,"")</f>
        <v>#REF!</v>
      </c>
    </row>
    <row r="1005" spans="1:1" x14ac:dyDescent="0.2">
      <c r="A1005" t="e">
        <f>IF(NOT(ISBLANK([1]Variables!A1005)),[1]Variables!A1005,"")</f>
        <v>#REF!</v>
      </c>
    </row>
    <row r="1006" spans="1:1" x14ac:dyDescent="0.2">
      <c r="A1006" t="e">
        <f>IF(NOT(ISBLANK([1]Variables!A1006)),[1]Variables!A1006,"")</f>
        <v>#REF!</v>
      </c>
    </row>
    <row r="1007" spans="1:1" x14ac:dyDescent="0.2">
      <c r="A1007" t="e">
        <f>IF(NOT(ISBLANK([1]Variables!A1007)),[1]Variables!A1007,"")</f>
        <v>#REF!</v>
      </c>
    </row>
    <row r="1008" spans="1:1" x14ac:dyDescent="0.2">
      <c r="A1008" t="e">
        <f>IF(NOT(ISBLANK([1]Variables!A1008)),[1]Variables!A1008,"")</f>
        <v>#REF!</v>
      </c>
    </row>
    <row r="1009" spans="1:1" x14ac:dyDescent="0.2">
      <c r="A1009" t="e">
        <f>IF(NOT(ISBLANK([1]Variables!A1009)),[1]Variables!A1009,"")</f>
        <v>#REF!</v>
      </c>
    </row>
    <row r="1010" spans="1:1" x14ac:dyDescent="0.2">
      <c r="A1010" t="e">
        <f>IF(NOT(ISBLANK([1]Variables!A1010)),[1]Variables!A1010,"")</f>
        <v>#REF!</v>
      </c>
    </row>
    <row r="1011" spans="1:1" x14ac:dyDescent="0.2">
      <c r="A1011" t="e">
        <f>IF(NOT(ISBLANK([1]Variables!A1011)),[1]Variables!A1011,"")</f>
        <v>#REF!</v>
      </c>
    </row>
    <row r="1012" spans="1:1" x14ac:dyDescent="0.2">
      <c r="A1012" t="e">
        <f>IF(NOT(ISBLANK([1]Variables!A1012)),[1]Variables!A1012,"")</f>
        <v>#REF!</v>
      </c>
    </row>
    <row r="1013" spans="1:1" x14ac:dyDescent="0.2">
      <c r="A1013" t="e">
        <f>IF(NOT(ISBLANK([1]Variables!A1013)),[1]Variables!A1013,"")</f>
        <v>#REF!</v>
      </c>
    </row>
    <row r="1014" spans="1:1" x14ac:dyDescent="0.2">
      <c r="A1014" t="e">
        <f>IF(NOT(ISBLANK([1]Variables!A1014)),[1]Variables!A1014,"")</f>
        <v>#REF!</v>
      </c>
    </row>
    <row r="1015" spans="1:1" x14ac:dyDescent="0.2">
      <c r="A1015" t="e">
        <f>IF(NOT(ISBLANK([1]Variables!A1015)),[1]Variables!A1015,"")</f>
        <v>#REF!</v>
      </c>
    </row>
    <row r="1016" spans="1:1" x14ac:dyDescent="0.2">
      <c r="A1016" t="e">
        <f>IF(NOT(ISBLANK([1]Variables!A1016)),[1]Variables!A1016,"")</f>
        <v>#REF!</v>
      </c>
    </row>
    <row r="1017" spans="1:1" x14ac:dyDescent="0.2">
      <c r="A1017" t="e">
        <f>IF(NOT(ISBLANK([1]Variables!A1017)),[1]Variables!A1017,"")</f>
        <v>#REF!</v>
      </c>
    </row>
    <row r="1018" spans="1:1" x14ac:dyDescent="0.2">
      <c r="A1018" t="e">
        <f>IF(NOT(ISBLANK([1]Variables!A1018)),[1]Variables!A1018,"")</f>
        <v>#REF!</v>
      </c>
    </row>
    <row r="1019" spans="1:1" x14ac:dyDescent="0.2">
      <c r="A1019" t="e">
        <f>IF(NOT(ISBLANK([1]Variables!A1019)),[1]Variables!A1019,"")</f>
        <v>#REF!</v>
      </c>
    </row>
    <row r="1020" spans="1:1" x14ac:dyDescent="0.2">
      <c r="A1020" t="e">
        <f>IF(NOT(ISBLANK([1]Variables!A1020)),[1]Variables!A1020,"")</f>
        <v>#REF!</v>
      </c>
    </row>
    <row r="1021" spans="1:1" x14ac:dyDescent="0.2">
      <c r="A1021" t="e">
        <f>IF(NOT(ISBLANK([1]Variables!A1021)),[1]Variables!A1021,"")</f>
        <v>#REF!</v>
      </c>
    </row>
    <row r="1022" spans="1:1" x14ac:dyDescent="0.2">
      <c r="A1022" t="e">
        <f>IF(NOT(ISBLANK([1]Variables!A1022)),[1]Variables!A1022,"")</f>
        <v>#REF!</v>
      </c>
    </row>
    <row r="1023" spans="1:1" x14ac:dyDescent="0.2">
      <c r="A1023" t="e">
        <f>IF(NOT(ISBLANK([1]Variables!A1023)),[1]Variables!A1023,"")</f>
        <v>#REF!</v>
      </c>
    </row>
    <row r="1024" spans="1:1" x14ac:dyDescent="0.2">
      <c r="A1024" t="e">
        <f>IF(NOT(ISBLANK([1]Variables!A1024)),[1]Variables!A1024,"")</f>
        <v>#REF!</v>
      </c>
    </row>
    <row r="1025" spans="1:1" x14ac:dyDescent="0.2">
      <c r="A1025" t="e">
        <f>IF(NOT(ISBLANK([1]Variables!A1025)),[1]Variables!A1025,"")</f>
        <v>#REF!</v>
      </c>
    </row>
    <row r="1026" spans="1:1" x14ac:dyDescent="0.2">
      <c r="A1026" t="e">
        <f>IF(NOT(ISBLANK([1]Variables!A1026)),[1]Variables!A1026,"")</f>
        <v>#REF!</v>
      </c>
    </row>
    <row r="1027" spans="1:1" x14ac:dyDescent="0.2">
      <c r="A1027" t="e">
        <f>IF(NOT(ISBLANK([1]Variables!A1027)),[1]Variables!A1027,"")</f>
        <v>#REF!</v>
      </c>
    </row>
    <row r="1028" spans="1:1" x14ac:dyDescent="0.2">
      <c r="A1028" t="e">
        <f>IF(NOT(ISBLANK([1]Variables!A1028)),[1]Variables!A1028,"")</f>
        <v>#REF!</v>
      </c>
    </row>
    <row r="1029" spans="1:1" x14ac:dyDescent="0.2">
      <c r="A1029" t="e">
        <f>IF(NOT(ISBLANK([1]Variables!A1029)),[1]Variables!A1029,"")</f>
        <v>#REF!</v>
      </c>
    </row>
    <row r="1030" spans="1:1" x14ac:dyDescent="0.2">
      <c r="A1030" t="e">
        <f>IF(NOT(ISBLANK([1]Variables!A1030)),[1]Variables!A1030,"")</f>
        <v>#REF!</v>
      </c>
    </row>
    <row r="1031" spans="1:1" x14ac:dyDescent="0.2">
      <c r="A1031" t="e">
        <f>IF(NOT(ISBLANK([1]Variables!A1031)),[1]Variables!A1031,"")</f>
        <v>#REF!</v>
      </c>
    </row>
    <row r="1032" spans="1:1" x14ac:dyDescent="0.2">
      <c r="A1032" t="e">
        <f>IF(NOT(ISBLANK([1]Variables!A1032)),[1]Variables!A1032,"")</f>
        <v>#REF!</v>
      </c>
    </row>
    <row r="1033" spans="1:1" x14ac:dyDescent="0.2">
      <c r="A1033" t="e">
        <f>IF(NOT(ISBLANK([1]Variables!A1033)),[1]Variables!A1033,"")</f>
        <v>#REF!</v>
      </c>
    </row>
    <row r="1034" spans="1:1" x14ac:dyDescent="0.2">
      <c r="A1034" t="e">
        <f>IF(NOT(ISBLANK([1]Variables!A1034)),[1]Variables!A1034,"")</f>
        <v>#REF!</v>
      </c>
    </row>
    <row r="1035" spans="1:1" x14ac:dyDescent="0.2">
      <c r="A1035" t="e">
        <f>IF(NOT(ISBLANK([1]Variables!A1035)),[1]Variables!A1035,"")</f>
        <v>#REF!</v>
      </c>
    </row>
    <row r="1036" spans="1:1" x14ac:dyDescent="0.2">
      <c r="A1036" t="e">
        <f>IF(NOT(ISBLANK([1]Variables!A1036)),[1]Variables!A1036,"")</f>
        <v>#REF!</v>
      </c>
    </row>
    <row r="1037" spans="1:1" x14ac:dyDescent="0.2">
      <c r="A1037" t="e">
        <f>IF(NOT(ISBLANK([1]Variables!A1037)),[1]Variables!A1037,"")</f>
        <v>#REF!</v>
      </c>
    </row>
    <row r="1038" spans="1:1" x14ac:dyDescent="0.2">
      <c r="A1038" t="e">
        <f>IF(NOT(ISBLANK([1]Variables!A1038)),[1]Variables!A1038,"")</f>
        <v>#REF!</v>
      </c>
    </row>
    <row r="1039" spans="1:1" x14ac:dyDescent="0.2">
      <c r="A1039" t="e">
        <f>IF(NOT(ISBLANK([1]Variables!A1039)),[1]Variables!A1039,"")</f>
        <v>#REF!</v>
      </c>
    </row>
    <row r="1040" spans="1:1" x14ac:dyDescent="0.2">
      <c r="A1040" t="e">
        <f>IF(NOT(ISBLANK([1]Variables!A1040)),[1]Variables!A1040,"")</f>
        <v>#REF!</v>
      </c>
    </row>
    <row r="1041" spans="1:1" x14ac:dyDescent="0.2">
      <c r="A1041" t="e">
        <f>IF(NOT(ISBLANK([1]Variables!A1041)),[1]Variables!A1041,"")</f>
        <v>#REF!</v>
      </c>
    </row>
    <row r="1042" spans="1:1" x14ac:dyDescent="0.2">
      <c r="A1042" t="e">
        <f>IF(NOT(ISBLANK([1]Variables!A1042)),[1]Variables!A1042,"")</f>
        <v>#REF!</v>
      </c>
    </row>
    <row r="1043" spans="1:1" x14ac:dyDescent="0.2">
      <c r="A1043" t="e">
        <f>IF(NOT(ISBLANK([1]Variables!A1043)),[1]Variables!A1043,"")</f>
        <v>#REF!</v>
      </c>
    </row>
    <row r="1044" spans="1:1" x14ac:dyDescent="0.2">
      <c r="A1044" t="e">
        <f>IF(NOT(ISBLANK([1]Variables!A1044)),[1]Variables!A1044,"")</f>
        <v>#REF!</v>
      </c>
    </row>
    <row r="1045" spans="1:1" x14ac:dyDescent="0.2">
      <c r="A1045" t="e">
        <f>IF(NOT(ISBLANK([1]Variables!A1045)),[1]Variables!A1045,"")</f>
        <v>#REF!</v>
      </c>
    </row>
    <row r="1046" spans="1:1" x14ac:dyDescent="0.2">
      <c r="A1046" t="e">
        <f>IF(NOT(ISBLANK([1]Variables!A1046)),[1]Variables!A1046,"")</f>
        <v>#REF!</v>
      </c>
    </row>
    <row r="1047" spans="1:1" x14ac:dyDescent="0.2">
      <c r="A1047" t="e">
        <f>IF(NOT(ISBLANK([1]Variables!A1047)),[1]Variables!A1047,"")</f>
        <v>#REF!</v>
      </c>
    </row>
    <row r="1048" spans="1:1" x14ac:dyDescent="0.2">
      <c r="A1048" t="e">
        <f>IF(NOT(ISBLANK([1]Variables!A1048)),[1]Variables!A1048,"")</f>
        <v>#REF!</v>
      </c>
    </row>
    <row r="1049" spans="1:1" x14ac:dyDescent="0.2">
      <c r="A1049" t="e">
        <f>IF(NOT(ISBLANK([1]Variables!A1049)),[1]Variables!A1049,"")</f>
        <v>#REF!</v>
      </c>
    </row>
    <row r="1050" spans="1:1" x14ac:dyDescent="0.2">
      <c r="A1050" t="e">
        <f>IF(NOT(ISBLANK([1]Variables!A1050)),[1]Variables!A1050,"")</f>
        <v>#REF!</v>
      </c>
    </row>
    <row r="1051" spans="1:1" x14ac:dyDescent="0.2">
      <c r="A1051" t="e">
        <f>IF(NOT(ISBLANK([1]Variables!A1051)),[1]Variables!A1051,"")</f>
        <v>#REF!</v>
      </c>
    </row>
    <row r="1052" spans="1:1" x14ac:dyDescent="0.2">
      <c r="A1052" t="e">
        <f>IF(NOT(ISBLANK([1]Variables!A1052)),[1]Variables!A1052,"")</f>
        <v>#REF!</v>
      </c>
    </row>
    <row r="1053" spans="1:1" x14ac:dyDescent="0.2">
      <c r="A1053" t="e">
        <f>IF(NOT(ISBLANK([1]Variables!A1053)),[1]Variables!A1053,"")</f>
        <v>#REF!</v>
      </c>
    </row>
    <row r="1054" spans="1:1" x14ac:dyDescent="0.2">
      <c r="A1054" t="e">
        <f>IF(NOT(ISBLANK([1]Variables!A1054)),[1]Variables!A1054,"")</f>
        <v>#REF!</v>
      </c>
    </row>
    <row r="1055" spans="1:1" x14ac:dyDescent="0.2">
      <c r="A1055" t="e">
        <f>IF(NOT(ISBLANK([1]Variables!A1055)),[1]Variables!A1055,"")</f>
        <v>#REF!</v>
      </c>
    </row>
    <row r="1056" spans="1:1" x14ac:dyDescent="0.2">
      <c r="A1056" t="e">
        <f>IF(NOT(ISBLANK([1]Variables!A1056)),[1]Variables!A1056,"")</f>
        <v>#REF!</v>
      </c>
    </row>
    <row r="1057" spans="1:1" x14ac:dyDescent="0.2">
      <c r="A1057" t="e">
        <f>IF(NOT(ISBLANK([1]Variables!A1057)),[1]Variables!A1057,"")</f>
        <v>#REF!</v>
      </c>
    </row>
    <row r="1058" spans="1:1" x14ac:dyDescent="0.2">
      <c r="A1058" t="e">
        <f>IF(NOT(ISBLANK([1]Variables!A1058)),[1]Variables!A1058,"")</f>
        <v>#REF!</v>
      </c>
    </row>
    <row r="1059" spans="1:1" x14ac:dyDescent="0.2">
      <c r="A1059" t="e">
        <f>IF(NOT(ISBLANK([1]Variables!A1059)),[1]Variables!A1059,"")</f>
        <v>#REF!</v>
      </c>
    </row>
    <row r="1060" spans="1:1" x14ac:dyDescent="0.2">
      <c r="A1060" t="e">
        <f>IF(NOT(ISBLANK([1]Variables!A1060)),[1]Variables!A1060,"")</f>
        <v>#REF!</v>
      </c>
    </row>
    <row r="1061" spans="1:1" x14ac:dyDescent="0.2">
      <c r="A1061" t="e">
        <f>IF(NOT(ISBLANK([1]Variables!A1061)),[1]Variables!A1061,"")</f>
        <v>#REF!</v>
      </c>
    </row>
    <row r="1062" spans="1:1" x14ac:dyDescent="0.2">
      <c r="A1062" t="e">
        <f>IF(NOT(ISBLANK([1]Variables!A1062)),[1]Variables!A1062,"")</f>
        <v>#REF!</v>
      </c>
    </row>
    <row r="1063" spans="1:1" x14ac:dyDescent="0.2">
      <c r="A1063" t="e">
        <f>IF(NOT(ISBLANK([1]Variables!A1063)),[1]Variables!A1063,"")</f>
        <v>#REF!</v>
      </c>
    </row>
    <row r="1064" spans="1:1" x14ac:dyDescent="0.2">
      <c r="A1064" t="e">
        <f>IF(NOT(ISBLANK([1]Variables!A1064)),[1]Variables!A1064,"")</f>
        <v>#REF!</v>
      </c>
    </row>
    <row r="1065" spans="1:1" x14ac:dyDescent="0.2">
      <c r="A1065" t="e">
        <f>IF(NOT(ISBLANK([1]Variables!A1065)),[1]Variables!A1065,"")</f>
        <v>#REF!</v>
      </c>
    </row>
    <row r="1066" spans="1:1" x14ac:dyDescent="0.2">
      <c r="A1066" t="e">
        <f>IF(NOT(ISBLANK([1]Variables!A1066)),[1]Variables!A1066,"")</f>
        <v>#REF!</v>
      </c>
    </row>
    <row r="1067" spans="1:1" x14ac:dyDescent="0.2">
      <c r="A1067" t="e">
        <f>IF(NOT(ISBLANK([1]Variables!A1067)),[1]Variables!A1067,"")</f>
        <v>#REF!</v>
      </c>
    </row>
    <row r="1068" spans="1:1" x14ac:dyDescent="0.2">
      <c r="A1068" t="e">
        <f>IF(NOT(ISBLANK([1]Variables!A1068)),[1]Variables!A1068,"")</f>
        <v>#REF!</v>
      </c>
    </row>
    <row r="1069" spans="1:1" x14ac:dyDescent="0.2">
      <c r="A1069" t="e">
        <f>IF(NOT(ISBLANK([1]Variables!A1069)),[1]Variables!A1069,"")</f>
        <v>#REF!</v>
      </c>
    </row>
    <row r="1070" spans="1:1" x14ac:dyDescent="0.2">
      <c r="A1070" t="e">
        <f>IF(NOT(ISBLANK([1]Variables!A1070)),[1]Variables!A1070,"")</f>
        <v>#REF!</v>
      </c>
    </row>
    <row r="1071" spans="1:1" x14ac:dyDescent="0.2">
      <c r="A1071" t="e">
        <f>IF(NOT(ISBLANK([1]Variables!A1071)),[1]Variables!A1071,"")</f>
        <v>#REF!</v>
      </c>
    </row>
    <row r="1072" spans="1:1" x14ac:dyDescent="0.2">
      <c r="A1072" t="e">
        <f>IF(NOT(ISBLANK([1]Variables!A1072)),[1]Variables!A1072,"")</f>
        <v>#REF!</v>
      </c>
    </row>
    <row r="1073" spans="1:1" x14ac:dyDescent="0.2">
      <c r="A1073" t="e">
        <f>IF(NOT(ISBLANK([1]Variables!A1073)),[1]Variables!A1073,"")</f>
        <v>#REF!</v>
      </c>
    </row>
    <row r="1074" spans="1:1" x14ac:dyDescent="0.2">
      <c r="A1074" t="e">
        <f>IF(NOT(ISBLANK([1]Variables!A1074)),[1]Variables!A1074,"")</f>
        <v>#REF!</v>
      </c>
    </row>
    <row r="1075" spans="1:1" x14ac:dyDescent="0.2">
      <c r="A1075" t="e">
        <f>IF(NOT(ISBLANK([1]Variables!A1075)),[1]Variables!A1075,"")</f>
        <v>#REF!</v>
      </c>
    </row>
    <row r="1076" spans="1:1" x14ac:dyDescent="0.2">
      <c r="A1076" t="e">
        <f>IF(NOT(ISBLANK([1]Variables!A1076)),[1]Variables!A1076,"")</f>
        <v>#REF!</v>
      </c>
    </row>
    <row r="1077" spans="1:1" x14ac:dyDescent="0.2">
      <c r="A1077" t="e">
        <f>IF(NOT(ISBLANK([1]Variables!A1077)),[1]Variables!A1077,"")</f>
        <v>#REF!</v>
      </c>
    </row>
    <row r="1078" spans="1:1" x14ac:dyDescent="0.2">
      <c r="A1078" t="e">
        <f>IF(NOT(ISBLANK([1]Variables!A1078)),[1]Variables!A1078,"")</f>
        <v>#REF!</v>
      </c>
    </row>
    <row r="1079" spans="1:1" x14ac:dyDescent="0.2">
      <c r="A1079" t="e">
        <f>IF(NOT(ISBLANK([1]Variables!A1079)),[1]Variables!A1079,"")</f>
        <v>#REF!</v>
      </c>
    </row>
    <row r="1080" spans="1:1" x14ac:dyDescent="0.2">
      <c r="A1080" t="e">
        <f>IF(NOT(ISBLANK([1]Variables!A1080)),[1]Variables!A1080,"")</f>
        <v>#REF!</v>
      </c>
    </row>
    <row r="1081" spans="1:1" x14ac:dyDescent="0.2">
      <c r="A1081" t="e">
        <f>IF(NOT(ISBLANK([1]Variables!A1081)),[1]Variables!A1081,"")</f>
        <v>#REF!</v>
      </c>
    </row>
    <row r="1082" spans="1:1" x14ac:dyDescent="0.2">
      <c r="A1082" t="e">
        <f>IF(NOT(ISBLANK([1]Variables!A1082)),[1]Variables!A1082,"")</f>
        <v>#REF!</v>
      </c>
    </row>
    <row r="1083" spans="1:1" x14ac:dyDescent="0.2">
      <c r="A1083" t="e">
        <f>IF(NOT(ISBLANK([1]Variables!A1083)),[1]Variables!A1083,"")</f>
        <v>#REF!</v>
      </c>
    </row>
    <row r="1084" spans="1:1" x14ac:dyDescent="0.2">
      <c r="A1084" t="e">
        <f>IF(NOT(ISBLANK([1]Variables!A1084)),[1]Variables!A1084,"")</f>
        <v>#REF!</v>
      </c>
    </row>
    <row r="1085" spans="1:1" x14ac:dyDescent="0.2">
      <c r="A1085" t="e">
        <f>IF(NOT(ISBLANK([1]Variables!A1085)),[1]Variables!A1085,"")</f>
        <v>#REF!</v>
      </c>
    </row>
    <row r="1086" spans="1:1" x14ac:dyDescent="0.2">
      <c r="A1086" t="e">
        <f>IF(NOT(ISBLANK([1]Variables!A1086)),[1]Variables!A1086,"")</f>
        <v>#REF!</v>
      </c>
    </row>
    <row r="1087" spans="1:1" x14ac:dyDescent="0.2">
      <c r="A1087" t="e">
        <f>IF(NOT(ISBLANK([1]Variables!A1087)),[1]Variables!A1087,"")</f>
        <v>#REF!</v>
      </c>
    </row>
    <row r="1088" spans="1:1" x14ac:dyDescent="0.2">
      <c r="A1088" t="e">
        <f>IF(NOT(ISBLANK([1]Variables!A1088)),[1]Variables!A1088,"")</f>
        <v>#REF!</v>
      </c>
    </row>
    <row r="1089" spans="1:1" x14ac:dyDescent="0.2">
      <c r="A1089" t="e">
        <f>IF(NOT(ISBLANK([1]Variables!A1089)),[1]Variables!A1089,"")</f>
        <v>#REF!</v>
      </c>
    </row>
    <row r="1090" spans="1:1" x14ac:dyDescent="0.2">
      <c r="A1090" t="e">
        <f>IF(NOT(ISBLANK([1]Variables!A1090)),[1]Variables!A1090,"")</f>
        <v>#REF!</v>
      </c>
    </row>
    <row r="1091" spans="1:1" x14ac:dyDescent="0.2">
      <c r="A1091" t="e">
        <f>IF(NOT(ISBLANK([1]Variables!A1091)),[1]Variables!A1091,"")</f>
        <v>#REF!</v>
      </c>
    </row>
    <row r="1092" spans="1:1" x14ac:dyDescent="0.2">
      <c r="A1092" t="e">
        <f>IF(NOT(ISBLANK([1]Variables!A1092)),[1]Variables!A1092,"")</f>
        <v>#REF!</v>
      </c>
    </row>
    <row r="1093" spans="1:1" x14ac:dyDescent="0.2">
      <c r="A1093" t="e">
        <f>IF(NOT(ISBLANK([1]Variables!A1093)),[1]Variables!A1093,"")</f>
        <v>#REF!</v>
      </c>
    </row>
    <row r="1094" spans="1:1" x14ac:dyDescent="0.2">
      <c r="A1094" t="e">
        <f>IF(NOT(ISBLANK([1]Variables!A1094)),[1]Variables!A1094,"")</f>
        <v>#REF!</v>
      </c>
    </row>
    <row r="1095" spans="1:1" x14ac:dyDescent="0.2">
      <c r="A1095" t="e">
        <f>IF(NOT(ISBLANK([1]Variables!A1095)),[1]Variables!A1095,"")</f>
        <v>#REF!</v>
      </c>
    </row>
    <row r="1096" spans="1:1" x14ac:dyDescent="0.2">
      <c r="A1096" t="e">
        <f>IF(NOT(ISBLANK([1]Variables!A1096)),[1]Variables!A1096,"")</f>
        <v>#REF!</v>
      </c>
    </row>
    <row r="1097" spans="1:1" x14ac:dyDescent="0.2">
      <c r="A1097" t="e">
        <f>IF(NOT(ISBLANK([1]Variables!A1097)),[1]Variables!A1097,"")</f>
        <v>#REF!</v>
      </c>
    </row>
    <row r="1098" spans="1:1" x14ac:dyDescent="0.2">
      <c r="A1098" t="e">
        <f>IF(NOT(ISBLANK([1]Variables!A1098)),[1]Variables!A1098,"")</f>
        <v>#REF!</v>
      </c>
    </row>
    <row r="1099" spans="1:1" x14ac:dyDescent="0.2">
      <c r="A1099" t="e">
        <f>IF(NOT(ISBLANK([1]Variables!A1099)),[1]Variables!A1099,"")</f>
        <v>#REF!</v>
      </c>
    </row>
    <row r="1100" spans="1:1" x14ac:dyDescent="0.2">
      <c r="A1100" t="e">
        <f>IF(NOT(ISBLANK([1]Variables!A1100)),[1]Variables!A1100,"")</f>
        <v>#REF!</v>
      </c>
    </row>
    <row r="1101" spans="1:1" x14ac:dyDescent="0.2">
      <c r="A1101" t="e">
        <f>IF(NOT(ISBLANK([1]Variables!A1101)),[1]Variables!A1101,"")</f>
        <v>#REF!</v>
      </c>
    </row>
    <row r="1102" spans="1:1" x14ac:dyDescent="0.2">
      <c r="A1102" t="e">
        <f>IF(NOT(ISBLANK([1]Variables!A1102)),[1]Variables!A1102,"")</f>
        <v>#REF!</v>
      </c>
    </row>
    <row r="1103" spans="1:1" x14ac:dyDescent="0.2">
      <c r="A1103" t="e">
        <f>IF(NOT(ISBLANK([1]Variables!A1103)),[1]Variables!A1103,"")</f>
        <v>#REF!</v>
      </c>
    </row>
    <row r="1104" spans="1:1" x14ac:dyDescent="0.2">
      <c r="A1104" t="e">
        <f>IF(NOT(ISBLANK([1]Variables!A1104)),[1]Variables!A1104,"")</f>
        <v>#REF!</v>
      </c>
    </row>
    <row r="1105" spans="1:1" x14ac:dyDescent="0.2">
      <c r="A1105" t="e">
        <f>IF(NOT(ISBLANK([1]Variables!A1105)),[1]Variables!A1105,"")</f>
        <v>#REF!</v>
      </c>
    </row>
    <row r="1106" spans="1:1" x14ac:dyDescent="0.2">
      <c r="A1106" t="e">
        <f>IF(NOT(ISBLANK([1]Variables!A1106)),[1]Variables!A1106,"")</f>
        <v>#REF!</v>
      </c>
    </row>
    <row r="1107" spans="1:1" x14ac:dyDescent="0.2">
      <c r="A1107" t="e">
        <f>IF(NOT(ISBLANK([1]Variables!A1107)),[1]Variables!A1107,"")</f>
        <v>#REF!</v>
      </c>
    </row>
    <row r="1108" spans="1:1" x14ac:dyDescent="0.2">
      <c r="A1108" t="e">
        <f>IF(NOT(ISBLANK([1]Variables!A1108)),[1]Variables!A1108,"")</f>
        <v>#REF!</v>
      </c>
    </row>
    <row r="1109" spans="1:1" x14ac:dyDescent="0.2">
      <c r="A1109" t="e">
        <f>IF(NOT(ISBLANK([1]Variables!A1109)),[1]Variables!A1109,"")</f>
        <v>#REF!</v>
      </c>
    </row>
    <row r="1110" spans="1:1" x14ac:dyDescent="0.2">
      <c r="A1110" t="e">
        <f>IF(NOT(ISBLANK([1]Variables!A1110)),[1]Variables!A1110,"")</f>
        <v>#REF!</v>
      </c>
    </row>
    <row r="1111" spans="1:1" x14ac:dyDescent="0.2">
      <c r="A1111" t="e">
        <f>IF(NOT(ISBLANK([1]Variables!A1111)),[1]Variables!A1111,"")</f>
        <v>#REF!</v>
      </c>
    </row>
    <row r="1112" spans="1:1" x14ac:dyDescent="0.2">
      <c r="A1112" t="e">
        <f>IF(NOT(ISBLANK([1]Variables!A1112)),[1]Variables!A1112,"")</f>
        <v>#REF!</v>
      </c>
    </row>
    <row r="1113" spans="1:1" x14ac:dyDescent="0.2">
      <c r="A1113" t="e">
        <f>IF(NOT(ISBLANK([1]Variables!A1113)),[1]Variables!A1113,"")</f>
        <v>#REF!</v>
      </c>
    </row>
    <row r="1114" spans="1:1" x14ac:dyDescent="0.2">
      <c r="A1114" t="e">
        <f>IF(NOT(ISBLANK([1]Variables!A1114)),[1]Variables!A1114,"")</f>
        <v>#REF!</v>
      </c>
    </row>
    <row r="1115" spans="1:1" x14ac:dyDescent="0.2">
      <c r="A1115" t="e">
        <f>IF(NOT(ISBLANK([1]Variables!A1115)),[1]Variables!A1115,"")</f>
        <v>#REF!</v>
      </c>
    </row>
    <row r="1116" spans="1:1" x14ac:dyDescent="0.2">
      <c r="A1116" t="e">
        <f>IF(NOT(ISBLANK([1]Variables!A1116)),[1]Variables!A1116,"")</f>
        <v>#REF!</v>
      </c>
    </row>
    <row r="1117" spans="1:1" x14ac:dyDescent="0.2">
      <c r="A1117" t="e">
        <f>IF(NOT(ISBLANK([1]Variables!A1117)),[1]Variables!A1117,"")</f>
        <v>#REF!</v>
      </c>
    </row>
    <row r="1118" spans="1:1" x14ac:dyDescent="0.2">
      <c r="A1118" t="e">
        <f>IF(NOT(ISBLANK([1]Variables!A1118)),[1]Variables!A1118,"")</f>
        <v>#REF!</v>
      </c>
    </row>
    <row r="1119" spans="1:1" x14ac:dyDescent="0.2">
      <c r="A1119" t="e">
        <f>IF(NOT(ISBLANK([1]Variables!A1119)),[1]Variables!A1119,"")</f>
        <v>#REF!</v>
      </c>
    </row>
    <row r="1120" spans="1:1" x14ac:dyDescent="0.2">
      <c r="A1120" t="e">
        <f>IF(NOT(ISBLANK([1]Variables!A1120)),[1]Variables!A1120,"")</f>
        <v>#REF!</v>
      </c>
    </row>
    <row r="1121" spans="1:1" x14ac:dyDescent="0.2">
      <c r="A1121" t="e">
        <f>IF(NOT(ISBLANK([1]Variables!A1121)),[1]Variables!A1121,"")</f>
        <v>#REF!</v>
      </c>
    </row>
    <row r="1122" spans="1:1" x14ac:dyDescent="0.2">
      <c r="A1122" t="e">
        <f>IF(NOT(ISBLANK([1]Variables!A1122)),[1]Variables!A1122,"")</f>
        <v>#REF!</v>
      </c>
    </row>
    <row r="1123" spans="1:1" x14ac:dyDescent="0.2">
      <c r="A1123" t="e">
        <f>IF(NOT(ISBLANK([1]Variables!A1123)),[1]Variables!A1123,"")</f>
        <v>#REF!</v>
      </c>
    </row>
    <row r="1124" spans="1:1" x14ac:dyDescent="0.2">
      <c r="A1124" t="e">
        <f>IF(NOT(ISBLANK([1]Variables!A1124)),[1]Variables!A1124,"")</f>
        <v>#REF!</v>
      </c>
    </row>
    <row r="1125" spans="1:1" x14ac:dyDescent="0.2">
      <c r="A1125" t="e">
        <f>IF(NOT(ISBLANK([1]Variables!A1125)),[1]Variables!A1125,"")</f>
        <v>#REF!</v>
      </c>
    </row>
    <row r="1126" spans="1:1" x14ac:dyDescent="0.2">
      <c r="A1126" t="e">
        <f>IF(NOT(ISBLANK([1]Variables!A1126)),[1]Variables!A1126,"")</f>
        <v>#REF!</v>
      </c>
    </row>
    <row r="1127" spans="1:1" x14ac:dyDescent="0.2">
      <c r="A1127" t="e">
        <f>IF(NOT(ISBLANK([1]Variables!A1127)),[1]Variables!A1127,"")</f>
        <v>#REF!</v>
      </c>
    </row>
    <row r="1128" spans="1:1" x14ac:dyDescent="0.2">
      <c r="A1128" t="e">
        <f>IF(NOT(ISBLANK([1]Variables!A1128)),[1]Variables!A1128,"")</f>
        <v>#REF!</v>
      </c>
    </row>
    <row r="1129" spans="1:1" x14ac:dyDescent="0.2">
      <c r="A1129" t="e">
        <f>IF(NOT(ISBLANK([1]Variables!A1129)),[1]Variables!A1129,"")</f>
        <v>#REF!</v>
      </c>
    </row>
    <row r="1130" spans="1:1" x14ac:dyDescent="0.2">
      <c r="A1130" t="e">
        <f>IF(NOT(ISBLANK([1]Variables!A1130)),[1]Variables!A1130,"")</f>
        <v>#REF!</v>
      </c>
    </row>
    <row r="1131" spans="1:1" x14ac:dyDescent="0.2">
      <c r="A1131" t="e">
        <f>IF(NOT(ISBLANK([1]Variables!A1131)),[1]Variables!A1131,"")</f>
        <v>#REF!</v>
      </c>
    </row>
    <row r="1132" spans="1:1" x14ac:dyDescent="0.2">
      <c r="A1132" t="e">
        <f>IF(NOT(ISBLANK([1]Variables!A1132)),[1]Variables!A1132,"")</f>
        <v>#REF!</v>
      </c>
    </row>
    <row r="1133" spans="1:1" x14ac:dyDescent="0.2">
      <c r="A1133" t="e">
        <f>IF(NOT(ISBLANK([1]Variables!A1133)),[1]Variables!A1133,"")</f>
        <v>#REF!</v>
      </c>
    </row>
    <row r="1134" spans="1:1" x14ac:dyDescent="0.2">
      <c r="A1134" t="e">
        <f>IF(NOT(ISBLANK([1]Variables!A1134)),[1]Variables!A1134,"")</f>
        <v>#REF!</v>
      </c>
    </row>
    <row r="1135" spans="1:1" x14ac:dyDescent="0.2">
      <c r="A1135" t="e">
        <f>IF(NOT(ISBLANK([1]Variables!A1135)),[1]Variables!A1135,"")</f>
        <v>#REF!</v>
      </c>
    </row>
    <row r="1136" spans="1:1" x14ac:dyDescent="0.2">
      <c r="A1136" t="e">
        <f>IF(NOT(ISBLANK([1]Variables!A1136)),[1]Variables!A1136,"")</f>
        <v>#REF!</v>
      </c>
    </row>
    <row r="1137" spans="1:1" x14ac:dyDescent="0.2">
      <c r="A1137" t="e">
        <f>IF(NOT(ISBLANK([1]Variables!A1137)),[1]Variables!A1137,"")</f>
        <v>#REF!</v>
      </c>
    </row>
    <row r="1138" spans="1:1" x14ac:dyDescent="0.2">
      <c r="A1138" t="e">
        <f>IF(NOT(ISBLANK([1]Variables!A1138)),[1]Variables!A1138,"")</f>
        <v>#REF!</v>
      </c>
    </row>
    <row r="1139" spans="1:1" x14ac:dyDescent="0.2">
      <c r="A1139" t="e">
        <f>IF(NOT(ISBLANK([1]Variables!A1139)),[1]Variables!A1139,"")</f>
        <v>#REF!</v>
      </c>
    </row>
    <row r="1140" spans="1:1" x14ac:dyDescent="0.2">
      <c r="A1140" t="e">
        <f>IF(NOT(ISBLANK([1]Variables!A1140)),[1]Variables!A1140,"")</f>
        <v>#REF!</v>
      </c>
    </row>
    <row r="1141" spans="1:1" x14ac:dyDescent="0.2">
      <c r="A1141" t="e">
        <f>IF(NOT(ISBLANK([1]Variables!A1141)),[1]Variables!A1141,"")</f>
        <v>#REF!</v>
      </c>
    </row>
    <row r="1142" spans="1:1" x14ac:dyDescent="0.2">
      <c r="A1142" t="e">
        <f>IF(NOT(ISBLANK([1]Variables!A1142)),[1]Variables!A1142,"")</f>
        <v>#REF!</v>
      </c>
    </row>
    <row r="1143" spans="1:1" x14ac:dyDescent="0.2">
      <c r="A1143" t="e">
        <f>IF(NOT(ISBLANK([1]Variables!A1143)),[1]Variables!A1143,"")</f>
        <v>#REF!</v>
      </c>
    </row>
    <row r="1144" spans="1:1" x14ac:dyDescent="0.2">
      <c r="A1144" t="e">
        <f>IF(NOT(ISBLANK([1]Variables!A1144)),[1]Variables!A1144,"")</f>
        <v>#REF!</v>
      </c>
    </row>
    <row r="1145" spans="1:1" x14ac:dyDescent="0.2">
      <c r="A1145" t="e">
        <f>IF(NOT(ISBLANK([1]Variables!A1145)),[1]Variables!A1145,"")</f>
        <v>#REF!</v>
      </c>
    </row>
    <row r="1146" spans="1:1" x14ac:dyDescent="0.2">
      <c r="A1146" t="e">
        <f>IF(NOT(ISBLANK([1]Variables!A1146)),[1]Variables!A1146,"")</f>
        <v>#REF!</v>
      </c>
    </row>
    <row r="1147" spans="1:1" x14ac:dyDescent="0.2">
      <c r="A1147" t="e">
        <f>IF(NOT(ISBLANK([1]Variables!A1147)),[1]Variables!A1147,"")</f>
        <v>#REF!</v>
      </c>
    </row>
    <row r="1148" spans="1:1" x14ac:dyDescent="0.2">
      <c r="A1148" t="e">
        <f>IF(NOT(ISBLANK([1]Variables!A1148)),[1]Variables!A1148,"")</f>
        <v>#REF!</v>
      </c>
    </row>
    <row r="1149" spans="1:1" x14ac:dyDescent="0.2">
      <c r="A1149" t="e">
        <f>IF(NOT(ISBLANK([1]Variables!A1149)),[1]Variables!A1149,"")</f>
        <v>#REF!</v>
      </c>
    </row>
    <row r="1150" spans="1:1" x14ac:dyDescent="0.2">
      <c r="A1150" t="e">
        <f>IF(NOT(ISBLANK([1]Variables!A1150)),[1]Variables!A1150,"")</f>
        <v>#REF!</v>
      </c>
    </row>
    <row r="1151" spans="1:1" x14ac:dyDescent="0.2">
      <c r="A1151" t="e">
        <f>IF(NOT(ISBLANK([1]Variables!A1151)),[1]Variables!A1151,"")</f>
        <v>#REF!</v>
      </c>
    </row>
    <row r="1152" spans="1:1" x14ac:dyDescent="0.2">
      <c r="A1152" t="e">
        <f>IF(NOT(ISBLANK([1]Variables!A1152)),[1]Variables!A1152,"")</f>
        <v>#REF!</v>
      </c>
    </row>
    <row r="1153" spans="1:1" x14ac:dyDescent="0.2">
      <c r="A1153" t="e">
        <f>IF(NOT(ISBLANK([1]Variables!A1153)),[1]Variables!A1153,"")</f>
        <v>#REF!</v>
      </c>
    </row>
    <row r="1154" spans="1:1" x14ac:dyDescent="0.2">
      <c r="A1154" t="e">
        <f>IF(NOT(ISBLANK([1]Variables!A1154)),[1]Variables!A1154,"")</f>
        <v>#REF!</v>
      </c>
    </row>
    <row r="1155" spans="1:1" x14ac:dyDescent="0.2">
      <c r="A1155" t="e">
        <f>IF(NOT(ISBLANK([1]Variables!A1155)),[1]Variables!A1155,"")</f>
        <v>#REF!</v>
      </c>
    </row>
    <row r="1156" spans="1:1" x14ac:dyDescent="0.2">
      <c r="A1156" t="e">
        <f>IF(NOT(ISBLANK([1]Variables!A1156)),[1]Variables!A1156,"")</f>
        <v>#REF!</v>
      </c>
    </row>
    <row r="1157" spans="1:1" x14ac:dyDescent="0.2">
      <c r="A1157" t="e">
        <f>IF(NOT(ISBLANK([1]Variables!A1157)),[1]Variables!A1157,"")</f>
        <v>#REF!</v>
      </c>
    </row>
    <row r="1158" spans="1:1" x14ac:dyDescent="0.2">
      <c r="A1158" t="e">
        <f>IF(NOT(ISBLANK([1]Variables!A1158)),[1]Variables!A1158,"")</f>
        <v>#REF!</v>
      </c>
    </row>
    <row r="1159" spans="1:1" x14ac:dyDescent="0.2">
      <c r="A1159" t="e">
        <f>IF(NOT(ISBLANK([1]Variables!A1159)),[1]Variables!A1159,"")</f>
        <v>#REF!</v>
      </c>
    </row>
    <row r="1160" spans="1:1" x14ac:dyDescent="0.2">
      <c r="A1160" t="e">
        <f>IF(NOT(ISBLANK([1]Variables!A1160)),[1]Variables!A1160,"")</f>
        <v>#REF!</v>
      </c>
    </row>
    <row r="1161" spans="1:1" x14ac:dyDescent="0.2">
      <c r="A1161" t="e">
        <f>IF(NOT(ISBLANK([1]Variables!A1161)),[1]Variables!A1161,"")</f>
        <v>#REF!</v>
      </c>
    </row>
    <row r="1162" spans="1:1" x14ac:dyDescent="0.2">
      <c r="A1162" t="e">
        <f>IF(NOT(ISBLANK([1]Variables!A1162)),[1]Variables!A1162,"")</f>
        <v>#REF!</v>
      </c>
    </row>
    <row r="1163" spans="1:1" x14ac:dyDescent="0.2">
      <c r="A1163" t="e">
        <f>IF(NOT(ISBLANK([1]Variables!A1163)),[1]Variables!A1163,"")</f>
        <v>#REF!</v>
      </c>
    </row>
    <row r="1164" spans="1:1" x14ac:dyDescent="0.2">
      <c r="A1164" t="e">
        <f>IF(NOT(ISBLANK([1]Variables!A1164)),[1]Variables!A1164,"")</f>
        <v>#REF!</v>
      </c>
    </row>
    <row r="1165" spans="1:1" x14ac:dyDescent="0.2">
      <c r="A1165" t="e">
        <f>IF(NOT(ISBLANK([1]Variables!A1165)),[1]Variables!A1165,"")</f>
        <v>#REF!</v>
      </c>
    </row>
    <row r="1166" spans="1:1" x14ac:dyDescent="0.2">
      <c r="A1166" t="e">
        <f>IF(NOT(ISBLANK([1]Variables!A1166)),[1]Variables!A1166,"")</f>
        <v>#REF!</v>
      </c>
    </row>
    <row r="1167" spans="1:1" x14ac:dyDescent="0.2">
      <c r="A1167" t="e">
        <f>IF(NOT(ISBLANK([1]Variables!A1167)),[1]Variables!A1167,"")</f>
        <v>#REF!</v>
      </c>
    </row>
    <row r="1168" spans="1:1" x14ac:dyDescent="0.2">
      <c r="A1168" t="e">
        <f>IF(NOT(ISBLANK([1]Variables!A1168)),[1]Variables!A1168,"")</f>
        <v>#REF!</v>
      </c>
    </row>
    <row r="1169" spans="1:1" x14ac:dyDescent="0.2">
      <c r="A1169" t="e">
        <f>IF(NOT(ISBLANK([1]Variables!A1169)),[1]Variables!A1169,"")</f>
        <v>#REF!</v>
      </c>
    </row>
    <row r="1170" spans="1:1" x14ac:dyDescent="0.2">
      <c r="A1170" t="e">
        <f>IF(NOT(ISBLANK([1]Variables!A1170)),[1]Variables!A1170,"")</f>
        <v>#REF!</v>
      </c>
    </row>
    <row r="1171" spans="1:1" x14ac:dyDescent="0.2">
      <c r="A1171" t="e">
        <f>IF(NOT(ISBLANK([1]Variables!A1171)),[1]Variables!A1171,"")</f>
        <v>#REF!</v>
      </c>
    </row>
    <row r="1172" spans="1:1" x14ac:dyDescent="0.2">
      <c r="A1172" t="e">
        <f>IF(NOT(ISBLANK([1]Variables!A1172)),[1]Variables!A1172,"")</f>
        <v>#REF!</v>
      </c>
    </row>
    <row r="1173" spans="1:1" x14ac:dyDescent="0.2">
      <c r="A1173" t="e">
        <f>IF(NOT(ISBLANK([1]Variables!A1173)),[1]Variables!A1173,"")</f>
        <v>#REF!</v>
      </c>
    </row>
    <row r="1174" spans="1:1" x14ac:dyDescent="0.2">
      <c r="A1174" t="e">
        <f>IF(NOT(ISBLANK([1]Variables!A1174)),[1]Variables!A1174,"")</f>
        <v>#REF!</v>
      </c>
    </row>
    <row r="1175" spans="1:1" x14ac:dyDescent="0.2">
      <c r="A1175" t="e">
        <f>IF(NOT(ISBLANK([1]Variables!A1175)),[1]Variables!A1175,"")</f>
        <v>#REF!</v>
      </c>
    </row>
    <row r="1176" spans="1:1" x14ac:dyDescent="0.2">
      <c r="A1176" t="e">
        <f>IF(NOT(ISBLANK([1]Variables!A1176)),[1]Variables!A1176,"")</f>
        <v>#REF!</v>
      </c>
    </row>
    <row r="1177" spans="1:1" x14ac:dyDescent="0.2">
      <c r="A1177" t="e">
        <f>IF(NOT(ISBLANK([1]Variables!A1177)),[1]Variables!A1177,"")</f>
        <v>#REF!</v>
      </c>
    </row>
    <row r="1178" spans="1:1" x14ac:dyDescent="0.2">
      <c r="A1178" t="e">
        <f>IF(NOT(ISBLANK([1]Variables!A1178)),[1]Variables!A1178,"")</f>
        <v>#REF!</v>
      </c>
    </row>
    <row r="1179" spans="1:1" x14ac:dyDescent="0.2">
      <c r="A1179" t="e">
        <f>IF(NOT(ISBLANK([1]Variables!A1179)),[1]Variables!A1179,"")</f>
        <v>#REF!</v>
      </c>
    </row>
    <row r="1180" spans="1:1" x14ac:dyDescent="0.2">
      <c r="A1180" t="e">
        <f>IF(NOT(ISBLANK([1]Variables!A1180)),[1]Variables!A1180,"")</f>
        <v>#REF!</v>
      </c>
    </row>
    <row r="1181" spans="1:1" x14ac:dyDescent="0.2">
      <c r="A1181" t="e">
        <f>IF(NOT(ISBLANK([1]Variables!A1181)),[1]Variables!A1181,"")</f>
        <v>#REF!</v>
      </c>
    </row>
    <row r="1182" spans="1:1" x14ac:dyDescent="0.2">
      <c r="A1182" t="e">
        <f>IF(NOT(ISBLANK([1]Variables!A1182)),[1]Variables!A1182,"")</f>
        <v>#REF!</v>
      </c>
    </row>
    <row r="1183" spans="1:1" x14ac:dyDescent="0.2">
      <c r="A1183" t="e">
        <f>IF(NOT(ISBLANK([1]Variables!A1183)),[1]Variables!A1183,"")</f>
        <v>#REF!</v>
      </c>
    </row>
    <row r="1184" spans="1:1" x14ac:dyDescent="0.2">
      <c r="A1184" t="e">
        <f>IF(NOT(ISBLANK([1]Variables!A1184)),[1]Variables!A1184,"")</f>
        <v>#REF!</v>
      </c>
    </row>
    <row r="1185" spans="1:1" x14ac:dyDescent="0.2">
      <c r="A1185" t="e">
        <f>IF(NOT(ISBLANK([1]Variables!A1185)),[1]Variables!A1185,"")</f>
        <v>#REF!</v>
      </c>
    </row>
    <row r="1186" spans="1:1" x14ac:dyDescent="0.2">
      <c r="A1186" t="e">
        <f>IF(NOT(ISBLANK([1]Variables!A1186)),[1]Variables!A1186,"")</f>
        <v>#REF!</v>
      </c>
    </row>
    <row r="1187" spans="1:1" x14ac:dyDescent="0.2">
      <c r="A1187" t="e">
        <f>IF(NOT(ISBLANK([1]Variables!A1187)),[1]Variables!A1187,"")</f>
        <v>#REF!</v>
      </c>
    </row>
    <row r="1188" spans="1:1" x14ac:dyDescent="0.2">
      <c r="A1188" t="e">
        <f>IF(NOT(ISBLANK([1]Variables!A1188)),[1]Variables!A1188,"")</f>
        <v>#REF!</v>
      </c>
    </row>
    <row r="1189" spans="1:1" x14ac:dyDescent="0.2">
      <c r="A1189" t="e">
        <f>IF(NOT(ISBLANK([1]Variables!A1189)),[1]Variables!A1189,"")</f>
        <v>#REF!</v>
      </c>
    </row>
    <row r="1190" spans="1:1" x14ac:dyDescent="0.2">
      <c r="A1190" t="e">
        <f>IF(NOT(ISBLANK([1]Variables!A1190)),[1]Variables!A1190,"")</f>
        <v>#REF!</v>
      </c>
    </row>
    <row r="1191" spans="1:1" x14ac:dyDescent="0.2">
      <c r="A1191" t="e">
        <f>IF(NOT(ISBLANK([1]Variables!A1191)),[1]Variables!A1191,"")</f>
        <v>#REF!</v>
      </c>
    </row>
    <row r="1192" spans="1:1" x14ac:dyDescent="0.2">
      <c r="A1192" t="e">
        <f>IF(NOT(ISBLANK([1]Variables!A1192)),[1]Variables!A1192,"")</f>
        <v>#REF!</v>
      </c>
    </row>
    <row r="1193" spans="1:1" x14ac:dyDescent="0.2">
      <c r="A1193" t="e">
        <f>IF(NOT(ISBLANK([1]Variables!A1193)),[1]Variables!A1193,"")</f>
        <v>#REF!</v>
      </c>
    </row>
    <row r="1194" spans="1:1" x14ac:dyDescent="0.2">
      <c r="A1194" t="e">
        <f>IF(NOT(ISBLANK([1]Variables!A1194)),[1]Variables!A1194,"")</f>
        <v>#REF!</v>
      </c>
    </row>
    <row r="1195" spans="1:1" x14ac:dyDescent="0.2">
      <c r="A1195" t="e">
        <f>IF(NOT(ISBLANK([1]Variables!A1195)),[1]Variables!A1195,"")</f>
        <v>#REF!</v>
      </c>
    </row>
    <row r="1196" spans="1:1" x14ac:dyDescent="0.2">
      <c r="A1196" t="e">
        <f>IF(NOT(ISBLANK([1]Variables!A1196)),[1]Variables!A1196,"")</f>
        <v>#REF!</v>
      </c>
    </row>
    <row r="1197" spans="1:1" x14ac:dyDescent="0.2">
      <c r="A1197" t="e">
        <f>IF(NOT(ISBLANK([1]Variables!A1197)),[1]Variables!A1197,"")</f>
        <v>#REF!</v>
      </c>
    </row>
    <row r="1198" spans="1:1" x14ac:dyDescent="0.2">
      <c r="A1198" t="e">
        <f>IF(NOT(ISBLANK([1]Variables!A1198)),[1]Variables!A1198,"")</f>
        <v>#REF!</v>
      </c>
    </row>
    <row r="1199" spans="1:1" x14ac:dyDescent="0.2">
      <c r="A1199" t="e">
        <f>IF(NOT(ISBLANK([1]Variables!A1199)),[1]Variables!A1199,"")</f>
        <v>#REF!</v>
      </c>
    </row>
    <row r="1200" spans="1:1" x14ac:dyDescent="0.2">
      <c r="A1200" t="e">
        <f>IF(NOT(ISBLANK([1]Variables!A1200)),[1]Variables!A1200,"")</f>
        <v>#REF!</v>
      </c>
    </row>
    <row r="1201" spans="1:1" x14ac:dyDescent="0.2">
      <c r="A1201" t="e">
        <f>IF(NOT(ISBLANK([1]Variables!A1201)),[1]Variables!A1201,"")</f>
        <v>#REF!</v>
      </c>
    </row>
    <row r="1202" spans="1:1" x14ac:dyDescent="0.2">
      <c r="A1202" t="e">
        <f>IF(NOT(ISBLANK([1]Variables!A1202)),[1]Variables!A1202,"")</f>
        <v>#REF!</v>
      </c>
    </row>
    <row r="1203" spans="1:1" x14ac:dyDescent="0.2">
      <c r="A1203" t="e">
        <f>IF(NOT(ISBLANK([1]Variables!A1203)),[1]Variables!A1203,"")</f>
        <v>#REF!</v>
      </c>
    </row>
    <row r="1204" spans="1:1" x14ac:dyDescent="0.2">
      <c r="A1204" t="e">
        <f>IF(NOT(ISBLANK([1]Variables!A1204)),[1]Variables!A1204,"")</f>
        <v>#REF!</v>
      </c>
    </row>
    <row r="1205" spans="1:1" x14ac:dyDescent="0.2">
      <c r="A1205" t="e">
        <f>IF(NOT(ISBLANK([1]Variables!A1205)),[1]Variables!A1205,"")</f>
        <v>#REF!</v>
      </c>
    </row>
    <row r="1206" spans="1:1" x14ac:dyDescent="0.2">
      <c r="A1206" t="e">
        <f>IF(NOT(ISBLANK([1]Variables!A1206)),[1]Variables!A1206,"")</f>
        <v>#REF!</v>
      </c>
    </row>
    <row r="1207" spans="1:1" x14ac:dyDescent="0.2">
      <c r="A1207" t="e">
        <f>IF(NOT(ISBLANK([1]Variables!A1207)),[1]Variables!A1207,"")</f>
        <v>#REF!</v>
      </c>
    </row>
    <row r="1208" spans="1:1" x14ac:dyDescent="0.2">
      <c r="A1208" t="e">
        <f>IF(NOT(ISBLANK([1]Variables!A1208)),[1]Variables!A1208,"")</f>
        <v>#REF!</v>
      </c>
    </row>
    <row r="1209" spans="1:1" x14ac:dyDescent="0.2">
      <c r="A1209" t="e">
        <f>IF(NOT(ISBLANK([1]Variables!A1209)),[1]Variables!A1209,"")</f>
        <v>#REF!</v>
      </c>
    </row>
    <row r="1210" spans="1:1" x14ac:dyDescent="0.2">
      <c r="A1210" t="e">
        <f>IF(NOT(ISBLANK([1]Variables!A1210)),[1]Variables!A1210,"")</f>
        <v>#REF!</v>
      </c>
    </row>
    <row r="1211" spans="1:1" x14ac:dyDescent="0.2">
      <c r="A1211" t="e">
        <f>IF(NOT(ISBLANK([1]Variables!A1211)),[1]Variables!A1211,"")</f>
        <v>#REF!</v>
      </c>
    </row>
    <row r="1212" spans="1:1" x14ac:dyDescent="0.2">
      <c r="A1212" t="e">
        <f>IF(NOT(ISBLANK([1]Variables!A1212)),[1]Variables!A1212,"")</f>
        <v>#REF!</v>
      </c>
    </row>
    <row r="1213" spans="1:1" x14ac:dyDescent="0.2">
      <c r="A1213" t="e">
        <f>IF(NOT(ISBLANK([1]Variables!A1213)),[1]Variables!A1213,"")</f>
        <v>#REF!</v>
      </c>
    </row>
    <row r="1214" spans="1:1" x14ac:dyDescent="0.2">
      <c r="A1214" t="e">
        <f>IF(NOT(ISBLANK([1]Variables!A1214)),[1]Variables!A1214,"")</f>
        <v>#REF!</v>
      </c>
    </row>
    <row r="1215" spans="1:1" x14ac:dyDescent="0.2">
      <c r="A1215" t="e">
        <f>IF(NOT(ISBLANK([1]Variables!A1215)),[1]Variables!A1215,"")</f>
        <v>#REF!</v>
      </c>
    </row>
    <row r="1216" spans="1:1" x14ac:dyDescent="0.2">
      <c r="A1216" t="e">
        <f>IF(NOT(ISBLANK([1]Variables!A1216)),[1]Variables!A1216,"")</f>
        <v>#REF!</v>
      </c>
    </row>
    <row r="1217" spans="1:1" x14ac:dyDescent="0.2">
      <c r="A1217" t="e">
        <f>IF(NOT(ISBLANK([1]Variables!A1217)),[1]Variables!A1217,"")</f>
        <v>#REF!</v>
      </c>
    </row>
    <row r="1218" spans="1:1" x14ac:dyDescent="0.2">
      <c r="A1218" t="e">
        <f>IF(NOT(ISBLANK([1]Variables!A1218)),[1]Variables!A1218,"")</f>
        <v>#REF!</v>
      </c>
    </row>
    <row r="1219" spans="1:1" x14ac:dyDescent="0.2">
      <c r="A1219" t="e">
        <f>IF(NOT(ISBLANK([1]Variables!A1219)),[1]Variables!A1219,"")</f>
        <v>#REF!</v>
      </c>
    </row>
    <row r="1220" spans="1:1" x14ac:dyDescent="0.2">
      <c r="A1220" t="e">
        <f>IF(NOT(ISBLANK([1]Variables!A1220)),[1]Variables!A1220,"")</f>
        <v>#REF!</v>
      </c>
    </row>
    <row r="1221" spans="1:1" x14ac:dyDescent="0.2">
      <c r="A1221" t="e">
        <f>IF(NOT(ISBLANK([1]Variables!A1221)),[1]Variables!A1221,"")</f>
        <v>#REF!</v>
      </c>
    </row>
    <row r="1222" spans="1:1" x14ac:dyDescent="0.2">
      <c r="A1222" t="e">
        <f>IF(NOT(ISBLANK([1]Variables!A1222)),[1]Variables!A1222,"")</f>
        <v>#REF!</v>
      </c>
    </row>
    <row r="1223" spans="1:1" x14ac:dyDescent="0.2">
      <c r="A1223" t="e">
        <f>IF(NOT(ISBLANK([1]Variables!A1223)),[1]Variables!A1223,"")</f>
        <v>#REF!</v>
      </c>
    </row>
    <row r="1224" spans="1:1" x14ac:dyDescent="0.2">
      <c r="A1224" t="e">
        <f>IF(NOT(ISBLANK([1]Variables!A1224)),[1]Variables!A1224,"")</f>
        <v>#REF!</v>
      </c>
    </row>
    <row r="1225" spans="1:1" x14ac:dyDescent="0.2">
      <c r="A1225" t="e">
        <f>IF(NOT(ISBLANK([1]Variables!A1225)),[1]Variables!A1225,"")</f>
        <v>#REF!</v>
      </c>
    </row>
    <row r="1226" spans="1:1" x14ac:dyDescent="0.2">
      <c r="A1226" t="e">
        <f>IF(NOT(ISBLANK([1]Variables!A1226)),[1]Variables!A1226,"")</f>
        <v>#REF!</v>
      </c>
    </row>
    <row r="1227" spans="1:1" x14ac:dyDescent="0.2">
      <c r="A1227" t="e">
        <f>IF(NOT(ISBLANK([1]Variables!A1227)),[1]Variables!A1227,"")</f>
        <v>#REF!</v>
      </c>
    </row>
    <row r="1228" spans="1:1" x14ac:dyDescent="0.2">
      <c r="A1228" t="e">
        <f>IF(NOT(ISBLANK([1]Variables!A1228)),[1]Variables!A1228,"")</f>
        <v>#REF!</v>
      </c>
    </row>
    <row r="1229" spans="1:1" x14ac:dyDescent="0.2">
      <c r="A1229" t="e">
        <f>IF(NOT(ISBLANK([1]Variables!A1229)),[1]Variables!A1229,"")</f>
        <v>#REF!</v>
      </c>
    </row>
    <row r="1230" spans="1:1" x14ac:dyDescent="0.2">
      <c r="A1230" t="e">
        <f>IF(NOT(ISBLANK([1]Variables!A1230)),[1]Variables!A1230,"")</f>
        <v>#REF!</v>
      </c>
    </row>
    <row r="1231" spans="1:1" x14ac:dyDescent="0.2">
      <c r="A1231" t="e">
        <f>IF(NOT(ISBLANK([1]Variables!A1231)),[1]Variables!A1231,"")</f>
        <v>#REF!</v>
      </c>
    </row>
    <row r="1232" spans="1:1" x14ac:dyDescent="0.2">
      <c r="A1232" t="e">
        <f>IF(NOT(ISBLANK([1]Variables!A1232)),[1]Variables!A1232,"")</f>
        <v>#REF!</v>
      </c>
    </row>
    <row r="1233" spans="1:1" x14ac:dyDescent="0.2">
      <c r="A1233" t="e">
        <f>IF(NOT(ISBLANK([1]Variables!A1233)),[1]Variables!A1233,"")</f>
        <v>#REF!</v>
      </c>
    </row>
    <row r="1234" spans="1:1" x14ac:dyDescent="0.2">
      <c r="A1234" t="e">
        <f>IF(NOT(ISBLANK([1]Variables!A1234)),[1]Variables!A1234,"")</f>
        <v>#REF!</v>
      </c>
    </row>
    <row r="1235" spans="1:1" x14ac:dyDescent="0.2">
      <c r="A1235" t="e">
        <f>IF(NOT(ISBLANK([1]Variables!A1235)),[1]Variables!A1235,"")</f>
        <v>#REF!</v>
      </c>
    </row>
    <row r="1236" spans="1:1" x14ac:dyDescent="0.2">
      <c r="A1236" t="e">
        <f>IF(NOT(ISBLANK([1]Variables!A1236)),[1]Variables!A1236,"")</f>
        <v>#REF!</v>
      </c>
    </row>
    <row r="1237" spans="1:1" x14ac:dyDescent="0.2">
      <c r="A1237" t="e">
        <f>IF(NOT(ISBLANK([1]Variables!A1237)),[1]Variables!A1237,"")</f>
        <v>#REF!</v>
      </c>
    </row>
    <row r="1238" spans="1:1" x14ac:dyDescent="0.2">
      <c r="A1238" t="e">
        <f>IF(NOT(ISBLANK([1]Variables!A1238)),[1]Variables!A1238,"")</f>
        <v>#REF!</v>
      </c>
    </row>
    <row r="1239" spans="1:1" x14ac:dyDescent="0.2">
      <c r="A1239" t="e">
        <f>IF(NOT(ISBLANK([1]Variables!A1239)),[1]Variables!A1239,"")</f>
        <v>#REF!</v>
      </c>
    </row>
    <row r="1240" spans="1:1" x14ac:dyDescent="0.2">
      <c r="A1240" t="e">
        <f>IF(NOT(ISBLANK([1]Variables!A1240)),[1]Variables!A1240,"")</f>
        <v>#REF!</v>
      </c>
    </row>
    <row r="1241" spans="1:1" x14ac:dyDescent="0.2">
      <c r="A1241" t="e">
        <f>IF(NOT(ISBLANK([1]Variables!A1241)),[1]Variables!A1241,"")</f>
        <v>#REF!</v>
      </c>
    </row>
    <row r="1242" spans="1:1" x14ac:dyDescent="0.2">
      <c r="A1242" t="e">
        <f>IF(NOT(ISBLANK([1]Variables!A1242)),[1]Variables!A1242,"")</f>
        <v>#REF!</v>
      </c>
    </row>
    <row r="1243" spans="1:1" x14ac:dyDescent="0.2">
      <c r="A1243" t="e">
        <f>IF(NOT(ISBLANK([1]Variables!A1243)),[1]Variables!A1243,"")</f>
        <v>#REF!</v>
      </c>
    </row>
    <row r="1244" spans="1:1" x14ac:dyDescent="0.2">
      <c r="A1244" t="e">
        <f>IF(NOT(ISBLANK([1]Variables!A1244)),[1]Variables!A1244,"")</f>
        <v>#REF!</v>
      </c>
    </row>
    <row r="1245" spans="1:1" x14ac:dyDescent="0.2">
      <c r="A1245" t="e">
        <f>IF(NOT(ISBLANK([1]Variables!A1245)),[1]Variables!A1245,"")</f>
        <v>#REF!</v>
      </c>
    </row>
    <row r="1246" spans="1:1" x14ac:dyDescent="0.2">
      <c r="A1246" t="e">
        <f>IF(NOT(ISBLANK([1]Variables!A1246)),[1]Variables!A1246,"")</f>
        <v>#REF!</v>
      </c>
    </row>
    <row r="1247" spans="1:1" x14ac:dyDescent="0.2">
      <c r="A1247" t="e">
        <f>IF(NOT(ISBLANK([1]Variables!A1247)),[1]Variables!A1247,"")</f>
        <v>#REF!</v>
      </c>
    </row>
    <row r="1248" spans="1:1" x14ac:dyDescent="0.2">
      <c r="A1248" t="e">
        <f>IF(NOT(ISBLANK([1]Variables!A1248)),[1]Variables!A1248,"")</f>
        <v>#REF!</v>
      </c>
    </row>
    <row r="1249" spans="1:1" x14ac:dyDescent="0.2">
      <c r="A1249" t="e">
        <f>IF(NOT(ISBLANK([1]Variables!A1249)),[1]Variables!A1249,"")</f>
        <v>#REF!</v>
      </c>
    </row>
    <row r="1250" spans="1:1" x14ac:dyDescent="0.2">
      <c r="A1250" t="e">
        <f>IF(NOT(ISBLANK([1]Variables!A1250)),[1]Variables!A1250,"")</f>
        <v>#REF!</v>
      </c>
    </row>
    <row r="1251" spans="1:1" x14ac:dyDescent="0.2">
      <c r="A1251" t="e">
        <f>IF(NOT(ISBLANK([1]Variables!A1251)),[1]Variables!A1251,"")</f>
        <v>#REF!</v>
      </c>
    </row>
    <row r="1252" spans="1:1" x14ac:dyDescent="0.2">
      <c r="A1252" t="e">
        <f>IF(NOT(ISBLANK([1]Variables!A1252)),[1]Variables!A1252,"")</f>
        <v>#REF!</v>
      </c>
    </row>
    <row r="1253" spans="1:1" x14ac:dyDescent="0.2">
      <c r="A1253" t="e">
        <f>IF(NOT(ISBLANK([1]Variables!A1253)),[1]Variables!A1253,"")</f>
        <v>#REF!</v>
      </c>
    </row>
    <row r="1254" spans="1:1" x14ac:dyDescent="0.2">
      <c r="A1254" t="e">
        <f>IF(NOT(ISBLANK([1]Variables!A1254)),[1]Variables!A1254,"")</f>
        <v>#REF!</v>
      </c>
    </row>
    <row r="1255" spans="1:1" x14ac:dyDescent="0.2">
      <c r="A1255" t="e">
        <f>IF(NOT(ISBLANK([1]Variables!A1255)),[1]Variables!A1255,"")</f>
        <v>#REF!</v>
      </c>
    </row>
    <row r="1256" spans="1:1" x14ac:dyDescent="0.2">
      <c r="A1256" t="e">
        <f>IF(NOT(ISBLANK([1]Variables!A1256)),[1]Variables!A1256,"")</f>
        <v>#REF!</v>
      </c>
    </row>
    <row r="1257" spans="1:1" x14ac:dyDescent="0.2">
      <c r="A1257" t="e">
        <f>IF(NOT(ISBLANK([1]Variables!A1257)),[1]Variables!A1257,"")</f>
        <v>#REF!</v>
      </c>
    </row>
    <row r="1258" spans="1:1" x14ac:dyDescent="0.2">
      <c r="A1258" t="e">
        <f>IF(NOT(ISBLANK([1]Variables!A1258)),[1]Variables!A1258,"")</f>
        <v>#REF!</v>
      </c>
    </row>
    <row r="1259" spans="1:1" x14ac:dyDescent="0.2">
      <c r="A1259" t="e">
        <f>IF(NOT(ISBLANK([1]Variables!A1259)),[1]Variables!A1259,"")</f>
        <v>#REF!</v>
      </c>
    </row>
    <row r="1260" spans="1:1" x14ac:dyDescent="0.2">
      <c r="A1260" t="e">
        <f>IF(NOT(ISBLANK([1]Variables!A1260)),[1]Variables!A1260,"")</f>
        <v>#REF!</v>
      </c>
    </row>
    <row r="1261" spans="1:1" x14ac:dyDescent="0.2">
      <c r="A1261" t="e">
        <f>IF(NOT(ISBLANK([1]Variables!A1261)),[1]Variables!A1261,"")</f>
        <v>#REF!</v>
      </c>
    </row>
    <row r="1262" spans="1:1" x14ac:dyDescent="0.2">
      <c r="A1262" t="e">
        <f>IF(NOT(ISBLANK([1]Variables!A1262)),[1]Variables!A1262,"")</f>
        <v>#REF!</v>
      </c>
    </row>
    <row r="1263" spans="1:1" x14ac:dyDescent="0.2">
      <c r="A1263" t="e">
        <f>IF(NOT(ISBLANK([1]Variables!A1263)),[1]Variables!A1263,"")</f>
        <v>#REF!</v>
      </c>
    </row>
    <row r="1264" spans="1:1" x14ac:dyDescent="0.2">
      <c r="A1264" t="e">
        <f>IF(NOT(ISBLANK([1]Variables!A1264)),[1]Variables!A1264,"")</f>
        <v>#REF!</v>
      </c>
    </row>
    <row r="1265" spans="1:1" x14ac:dyDescent="0.2">
      <c r="A1265" t="e">
        <f>IF(NOT(ISBLANK([1]Variables!A1265)),[1]Variables!A1265,"")</f>
        <v>#REF!</v>
      </c>
    </row>
    <row r="1266" spans="1:1" x14ac:dyDescent="0.2">
      <c r="A1266" t="e">
        <f>IF(NOT(ISBLANK([1]Variables!A1266)),[1]Variables!A1266,"")</f>
        <v>#REF!</v>
      </c>
    </row>
    <row r="1267" spans="1:1" x14ac:dyDescent="0.2">
      <c r="A1267" t="e">
        <f>IF(NOT(ISBLANK([1]Variables!A1267)),[1]Variables!A1267,"")</f>
        <v>#REF!</v>
      </c>
    </row>
    <row r="1268" spans="1:1" x14ac:dyDescent="0.2">
      <c r="A1268" t="e">
        <f>IF(NOT(ISBLANK([1]Variables!A1268)),[1]Variables!A1268,"")</f>
        <v>#REF!</v>
      </c>
    </row>
    <row r="1269" spans="1:1" x14ac:dyDescent="0.2">
      <c r="A1269" t="e">
        <f>IF(NOT(ISBLANK([1]Variables!A1269)),[1]Variables!A1269,"")</f>
        <v>#REF!</v>
      </c>
    </row>
    <row r="1270" spans="1:1" x14ac:dyDescent="0.2">
      <c r="A1270" t="e">
        <f>IF(NOT(ISBLANK([1]Variables!A1270)),[1]Variables!A1270,"")</f>
        <v>#REF!</v>
      </c>
    </row>
    <row r="1271" spans="1:1" x14ac:dyDescent="0.2">
      <c r="A1271" t="e">
        <f>IF(NOT(ISBLANK([1]Variables!A1271)),[1]Variables!A1271,"")</f>
        <v>#REF!</v>
      </c>
    </row>
    <row r="1272" spans="1:1" x14ac:dyDescent="0.2">
      <c r="A1272" t="e">
        <f>IF(NOT(ISBLANK([1]Variables!A1272)),[1]Variables!A1272,"")</f>
        <v>#REF!</v>
      </c>
    </row>
    <row r="1273" spans="1:1" x14ac:dyDescent="0.2">
      <c r="A1273" t="e">
        <f>IF(NOT(ISBLANK([1]Variables!A1273)),[1]Variables!A1273,"")</f>
        <v>#REF!</v>
      </c>
    </row>
    <row r="1274" spans="1:1" x14ac:dyDescent="0.2">
      <c r="A1274" t="e">
        <f>IF(NOT(ISBLANK([1]Variables!A1274)),[1]Variables!A1274,"")</f>
        <v>#REF!</v>
      </c>
    </row>
    <row r="1275" spans="1:1" x14ac:dyDescent="0.2">
      <c r="A1275" t="e">
        <f>IF(NOT(ISBLANK([1]Variables!A1275)),[1]Variables!A1275,"")</f>
        <v>#REF!</v>
      </c>
    </row>
    <row r="1276" spans="1:1" x14ac:dyDescent="0.2">
      <c r="A1276" t="e">
        <f>IF(NOT(ISBLANK([1]Variables!A1276)),[1]Variables!A1276,"")</f>
        <v>#REF!</v>
      </c>
    </row>
    <row r="1277" spans="1:1" x14ac:dyDescent="0.2">
      <c r="A1277" t="e">
        <f>IF(NOT(ISBLANK([1]Variables!A1277)),[1]Variables!A1277,"")</f>
        <v>#REF!</v>
      </c>
    </row>
    <row r="1278" spans="1:1" x14ac:dyDescent="0.2">
      <c r="A1278" t="e">
        <f>IF(NOT(ISBLANK([1]Variables!A1278)),[1]Variables!A1278,"")</f>
        <v>#REF!</v>
      </c>
    </row>
    <row r="1279" spans="1:1" x14ac:dyDescent="0.2">
      <c r="A1279" t="e">
        <f>IF(NOT(ISBLANK([1]Variables!A1279)),[1]Variables!A1279,"")</f>
        <v>#REF!</v>
      </c>
    </row>
    <row r="1280" spans="1:1" x14ac:dyDescent="0.2">
      <c r="A1280" t="e">
        <f>IF(NOT(ISBLANK([1]Variables!A1280)),[1]Variables!A1280,"")</f>
        <v>#REF!</v>
      </c>
    </row>
    <row r="1281" spans="1:1" x14ac:dyDescent="0.2">
      <c r="A1281" t="e">
        <f>IF(NOT(ISBLANK([1]Variables!A1281)),[1]Variables!A1281,"")</f>
        <v>#REF!</v>
      </c>
    </row>
    <row r="1282" spans="1:1" x14ac:dyDescent="0.2">
      <c r="A1282" t="e">
        <f>IF(NOT(ISBLANK([1]Variables!A1282)),[1]Variables!A1282,"")</f>
        <v>#REF!</v>
      </c>
    </row>
    <row r="1283" spans="1:1" x14ac:dyDescent="0.2">
      <c r="A1283" t="e">
        <f>IF(NOT(ISBLANK([1]Variables!A1283)),[1]Variables!A1283,"")</f>
        <v>#REF!</v>
      </c>
    </row>
    <row r="1284" spans="1:1" x14ac:dyDescent="0.2">
      <c r="A1284" t="e">
        <f>IF(NOT(ISBLANK([1]Variables!A1284)),[1]Variables!A1284,"")</f>
        <v>#REF!</v>
      </c>
    </row>
    <row r="1285" spans="1:1" x14ac:dyDescent="0.2">
      <c r="A1285" t="e">
        <f>IF(NOT(ISBLANK([1]Variables!A1285)),[1]Variables!A1285,"")</f>
        <v>#REF!</v>
      </c>
    </row>
    <row r="1286" spans="1:1" x14ac:dyDescent="0.2">
      <c r="A1286" t="e">
        <f>IF(NOT(ISBLANK([1]Variables!A1286)),[1]Variables!A1286,"")</f>
        <v>#REF!</v>
      </c>
    </row>
    <row r="1287" spans="1:1" x14ac:dyDescent="0.2">
      <c r="A1287" t="e">
        <f>IF(NOT(ISBLANK([1]Variables!A1287)),[1]Variables!A1287,"")</f>
        <v>#REF!</v>
      </c>
    </row>
    <row r="1288" spans="1:1" x14ac:dyDescent="0.2">
      <c r="A1288" t="e">
        <f>IF(NOT(ISBLANK([1]Variables!A1288)),[1]Variables!A1288,"")</f>
        <v>#REF!</v>
      </c>
    </row>
    <row r="1289" spans="1:1" x14ac:dyDescent="0.2">
      <c r="A1289" t="e">
        <f>IF(NOT(ISBLANK([1]Variables!A1289)),[1]Variables!A1289,"")</f>
        <v>#REF!</v>
      </c>
    </row>
    <row r="1290" spans="1:1" x14ac:dyDescent="0.2">
      <c r="A1290" t="e">
        <f>IF(NOT(ISBLANK([1]Variables!A1290)),[1]Variables!A1290,"")</f>
        <v>#REF!</v>
      </c>
    </row>
    <row r="1291" spans="1:1" x14ac:dyDescent="0.2">
      <c r="A1291" t="e">
        <f>IF(NOT(ISBLANK([1]Variables!A1291)),[1]Variables!A1291,"")</f>
        <v>#REF!</v>
      </c>
    </row>
    <row r="1292" spans="1:1" x14ac:dyDescent="0.2">
      <c r="A1292" t="e">
        <f>IF(NOT(ISBLANK([1]Variables!A1292)),[1]Variables!A1292,"")</f>
        <v>#REF!</v>
      </c>
    </row>
    <row r="1293" spans="1:1" x14ac:dyDescent="0.2">
      <c r="A1293" t="e">
        <f>IF(NOT(ISBLANK([1]Variables!A1293)),[1]Variables!A1293,"")</f>
        <v>#REF!</v>
      </c>
    </row>
    <row r="1294" spans="1:1" x14ac:dyDescent="0.2">
      <c r="A1294" t="e">
        <f>IF(NOT(ISBLANK([1]Variables!A1294)),[1]Variables!A1294,"")</f>
        <v>#REF!</v>
      </c>
    </row>
    <row r="1295" spans="1:1" x14ac:dyDescent="0.2">
      <c r="A1295" t="e">
        <f>IF(NOT(ISBLANK([1]Variables!A1295)),[1]Variables!A1295,"")</f>
        <v>#REF!</v>
      </c>
    </row>
    <row r="1296" spans="1:1" x14ac:dyDescent="0.2">
      <c r="A1296" t="e">
        <f>IF(NOT(ISBLANK([1]Variables!A1296)),[1]Variables!A1296,"")</f>
        <v>#REF!</v>
      </c>
    </row>
    <row r="1297" spans="1:1" x14ac:dyDescent="0.2">
      <c r="A1297" t="e">
        <f>IF(NOT(ISBLANK([1]Variables!A1297)),[1]Variables!A1297,"")</f>
        <v>#REF!</v>
      </c>
    </row>
    <row r="1298" spans="1:1" x14ac:dyDescent="0.2">
      <c r="A1298" t="e">
        <f>IF(NOT(ISBLANK([1]Variables!A1298)),[1]Variables!A1298,"")</f>
        <v>#REF!</v>
      </c>
    </row>
    <row r="1299" spans="1:1" x14ac:dyDescent="0.2">
      <c r="A1299" t="e">
        <f>IF(NOT(ISBLANK([1]Variables!A1299)),[1]Variables!A1299,"")</f>
        <v>#REF!</v>
      </c>
    </row>
    <row r="1300" spans="1:1" x14ac:dyDescent="0.2">
      <c r="A1300" t="e">
        <f>IF(NOT(ISBLANK([1]Variables!A1300)),[1]Variables!A1300,"")</f>
        <v>#REF!</v>
      </c>
    </row>
    <row r="1301" spans="1:1" x14ac:dyDescent="0.2">
      <c r="A1301" t="e">
        <f>IF(NOT(ISBLANK([1]Variables!A1301)),[1]Variables!A1301,"")</f>
        <v>#REF!</v>
      </c>
    </row>
    <row r="1302" spans="1:1" x14ac:dyDescent="0.2">
      <c r="A1302" t="e">
        <f>IF(NOT(ISBLANK([1]Variables!A1302)),[1]Variables!A1302,"")</f>
        <v>#REF!</v>
      </c>
    </row>
    <row r="1303" spans="1:1" x14ac:dyDescent="0.2">
      <c r="A1303" t="e">
        <f>IF(NOT(ISBLANK([1]Variables!A1303)),[1]Variables!A1303,"")</f>
        <v>#REF!</v>
      </c>
    </row>
    <row r="1304" spans="1:1" x14ac:dyDescent="0.2">
      <c r="A1304" t="e">
        <f>IF(NOT(ISBLANK([1]Variables!A1304)),[1]Variables!A1304,"")</f>
        <v>#REF!</v>
      </c>
    </row>
    <row r="1305" spans="1:1" x14ac:dyDescent="0.2">
      <c r="A1305" t="e">
        <f>IF(NOT(ISBLANK([1]Variables!A1305)),[1]Variables!A1305,"")</f>
        <v>#REF!</v>
      </c>
    </row>
    <row r="1306" spans="1:1" x14ac:dyDescent="0.2">
      <c r="A1306" t="e">
        <f>IF(NOT(ISBLANK([1]Variables!A1306)),[1]Variables!A1306,"")</f>
        <v>#REF!</v>
      </c>
    </row>
    <row r="1307" spans="1:1" x14ac:dyDescent="0.2">
      <c r="A1307" t="e">
        <f>IF(NOT(ISBLANK([1]Variables!A1307)),[1]Variables!A1307,"")</f>
        <v>#REF!</v>
      </c>
    </row>
    <row r="1308" spans="1:1" x14ac:dyDescent="0.2">
      <c r="A1308" t="e">
        <f>IF(NOT(ISBLANK([1]Variables!A1308)),[1]Variables!A1308,"")</f>
        <v>#REF!</v>
      </c>
    </row>
    <row r="1309" spans="1:1" x14ac:dyDescent="0.2">
      <c r="A1309" t="e">
        <f>IF(NOT(ISBLANK([1]Variables!A1309)),[1]Variables!A1309,"")</f>
        <v>#REF!</v>
      </c>
    </row>
    <row r="1310" spans="1:1" x14ac:dyDescent="0.2">
      <c r="A1310" t="e">
        <f>IF(NOT(ISBLANK([1]Variables!A1310)),[1]Variables!A1310,"")</f>
        <v>#REF!</v>
      </c>
    </row>
    <row r="1311" spans="1:1" x14ac:dyDescent="0.2">
      <c r="A1311" t="e">
        <f>IF(NOT(ISBLANK([1]Variables!A1311)),[1]Variables!A1311,"")</f>
        <v>#REF!</v>
      </c>
    </row>
    <row r="1312" spans="1:1" x14ac:dyDescent="0.2">
      <c r="A1312" t="e">
        <f>IF(NOT(ISBLANK([1]Variables!A1312)),[1]Variables!A1312,"")</f>
        <v>#REF!</v>
      </c>
    </row>
    <row r="1313" spans="1:1" x14ac:dyDescent="0.2">
      <c r="A1313" t="e">
        <f>IF(NOT(ISBLANK([1]Variables!A1313)),[1]Variables!A1313,"")</f>
        <v>#REF!</v>
      </c>
    </row>
    <row r="1314" spans="1:1" x14ac:dyDescent="0.2">
      <c r="A1314" t="e">
        <f>IF(NOT(ISBLANK([1]Variables!A1314)),[1]Variables!A1314,"")</f>
        <v>#REF!</v>
      </c>
    </row>
    <row r="1315" spans="1:1" x14ac:dyDescent="0.2">
      <c r="A1315" t="e">
        <f>IF(NOT(ISBLANK([1]Variables!A1315)),[1]Variables!A1315,"")</f>
        <v>#REF!</v>
      </c>
    </row>
    <row r="1316" spans="1:1" x14ac:dyDescent="0.2">
      <c r="A1316" t="e">
        <f>IF(NOT(ISBLANK([1]Variables!A1316)),[1]Variables!A1316,"")</f>
        <v>#REF!</v>
      </c>
    </row>
    <row r="1317" spans="1:1" x14ac:dyDescent="0.2">
      <c r="A1317" t="e">
        <f>IF(NOT(ISBLANK([1]Variables!A1317)),[1]Variables!A1317,"")</f>
        <v>#REF!</v>
      </c>
    </row>
    <row r="1318" spans="1:1" x14ac:dyDescent="0.2">
      <c r="A1318" t="e">
        <f>IF(NOT(ISBLANK([1]Variables!A1318)),[1]Variables!A1318,"")</f>
        <v>#REF!</v>
      </c>
    </row>
    <row r="1319" spans="1:1" x14ac:dyDescent="0.2">
      <c r="A1319" t="e">
        <f>IF(NOT(ISBLANK([1]Variables!A1319)),[1]Variables!A1319,"")</f>
        <v>#REF!</v>
      </c>
    </row>
    <row r="1320" spans="1:1" x14ac:dyDescent="0.2">
      <c r="A1320" t="e">
        <f>IF(NOT(ISBLANK([1]Variables!A1320)),[1]Variables!A1320,"")</f>
        <v>#REF!</v>
      </c>
    </row>
    <row r="1321" spans="1:1" x14ac:dyDescent="0.2">
      <c r="A1321" t="e">
        <f>IF(NOT(ISBLANK([1]Variables!A1321)),[1]Variables!A1321,"")</f>
        <v>#REF!</v>
      </c>
    </row>
    <row r="1322" spans="1:1" x14ac:dyDescent="0.2">
      <c r="A1322" t="e">
        <f>IF(NOT(ISBLANK([1]Variables!A1322)),[1]Variables!A1322,"")</f>
        <v>#REF!</v>
      </c>
    </row>
    <row r="1323" spans="1:1" x14ac:dyDescent="0.2">
      <c r="A1323" t="e">
        <f>IF(NOT(ISBLANK([1]Variables!A1323)),[1]Variables!A1323,"")</f>
        <v>#REF!</v>
      </c>
    </row>
    <row r="1324" spans="1:1" x14ac:dyDescent="0.2">
      <c r="A1324" t="e">
        <f>IF(NOT(ISBLANK([1]Variables!A1324)),[1]Variables!A1324,"")</f>
        <v>#REF!</v>
      </c>
    </row>
    <row r="1325" spans="1:1" x14ac:dyDescent="0.2">
      <c r="A1325" t="e">
        <f>IF(NOT(ISBLANK([1]Variables!A1325)),[1]Variables!A1325,"")</f>
        <v>#REF!</v>
      </c>
    </row>
    <row r="1326" spans="1:1" x14ac:dyDescent="0.2">
      <c r="A1326" t="e">
        <f>IF(NOT(ISBLANK([1]Variables!A1326)),[1]Variables!A1326,"")</f>
        <v>#REF!</v>
      </c>
    </row>
    <row r="1327" spans="1:1" x14ac:dyDescent="0.2">
      <c r="A1327" t="e">
        <f>IF(NOT(ISBLANK([1]Variables!A1327)),[1]Variables!A1327,"")</f>
        <v>#REF!</v>
      </c>
    </row>
    <row r="1328" spans="1:1" x14ac:dyDescent="0.2">
      <c r="A1328" t="e">
        <f>IF(NOT(ISBLANK([1]Variables!A1328)),[1]Variables!A1328,"")</f>
        <v>#REF!</v>
      </c>
    </row>
    <row r="1329" spans="1:1" x14ac:dyDescent="0.2">
      <c r="A1329" t="e">
        <f>IF(NOT(ISBLANK([1]Variables!A1329)),[1]Variables!A1329,"")</f>
        <v>#REF!</v>
      </c>
    </row>
    <row r="1330" spans="1:1" x14ac:dyDescent="0.2">
      <c r="A1330" t="e">
        <f>IF(NOT(ISBLANK([1]Variables!A1330)),[1]Variables!A1330,"")</f>
        <v>#REF!</v>
      </c>
    </row>
    <row r="1331" spans="1:1" x14ac:dyDescent="0.2">
      <c r="A1331" t="e">
        <f>IF(NOT(ISBLANK([1]Variables!A1331)),[1]Variables!A1331,"")</f>
        <v>#REF!</v>
      </c>
    </row>
    <row r="1332" spans="1:1" x14ac:dyDescent="0.2">
      <c r="A1332" t="e">
        <f>IF(NOT(ISBLANK([1]Variables!A1332)),[1]Variables!A1332,"")</f>
        <v>#REF!</v>
      </c>
    </row>
    <row r="1333" spans="1:1" x14ac:dyDescent="0.2">
      <c r="A1333" t="e">
        <f>IF(NOT(ISBLANK([1]Variables!A1333)),[1]Variables!A1333,"")</f>
        <v>#REF!</v>
      </c>
    </row>
    <row r="1334" spans="1:1" x14ac:dyDescent="0.2">
      <c r="A1334" t="e">
        <f>IF(NOT(ISBLANK([1]Variables!A1334)),[1]Variables!A1334,"")</f>
        <v>#REF!</v>
      </c>
    </row>
    <row r="1335" spans="1:1" x14ac:dyDescent="0.2">
      <c r="A1335" t="e">
        <f>IF(NOT(ISBLANK([1]Variables!A1335)),[1]Variables!A1335,"")</f>
        <v>#REF!</v>
      </c>
    </row>
    <row r="1336" spans="1:1" x14ac:dyDescent="0.2">
      <c r="A1336" t="e">
        <f>IF(NOT(ISBLANK([1]Variables!A1336)),[1]Variables!A1336,"")</f>
        <v>#REF!</v>
      </c>
    </row>
    <row r="1337" spans="1:1" x14ac:dyDescent="0.2">
      <c r="A1337" t="e">
        <f>IF(NOT(ISBLANK([1]Variables!A1337)),[1]Variables!A1337,"")</f>
        <v>#REF!</v>
      </c>
    </row>
    <row r="1338" spans="1:1" x14ac:dyDescent="0.2">
      <c r="A1338" t="e">
        <f>IF(NOT(ISBLANK([1]Variables!A1338)),[1]Variables!A1338,"")</f>
        <v>#REF!</v>
      </c>
    </row>
    <row r="1339" spans="1:1" x14ac:dyDescent="0.2">
      <c r="A1339" t="e">
        <f>IF(NOT(ISBLANK([1]Variables!A1339)),[1]Variables!A1339,"")</f>
        <v>#REF!</v>
      </c>
    </row>
    <row r="1340" spans="1:1" x14ac:dyDescent="0.2">
      <c r="A1340" t="e">
        <f>IF(NOT(ISBLANK([1]Variables!A1340)),[1]Variables!A1340,"")</f>
        <v>#REF!</v>
      </c>
    </row>
    <row r="1341" spans="1:1" x14ac:dyDescent="0.2">
      <c r="A1341" t="e">
        <f>IF(NOT(ISBLANK([1]Variables!A1341)),[1]Variables!A1341,"")</f>
        <v>#REF!</v>
      </c>
    </row>
    <row r="1342" spans="1:1" x14ac:dyDescent="0.2">
      <c r="A1342" t="e">
        <f>IF(NOT(ISBLANK([1]Variables!A1342)),[1]Variables!A1342,"")</f>
        <v>#REF!</v>
      </c>
    </row>
    <row r="1343" spans="1:1" x14ac:dyDescent="0.2">
      <c r="A1343" t="e">
        <f>IF(NOT(ISBLANK([1]Variables!A1343)),[1]Variables!A1343,"")</f>
        <v>#REF!</v>
      </c>
    </row>
    <row r="1344" spans="1:1" x14ac:dyDescent="0.2">
      <c r="A1344" t="e">
        <f>IF(NOT(ISBLANK([1]Variables!A1344)),[1]Variables!A1344,"")</f>
        <v>#REF!</v>
      </c>
    </row>
    <row r="1345" spans="1:1" x14ac:dyDescent="0.2">
      <c r="A1345" t="e">
        <f>IF(NOT(ISBLANK([1]Variables!A1345)),[1]Variables!A1345,"")</f>
        <v>#REF!</v>
      </c>
    </row>
    <row r="1346" spans="1:1" x14ac:dyDescent="0.2">
      <c r="A1346" t="e">
        <f>IF(NOT(ISBLANK([1]Variables!A1346)),[1]Variables!A1346,"")</f>
        <v>#REF!</v>
      </c>
    </row>
    <row r="1347" spans="1:1" x14ac:dyDescent="0.2">
      <c r="A1347" t="e">
        <f>IF(NOT(ISBLANK([1]Variables!A1347)),[1]Variables!A1347,"")</f>
        <v>#REF!</v>
      </c>
    </row>
    <row r="1348" spans="1:1" x14ac:dyDescent="0.2">
      <c r="A1348" t="e">
        <f>IF(NOT(ISBLANK([1]Variables!A1348)),[1]Variables!A1348,"")</f>
        <v>#REF!</v>
      </c>
    </row>
    <row r="1349" spans="1:1" x14ac:dyDescent="0.2">
      <c r="A1349" t="e">
        <f>IF(NOT(ISBLANK([1]Variables!A1349)),[1]Variables!A1349,"")</f>
        <v>#REF!</v>
      </c>
    </row>
    <row r="1350" spans="1:1" x14ac:dyDescent="0.2">
      <c r="A1350" t="e">
        <f>IF(NOT(ISBLANK([1]Variables!A1350)),[1]Variables!A1350,"")</f>
        <v>#REF!</v>
      </c>
    </row>
    <row r="1351" spans="1:1" x14ac:dyDescent="0.2">
      <c r="A1351" t="e">
        <f>IF(NOT(ISBLANK([1]Variables!A1351)),[1]Variables!A1351,"")</f>
        <v>#REF!</v>
      </c>
    </row>
    <row r="1352" spans="1:1" x14ac:dyDescent="0.2">
      <c r="A1352" t="e">
        <f>IF(NOT(ISBLANK([1]Variables!A1352)),[1]Variables!A1352,"")</f>
        <v>#REF!</v>
      </c>
    </row>
    <row r="1353" spans="1:1" x14ac:dyDescent="0.2">
      <c r="A1353" t="e">
        <f>IF(NOT(ISBLANK([1]Variables!A1353)),[1]Variables!A1353,"")</f>
        <v>#REF!</v>
      </c>
    </row>
    <row r="1354" spans="1:1" x14ac:dyDescent="0.2">
      <c r="A1354" t="e">
        <f>IF(NOT(ISBLANK([1]Variables!A1354)),[1]Variables!A1354,"")</f>
        <v>#REF!</v>
      </c>
    </row>
    <row r="1355" spans="1:1" x14ac:dyDescent="0.2">
      <c r="A1355" t="e">
        <f>IF(NOT(ISBLANK([1]Variables!A1355)),[1]Variables!A1355,"")</f>
        <v>#REF!</v>
      </c>
    </row>
    <row r="1356" spans="1:1" x14ac:dyDescent="0.2">
      <c r="A1356" t="e">
        <f>IF(NOT(ISBLANK([1]Variables!A1356)),[1]Variables!A1356,"")</f>
        <v>#REF!</v>
      </c>
    </row>
    <row r="1357" spans="1:1" x14ac:dyDescent="0.2">
      <c r="A1357" t="e">
        <f>IF(NOT(ISBLANK([1]Variables!A1357)),[1]Variables!A1357,"")</f>
        <v>#REF!</v>
      </c>
    </row>
    <row r="1358" spans="1:1" x14ac:dyDescent="0.2">
      <c r="A1358" t="e">
        <f>IF(NOT(ISBLANK([1]Variables!A1358)),[1]Variables!A1358,"")</f>
        <v>#REF!</v>
      </c>
    </row>
    <row r="1359" spans="1:1" x14ac:dyDescent="0.2">
      <c r="A1359" t="e">
        <f>IF(NOT(ISBLANK([1]Variables!A1359)),[1]Variables!A1359,"")</f>
        <v>#REF!</v>
      </c>
    </row>
    <row r="1360" spans="1:1" x14ac:dyDescent="0.2">
      <c r="A1360" t="e">
        <f>IF(NOT(ISBLANK([1]Variables!A1360)),[1]Variables!A1360,"")</f>
        <v>#REF!</v>
      </c>
    </row>
    <row r="1361" spans="1:1" x14ac:dyDescent="0.2">
      <c r="A1361" t="e">
        <f>IF(NOT(ISBLANK([1]Variables!A1361)),[1]Variables!A1361,"")</f>
        <v>#REF!</v>
      </c>
    </row>
    <row r="1362" spans="1:1" x14ac:dyDescent="0.2">
      <c r="A1362" t="e">
        <f>IF(NOT(ISBLANK([1]Variables!A1362)),[1]Variables!A1362,"")</f>
        <v>#REF!</v>
      </c>
    </row>
    <row r="1363" spans="1:1" x14ac:dyDescent="0.2">
      <c r="A1363" t="e">
        <f>IF(NOT(ISBLANK([1]Variables!A1363)),[1]Variables!A1363,"")</f>
        <v>#REF!</v>
      </c>
    </row>
    <row r="1364" spans="1:1" x14ac:dyDescent="0.2">
      <c r="A1364" t="e">
        <f>IF(NOT(ISBLANK([1]Variables!A1364)),[1]Variables!A1364,"")</f>
        <v>#REF!</v>
      </c>
    </row>
    <row r="1365" spans="1:1" x14ac:dyDescent="0.2">
      <c r="A1365" t="e">
        <f>IF(NOT(ISBLANK([1]Variables!A1365)),[1]Variables!A1365,"")</f>
        <v>#REF!</v>
      </c>
    </row>
    <row r="1366" spans="1:1" x14ac:dyDescent="0.2">
      <c r="A1366" t="e">
        <f>IF(NOT(ISBLANK([1]Variables!A1366)),[1]Variables!A1366,"")</f>
        <v>#REF!</v>
      </c>
    </row>
    <row r="1367" spans="1:1" x14ac:dyDescent="0.2">
      <c r="A1367" t="e">
        <f>IF(NOT(ISBLANK([1]Variables!A1367)),[1]Variables!A1367,"")</f>
        <v>#REF!</v>
      </c>
    </row>
    <row r="1368" spans="1:1" x14ac:dyDescent="0.2">
      <c r="A1368" t="e">
        <f>IF(NOT(ISBLANK([1]Variables!A1368)),[1]Variables!A1368,"")</f>
        <v>#REF!</v>
      </c>
    </row>
    <row r="1369" spans="1:1" x14ac:dyDescent="0.2">
      <c r="A1369" t="e">
        <f>IF(NOT(ISBLANK([1]Variables!A1369)),[1]Variables!A1369,"")</f>
        <v>#REF!</v>
      </c>
    </row>
    <row r="1370" spans="1:1" x14ac:dyDescent="0.2">
      <c r="A1370" t="e">
        <f>IF(NOT(ISBLANK([1]Variables!A1370)),[1]Variables!A1370,"")</f>
        <v>#REF!</v>
      </c>
    </row>
    <row r="1371" spans="1:1" x14ac:dyDescent="0.2">
      <c r="A1371" t="e">
        <f>IF(NOT(ISBLANK([1]Variables!A1371)),[1]Variables!A1371,"")</f>
        <v>#REF!</v>
      </c>
    </row>
    <row r="1372" spans="1:1" x14ac:dyDescent="0.2">
      <c r="A1372" t="e">
        <f>IF(NOT(ISBLANK([1]Variables!A1372)),[1]Variables!A1372,"")</f>
        <v>#REF!</v>
      </c>
    </row>
    <row r="1373" spans="1:1" x14ac:dyDescent="0.2">
      <c r="A1373" t="e">
        <f>IF(NOT(ISBLANK([1]Variables!A1373)),[1]Variables!A1373,"")</f>
        <v>#REF!</v>
      </c>
    </row>
    <row r="1374" spans="1:1" x14ac:dyDescent="0.2">
      <c r="A1374" t="e">
        <f>IF(NOT(ISBLANK([1]Variables!A1374)),[1]Variables!A1374,"")</f>
        <v>#REF!</v>
      </c>
    </row>
    <row r="1375" spans="1:1" x14ac:dyDescent="0.2">
      <c r="A1375" t="e">
        <f>IF(NOT(ISBLANK([1]Variables!A1375)),[1]Variables!A1375,"")</f>
        <v>#REF!</v>
      </c>
    </row>
    <row r="1376" spans="1:1" x14ac:dyDescent="0.2">
      <c r="A1376" t="e">
        <f>IF(NOT(ISBLANK([1]Variables!A1376)),[1]Variables!A1376,"")</f>
        <v>#REF!</v>
      </c>
    </row>
    <row r="1377" spans="1:1" x14ac:dyDescent="0.2">
      <c r="A1377" t="e">
        <f>IF(NOT(ISBLANK([1]Variables!A1377)),[1]Variables!A1377,"")</f>
        <v>#REF!</v>
      </c>
    </row>
    <row r="1378" spans="1:1" x14ac:dyDescent="0.2">
      <c r="A1378" t="e">
        <f>IF(NOT(ISBLANK([1]Variables!A1378)),[1]Variables!A1378,"")</f>
        <v>#REF!</v>
      </c>
    </row>
    <row r="1379" spans="1:1" x14ac:dyDescent="0.2">
      <c r="A1379" t="e">
        <f>IF(NOT(ISBLANK([1]Variables!A1379)),[1]Variables!A1379,"")</f>
        <v>#REF!</v>
      </c>
    </row>
    <row r="1380" spans="1:1" x14ac:dyDescent="0.2">
      <c r="A1380" t="e">
        <f>IF(NOT(ISBLANK([1]Variables!A1380)),[1]Variables!A1380,"")</f>
        <v>#REF!</v>
      </c>
    </row>
    <row r="1381" spans="1:1" x14ac:dyDescent="0.2">
      <c r="A1381" t="e">
        <f>IF(NOT(ISBLANK([1]Variables!A1381)),[1]Variables!A1381,"")</f>
        <v>#REF!</v>
      </c>
    </row>
    <row r="1382" spans="1:1" x14ac:dyDescent="0.2">
      <c r="A1382" t="e">
        <f>IF(NOT(ISBLANK([1]Variables!A1382)),[1]Variables!A1382,"")</f>
        <v>#REF!</v>
      </c>
    </row>
    <row r="1383" spans="1:1" x14ac:dyDescent="0.2">
      <c r="A1383" t="e">
        <f>IF(NOT(ISBLANK([1]Variables!A1383)),[1]Variables!A1383,"")</f>
        <v>#REF!</v>
      </c>
    </row>
    <row r="1384" spans="1:1" x14ac:dyDescent="0.2">
      <c r="A1384" t="e">
        <f>IF(NOT(ISBLANK([1]Variables!A1384)),[1]Variables!A1384,"")</f>
        <v>#REF!</v>
      </c>
    </row>
    <row r="1385" spans="1:1" x14ac:dyDescent="0.2">
      <c r="A1385" t="e">
        <f>IF(NOT(ISBLANK([1]Variables!A1385)),[1]Variables!A1385,"")</f>
        <v>#REF!</v>
      </c>
    </row>
    <row r="1386" spans="1:1" x14ac:dyDescent="0.2">
      <c r="A1386" t="e">
        <f>IF(NOT(ISBLANK([1]Variables!A1386)),[1]Variables!A1386,"")</f>
        <v>#REF!</v>
      </c>
    </row>
    <row r="1387" spans="1:1" x14ac:dyDescent="0.2">
      <c r="A1387" t="e">
        <f>IF(NOT(ISBLANK([1]Variables!A1387)),[1]Variables!A1387,"")</f>
        <v>#REF!</v>
      </c>
    </row>
    <row r="1388" spans="1:1" x14ac:dyDescent="0.2">
      <c r="A1388" t="e">
        <f>IF(NOT(ISBLANK([1]Variables!A1388)),[1]Variables!A1388,"")</f>
        <v>#REF!</v>
      </c>
    </row>
    <row r="1389" spans="1:1" x14ac:dyDescent="0.2">
      <c r="A1389" t="e">
        <f>IF(NOT(ISBLANK([1]Variables!A1389)),[1]Variables!A1389,"")</f>
        <v>#REF!</v>
      </c>
    </row>
    <row r="1390" spans="1:1" x14ac:dyDescent="0.2">
      <c r="A1390" t="e">
        <f>IF(NOT(ISBLANK([1]Variables!A1390)),[1]Variables!A1390,"")</f>
        <v>#REF!</v>
      </c>
    </row>
    <row r="1391" spans="1:1" x14ac:dyDescent="0.2">
      <c r="A1391" t="e">
        <f>IF(NOT(ISBLANK([1]Variables!A1391)),[1]Variables!A1391,"")</f>
        <v>#REF!</v>
      </c>
    </row>
    <row r="1392" spans="1:1" x14ac:dyDescent="0.2">
      <c r="A1392" t="e">
        <f>IF(NOT(ISBLANK([1]Variables!A1392)),[1]Variables!A1392,"")</f>
        <v>#REF!</v>
      </c>
    </row>
    <row r="1393" spans="1:1" x14ac:dyDescent="0.2">
      <c r="A1393" t="e">
        <f>IF(NOT(ISBLANK([1]Variables!A1393)),[1]Variables!A1393,"")</f>
        <v>#REF!</v>
      </c>
    </row>
    <row r="1394" spans="1:1" x14ac:dyDescent="0.2">
      <c r="A1394" t="e">
        <f>IF(NOT(ISBLANK([1]Variables!A1394)),[1]Variables!A1394,"")</f>
        <v>#REF!</v>
      </c>
    </row>
    <row r="1395" spans="1:1" x14ac:dyDescent="0.2">
      <c r="A1395" t="e">
        <f>IF(NOT(ISBLANK([1]Variables!A1395)),[1]Variables!A1395,"")</f>
        <v>#REF!</v>
      </c>
    </row>
    <row r="1396" spans="1:1" x14ac:dyDescent="0.2">
      <c r="A1396" t="e">
        <f>IF(NOT(ISBLANK([1]Variables!A1396)),[1]Variables!A1396,"")</f>
        <v>#REF!</v>
      </c>
    </row>
    <row r="1397" spans="1:1" x14ac:dyDescent="0.2">
      <c r="A1397" t="e">
        <f>IF(NOT(ISBLANK([1]Variables!A1397)),[1]Variables!A1397,"")</f>
        <v>#REF!</v>
      </c>
    </row>
    <row r="1398" spans="1:1" x14ac:dyDescent="0.2">
      <c r="A1398" t="e">
        <f>IF(NOT(ISBLANK([1]Variables!A1398)),[1]Variables!A1398,"")</f>
        <v>#REF!</v>
      </c>
    </row>
    <row r="1399" spans="1:1" x14ac:dyDescent="0.2">
      <c r="A1399" t="e">
        <f>IF(NOT(ISBLANK([1]Variables!A1399)),[1]Variables!A1399,"")</f>
        <v>#REF!</v>
      </c>
    </row>
    <row r="1400" spans="1:1" x14ac:dyDescent="0.2">
      <c r="A1400" t="e">
        <f>IF(NOT(ISBLANK([1]Variables!A1400)),[1]Variables!A1400,"")</f>
        <v>#REF!</v>
      </c>
    </row>
    <row r="1401" spans="1:1" x14ac:dyDescent="0.2">
      <c r="A1401" t="e">
        <f>IF(NOT(ISBLANK([1]Variables!A1401)),[1]Variables!A1401,"")</f>
        <v>#REF!</v>
      </c>
    </row>
    <row r="1402" spans="1:1" x14ac:dyDescent="0.2">
      <c r="A1402" t="e">
        <f>IF(NOT(ISBLANK([1]Variables!A1402)),[1]Variables!A1402,"")</f>
        <v>#REF!</v>
      </c>
    </row>
    <row r="1403" spans="1:1" x14ac:dyDescent="0.2">
      <c r="A1403" t="e">
        <f>IF(NOT(ISBLANK([1]Variables!A1403)),[1]Variables!A1403,"")</f>
        <v>#REF!</v>
      </c>
    </row>
    <row r="1404" spans="1:1" x14ac:dyDescent="0.2">
      <c r="A1404" t="e">
        <f>IF(NOT(ISBLANK([1]Variables!A1404)),[1]Variables!A1404,"")</f>
        <v>#REF!</v>
      </c>
    </row>
    <row r="1405" spans="1:1" x14ac:dyDescent="0.2">
      <c r="A1405" t="e">
        <f>IF(NOT(ISBLANK([1]Variables!A1405)),[1]Variables!A1405,"")</f>
        <v>#REF!</v>
      </c>
    </row>
    <row r="1406" spans="1:1" x14ac:dyDescent="0.2">
      <c r="A1406" t="e">
        <f>IF(NOT(ISBLANK([1]Variables!A1406)),[1]Variables!A1406,"")</f>
        <v>#REF!</v>
      </c>
    </row>
    <row r="1407" spans="1:1" x14ac:dyDescent="0.2">
      <c r="A1407" t="e">
        <f>IF(NOT(ISBLANK([1]Variables!A1407)),[1]Variables!A1407,"")</f>
        <v>#REF!</v>
      </c>
    </row>
    <row r="1408" spans="1:1" x14ac:dyDescent="0.2">
      <c r="A1408" t="e">
        <f>IF(NOT(ISBLANK([1]Variables!A1408)),[1]Variables!A1408,"")</f>
        <v>#REF!</v>
      </c>
    </row>
    <row r="1409" spans="1:1" x14ac:dyDescent="0.2">
      <c r="A1409" t="e">
        <f>IF(NOT(ISBLANK([1]Variables!A1409)),[1]Variables!A1409,"")</f>
        <v>#REF!</v>
      </c>
    </row>
    <row r="1410" spans="1:1" x14ac:dyDescent="0.2">
      <c r="A1410" t="e">
        <f>IF(NOT(ISBLANK([1]Variables!A1410)),[1]Variables!A1410,"")</f>
        <v>#REF!</v>
      </c>
    </row>
    <row r="1411" spans="1:1" x14ac:dyDescent="0.2">
      <c r="A1411" t="e">
        <f>IF(NOT(ISBLANK([1]Variables!A1411)),[1]Variables!A1411,"")</f>
        <v>#REF!</v>
      </c>
    </row>
    <row r="1412" spans="1:1" x14ac:dyDescent="0.2">
      <c r="A1412" t="e">
        <f>IF(NOT(ISBLANK([1]Variables!A1412)),[1]Variables!A1412,"")</f>
        <v>#REF!</v>
      </c>
    </row>
    <row r="1413" spans="1:1" x14ac:dyDescent="0.2">
      <c r="A1413" t="e">
        <f>IF(NOT(ISBLANK([1]Variables!A1413)),[1]Variables!A1413,"")</f>
        <v>#REF!</v>
      </c>
    </row>
    <row r="1414" spans="1:1" x14ac:dyDescent="0.2">
      <c r="A1414" t="e">
        <f>IF(NOT(ISBLANK([1]Variables!A1414)),[1]Variables!A1414,"")</f>
        <v>#REF!</v>
      </c>
    </row>
    <row r="1415" spans="1:1" x14ac:dyDescent="0.2">
      <c r="A1415" t="e">
        <f>IF(NOT(ISBLANK([1]Variables!A1415)),[1]Variables!A1415,"")</f>
        <v>#REF!</v>
      </c>
    </row>
    <row r="1416" spans="1:1" x14ac:dyDescent="0.2">
      <c r="A1416" t="e">
        <f>IF(NOT(ISBLANK([1]Variables!A1416)),[1]Variables!A1416,"")</f>
        <v>#REF!</v>
      </c>
    </row>
    <row r="1417" spans="1:1" x14ac:dyDescent="0.2">
      <c r="A1417" t="e">
        <f>IF(NOT(ISBLANK([1]Variables!A1417)),[1]Variables!A1417,"")</f>
        <v>#REF!</v>
      </c>
    </row>
    <row r="1418" spans="1:1" x14ac:dyDescent="0.2">
      <c r="A1418" t="e">
        <f>IF(NOT(ISBLANK([1]Variables!A1418)),[1]Variables!A1418,"")</f>
        <v>#REF!</v>
      </c>
    </row>
    <row r="1419" spans="1:1" x14ac:dyDescent="0.2">
      <c r="A1419" t="e">
        <f>IF(NOT(ISBLANK([1]Variables!A1419)),[1]Variables!A1419,"")</f>
        <v>#REF!</v>
      </c>
    </row>
    <row r="1420" spans="1:1" x14ac:dyDescent="0.2">
      <c r="A1420" t="e">
        <f>IF(NOT(ISBLANK([1]Variables!A1420)),[1]Variables!A1420,"")</f>
        <v>#REF!</v>
      </c>
    </row>
    <row r="1421" spans="1:1" x14ac:dyDescent="0.2">
      <c r="A1421" t="e">
        <f>IF(NOT(ISBLANK([1]Variables!A1421)),[1]Variables!A1421,"")</f>
        <v>#REF!</v>
      </c>
    </row>
    <row r="1422" spans="1:1" x14ac:dyDescent="0.2">
      <c r="A1422" t="e">
        <f>IF(NOT(ISBLANK([1]Variables!A1422)),[1]Variables!A1422,"")</f>
        <v>#REF!</v>
      </c>
    </row>
    <row r="1423" spans="1:1" x14ac:dyDescent="0.2">
      <c r="A1423" t="e">
        <f>IF(NOT(ISBLANK([1]Variables!A1423)),[1]Variables!A1423,"")</f>
        <v>#REF!</v>
      </c>
    </row>
    <row r="1424" spans="1:1" x14ac:dyDescent="0.2">
      <c r="A1424" t="e">
        <f>IF(NOT(ISBLANK([1]Variables!A1424)),[1]Variables!A1424,"")</f>
        <v>#REF!</v>
      </c>
    </row>
    <row r="1425" spans="1:1" x14ac:dyDescent="0.2">
      <c r="A1425" t="e">
        <f>IF(NOT(ISBLANK([1]Variables!A1425)),[1]Variables!A1425,"")</f>
        <v>#REF!</v>
      </c>
    </row>
    <row r="1426" spans="1:1" x14ac:dyDescent="0.2">
      <c r="A1426" t="e">
        <f>IF(NOT(ISBLANK([1]Variables!A1426)),[1]Variables!A1426,"")</f>
        <v>#REF!</v>
      </c>
    </row>
    <row r="1427" spans="1:1" x14ac:dyDescent="0.2">
      <c r="A1427" t="e">
        <f>IF(NOT(ISBLANK([1]Variables!A1427)),[1]Variables!A1427,"")</f>
        <v>#REF!</v>
      </c>
    </row>
    <row r="1428" spans="1:1" x14ac:dyDescent="0.2">
      <c r="A1428" t="e">
        <f>IF(NOT(ISBLANK([1]Variables!A1428)),[1]Variables!A1428,"")</f>
        <v>#REF!</v>
      </c>
    </row>
    <row r="1429" spans="1:1" x14ac:dyDescent="0.2">
      <c r="A1429" t="e">
        <f>IF(NOT(ISBLANK([1]Variables!A1429)),[1]Variables!A1429,"")</f>
        <v>#REF!</v>
      </c>
    </row>
    <row r="1430" spans="1:1" x14ac:dyDescent="0.2">
      <c r="A1430" t="e">
        <f>IF(NOT(ISBLANK([1]Variables!A1430)),[1]Variables!A1430,"")</f>
        <v>#REF!</v>
      </c>
    </row>
    <row r="1431" spans="1:1" x14ac:dyDescent="0.2">
      <c r="A1431" t="e">
        <f>IF(NOT(ISBLANK([1]Variables!A1431)),[1]Variables!A1431,"")</f>
        <v>#REF!</v>
      </c>
    </row>
    <row r="1432" spans="1:1" x14ac:dyDescent="0.2">
      <c r="A1432" t="e">
        <f>IF(NOT(ISBLANK([1]Variables!A1432)),[1]Variables!A1432,"")</f>
        <v>#REF!</v>
      </c>
    </row>
    <row r="1433" spans="1:1" x14ac:dyDescent="0.2">
      <c r="A1433" t="e">
        <f>IF(NOT(ISBLANK([1]Variables!A1433)),[1]Variables!A1433,"")</f>
        <v>#REF!</v>
      </c>
    </row>
    <row r="1434" spans="1:1" x14ac:dyDescent="0.2">
      <c r="A1434" t="e">
        <f>IF(NOT(ISBLANK([1]Variables!A1434)),[1]Variables!A1434,"")</f>
        <v>#REF!</v>
      </c>
    </row>
    <row r="1435" spans="1:1" x14ac:dyDescent="0.2">
      <c r="A1435" t="e">
        <f>IF(NOT(ISBLANK([1]Variables!A1435)),[1]Variables!A1435,"")</f>
        <v>#REF!</v>
      </c>
    </row>
    <row r="1436" spans="1:1" x14ac:dyDescent="0.2">
      <c r="A1436" t="e">
        <f>IF(NOT(ISBLANK([1]Variables!A1436)),[1]Variables!A1436,"")</f>
        <v>#REF!</v>
      </c>
    </row>
    <row r="1437" spans="1:1" x14ac:dyDescent="0.2">
      <c r="A1437" t="e">
        <f>IF(NOT(ISBLANK([1]Variables!A1437)),[1]Variables!A1437,"")</f>
        <v>#REF!</v>
      </c>
    </row>
    <row r="1438" spans="1:1" x14ac:dyDescent="0.2">
      <c r="A1438" t="e">
        <f>IF(NOT(ISBLANK([1]Variables!A1438)),[1]Variables!A1438,"")</f>
        <v>#REF!</v>
      </c>
    </row>
    <row r="1439" spans="1:1" x14ac:dyDescent="0.2">
      <c r="A1439" t="e">
        <f>IF(NOT(ISBLANK([1]Variables!A1439)),[1]Variables!A1439,"")</f>
        <v>#REF!</v>
      </c>
    </row>
    <row r="1440" spans="1:1" x14ac:dyDescent="0.2">
      <c r="A1440" t="e">
        <f>IF(NOT(ISBLANK([1]Variables!A1440)),[1]Variables!A1440,"")</f>
        <v>#REF!</v>
      </c>
    </row>
    <row r="1441" spans="1:1" x14ac:dyDescent="0.2">
      <c r="A1441" t="e">
        <f>IF(NOT(ISBLANK([1]Variables!A1441)),[1]Variables!A1441,"")</f>
        <v>#REF!</v>
      </c>
    </row>
    <row r="1442" spans="1:1" x14ac:dyDescent="0.2">
      <c r="A1442" t="e">
        <f>IF(NOT(ISBLANK([1]Variables!A1442)),[1]Variables!A1442,"")</f>
        <v>#REF!</v>
      </c>
    </row>
    <row r="1443" spans="1:1" x14ac:dyDescent="0.2">
      <c r="A1443" t="e">
        <f>IF(NOT(ISBLANK([1]Variables!A1443)),[1]Variables!A1443,"")</f>
        <v>#REF!</v>
      </c>
    </row>
    <row r="1444" spans="1:1" x14ac:dyDescent="0.2">
      <c r="A1444" t="e">
        <f>IF(NOT(ISBLANK([1]Variables!A1444)),[1]Variables!A1444,"")</f>
        <v>#REF!</v>
      </c>
    </row>
    <row r="1445" spans="1:1" x14ac:dyDescent="0.2">
      <c r="A1445" t="e">
        <f>IF(NOT(ISBLANK([1]Variables!A1445)),[1]Variables!A1445,"")</f>
        <v>#REF!</v>
      </c>
    </row>
    <row r="1446" spans="1:1" x14ac:dyDescent="0.2">
      <c r="A1446" t="e">
        <f>IF(NOT(ISBLANK([1]Variables!A1446)),[1]Variables!A1446,"")</f>
        <v>#REF!</v>
      </c>
    </row>
    <row r="1447" spans="1:1" x14ac:dyDescent="0.2">
      <c r="A1447" t="e">
        <f>IF(NOT(ISBLANK([1]Variables!A1447)),[1]Variables!A1447,"")</f>
        <v>#REF!</v>
      </c>
    </row>
    <row r="1448" spans="1:1" x14ac:dyDescent="0.2">
      <c r="A1448" t="e">
        <f>IF(NOT(ISBLANK([1]Variables!A1448)),[1]Variables!A1448,"")</f>
        <v>#REF!</v>
      </c>
    </row>
    <row r="1449" spans="1:1" x14ac:dyDescent="0.2">
      <c r="A1449" t="e">
        <f>IF(NOT(ISBLANK([1]Variables!A1449)),[1]Variables!A1449,"")</f>
        <v>#REF!</v>
      </c>
    </row>
    <row r="1450" spans="1:1" x14ac:dyDescent="0.2">
      <c r="A1450" t="e">
        <f>IF(NOT(ISBLANK([1]Variables!A1450)),[1]Variables!A1450,"")</f>
        <v>#REF!</v>
      </c>
    </row>
    <row r="1451" spans="1:1" x14ac:dyDescent="0.2">
      <c r="A1451" t="e">
        <f>IF(NOT(ISBLANK([1]Variables!A1451)),[1]Variables!A1451,"")</f>
        <v>#REF!</v>
      </c>
    </row>
    <row r="1452" spans="1:1" x14ac:dyDescent="0.2">
      <c r="A1452" t="e">
        <f>IF(NOT(ISBLANK([1]Variables!A1452)),[1]Variables!A1452,"")</f>
        <v>#REF!</v>
      </c>
    </row>
    <row r="1453" spans="1:1" x14ac:dyDescent="0.2">
      <c r="A1453" t="e">
        <f>IF(NOT(ISBLANK([1]Variables!A1453)),[1]Variables!A1453,"")</f>
        <v>#REF!</v>
      </c>
    </row>
    <row r="1454" spans="1:1" x14ac:dyDescent="0.2">
      <c r="A1454" t="e">
        <f>IF(NOT(ISBLANK([1]Variables!A1454)),[1]Variables!A1454,"")</f>
        <v>#REF!</v>
      </c>
    </row>
    <row r="1455" spans="1:1" x14ac:dyDescent="0.2">
      <c r="A1455" t="e">
        <f>IF(NOT(ISBLANK([1]Variables!A1455)),[1]Variables!A1455,"")</f>
        <v>#REF!</v>
      </c>
    </row>
    <row r="1456" spans="1:1" x14ac:dyDescent="0.2">
      <c r="A1456" t="e">
        <f>IF(NOT(ISBLANK([1]Variables!A1456)),[1]Variables!A1456,"")</f>
        <v>#REF!</v>
      </c>
    </row>
    <row r="1457" spans="1:1" x14ac:dyDescent="0.2">
      <c r="A1457" t="e">
        <f>IF(NOT(ISBLANK([1]Variables!A1457)),[1]Variables!A1457,"")</f>
        <v>#REF!</v>
      </c>
    </row>
    <row r="1458" spans="1:1" x14ac:dyDescent="0.2">
      <c r="A1458" t="e">
        <f>IF(NOT(ISBLANK([1]Variables!A1458)),[1]Variables!A1458,"")</f>
        <v>#REF!</v>
      </c>
    </row>
    <row r="1459" spans="1:1" x14ac:dyDescent="0.2">
      <c r="A1459" t="e">
        <f>IF(NOT(ISBLANK([1]Variables!A1459)),[1]Variables!A1459,"")</f>
        <v>#REF!</v>
      </c>
    </row>
    <row r="1460" spans="1:1" x14ac:dyDescent="0.2">
      <c r="A1460" t="e">
        <f>IF(NOT(ISBLANK([1]Variables!A1460)),[1]Variables!A1460,"")</f>
        <v>#REF!</v>
      </c>
    </row>
    <row r="1461" spans="1:1" x14ac:dyDescent="0.2">
      <c r="A1461" t="e">
        <f>IF(NOT(ISBLANK([1]Variables!A1461)),[1]Variables!A1461,"")</f>
        <v>#REF!</v>
      </c>
    </row>
    <row r="1462" spans="1:1" x14ac:dyDescent="0.2">
      <c r="A1462" t="e">
        <f>IF(NOT(ISBLANK([1]Variables!A1462)),[1]Variables!A1462,"")</f>
        <v>#REF!</v>
      </c>
    </row>
    <row r="1463" spans="1:1" x14ac:dyDescent="0.2">
      <c r="A1463" t="e">
        <f>IF(NOT(ISBLANK([1]Variables!A1463)),[1]Variables!A1463,"")</f>
        <v>#REF!</v>
      </c>
    </row>
    <row r="1464" spans="1:1" x14ac:dyDescent="0.2">
      <c r="A1464" t="e">
        <f>IF(NOT(ISBLANK([1]Variables!A1464)),[1]Variables!A1464,"")</f>
        <v>#REF!</v>
      </c>
    </row>
    <row r="1465" spans="1:1" x14ac:dyDescent="0.2">
      <c r="A1465" t="e">
        <f>IF(NOT(ISBLANK([1]Variables!A1465)),[1]Variables!A1465,"")</f>
        <v>#REF!</v>
      </c>
    </row>
    <row r="1466" spans="1:1" x14ac:dyDescent="0.2">
      <c r="A1466" t="e">
        <f>IF(NOT(ISBLANK([1]Variables!A1466)),[1]Variables!A1466,"")</f>
        <v>#REF!</v>
      </c>
    </row>
    <row r="1467" spans="1:1" x14ac:dyDescent="0.2">
      <c r="A1467" t="e">
        <f>IF(NOT(ISBLANK([1]Variables!A1467)),[1]Variables!A1467,"")</f>
        <v>#REF!</v>
      </c>
    </row>
    <row r="1468" spans="1:1" x14ac:dyDescent="0.2">
      <c r="A1468" t="e">
        <f>IF(NOT(ISBLANK([1]Variables!A1468)),[1]Variables!A1468,"")</f>
        <v>#REF!</v>
      </c>
    </row>
    <row r="1469" spans="1:1" x14ac:dyDescent="0.2">
      <c r="A1469" t="e">
        <f>IF(NOT(ISBLANK([1]Variables!A1469)),[1]Variables!A1469,"")</f>
        <v>#REF!</v>
      </c>
    </row>
    <row r="1470" spans="1:1" x14ac:dyDescent="0.2">
      <c r="A1470" t="e">
        <f>IF(NOT(ISBLANK([1]Variables!A1470)),[1]Variables!A1470,"")</f>
        <v>#REF!</v>
      </c>
    </row>
    <row r="1471" spans="1:1" x14ac:dyDescent="0.2">
      <c r="A1471" t="e">
        <f>IF(NOT(ISBLANK([1]Variables!A1471)),[1]Variables!A1471,"")</f>
        <v>#REF!</v>
      </c>
    </row>
    <row r="1472" spans="1:1" x14ac:dyDescent="0.2">
      <c r="A1472" t="e">
        <f>IF(NOT(ISBLANK([1]Variables!A1472)),[1]Variables!A1472,"")</f>
        <v>#REF!</v>
      </c>
    </row>
    <row r="1473" spans="1:1" x14ac:dyDescent="0.2">
      <c r="A1473" t="e">
        <f>IF(NOT(ISBLANK([1]Variables!A1473)),[1]Variables!A1473,"")</f>
        <v>#REF!</v>
      </c>
    </row>
    <row r="1474" spans="1:1" x14ac:dyDescent="0.2">
      <c r="A1474" t="e">
        <f>IF(NOT(ISBLANK([1]Variables!A1474)),[1]Variables!A1474,"")</f>
        <v>#REF!</v>
      </c>
    </row>
    <row r="1475" spans="1:1" x14ac:dyDescent="0.2">
      <c r="A1475" t="e">
        <f>IF(NOT(ISBLANK([1]Variables!A1475)),[1]Variables!A1475,"")</f>
        <v>#REF!</v>
      </c>
    </row>
    <row r="1476" spans="1:1" x14ac:dyDescent="0.2">
      <c r="A1476" t="e">
        <f>IF(NOT(ISBLANK([1]Variables!A1476)),[1]Variables!A1476,"")</f>
        <v>#REF!</v>
      </c>
    </row>
    <row r="1477" spans="1:1" x14ac:dyDescent="0.2">
      <c r="A1477" t="e">
        <f>IF(NOT(ISBLANK([1]Variables!A1477)),[1]Variables!A1477,"")</f>
        <v>#REF!</v>
      </c>
    </row>
    <row r="1478" spans="1:1" x14ac:dyDescent="0.2">
      <c r="A1478" t="e">
        <f>IF(NOT(ISBLANK([1]Variables!A1478)),[1]Variables!A1478,"")</f>
        <v>#REF!</v>
      </c>
    </row>
    <row r="1479" spans="1:1" x14ac:dyDescent="0.2">
      <c r="A1479" t="e">
        <f>IF(NOT(ISBLANK([1]Variables!A1479)),[1]Variables!A1479,"")</f>
        <v>#REF!</v>
      </c>
    </row>
    <row r="1480" spans="1:1" x14ac:dyDescent="0.2">
      <c r="A1480" t="e">
        <f>IF(NOT(ISBLANK([1]Variables!A1480)),[1]Variables!A1480,"")</f>
        <v>#REF!</v>
      </c>
    </row>
    <row r="1481" spans="1:1" x14ac:dyDescent="0.2">
      <c r="A1481" t="e">
        <f>IF(NOT(ISBLANK([1]Variables!A1481)),[1]Variables!A1481,"")</f>
        <v>#REF!</v>
      </c>
    </row>
    <row r="1482" spans="1:1" x14ac:dyDescent="0.2">
      <c r="A1482" t="e">
        <f>IF(NOT(ISBLANK([1]Variables!A1482)),[1]Variables!A1482,"")</f>
        <v>#REF!</v>
      </c>
    </row>
    <row r="1483" spans="1:1" x14ac:dyDescent="0.2">
      <c r="A1483" t="e">
        <f>IF(NOT(ISBLANK([1]Variables!A1483)),[1]Variables!A1483,"")</f>
        <v>#REF!</v>
      </c>
    </row>
    <row r="1484" spans="1:1" x14ac:dyDescent="0.2">
      <c r="A1484" t="e">
        <f>IF(NOT(ISBLANK([1]Variables!A1484)),[1]Variables!A1484,"")</f>
        <v>#REF!</v>
      </c>
    </row>
    <row r="1485" spans="1:1" x14ac:dyDescent="0.2">
      <c r="A1485" t="e">
        <f>IF(NOT(ISBLANK([1]Variables!A1485)),[1]Variables!A1485,"")</f>
        <v>#REF!</v>
      </c>
    </row>
    <row r="1486" spans="1:1" x14ac:dyDescent="0.2">
      <c r="A1486" t="e">
        <f>IF(NOT(ISBLANK([1]Variables!A1486)),[1]Variables!A1486,"")</f>
        <v>#REF!</v>
      </c>
    </row>
    <row r="1487" spans="1:1" x14ac:dyDescent="0.2">
      <c r="A1487" t="e">
        <f>IF(NOT(ISBLANK([1]Variables!A1487)),[1]Variables!A1487,"")</f>
        <v>#REF!</v>
      </c>
    </row>
    <row r="1488" spans="1:1" x14ac:dyDescent="0.2">
      <c r="A1488" t="e">
        <f>IF(NOT(ISBLANK([1]Variables!A1488)),[1]Variables!A1488,"")</f>
        <v>#REF!</v>
      </c>
    </row>
    <row r="1489" spans="1:1" x14ac:dyDescent="0.2">
      <c r="A1489" t="e">
        <f>IF(NOT(ISBLANK([1]Variables!A1489)),[1]Variables!A1489,"")</f>
        <v>#REF!</v>
      </c>
    </row>
    <row r="1490" spans="1:1" x14ac:dyDescent="0.2">
      <c r="A1490" t="e">
        <f>IF(NOT(ISBLANK([1]Variables!A1490)),[1]Variables!A1490,"")</f>
        <v>#REF!</v>
      </c>
    </row>
    <row r="1491" spans="1:1" x14ac:dyDescent="0.2">
      <c r="A1491" t="e">
        <f>IF(NOT(ISBLANK([1]Variables!A1491)),[1]Variables!A1491,"")</f>
        <v>#REF!</v>
      </c>
    </row>
    <row r="1492" spans="1:1" x14ac:dyDescent="0.2">
      <c r="A1492" t="e">
        <f>IF(NOT(ISBLANK([1]Variables!A1492)),[1]Variables!A1492,"")</f>
        <v>#REF!</v>
      </c>
    </row>
    <row r="1493" spans="1:1" x14ac:dyDescent="0.2">
      <c r="A1493" t="e">
        <f>IF(NOT(ISBLANK([1]Variables!A1493)),[1]Variables!A1493,"")</f>
        <v>#REF!</v>
      </c>
    </row>
    <row r="1494" spans="1:1" x14ac:dyDescent="0.2">
      <c r="A1494" t="e">
        <f>IF(NOT(ISBLANK([1]Variables!A1494)),[1]Variables!A1494,"")</f>
        <v>#REF!</v>
      </c>
    </row>
    <row r="1495" spans="1:1" x14ac:dyDescent="0.2">
      <c r="A1495" t="e">
        <f>IF(NOT(ISBLANK([1]Variables!A1495)),[1]Variables!A1495,"")</f>
        <v>#REF!</v>
      </c>
    </row>
    <row r="1496" spans="1:1" x14ac:dyDescent="0.2">
      <c r="A1496" t="e">
        <f>IF(NOT(ISBLANK([1]Variables!A1496)),[1]Variables!A1496,"")</f>
        <v>#REF!</v>
      </c>
    </row>
    <row r="1497" spans="1:1" x14ac:dyDescent="0.2">
      <c r="A1497" t="e">
        <f>IF(NOT(ISBLANK([1]Variables!A1497)),[1]Variables!A1497,"")</f>
        <v>#REF!</v>
      </c>
    </row>
    <row r="1498" spans="1:1" x14ac:dyDescent="0.2">
      <c r="A1498" t="e">
        <f>IF(NOT(ISBLANK([1]Variables!A1498)),[1]Variables!A1498,"")</f>
        <v>#REF!</v>
      </c>
    </row>
    <row r="1499" spans="1:1" x14ac:dyDescent="0.2">
      <c r="A1499" t="e">
        <f>IF(NOT(ISBLANK([1]Variables!A1499)),[1]Variables!A1499,"")</f>
        <v>#REF!</v>
      </c>
    </row>
    <row r="1500" spans="1:1" x14ac:dyDescent="0.2">
      <c r="A1500" t="e">
        <f>IF(NOT(ISBLANK([1]Variables!A1500)),[1]Variables!A1500,"")</f>
        <v>#REF!</v>
      </c>
    </row>
    <row r="1501" spans="1:1" x14ac:dyDescent="0.2">
      <c r="A1501" t="e">
        <f>IF(NOT(ISBLANK([1]Variables!A1501)),[1]Variables!A1501,"")</f>
        <v>#REF!</v>
      </c>
    </row>
    <row r="1502" spans="1:1" x14ac:dyDescent="0.2">
      <c r="A1502" t="e">
        <f>IF(NOT(ISBLANK([1]Variables!A1502)),[1]Variables!A1502,"")</f>
        <v>#REF!</v>
      </c>
    </row>
    <row r="1503" spans="1:1" x14ac:dyDescent="0.2">
      <c r="A1503" t="e">
        <f>IF(NOT(ISBLANK([1]Variables!A1503)),[1]Variables!A1503,"")</f>
        <v>#REF!</v>
      </c>
    </row>
    <row r="1504" spans="1:1" x14ac:dyDescent="0.2">
      <c r="A1504" t="e">
        <f>IF(NOT(ISBLANK([1]Variables!A1504)),[1]Variables!A1504,"")</f>
        <v>#REF!</v>
      </c>
    </row>
    <row r="1505" spans="1:1" x14ac:dyDescent="0.2">
      <c r="A1505" t="e">
        <f>IF(NOT(ISBLANK([1]Variables!A1505)),[1]Variables!A1505,"")</f>
        <v>#REF!</v>
      </c>
    </row>
    <row r="1506" spans="1:1" x14ac:dyDescent="0.2">
      <c r="A1506" t="e">
        <f>IF(NOT(ISBLANK([1]Variables!A1506)),[1]Variables!A1506,"")</f>
        <v>#REF!</v>
      </c>
    </row>
    <row r="1507" spans="1:1" x14ac:dyDescent="0.2">
      <c r="A1507" t="e">
        <f>IF(NOT(ISBLANK([1]Variables!A1507)),[1]Variables!A1507,"")</f>
        <v>#REF!</v>
      </c>
    </row>
    <row r="1508" spans="1:1" x14ac:dyDescent="0.2">
      <c r="A1508" t="e">
        <f>IF(NOT(ISBLANK([1]Variables!A1508)),[1]Variables!A1508,"")</f>
        <v>#REF!</v>
      </c>
    </row>
    <row r="1509" spans="1:1" x14ac:dyDescent="0.2">
      <c r="A1509" t="e">
        <f>IF(NOT(ISBLANK([1]Variables!A1509)),[1]Variables!A1509,"")</f>
        <v>#REF!</v>
      </c>
    </row>
    <row r="1510" spans="1:1" x14ac:dyDescent="0.2">
      <c r="A1510" t="e">
        <f>IF(NOT(ISBLANK([1]Variables!A1510)),[1]Variables!A1510,"")</f>
        <v>#REF!</v>
      </c>
    </row>
    <row r="1511" spans="1:1" x14ac:dyDescent="0.2">
      <c r="A1511" t="e">
        <f>IF(NOT(ISBLANK([1]Variables!A1511)),[1]Variables!A1511,"")</f>
        <v>#REF!</v>
      </c>
    </row>
    <row r="1512" spans="1:1" x14ac:dyDescent="0.2">
      <c r="A1512" t="e">
        <f>IF(NOT(ISBLANK([1]Variables!A1512)),[1]Variables!A1512,"")</f>
        <v>#REF!</v>
      </c>
    </row>
    <row r="1513" spans="1:1" x14ac:dyDescent="0.2">
      <c r="A1513" t="e">
        <f>IF(NOT(ISBLANK([1]Variables!A1513)),[1]Variables!A1513,"")</f>
        <v>#REF!</v>
      </c>
    </row>
    <row r="1514" spans="1:1" x14ac:dyDescent="0.2">
      <c r="A1514" t="e">
        <f>IF(NOT(ISBLANK([1]Variables!A1514)),[1]Variables!A1514,"")</f>
        <v>#REF!</v>
      </c>
    </row>
    <row r="1515" spans="1:1" x14ac:dyDescent="0.2">
      <c r="A1515" t="e">
        <f>IF(NOT(ISBLANK([1]Variables!A1515)),[1]Variables!A1515,"")</f>
        <v>#REF!</v>
      </c>
    </row>
    <row r="1516" spans="1:1" x14ac:dyDescent="0.2">
      <c r="A1516" t="e">
        <f>IF(NOT(ISBLANK([1]Variables!A1516)),[1]Variables!A1516,"")</f>
        <v>#REF!</v>
      </c>
    </row>
    <row r="1517" spans="1:1" x14ac:dyDescent="0.2">
      <c r="A1517" t="e">
        <f>IF(NOT(ISBLANK([1]Variables!A1517)),[1]Variables!A1517,"")</f>
        <v>#REF!</v>
      </c>
    </row>
    <row r="1518" spans="1:1" x14ac:dyDescent="0.2">
      <c r="A1518" t="e">
        <f>IF(NOT(ISBLANK([1]Variables!A1518)),[1]Variables!A1518,"")</f>
        <v>#REF!</v>
      </c>
    </row>
    <row r="1519" spans="1:1" x14ac:dyDescent="0.2">
      <c r="A1519" t="e">
        <f>IF(NOT(ISBLANK([1]Variables!A1519)),[1]Variables!A1519,"")</f>
        <v>#REF!</v>
      </c>
    </row>
    <row r="1520" spans="1:1" x14ac:dyDescent="0.2">
      <c r="A1520" t="e">
        <f>IF(NOT(ISBLANK([1]Variables!A1520)),[1]Variables!A1520,"")</f>
        <v>#REF!</v>
      </c>
    </row>
    <row r="1521" spans="1:1" x14ac:dyDescent="0.2">
      <c r="A1521" t="e">
        <f>IF(NOT(ISBLANK([1]Variables!A1521)),[1]Variables!A1521,"")</f>
        <v>#REF!</v>
      </c>
    </row>
    <row r="1522" spans="1:1" x14ac:dyDescent="0.2">
      <c r="A1522" t="e">
        <f>IF(NOT(ISBLANK([1]Variables!A1522)),[1]Variables!A1522,"")</f>
        <v>#REF!</v>
      </c>
    </row>
    <row r="1523" spans="1:1" x14ac:dyDescent="0.2">
      <c r="A1523" t="e">
        <f>IF(NOT(ISBLANK([1]Variables!A1523)),[1]Variables!A1523,"")</f>
        <v>#REF!</v>
      </c>
    </row>
    <row r="1524" spans="1:1" x14ac:dyDescent="0.2">
      <c r="A1524" t="e">
        <f>IF(NOT(ISBLANK([1]Variables!A1524)),[1]Variables!A1524,"")</f>
        <v>#REF!</v>
      </c>
    </row>
    <row r="1525" spans="1:1" x14ac:dyDescent="0.2">
      <c r="A1525" t="e">
        <f>IF(NOT(ISBLANK([1]Variables!A1525)),[1]Variables!A1525,"")</f>
        <v>#REF!</v>
      </c>
    </row>
    <row r="1526" spans="1:1" x14ac:dyDescent="0.2">
      <c r="A1526" t="e">
        <f>IF(NOT(ISBLANK([1]Variables!A1526)),[1]Variables!A1526,"")</f>
        <v>#REF!</v>
      </c>
    </row>
    <row r="1527" spans="1:1" x14ac:dyDescent="0.2">
      <c r="A1527" t="e">
        <f>IF(NOT(ISBLANK([1]Variables!A1527)),[1]Variables!A1527,"")</f>
        <v>#REF!</v>
      </c>
    </row>
    <row r="1528" spans="1:1" x14ac:dyDescent="0.2">
      <c r="A1528" t="e">
        <f>IF(NOT(ISBLANK([1]Variables!A1528)),[1]Variables!A1528,"")</f>
        <v>#REF!</v>
      </c>
    </row>
    <row r="1529" spans="1:1" x14ac:dyDescent="0.2">
      <c r="A1529" t="e">
        <f>IF(NOT(ISBLANK([1]Variables!A1529)),[1]Variables!A1529,"")</f>
        <v>#REF!</v>
      </c>
    </row>
    <row r="1530" spans="1:1" x14ac:dyDescent="0.2">
      <c r="A1530" t="e">
        <f>IF(NOT(ISBLANK([1]Variables!A1530)),[1]Variables!A1530,"")</f>
        <v>#REF!</v>
      </c>
    </row>
    <row r="1531" spans="1:1" x14ac:dyDescent="0.2">
      <c r="A1531" t="e">
        <f>IF(NOT(ISBLANK([1]Variables!A1531)),[1]Variables!A1531,"")</f>
        <v>#REF!</v>
      </c>
    </row>
    <row r="1532" spans="1:1" x14ac:dyDescent="0.2">
      <c r="A1532" t="e">
        <f>IF(NOT(ISBLANK([1]Variables!A1532)),[1]Variables!A1532,"")</f>
        <v>#REF!</v>
      </c>
    </row>
    <row r="1533" spans="1:1" x14ac:dyDescent="0.2">
      <c r="A1533" t="e">
        <f>IF(NOT(ISBLANK([1]Variables!A1533)),[1]Variables!A1533,"")</f>
        <v>#REF!</v>
      </c>
    </row>
    <row r="1534" spans="1:1" x14ac:dyDescent="0.2">
      <c r="A1534" t="e">
        <f>IF(NOT(ISBLANK([1]Variables!A1534)),[1]Variables!A1534,"")</f>
        <v>#REF!</v>
      </c>
    </row>
    <row r="1535" spans="1:1" x14ac:dyDescent="0.2">
      <c r="A1535" t="e">
        <f>IF(NOT(ISBLANK([1]Variables!A1535)),[1]Variables!A1535,"")</f>
        <v>#REF!</v>
      </c>
    </row>
    <row r="1536" spans="1:1" x14ac:dyDescent="0.2">
      <c r="A1536" t="e">
        <f>IF(NOT(ISBLANK([1]Variables!A1536)),[1]Variables!A1536,"")</f>
        <v>#REF!</v>
      </c>
    </row>
    <row r="1537" spans="1:1" x14ac:dyDescent="0.2">
      <c r="A1537" t="e">
        <f>IF(NOT(ISBLANK([1]Variables!A1537)),[1]Variables!A1537,"")</f>
        <v>#REF!</v>
      </c>
    </row>
    <row r="1538" spans="1:1" x14ac:dyDescent="0.2">
      <c r="A1538" t="e">
        <f>IF(NOT(ISBLANK([1]Variables!A1538)),[1]Variables!A1538,"")</f>
        <v>#REF!</v>
      </c>
    </row>
    <row r="1539" spans="1:1" x14ac:dyDescent="0.2">
      <c r="A1539" t="e">
        <f>IF(NOT(ISBLANK([1]Variables!A1539)),[1]Variables!A1539,"")</f>
        <v>#REF!</v>
      </c>
    </row>
    <row r="1540" spans="1:1" x14ac:dyDescent="0.2">
      <c r="A1540" t="e">
        <f>IF(NOT(ISBLANK([1]Variables!A1540)),[1]Variables!A1540,"")</f>
        <v>#REF!</v>
      </c>
    </row>
    <row r="1541" spans="1:1" x14ac:dyDescent="0.2">
      <c r="A1541" t="e">
        <f>IF(NOT(ISBLANK([1]Variables!A1541)),[1]Variables!A1541,"")</f>
        <v>#REF!</v>
      </c>
    </row>
    <row r="1542" spans="1:1" x14ac:dyDescent="0.2">
      <c r="A1542" t="e">
        <f>IF(NOT(ISBLANK([1]Variables!A1542)),[1]Variables!A1542,"")</f>
        <v>#REF!</v>
      </c>
    </row>
    <row r="1543" spans="1:1" x14ac:dyDescent="0.2">
      <c r="A1543" t="e">
        <f>IF(NOT(ISBLANK([1]Variables!A1543)),[1]Variables!A1543,"")</f>
        <v>#REF!</v>
      </c>
    </row>
    <row r="1544" spans="1:1" x14ac:dyDescent="0.2">
      <c r="A1544" t="e">
        <f>IF(NOT(ISBLANK([1]Variables!A1544)),[1]Variables!A1544,"")</f>
        <v>#REF!</v>
      </c>
    </row>
    <row r="1545" spans="1:1" x14ac:dyDescent="0.2">
      <c r="A1545" t="e">
        <f>IF(NOT(ISBLANK([1]Variables!A1545)),[1]Variables!A1545,"")</f>
        <v>#REF!</v>
      </c>
    </row>
    <row r="1546" spans="1:1" x14ac:dyDescent="0.2">
      <c r="A1546" t="e">
        <f>IF(NOT(ISBLANK([1]Variables!A1546)),[1]Variables!A1546,"")</f>
        <v>#REF!</v>
      </c>
    </row>
    <row r="1547" spans="1:1" x14ac:dyDescent="0.2">
      <c r="A1547" t="e">
        <f>IF(NOT(ISBLANK([1]Variables!A1547)),[1]Variables!A1547,"")</f>
        <v>#REF!</v>
      </c>
    </row>
    <row r="1548" spans="1:1" x14ac:dyDescent="0.2">
      <c r="A1548" t="e">
        <f>IF(NOT(ISBLANK([1]Variables!A1548)),[1]Variables!A1548,"")</f>
        <v>#REF!</v>
      </c>
    </row>
    <row r="1549" spans="1:1" x14ac:dyDescent="0.2">
      <c r="A1549" t="e">
        <f>IF(NOT(ISBLANK([1]Variables!A1549)),[1]Variables!A1549,"")</f>
        <v>#REF!</v>
      </c>
    </row>
    <row r="1550" spans="1:1" x14ac:dyDescent="0.2">
      <c r="A1550" t="e">
        <f>IF(NOT(ISBLANK([1]Variables!A1550)),[1]Variables!A1550,"")</f>
        <v>#REF!</v>
      </c>
    </row>
    <row r="1551" spans="1:1" x14ac:dyDescent="0.2">
      <c r="A1551" t="e">
        <f>IF(NOT(ISBLANK([1]Variables!A1551)),[1]Variables!A1551,"")</f>
        <v>#REF!</v>
      </c>
    </row>
    <row r="1552" spans="1:1" x14ac:dyDescent="0.2">
      <c r="A1552" t="e">
        <f>IF(NOT(ISBLANK([1]Variables!A1552)),[1]Variables!A1552,"")</f>
        <v>#REF!</v>
      </c>
    </row>
    <row r="1553" spans="1:1" x14ac:dyDescent="0.2">
      <c r="A1553" t="e">
        <f>IF(NOT(ISBLANK([1]Variables!A1553)),[1]Variables!A1553,"")</f>
        <v>#REF!</v>
      </c>
    </row>
    <row r="1554" spans="1:1" x14ac:dyDescent="0.2">
      <c r="A1554" t="e">
        <f>IF(NOT(ISBLANK([1]Variables!A1554)),[1]Variables!A1554,"")</f>
        <v>#REF!</v>
      </c>
    </row>
    <row r="1555" spans="1:1" x14ac:dyDescent="0.2">
      <c r="A1555" t="e">
        <f>IF(NOT(ISBLANK([1]Variables!A1555)),[1]Variables!A1555,"")</f>
        <v>#REF!</v>
      </c>
    </row>
    <row r="1556" spans="1:1" x14ac:dyDescent="0.2">
      <c r="A1556" t="e">
        <f>IF(NOT(ISBLANK([1]Variables!A1556)),[1]Variables!A1556,"")</f>
        <v>#REF!</v>
      </c>
    </row>
    <row r="1557" spans="1:1" x14ac:dyDescent="0.2">
      <c r="A1557" t="e">
        <f>IF(NOT(ISBLANK([1]Variables!A1557)),[1]Variables!A1557,"")</f>
        <v>#REF!</v>
      </c>
    </row>
    <row r="1558" spans="1:1" x14ac:dyDescent="0.2">
      <c r="A1558" t="e">
        <f>IF(NOT(ISBLANK([1]Variables!A1558)),[1]Variables!A1558,"")</f>
        <v>#REF!</v>
      </c>
    </row>
    <row r="1559" spans="1:1" x14ac:dyDescent="0.2">
      <c r="A1559" t="e">
        <f>IF(NOT(ISBLANK([1]Variables!A1559)),[1]Variables!A1559,"")</f>
        <v>#REF!</v>
      </c>
    </row>
    <row r="1560" spans="1:1" x14ac:dyDescent="0.2">
      <c r="A1560" t="e">
        <f>IF(NOT(ISBLANK([1]Variables!A1560)),[1]Variables!A1560,"")</f>
        <v>#REF!</v>
      </c>
    </row>
    <row r="1561" spans="1:1" x14ac:dyDescent="0.2">
      <c r="A1561" t="e">
        <f>IF(NOT(ISBLANK([1]Variables!A1561)),[1]Variables!A1561,"")</f>
        <v>#REF!</v>
      </c>
    </row>
    <row r="1562" spans="1:1" x14ac:dyDescent="0.2">
      <c r="A1562" t="e">
        <f>IF(NOT(ISBLANK([1]Variables!A1562)),[1]Variables!A1562,"")</f>
        <v>#REF!</v>
      </c>
    </row>
    <row r="1563" spans="1:1" x14ac:dyDescent="0.2">
      <c r="A1563" t="e">
        <f>IF(NOT(ISBLANK([1]Variables!A1563)),[1]Variables!A1563,"")</f>
        <v>#REF!</v>
      </c>
    </row>
    <row r="1564" spans="1:1" x14ac:dyDescent="0.2">
      <c r="A1564" t="e">
        <f>IF(NOT(ISBLANK([1]Variables!A1564)),[1]Variables!A1564,"")</f>
        <v>#REF!</v>
      </c>
    </row>
    <row r="1565" spans="1:1" x14ac:dyDescent="0.2">
      <c r="A1565" t="e">
        <f>IF(NOT(ISBLANK([1]Variables!A1565)),[1]Variables!A1565,"")</f>
        <v>#REF!</v>
      </c>
    </row>
    <row r="1566" spans="1:1" x14ac:dyDescent="0.2">
      <c r="A1566" t="e">
        <f>IF(NOT(ISBLANK([1]Variables!A1566)),[1]Variables!A1566,"")</f>
        <v>#REF!</v>
      </c>
    </row>
    <row r="1567" spans="1:1" x14ac:dyDescent="0.2">
      <c r="A1567" t="e">
        <f>IF(NOT(ISBLANK([1]Variables!A1567)),[1]Variables!A1567,"")</f>
        <v>#REF!</v>
      </c>
    </row>
    <row r="1568" spans="1:1" x14ac:dyDescent="0.2">
      <c r="A1568" t="e">
        <f>IF(NOT(ISBLANK([1]Variables!A1568)),[1]Variables!A1568,"")</f>
        <v>#REF!</v>
      </c>
    </row>
    <row r="1569" spans="1:1" x14ac:dyDescent="0.2">
      <c r="A1569" t="e">
        <f>IF(NOT(ISBLANK([1]Variables!A1569)),[1]Variables!A1569,"")</f>
        <v>#REF!</v>
      </c>
    </row>
    <row r="1570" spans="1:1" x14ac:dyDescent="0.2">
      <c r="A1570" t="e">
        <f>IF(NOT(ISBLANK([1]Variables!A1570)),[1]Variables!A1570,"")</f>
        <v>#REF!</v>
      </c>
    </row>
    <row r="1571" spans="1:1" x14ac:dyDescent="0.2">
      <c r="A1571" t="e">
        <f>IF(NOT(ISBLANK([1]Variables!A1571)),[1]Variables!A1571,"")</f>
        <v>#REF!</v>
      </c>
    </row>
    <row r="1572" spans="1:1" x14ac:dyDescent="0.2">
      <c r="A1572" t="e">
        <f>IF(NOT(ISBLANK([1]Variables!A1572)),[1]Variables!A1572,"")</f>
        <v>#REF!</v>
      </c>
    </row>
    <row r="1573" spans="1:1" x14ac:dyDescent="0.2">
      <c r="A1573" t="e">
        <f>IF(NOT(ISBLANK([1]Variables!A1573)),[1]Variables!A1573,"")</f>
        <v>#REF!</v>
      </c>
    </row>
    <row r="1574" spans="1:1" x14ac:dyDescent="0.2">
      <c r="A1574" t="e">
        <f>IF(NOT(ISBLANK([1]Variables!A1574)),[1]Variables!A1574,"")</f>
        <v>#REF!</v>
      </c>
    </row>
    <row r="1575" spans="1:1" x14ac:dyDescent="0.2">
      <c r="A1575" t="e">
        <f>IF(NOT(ISBLANK([1]Variables!A1575)),[1]Variables!A1575,"")</f>
        <v>#REF!</v>
      </c>
    </row>
    <row r="1576" spans="1:1" x14ac:dyDescent="0.2">
      <c r="A1576" t="e">
        <f>IF(NOT(ISBLANK([1]Variables!A1576)),[1]Variables!A1576,"")</f>
        <v>#REF!</v>
      </c>
    </row>
    <row r="1577" spans="1:1" x14ac:dyDescent="0.2">
      <c r="A1577" t="e">
        <f>IF(NOT(ISBLANK([1]Variables!A1577)),[1]Variables!A1577,"")</f>
        <v>#REF!</v>
      </c>
    </row>
    <row r="1578" spans="1:1" x14ac:dyDescent="0.2">
      <c r="A1578" t="e">
        <f>IF(NOT(ISBLANK([1]Variables!A1578)),[1]Variables!A1578,"")</f>
        <v>#REF!</v>
      </c>
    </row>
    <row r="1579" spans="1:1" x14ac:dyDescent="0.2">
      <c r="A1579" t="e">
        <f>IF(NOT(ISBLANK([1]Variables!A1579)),[1]Variables!A1579,"")</f>
        <v>#REF!</v>
      </c>
    </row>
    <row r="1580" spans="1:1" x14ac:dyDescent="0.2">
      <c r="A1580" t="e">
        <f>IF(NOT(ISBLANK([1]Variables!A1580)),[1]Variables!A1580,"")</f>
        <v>#REF!</v>
      </c>
    </row>
    <row r="1581" spans="1:1" x14ac:dyDescent="0.2">
      <c r="A1581" t="e">
        <f>IF(NOT(ISBLANK([1]Variables!A1581)),[1]Variables!A1581,"")</f>
        <v>#REF!</v>
      </c>
    </row>
    <row r="1582" spans="1:1" x14ac:dyDescent="0.2">
      <c r="A1582" t="e">
        <f>IF(NOT(ISBLANK([1]Variables!A1582)),[1]Variables!A1582,"")</f>
        <v>#REF!</v>
      </c>
    </row>
    <row r="1583" spans="1:1" x14ac:dyDescent="0.2">
      <c r="A1583" t="e">
        <f>IF(NOT(ISBLANK([1]Variables!A1583)),[1]Variables!A1583,"")</f>
        <v>#REF!</v>
      </c>
    </row>
    <row r="1584" spans="1:1" x14ac:dyDescent="0.2">
      <c r="A1584" t="e">
        <f>IF(NOT(ISBLANK([1]Variables!A1584)),[1]Variables!A1584,"")</f>
        <v>#REF!</v>
      </c>
    </row>
    <row r="1585" spans="1:1" x14ac:dyDescent="0.2">
      <c r="A1585" t="e">
        <f>IF(NOT(ISBLANK([1]Variables!A1585)),[1]Variables!A1585,"")</f>
        <v>#REF!</v>
      </c>
    </row>
    <row r="1586" spans="1:1" x14ac:dyDescent="0.2">
      <c r="A1586" t="e">
        <f>IF(NOT(ISBLANK([1]Variables!A1586)),[1]Variables!A1586,"")</f>
        <v>#REF!</v>
      </c>
    </row>
    <row r="1587" spans="1:1" x14ac:dyDescent="0.2">
      <c r="A1587" t="e">
        <f>IF(NOT(ISBLANK([1]Variables!A1587)),[1]Variables!A1587,"")</f>
        <v>#REF!</v>
      </c>
    </row>
    <row r="1588" spans="1:1" x14ac:dyDescent="0.2">
      <c r="A1588" t="e">
        <f>IF(NOT(ISBLANK([1]Variables!A1588)),[1]Variables!A1588,"")</f>
        <v>#REF!</v>
      </c>
    </row>
    <row r="1589" spans="1:1" x14ac:dyDescent="0.2">
      <c r="A1589" t="e">
        <f>IF(NOT(ISBLANK([1]Variables!A1589)),[1]Variables!A1589,"")</f>
        <v>#REF!</v>
      </c>
    </row>
    <row r="1590" spans="1:1" x14ac:dyDescent="0.2">
      <c r="A1590" t="e">
        <f>IF(NOT(ISBLANK([1]Variables!A1590)),[1]Variables!A1590,"")</f>
        <v>#REF!</v>
      </c>
    </row>
    <row r="1591" spans="1:1" x14ac:dyDescent="0.2">
      <c r="A1591" t="e">
        <f>IF(NOT(ISBLANK([1]Variables!A1591)),[1]Variables!A1591,"")</f>
        <v>#REF!</v>
      </c>
    </row>
    <row r="1592" spans="1:1" x14ac:dyDescent="0.2">
      <c r="A1592" t="e">
        <f>IF(NOT(ISBLANK([1]Variables!A1592)),[1]Variables!A1592,"")</f>
        <v>#REF!</v>
      </c>
    </row>
    <row r="1593" spans="1:1" x14ac:dyDescent="0.2">
      <c r="A1593" t="e">
        <f>IF(NOT(ISBLANK([1]Variables!A1593)),[1]Variables!A1593,"")</f>
        <v>#REF!</v>
      </c>
    </row>
    <row r="1594" spans="1:1" x14ac:dyDescent="0.2">
      <c r="A1594" t="e">
        <f>IF(NOT(ISBLANK([1]Variables!A1594)),[1]Variables!A1594,"")</f>
        <v>#REF!</v>
      </c>
    </row>
    <row r="1595" spans="1:1" x14ac:dyDescent="0.2">
      <c r="A1595" t="e">
        <f>IF(NOT(ISBLANK([1]Variables!A1595)),[1]Variables!A1595,"")</f>
        <v>#REF!</v>
      </c>
    </row>
    <row r="1596" spans="1:1" x14ac:dyDescent="0.2">
      <c r="A1596" t="e">
        <f>IF(NOT(ISBLANK([1]Variables!A1596)),[1]Variables!A1596,"")</f>
        <v>#REF!</v>
      </c>
    </row>
    <row r="1597" spans="1:1" x14ac:dyDescent="0.2">
      <c r="A1597" t="e">
        <f>IF(NOT(ISBLANK([1]Variables!A1597)),[1]Variables!A1597,"")</f>
        <v>#REF!</v>
      </c>
    </row>
    <row r="1598" spans="1:1" x14ac:dyDescent="0.2">
      <c r="A1598" t="e">
        <f>IF(NOT(ISBLANK([1]Variables!A1598)),[1]Variables!A1598,"")</f>
        <v>#REF!</v>
      </c>
    </row>
    <row r="1599" spans="1:1" x14ac:dyDescent="0.2">
      <c r="A1599" t="e">
        <f>IF(NOT(ISBLANK([1]Variables!A1599)),[1]Variables!A1599,"")</f>
        <v>#REF!</v>
      </c>
    </row>
    <row r="1600" spans="1:1" x14ac:dyDescent="0.2">
      <c r="A1600" t="e">
        <f>IF(NOT(ISBLANK([1]Variables!A1600)),[1]Variables!A1600,"")</f>
        <v>#REF!</v>
      </c>
    </row>
    <row r="1601" spans="1:1" x14ac:dyDescent="0.2">
      <c r="A1601" t="e">
        <f>IF(NOT(ISBLANK([1]Variables!A1601)),[1]Variables!A1601,"")</f>
        <v>#REF!</v>
      </c>
    </row>
    <row r="1602" spans="1:1" x14ac:dyDescent="0.2">
      <c r="A1602" t="e">
        <f>IF(NOT(ISBLANK([1]Variables!A1602)),[1]Variables!A1602,"")</f>
        <v>#REF!</v>
      </c>
    </row>
    <row r="1603" spans="1:1" x14ac:dyDescent="0.2">
      <c r="A1603" t="e">
        <f>IF(NOT(ISBLANK([1]Variables!A1603)),[1]Variables!A1603,"")</f>
        <v>#REF!</v>
      </c>
    </row>
    <row r="1604" spans="1:1" x14ac:dyDescent="0.2">
      <c r="A1604" t="e">
        <f>IF(NOT(ISBLANK([1]Variables!A1604)),[1]Variables!A1604,"")</f>
        <v>#REF!</v>
      </c>
    </row>
    <row r="1605" spans="1:1" x14ac:dyDescent="0.2">
      <c r="A1605" t="e">
        <f>IF(NOT(ISBLANK([1]Variables!A1605)),[1]Variables!A1605,"")</f>
        <v>#REF!</v>
      </c>
    </row>
    <row r="1606" spans="1:1" x14ac:dyDescent="0.2">
      <c r="A1606" t="e">
        <f>IF(NOT(ISBLANK([1]Variables!A1606)),[1]Variables!A1606,"")</f>
        <v>#REF!</v>
      </c>
    </row>
    <row r="1607" spans="1:1" x14ac:dyDescent="0.2">
      <c r="A1607" t="e">
        <f>IF(NOT(ISBLANK([1]Variables!A1607)),[1]Variables!A1607,"")</f>
        <v>#REF!</v>
      </c>
    </row>
    <row r="1608" spans="1:1" x14ac:dyDescent="0.2">
      <c r="A1608" t="e">
        <f>IF(NOT(ISBLANK([1]Variables!A1608)),[1]Variables!A1608,"")</f>
        <v>#REF!</v>
      </c>
    </row>
    <row r="1609" spans="1:1" x14ac:dyDescent="0.2">
      <c r="A1609" t="e">
        <f>IF(NOT(ISBLANK([1]Variables!A1609)),[1]Variables!A1609,"")</f>
        <v>#REF!</v>
      </c>
    </row>
    <row r="1610" spans="1:1" x14ac:dyDescent="0.2">
      <c r="A1610" t="e">
        <f>IF(NOT(ISBLANK([1]Variables!A1610)),[1]Variables!A1610,"")</f>
        <v>#REF!</v>
      </c>
    </row>
    <row r="1611" spans="1:1" x14ac:dyDescent="0.2">
      <c r="A1611" t="e">
        <f>IF(NOT(ISBLANK([1]Variables!A1611)),[1]Variables!A1611,"")</f>
        <v>#REF!</v>
      </c>
    </row>
    <row r="1612" spans="1:1" x14ac:dyDescent="0.2">
      <c r="A1612" t="e">
        <f>IF(NOT(ISBLANK([1]Variables!A1612)),[1]Variables!A1612,"")</f>
        <v>#REF!</v>
      </c>
    </row>
    <row r="1613" spans="1:1" x14ac:dyDescent="0.2">
      <c r="A1613" t="e">
        <f>IF(NOT(ISBLANK([1]Variables!A1613)),[1]Variables!A1613,"")</f>
        <v>#REF!</v>
      </c>
    </row>
    <row r="1614" spans="1:1" x14ac:dyDescent="0.2">
      <c r="A1614" t="e">
        <f>IF(NOT(ISBLANK([1]Variables!A1614)),[1]Variables!A1614,"")</f>
        <v>#REF!</v>
      </c>
    </row>
    <row r="1615" spans="1:1" x14ac:dyDescent="0.2">
      <c r="A1615" t="e">
        <f>IF(NOT(ISBLANK([1]Variables!A1615)),[1]Variables!A1615,"")</f>
        <v>#REF!</v>
      </c>
    </row>
    <row r="1616" spans="1:1" x14ac:dyDescent="0.2">
      <c r="A1616" t="e">
        <f>IF(NOT(ISBLANK([1]Variables!A1616)),[1]Variables!A1616,"")</f>
        <v>#REF!</v>
      </c>
    </row>
    <row r="1617" spans="1:1" x14ac:dyDescent="0.2">
      <c r="A1617" t="e">
        <f>IF(NOT(ISBLANK([1]Variables!A1617)),[1]Variables!A1617,"")</f>
        <v>#REF!</v>
      </c>
    </row>
    <row r="1618" spans="1:1" x14ac:dyDescent="0.2">
      <c r="A1618" t="e">
        <f>IF(NOT(ISBLANK([1]Variables!A1618)),[1]Variables!A1618,"")</f>
        <v>#REF!</v>
      </c>
    </row>
    <row r="1619" spans="1:1" x14ac:dyDescent="0.2">
      <c r="A1619" t="e">
        <f>IF(NOT(ISBLANK([1]Variables!A1619)),[1]Variables!A1619,"")</f>
        <v>#REF!</v>
      </c>
    </row>
    <row r="1620" spans="1:1" x14ac:dyDescent="0.2">
      <c r="A1620" t="e">
        <f>IF(NOT(ISBLANK([1]Variables!A1620)),[1]Variables!A1620,"")</f>
        <v>#REF!</v>
      </c>
    </row>
    <row r="1621" spans="1:1" x14ac:dyDescent="0.2">
      <c r="A1621" t="e">
        <f>IF(NOT(ISBLANK([1]Variables!A1621)),[1]Variables!A1621,"")</f>
        <v>#REF!</v>
      </c>
    </row>
    <row r="1622" spans="1:1" x14ac:dyDescent="0.2">
      <c r="A1622" t="e">
        <f>IF(NOT(ISBLANK([1]Variables!A1622)),[1]Variables!A1622,"")</f>
        <v>#REF!</v>
      </c>
    </row>
    <row r="1623" spans="1:1" x14ac:dyDescent="0.2">
      <c r="A1623" t="e">
        <f>IF(NOT(ISBLANK([1]Variables!A1623)),[1]Variables!A1623,"")</f>
        <v>#REF!</v>
      </c>
    </row>
    <row r="1624" spans="1:1" x14ac:dyDescent="0.2">
      <c r="A1624" t="e">
        <f>IF(NOT(ISBLANK([1]Variables!A1624)),[1]Variables!A1624,"")</f>
        <v>#REF!</v>
      </c>
    </row>
    <row r="1625" spans="1:1" x14ac:dyDescent="0.2">
      <c r="A1625" t="e">
        <f>IF(NOT(ISBLANK([1]Variables!A1625)),[1]Variables!A1625,"")</f>
        <v>#REF!</v>
      </c>
    </row>
    <row r="1626" spans="1:1" x14ac:dyDescent="0.2">
      <c r="A1626" t="e">
        <f>IF(NOT(ISBLANK([1]Variables!A1626)),[1]Variables!A1626,"")</f>
        <v>#REF!</v>
      </c>
    </row>
    <row r="1627" spans="1:1" x14ac:dyDescent="0.2">
      <c r="A1627" t="e">
        <f>IF(NOT(ISBLANK([1]Variables!A1627)),[1]Variables!A1627,"")</f>
        <v>#REF!</v>
      </c>
    </row>
    <row r="1628" spans="1:1" x14ac:dyDescent="0.2">
      <c r="A1628" t="e">
        <f>IF(NOT(ISBLANK([1]Variables!A1628)),[1]Variables!A1628,"")</f>
        <v>#REF!</v>
      </c>
    </row>
    <row r="1629" spans="1:1" x14ac:dyDescent="0.2">
      <c r="A1629" t="e">
        <f>IF(NOT(ISBLANK([1]Variables!A1629)),[1]Variables!A1629,"")</f>
        <v>#REF!</v>
      </c>
    </row>
    <row r="1630" spans="1:1" x14ac:dyDescent="0.2">
      <c r="A1630" t="e">
        <f>IF(NOT(ISBLANK([1]Variables!A1630)),[1]Variables!A1630,"")</f>
        <v>#REF!</v>
      </c>
    </row>
    <row r="1631" spans="1:1" x14ac:dyDescent="0.2">
      <c r="A1631" t="e">
        <f>IF(NOT(ISBLANK([1]Variables!A1631)),[1]Variables!A1631,"")</f>
        <v>#REF!</v>
      </c>
    </row>
    <row r="1632" spans="1:1" x14ac:dyDescent="0.2">
      <c r="A1632" t="e">
        <f>IF(NOT(ISBLANK([1]Variables!A1632)),[1]Variables!A1632,"")</f>
        <v>#REF!</v>
      </c>
    </row>
    <row r="1633" spans="1:1" x14ac:dyDescent="0.2">
      <c r="A1633" t="e">
        <f>IF(NOT(ISBLANK([1]Variables!A1633)),[1]Variables!A1633,"")</f>
        <v>#REF!</v>
      </c>
    </row>
    <row r="1634" spans="1:1" x14ac:dyDescent="0.2">
      <c r="A1634" t="e">
        <f>IF(NOT(ISBLANK([1]Variables!A1634)),[1]Variables!A1634,"")</f>
        <v>#REF!</v>
      </c>
    </row>
    <row r="1635" spans="1:1" x14ac:dyDescent="0.2">
      <c r="A1635" t="e">
        <f>IF(NOT(ISBLANK([1]Variables!A1635)),[1]Variables!A1635,"")</f>
        <v>#REF!</v>
      </c>
    </row>
    <row r="1636" spans="1:1" x14ac:dyDescent="0.2">
      <c r="A1636" t="e">
        <f>IF(NOT(ISBLANK([1]Variables!A1636)),[1]Variables!A1636,"")</f>
        <v>#REF!</v>
      </c>
    </row>
    <row r="1637" spans="1:1" x14ac:dyDescent="0.2">
      <c r="A1637" t="e">
        <f>IF(NOT(ISBLANK([1]Variables!A1637)),[1]Variables!A1637,"")</f>
        <v>#REF!</v>
      </c>
    </row>
    <row r="1638" spans="1:1" x14ac:dyDescent="0.2">
      <c r="A1638" t="e">
        <f>IF(NOT(ISBLANK([1]Variables!A1638)),[1]Variables!A1638,"")</f>
        <v>#REF!</v>
      </c>
    </row>
    <row r="1639" spans="1:1" x14ac:dyDescent="0.2">
      <c r="A1639" t="e">
        <f>IF(NOT(ISBLANK([1]Variables!A1639)),[1]Variables!A1639,"")</f>
        <v>#REF!</v>
      </c>
    </row>
    <row r="1640" spans="1:1" x14ac:dyDescent="0.2">
      <c r="A1640" t="e">
        <f>IF(NOT(ISBLANK([1]Variables!A1640)),[1]Variables!A1640,"")</f>
        <v>#REF!</v>
      </c>
    </row>
    <row r="1641" spans="1:1" x14ac:dyDescent="0.2">
      <c r="A1641" t="e">
        <f>IF(NOT(ISBLANK([1]Variables!A1641)),[1]Variables!A1641,"")</f>
        <v>#REF!</v>
      </c>
    </row>
    <row r="1642" spans="1:1" x14ac:dyDescent="0.2">
      <c r="A1642" t="e">
        <f>IF(NOT(ISBLANK([1]Variables!A1642)),[1]Variables!A1642,"")</f>
        <v>#REF!</v>
      </c>
    </row>
    <row r="1643" spans="1:1" x14ac:dyDescent="0.2">
      <c r="A1643" t="e">
        <f>IF(NOT(ISBLANK([1]Variables!A1643)),[1]Variables!A1643,"")</f>
        <v>#REF!</v>
      </c>
    </row>
    <row r="1644" spans="1:1" x14ac:dyDescent="0.2">
      <c r="A1644" t="e">
        <f>IF(NOT(ISBLANK([1]Variables!A1644)),[1]Variables!A1644,"")</f>
        <v>#REF!</v>
      </c>
    </row>
    <row r="1645" spans="1:1" x14ac:dyDescent="0.2">
      <c r="A1645" t="e">
        <f>IF(NOT(ISBLANK([1]Variables!A1645)),[1]Variables!A1645,"")</f>
        <v>#REF!</v>
      </c>
    </row>
    <row r="1646" spans="1:1" x14ac:dyDescent="0.2">
      <c r="A1646" t="e">
        <f>IF(NOT(ISBLANK([1]Variables!A1646)),[1]Variables!A1646,"")</f>
        <v>#REF!</v>
      </c>
    </row>
    <row r="1647" spans="1:1" x14ac:dyDescent="0.2">
      <c r="A1647" t="e">
        <f>IF(NOT(ISBLANK([1]Variables!A1647)),[1]Variables!A1647,"")</f>
        <v>#REF!</v>
      </c>
    </row>
    <row r="1648" spans="1:1" x14ac:dyDescent="0.2">
      <c r="A1648" t="e">
        <f>IF(NOT(ISBLANK([1]Variables!A1648)),[1]Variables!A1648,"")</f>
        <v>#REF!</v>
      </c>
    </row>
    <row r="1649" spans="1:1" x14ac:dyDescent="0.2">
      <c r="A1649" t="e">
        <f>IF(NOT(ISBLANK([1]Variables!A1649)),[1]Variables!A1649,"")</f>
        <v>#REF!</v>
      </c>
    </row>
    <row r="1650" spans="1:1" x14ac:dyDescent="0.2">
      <c r="A1650" t="e">
        <f>IF(NOT(ISBLANK([1]Variables!A1650)),[1]Variables!A1650,"")</f>
        <v>#REF!</v>
      </c>
    </row>
    <row r="1651" spans="1:1" x14ac:dyDescent="0.2">
      <c r="A1651" t="e">
        <f>IF(NOT(ISBLANK([1]Variables!A1651)),[1]Variables!A1651,"")</f>
        <v>#REF!</v>
      </c>
    </row>
    <row r="1652" spans="1:1" x14ac:dyDescent="0.2">
      <c r="A1652" t="e">
        <f>IF(NOT(ISBLANK([1]Variables!A1652)),[1]Variables!A1652,"")</f>
        <v>#REF!</v>
      </c>
    </row>
    <row r="1653" spans="1:1" x14ac:dyDescent="0.2">
      <c r="A1653" t="e">
        <f>IF(NOT(ISBLANK([1]Variables!A1653)),[1]Variables!A1653,"")</f>
        <v>#REF!</v>
      </c>
    </row>
    <row r="1654" spans="1:1" x14ac:dyDescent="0.2">
      <c r="A1654" t="e">
        <f>IF(NOT(ISBLANK([1]Variables!A1654)),[1]Variables!A1654,"")</f>
        <v>#REF!</v>
      </c>
    </row>
    <row r="1655" spans="1:1" x14ac:dyDescent="0.2">
      <c r="A1655" t="e">
        <f>IF(NOT(ISBLANK([1]Variables!A1655)),[1]Variables!A1655,"")</f>
        <v>#REF!</v>
      </c>
    </row>
    <row r="1656" spans="1:1" x14ac:dyDescent="0.2">
      <c r="A1656" t="e">
        <f>IF(NOT(ISBLANK([1]Variables!A1656)),[1]Variables!A1656,"")</f>
        <v>#REF!</v>
      </c>
    </row>
    <row r="1657" spans="1:1" x14ac:dyDescent="0.2">
      <c r="A1657" t="e">
        <f>IF(NOT(ISBLANK([1]Variables!A1657)),[1]Variables!A1657,"")</f>
        <v>#REF!</v>
      </c>
    </row>
    <row r="1658" spans="1:1" x14ac:dyDescent="0.2">
      <c r="A1658" t="e">
        <f>IF(NOT(ISBLANK([1]Variables!A1658)),[1]Variables!A1658,"")</f>
        <v>#REF!</v>
      </c>
    </row>
    <row r="1659" spans="1:1" x14ac:dyDescent="0.2">
      <c r="A1659" t="e">
        <f>IF(NOT(ISBLANK([1]Variables!A1659)),[1]Variables!A1659,"")</f>
        <v>#REF!</v>
      </c>
    </row>
    <row r="1660" spans="1:1" x14ac:dyDescent="0.2">
      <c r="A1660" t="e">
        <f>IF(NOT(ISBLANK([1]Variables!A1660)),[1]Variables!A1660,"")</f>
        <v>#REF!</v>
      </c>
    </row>
    <row r="1661" spans="1:1" x14ac:dyDescent="0.2">
      <c r="A1661" t="e">
        <f>IF(NOT(ISBLANK([1]Variables!A1661)),[1]Variables!A1661,"")</f>
        <v>#REF!</v>
      </c>
    </row>
    <row r="1662" spans="1:1" x14ac:dyDescent="0.2">
      <c r="A1662" t="e">
        <f>IF(NOT(ISBLANK([1]Variables!A1662)),[1]Variables!A1662,"")</f>
        <v>#REF!</v>
      </c>
    </row>
    <row r="1663" spans="1:1" x14ac:dyDescent="0.2">
      <c r="A1663" t="e">
        <f>IF(NOT(ISBLANK([1]Variables!A1663)),[1]Variables!A1663,"")</f>
        <v>#REF!</v>
      </c>
    </row>
    <row r="1664" spans="1:1" x14ac:dyDescent="0.2">
      <c r="A1664" t="e">
        <f>IF(NOT(ISBLANK([1]Variables!A1664)),[1]Variables!A1664,"")</f>
        <v>#REF!</v>
      </c>
    </row>
    <row r="1665" spans="1:1" x14ac:dyDescent="0.2">
      <c r="A1665" t="e">
        <f>IF(NOT(ISBLANK([1]Variables!A1665)),[1]Variables!A1665,"")</f>
        <v>#REF!</v>
      </c>
    </row>
    <row r="1666" spans="1:1" x14ac:dyDescent="0.2">
      <c r="A1666" t="e">
        <f>IF(NOT(ISBLANK([1]Variables!A1666)),[1]Variables!A1666,"")</f>
        <v>#REF!</v>
      </c>
    </row>
    <row r="1667" spans="1:1" x14ac:dyDescent="0.2">
      <c r="A1667" t="e">
        <f>IF(NOT(ISBLANK([1]Variables!A1667)),[1]Variables!A1667,"")</f>
        <v>#REF!</v>
      </c>
    </row>
    <row r="1668" spans="1:1" x14ac:dyDescent="0.2">
      <c r="A1668" t="e">
        <f>IF(NOT(ISBLANK([1]Variables!A1668)),[1]Variables!A1668,"")</f>
        <v>#REF!</v>
      </c>
    </row>
    <row r="1669" spans="1:1" x14ac:dyDescent="0.2">
      <c r="A1669" t="e">
        <f>IF(NOT(ISBLANK([1]Variables!A1669)),[1]Variables!A1669,"")</f>
        <v>#REF!</v>
      </c>
    </row>
    <row r="1670" spans="1:1" x14ac:dyDescent="0.2">
      <c r="A1670" t="e">
        <f>IF(NOT(ISBLANK([1]Variables!A1670)),[1]Variables!A1670,"")</f>
        <v>#REF!</v>
      </c>
    </row>
    <row r="1671" spans="1:1" x14ac:dyDescent="0.2">
      <c r="A1671" t="e">
        <f>IF(NOT(ISBLANK([1]Variables!A1671)),[1]Variables!A1671,"")</f>
        <v>#REF!</v>
      </c>
    </row>
    <row r="1672" spans="1:1" x14ac:dyDescent="0.2">
      <c r="A1672" t="e">
        <f>IF(NOT(ISBLANK([1]Variables!A1672)),[1]Variables!A1672,"")</f>
        <v>#REF!</v>
      </c>
    </row>
    <row r="1673" spans="1:1" x14ac:dyDescent="0.2">
      <c r="A1673" t="e">
        <f>IF(NOT(ISBLANK([1]Variables!A1673)),[1]Variables!A1673,"")</f>
        <v>#REF!</v>
      </c>
    </row>
    <row r="1674" spans="1:1" x14ac:dyDescent="0.2">
      <c r="A1674" t="e">
        <f>IF(NOT(ISBLANK([1]Variables!A1674)),[1]Variables!A1674,"")</f>
        <v>#REF!</v>
      </c>
    </row>
    <row r="1675" spans="1:1" x14ac:dyDescent="0.2">
      <c r="A1675" t="e">
        <f>IF(NOT(ISBLANK([1]Variables!A1675)),[1]Variables!A1675,"")</f>
        <v>#REF!</v>
      </c>
    </row>
    <row r="1676" spans="1:1" x14ac:dyDescent="0.2">
      <c r="A1676" t="e">
        <f>IF(NOT(ISBLANK([1]Variables!A1676)),[1]Variables!A1676,"")</f>
        <v>#REF!</v>
      </c>
    </row>
    <row r="1677" spans="1:1" x14ac:dyDescent="0.2">
      <c r="A1677" t="e">
        <f>IF(NOT(ISBLANK([1]Variables!A1677)),[1]Variables!A1677,"")</f>
        <v>#REF!</v>
      </c>
    </row>
    <row r="1678" spans="1:1" x14ac:dyDescent="0.2">
      <c r="A1678" t="e">
        <f>IF(NOT(ISBLANK([1]Variables!A1678)),[1]Variables!A1678,"")</f>
        <v>#REF!</v>
      </c>
    </row>
    <row r="1679" spans="1:1" x14ac:dyDescent="0.2">
      <c r="A1679" t="e">
        <f>IF(NOT(ISBLANK([1]Variables!A1679)),[1]Variables!A1679,"")</f>
        <v>#REF!</v>
      </c>
    </row>
    <row r="1680" spans="1:1" x14ac:dyDescent="0.2">
      <c r="A1680" t="e">
        <f>IF(NOT(ISBLANK([1]Variables!A1680)),[1]Variables!A1680,"")</f>
        <v>#REF!</v>
      </c>
    </row>
    <row r="1681" spans="1:1" x14ac:dyDescent="0.2">
      <c r="A1681" t="e">
        <f>IF(NOT(ISBLANK([1]Variables!A1681)),[1]Variables!A1681,"")</f>
        <v>#REF!</v>
      </c>
    </row>
    <row r="1682" spans="1:1" x14ac:dyDescent="0.2">
      <c r="A1682" t="e">
        <f>IF(NOT(ISBLANK([1]Variables!A1682)),[1]Variables!A1682,"")</f>
        <v>#REF!</v>
      </c>
    </row>
    <row r="1683" spans="1:1" x14ac:dyDescent="0.2">
      <c r="A1683" t="e">
        <f>IF(NOT(ISBLANK([1]Variables!A1683)),[1]Variables!A1683,"")</f>
        <v>#REF!</v>
      </c>
    </row>
    <row r="1684" spans="1:1" x14ac:dyDescent="0.2">
      <c r="A1684" t="e">
        <f>IF(NOT(ISBLANK([1]Variables!A1684)),[1]Variables!A1684,"")</f>
        <v>#REF!</v>
      </c>
    </row>
    <row r="1685" spans="1:1" x14ac:dyDescent="0.2">
      <c r="A1685" t="e">
        <f>IF(NOT(ISBLANK([1]Variables!A1685)),[1]Variables!A1685,"")</f>
        <v>#REF!</v>
      </c>
    </row>
    <row r="1686" spans="1:1" x14ac:dyDescent="0.2">
      <c r="A1686" t="e">
        <f>IF(NOT(ISBLANK([1]Variables!A1686)),[1]Variables!A1686,"")</f>
        <v>#REF!</v>
      </c>
    </row>
    <row r="1687" spans="1:1" x14ac:dyDescent="0.2">
      <c r="A1687" t="e">
        <f>IF(NOT(ISBLANK([1]Variables!A1687)),[1]Variables!A1687,"")</f>
        <v>#REF!</v>
      </c>
    </row>
    <row r="1688" spans="1:1" x14ac:dyDescent="0.2">
      <c r="A1688" t="e">
        <f>IF(NOT(ISBLANK([1]Variables!A1688)),[1]Variables!A1688,"")</f>
        <v>#REF!</v>
      </c>
    </row>
    <row r="1689" spans="1:1" x14ac:dyDescent="0.2">
      <c r="A1689" t="e">
        <f>IF(NOT(ISBLANK([1]Variables!A1689)),[1]Variables!A1689,"")</f>
        <v>#REF!</v>
      </c>
    </row>
    <row r="1690" spans="1:1" x14ac:dyDescent="0.2">
      <c r="A1690" t="e">
        <f>IF(NOT(ISBLANK([1]Variables!A1690)),[1]Variables!A1690,"")</f>
        <v>#REF!</v>
      </c>
    </row>
    <row r="1691" spans="1:1" x14ac:dyDescent="0.2">
      <c r="A1691" t="e">
        <f>IF(NOT(ISBLANK([1]Variables!A1691)),[1]Variables!A1691,"")</f>
        <v>#REF!</v>
      </c>
    </row>
    <row r="1692" spans="1:1" x14ac:dyDescent="0.2">
      <c r="A1692" t="e">
        <f>IF(NOT(ISBLANK([1]Variables!A1692)),[1]Variables!A1692,"")</f>
        <v>#REF!</v>
      </c>
    </row>
    <row r="1693" spans="1:1" x14ac:dyDescent="0.2">
      <c r="A1693" t="e">
        <f>IF(NOT(ISBLANK([1]Variables!A1693)),[1]Variables!A1693,"")</f>
        <v>#REF!</v>
      </c>
    </row>
    <row r="1694" spans="1:1" x14ac:dyDescent="0.2">
      <c r="A1694" t="e">
        <f>IF(NOT(ISBLANK([1]Variables!A1694)),[1]Variables!A1694,"")</f>
        <v>#REF!</v>
      </c>
    </row>
    <row r="1695" spans="1:1" x14ac:dyDescent="0.2">
      <c r="A1695" t="e">
        <f>IF(NOT(ISBLANK([1]Variables!A1695)),[1]Variables!A1695,"")</f>
        <v>#REF!</v>
      </c>
    </row>
    <row r="1696" spans="1:1" x14ac:dyDescent="0.2">
      <c r="A1696" t="e">
        <f>IF(NOT(ISBLANK([1]Variables!A1696)),[1]Variables!A1696,"")</f>
        <v>#REF!</v>
      </c>
    </row>
    <row r="1697" spans="1:1" x14ac:dyDescent="0.2">
      <c r="A1697" t="e">
        <f>IF(NOT(ISBLANK([1]Variables!A1697)),[1]Variables!A1697,"")</f>
        <v>#REF!</v>
      </c>
    </row>
    <row r="1698" spans="1:1" x14ac:dyDescent="0.2">
      <c r="A1698" t="e">
        <f>IF(NOT(ISBLANK([1]Variables!A1698)),[1]Variables!A1698,"")</f>
        <v>#REF!</v>
      </c>
    </row>
    <row r="1699" spans="1:1" x14ac:dyDescent="0.2">
      <c r="A1699" t="e">
        <f>IF(NOT(ISBLANK([1]Variables!A1699)),[1]Variables!A1699,"")</f>
        <v>#REF!</v>
      </c>
    </row>
    <row r="1700" spans="1:1" x14ac:dyDescent="0.2">
      <c r="A1700" t="e">
        <f>IF(NOT(ISBLANK([1]Variables!A1700)),[1]Variables!A1700,"")</f>
        <v>#REF!</v>
      </c>
    </row>
    <row r="1701" spans="1:1" x14ac:dyDescent="0.2">
      <c r="A1701" t="e">
        <f>IF(NOT(ISBLANK([1]Variables!A1701)),[1]Variables!A1701,"")</f>
        <v>#REF!</v>
      </c>
    </row>
    <row r="1702" spans="1:1" x14ac:dyDescent="0.2">
      <c r="A1702" t="e">
        <f>IF(NOT(ISBLANK([1]Variables!A1702)),[1]Variables!A1702,"")</f>
        <v>#REF!</v>
      </c>
    </row>
    <row r="1703" spans="1:1" x14ac:dyDescent="0.2">
      <c r="A1703" t="e">
        <f>IF(NOT(ISBLANK([1]Variables!A1703)),[1]Variables!A1703,"")</f>
        <v>#REF!</v>
      </c>
    </row>
    <row r="1704" spans="1:1" x14ac:dyDescent="0.2">
      <c r="A1704" t="e">
        <f>IF(NOT(ISBLANK([1]Variables!A1704)),[1]Variables!A1704,"")</f>
        <v>#REF!</v>
      </c>
    </row>
    <row r="1705" spans="1:1" x14ac:dyDescent="0.2">
      <c r="A1705" t="e">
        <f>IF(NOT(ISBLANK([1]Variables!A1705)),[1]Variables!A1705,"")</f>
        <v>#REF!</v>
      </c>
    </row>
    <row r="1706" spans="1:1" x14ac:dyDescent="0.2">
      <c r="A1706" t="e">
        <f>IF(NOT(ISBLANK([1]Variables!A1706)),[1]Variables!A1706,"")</f>
        <v>#REF!</v>
      </c>
    </row>
    <row r="1707" spans="1:1" x14ac:dyDescent="0.2">
      <c r="A1707" t="e">
        <f>IF(NOT(ISBLANK([1]Variables!A1707)),[1]Variables!A1707,"")</f>
        <v>#REF!</v>
      </c>
    </row>
    <row r="1708" spans="1:1" x14ac:dyDescent="0.2">
      <c r="A1708" t="e">
        <f>IF(NOT(ISBLANK([1]Variables!A1708)),[1]Variables!A1708,"")</f>
        <v>#REF!</v>
      </c>
    </row>
    <row r="1709" spans="1:1" x14ac:dyDescent="0.2">
      <c r="A1709" t="e">
        <f>IF(NOT(ISBLANK([1]Variables!A1709)),[1]Variables!A1709,"")</f>
        <v>#REF!</v>
      </c>
    </row>
    <row r="1710" spans="1:1" x14ac:dyDescent="0.2">
      <c r="A1710" t="e">
        <f>IF(NOT(ISBLANK([1]Variables!A1710)),[1]Variables!A1710,"")</f>
        <v>#REF!</v>
      </c>
    </row>
    <row r="1711" spans="1:1" x14ac:dyDescent="0.2">
      <c r="A1711" t="e">
        <f>IF(NOT(ISBLANK([1]Variables!A1711)),[1]Variables!A1711,"")</f>
        <v>#REF!</v>
      </c>
    </row>
    <row r="1712" spans="1:1" x14ac:dyDescent="0.2">
      <c r="A1712" t="e">
        <f>IF(NOT(ISBLANK([1]Variables!A1712)),[1]Variables!A1712,"")</f>
        <v>#REF!</v>
      </c>
    </row>
    <row r="1713" spans="1:1" x14ac:dyDescent="0.2">
      <c r="A1713" t="e">
        <f>IF(NOT(ISBLANK([1]Variables!A1713)),[1]Variables!A1713,"")</f>
        <v>#REF!</v>
      </c>
    </row>
    <row r="1714" spans="1:1" x14ac:dyDescent="0.2">
      <c r="A1714" t="e">
        <f>IF(NOT(ISBLANK([1]Variables!A1714)),[1]Variables!A1714,"")</f>
        <v>#REF!</v>
      </c>
    </row>
    <row r="1715" spans="1:1" x14ac:dyDescent="0.2">
      <c r="A1715" t="e">
        <f>IF(NOT(ISBLANK([1]Variables!A1715)),[1]Variables!A1715,"")</f>
        <v>#REF!</v>
      </c>
    </row>
    <row r="1716" spans="1:1" x14ac:dyDescent="0.2">
      <c r="A1716" t="e">
        <f>IF(NOT(ISBLANK([1]Variables!A1716)),[1]Variables!A1716,"")</f>
        <v>#REF!</v>
      </c>
    </row>
    <row r="1717" spans="1:1" x14ac:dyDescent="0.2">
      <c r="A1717" t="e">
        <f>IF(NOT(ISBLANK([1]Variables!A1717)),[1]Variables!A1717,"")</f>
        <v>#REF!</v>
      </c>
    </row>
    <row r="1718" spans="1:1" x14ac:dyDescent="0.2">
      <c r="A1718" t="e">
        <f>IF(NOT(ISBLANK([1]Variables!A1718)),[1]Variables!A1718,"")</f>
        <v>#REF!</v>
      </c>
    </row>
    <row r="1719" spans="1:1" x14ac:dyDescent="0.2">
      <c r="A1719" t="e">
        <f>IF(NOT(ISBLANK([1]Variables!A1719)),[1]Variables!A1719,"")</f>
        <v>#REF!</v>
      </c>
    </row>
    <row r="1720" spans="1:1" x14ac:dyDescent="0.2">
      <c r="A1720" t="e">
        <f>IF(NOT(ISBLANK([1]Variables!A1720)),[1]Variables!A1720,"")</f>
        <v>#REF!</v>
      </c>
    </row>
    <row r="1721" spans="1:1" x14ac:dyDescent="0.2">
      <c r="A1721" t="e">
        <f>IF(NOT(ISBLANK([1]Variables!A1721)),[1]Variables!A1721,"")</f>
        <v>#REF!</v>
      </c>
    </row>
    <row r="1722" spans="1:1" x14ac:dyDescent="0.2">
      <c r="A1722" t="e">
        <f>IF(NOT(ISBLANK([1]Variables!A1722)),[1]Variables!A1722,"")</f>
        <v>#REF!</v>
      </c>
    </row>
    <row r="1723" spans="1:1" x14ac:dyDescent="0.2">
      <c r="A1723" t="e">
        <f>IF(NOT(ISBLANK([1]Variables!A1723)),[1]Variables!A1723,"")</f>
        <v>#REF!</v>
      </c>
    </row>
    <row r="1724" spans="1:1" x14ac:dyDescent="0.2">
      <c r="A1724" t="e">
        <f>IF(NOT(ISBLANK([1]Variables!A1724)),[1]Variables!A1724,"")</f>
        <v>#REF!</v>
      </c>
    </row>
    <row r="1725" spans="1:1" x14ac:dyDescent="0.2">
      <c r="A1725" t="e">
        <f>IF(NOT(ISBLANK([1]Variables!A1725)),[1]Variables!A1725,"")</f>
        <v>#REF!</v>
      </c>
    </row>
    <row r="1726" spans="1:1" x14ac:dyDescent="0.2">
      <c r="A1726" t="e">
        <f>IF(NOT(ISBLANK([1]Variables!A1726)),[1]Variables!A1726,"")</f>
        <v>#REF!</v>
      </c>
    </row>
    <row r="1727" spans="1:1" x14ac:dyDescent="0.2">
      <c r="A1727" t="e">
        <f>IF(NOT(ISBLANK([1]Variables!A1727)),[1]Variables!A1727,"")</f>
        <v>#REF!</v>
      </c>
    </row>
    <row r="1728" spans="1:1" x14ac:dyDescent="0.2">
      <c r="A1728" t="e">
        <f>IF(NOT(ISBLANK([1]Variables!A1728)),[1]Variables!A1728,"")</f>
        <v>#REF!</v>
      </c>
    </row>
    <row r="1729" spans="1:1" x14ac:dyDescent="0.2">
      <c r="A1729" t="e">
        <f>IF(NOT(ISBLANK([1]Variables!A1729)),[1]Variables!A1729,"")</f>
        <v>#REF!</v>
      </c>
    </row>
    <row r="1730" spans="1:1" x14ac:dyDescent="0.2">
      <c r="A1730" t="e">
        <f>IF(NOT(ISBLANK([1]Variables!A1730)),[1]Variables!A1730,"")</f>
        <v>#REF!</v>
      </c>
    </row>
    <row r="1731" spans="1:1" x14ac:dyDescent="0.2">
      <c r="A1731" t="e">
        <f>IF(NOT(ISBLANK([1]Variables!A1731)),[1]Variables!A1731,"")</f>
        <v>#REF!</v>
      </c>
    </row>
    <row r="1732" spans="1:1" x14ac:dyDescent="0.2">
      <c r="A1732" t="e">
        <f>IF(NOT(ISBLANK([1]Variables!A1732)),[1]Variables!A1732,"")</f>
        <v>#REF!</v>
      </c>
    </row>
    <row r="1733" spans="1:1" x14ac:dyDescent="0.2">
      <c r="A1733" t="e">
        <f>IF(NOT(ISBLANK([1]Variables!A1733)),[1]Variables!A1733,"")</f>
        <v>#REF!</v>
      </c>
    </row>
    <row r="1734" spans="1:1" x14ac:dyDescent="0.2">
      <c r="A1734" t="e">
        <f>IF(NOT(ISBLANK([1]Variables!A1734)),[1]Variables!A1734,"")</f>
        <v>#REF!</v>
      </c>
    </row>
    <row r="1735" spans="1:1" x14ac:dyDescent="0.2">
      <c r="A1735" t="e">
        <f>IF(NOT(ISBLANK([1]Variables!A1735)),[1]Variables!A1735,"")</f>
        <v>#REF!</v>
      </c>
    </row>
    <row r="1736" spans="1:1" x14ac:dyDescent="0.2">
      <c r="A1736" t="e">
        <f>IF(NOT(ISBLANK([1]Variables!A1736)),[1]Variables!A1736,"")</f>
        <v>#REF!</v>
      </c>
    </row>
    <row r="1737" spans="1:1" x14ac:dyDescent="0.2">
      <c r="A1737" t="e">
        <f>IF(NOT(ISBLANK([1]Variables!A1737)),[1]Variables!A1737,"")</f>
        <v>#REF!</v>
      </c>
    </row>
    <row r="1738" spans="1:1" x14ac:dyDescent="0.2">
      <c r="A1738" t="e">
        <f>IF(NOT(ISBLANK([1]Variables!A1738)),[1]Variables!A1738,"")</f>
        <v>#REF!</v>
      </c>
    </row>
    <row r="1739" spans="1:1" x14ac:dyDescent="0.2">
      <c r="A1739" t="e">
        <f>IF(NOT(ISBLANK([1]Variables!A1739)),[1]Variables!A1739,"")</f>
        <v>#REF!</v>
      </c>
    </row>
    <row r="1740" spans="1:1" x14ac:dyDescent="0.2">
      <c r="A1740" t="e">
        <f>IF(NOT(ISBLANK([1]Variables!A1740)),[1]Variables!A1740,"")</f>
        <v>#REF!</v>
      </c>
    </row>
    <row r="1741" spans="1:1" x14ac:dyDescent="0.2">
      <c r="A1741" t="e">
        <f>IF(NOT(ISBLANK([1]Variables!A1741)),[1]Variables!A1741,"")</f>
        <v>#REF!</v>
      </c>
    </row>
    <row r="1742" spans="1:1" x14ac:dyDescent="0.2">
      <c r="A1742" t="e">
        <f>IF(NOT(ISBLANK([1]Variables!A1742)),[1]Variables!A1742,"")</f>
        <v>#REF!</v>
      </c>
    </row>
    <row r="1743" spans="1:1" x14ac:dyDescent="0.2">
      <c r="A1743" t="e">
        <f>IF(NOT(ISBLANK([1]Variables!A1743)),[1]Variables!A1743,"")</f>
        <v>#REF!</v>
      </c>
    </row>
    <row r="1744" spans="1:1" x14ac:dyDescent="0.2">
      <c r="A1744" t="e">
        <f>IF(NOT(ISBLANK([1]Variables!A1744)),[1]Variables!A1744,"")</f>
        <v>#REF!</v>
      </c>
    </row>
    <row r="1745" spans="1:1" x14ac:dyDescent="0.2">
      <c r="A1745" t="e">
        <f>IF(NOT(ISBLANK([1]Variables!A1745)),[1]Variables!A1745,"")</f>
        <v>#REF!</v>
      </c>
    </row>
    <row r="1746" spans="1:1" x14ac:dyDescent="0.2">
      <c r="A1746" t="e">
        <f>IF(NOT(ISBLANK([1]Variables!A1746)),[1]Variables!A1746,"")</f>
        <v>#REF!</v>
      </c>
    </row>
    <row r="1747" spans="1:1" x14ac:dyDescent="0.2">
      <c r="A1747" t="e">
        <f>IF(NOT(ISBLANK([1]Variables!A1747)),[1]Variables!A1747,"")</f>
        <v>#REF!</v>
      </c>
    </row>
    <row r="1748" spans="1:1" x14ac:dyDescent="0.2">
      <c r="A1748" t="e">
        <f>IF(NOT(ISBLANK([1]Variables!A1748)),[1]Variables!A1748,"")</f>
        <v>#REF!</v>
      </c>
    </row>
    <row r="1749" spans="1:1" x14ac:dyDescent="0.2">
      <c r="A1749" t="e">
        <f>IF(NOT(ISBLANK([1]Variables!A1749)),[1]Variables!A1749,"")</f>
        <v>#REF!</v>
      </c>
    </row>
    <row r="1750" spans="1:1" x14ac:dyDescent="0.2">
      <c r="A1750" t="e">
        <f>IF(NOT(ISBLANK([1]Variables!A1750)),[1]Variables!A1750,"")</f>
        <v>#REF!</v>
      </c>
    </row>
    <row r="1751" spans="1:1" x14ac:dyDescent="0.2">
      <c r="A1751" t="e">
        <f>IF(NOT(ISBLANK([1]Variables!A1751)),[1]Variables!A1751,"")</f>
        <v>#REF!</v>
      </c>
    </row>
    <row r="1752" spans="1:1" x14ac:dyDescent="0.2">
      <c r="A1752" t="e">
        <f>IF(NOT(ISBLANK([1]Variables!A1752)),[1]Variables!A1752,"")</f>
        <v>#REF!</v>
      </c>
    </row>
    <row r="1753" spans="1:1" x14ac:dyDescent="0.2">
      <c r="A1753" t="e">
        <f>IF(NOT(ISBLANK([1]Variables!A1753)),[1]Variables!A1753,"")</f>
        <v>#REF!</v>
      </c>
    </row>
    <row r="1754" spans="1:1" x14ac:dyDescent="0.2">
      <c r="A1754" t="e">
        <f>IF(NOT(ISBLANK([1]Variables!A1754)),[1]Variables!A1754,"")</f>
        <v>#REF!</v>
      </c>
    </row>
    <row r="1755" spans="1:1" x14ac:dyDescent="0.2">
      <c r="A1755" t="e">
        <f>IF(NOT(ISBLANK([1]Variables!A1755)),[1]Variables!A1755,"")</f>
        <v>#REF!</v>
      </c>
    </row>
    <row r="1756" spans="1:1" x14ac:dyDescent="0.2">
      <c r="A1756" t="e">
        <f>IF(NOT(ISBLANK([1]Variables!A1756)),[1]Variables!A1756,"")</f>
        <v>#REF!</v>
      </c>
    </row>
    <row r="1757" spans="1:1" x14ac:dyDescent="0.2">
      <c r="A1757" t="e">
        <f>IF(NOT(ISBLANK([1]Variables!A1757)),[1]Variables!A1757,"")</f>
        <v>#REF!</v>
      </c>
    </row>
    <row r="1758" spans="1:1" x14ac:dyDescent="0.2">
      <c r="A1758" t="e">
        <f>IF(NOT(ISBLANK([1]Variables!A1758)),[1]Variables!A1758,"")</f>
        <v>#REF!</v>
      </c>
    </row>
    <row r="1759" spans="1:1" x14ac:dyDescent="0.2">
      <c r="A1759" t="e">
        <f>IF(NOT(ISBLANK([1]Variables!A1759)),[1]Variables!A1759,"")</f>
        <v>#REF!</v>
      </c>
    </row>
    <row r="1760" spans="1:1" x14ac:dyDescent="0.2">
      <c r="A1760" t="e">
        <f>IF(NOT(ISBLANK([1]Variables!A1760)),[1]Variables!A1760,"")</f>
        <v>#REF!</v>
      </c>
    </row>
    <row r="1761" spans="1:1" x14ac:dyDescent="0.2">
      <c r="A1761" t="e">
        <f>IF(NOT(ISBLANK([1]Variables!A1761)),[1]Variables!A1761,"")</f>
        <v>#REF!</v>
      </c>
    </row>
    <row r="1762" spans="1:1" x14ac:dyDescent="0.2">
      <c r="A1762" t="e">
        <f>IF(NOT(ISBLANK([1]Variables!A1762)),[1]Variables!A1762,"")</f>
        <v>#REF!</v>
      </c>
    </row>
    <row r="1763" spans="1:1" x14ac:dyDescent="0.2">
      <c r="A1763" t="e">
        <f>IF(NOT(ISBLANK([1]Variables!A1763)),[1]Variables!A1763,"")</f>
        <v>#REF!</v>
      </c>
    </row>
    <row r="1764" spans="1:1" x14ac:dyDescent="0.2">
      <c r="A1764" t="e">
        <f>IF(NOT(ISBLANK([1]Variables!A1764)),[1]Variables!A1764,"")</f>
        <v>#REF!</v>
      </c>
    </row>
    <row r="1765" spans="1:1" x14ac:dyDescent="0.2">
      <c r="A1765" t="e">
        <f>IF(NOT(ISBLANK([1]Variables!A1765)),[1]Variables!A1765,"")</f>
        <v>#REF!</v>
      </c>
    </row>
    <row r="1766" spans="1:1" x14ac:dyDescent="0.2">
      <c r="A1766" t="e">
        <f>IF(NOT(ISBLANK([1]Variables!A1766)),[1]Variables!A1766,"")</f>
        <v>#REF!</v>
      </c>
    </row>
    <row r="1767" spans="1:1" x14ac:dyDescent="0.2">
      <c r="A1767" t="e">
        <f>IF(NOT(ISBLANK([1]Variables!A1767)),[1]Variables!A1767,"")</f>
        <v>#REF!</v>
      </c>
    </row>
    <row r="1768" spans="1:1" x14ac:dyDescent="0.2">
      <c r="A1768" t="e">
        <f>IF(NOT(ISBLANK([1]Variables!A1768)),[1]Variables!A1768,"")</f>
        <v>#REF!</v>
      </c>
    </row>
    <row r="1769" spans="1:1" x14ac:dyDescent="0.2">
      <c r="A1769" t="e">
        <f>IF(NOT(ISBLANK([1]Variables!A1769)),[1]Variables!A1769,"")</f>
        <v>#REF!</v>
      </c>
    </row>
    <row r="1770" spans="1:1" x14ac:dyDescent="0.2">
      <c r="A1770" t="e">
        <f>IF(NOT(ISBLANK([1]Variables!A1770)),[1]Variables!A1770,"")</f>
        <v>#REF!</v>
      </c>
    </row>
    <row r="1771" spans="1:1" x14ac:dyDescent="0.2">
      <c r="A1771" t="e">
        <f>IF(NOT(ISBLANK([1]Variables!A1771)),[1]Variables!A1771,"")</f>
        <v>#REF!</v>
      </c>
    </row>
    <row r="1772" spans="1:1" x14ac:dyDescent="0.2">
      <c r="A1772" t="e">
        <f>IF(NOT(ISBLANK([1]Variables!A1772)),[1]Variables!A1772,"")</f>
        <v>#REF!</v>
      </c>
    </row>
    <row r="1773" spans="1:1" x14ac:dyDescent="0.2">
      <c r="A1773" t="e">
        <f>IF(NOT(ISBLANK([1]Variables!A1773)),[1]Variables!A1773,"")</f>
        <v>#REF!</v>
      </c>
    </row>
    <row r="1774" spans="1:1" x14ac:dyDescent="0.2">
      <c r="A1774" t="e">
        <f>IF(NOT(ISBLANK([1]Variables!A1774)),[1]Variables!A1774,"")</f>
        <v>#REF!</v>
      </c>
    </row>
    <row r="1775" spans="1:1" x14ac:dyDescent="0.2">
      <c r="A1775" t="e">
        <f>IF(NOT(ISBLANK([1]Variables!A1775)),[1]Variables!A1775,"")</f>
        <v>#REF!</v>
      </c>
    </row>
    <row r="1776" spans="1:1" x14ac:dyDescent="0.2">
      <c r="A1776" t="e">
        <f>IF(NOT(ISBLANK([1]Variables!A1776)),[1]Variables!A1776,"")</f>
        <v>#REF!</v>
      </c>
    </row>
    <row r="1777" spans="1:1" x14ac:dyDescent="0.2">
      <c r="A1777" t="e">
        <f>IF(NOT(ISBLANK([1]Variables!A1777)),[1]Variables!A1777,"")</f>
        <v>#REF!</v>
      </c>
    </row>
    <row r="1778" spans="1:1" x14ac:dyDescent="0.2">
      <c r="A1778" t="e">
        <f>IF(NOT(ISBLANK([1]Variables!A1778)),[1]Variables!A1778,"")</f>
        <v>#REF!</v>
      </c>
    </row>
    <row r="1779" spans="1:1" x14ac:dyDescent="0.2">
      <c r="A1779" t="e">
        <f>IF(NOT(ISBLANK([1]Variables!A1779)),[1]Variables!A1779,"")</f>
        <v>#REF!</v>
      </c>
    </row>
    <row r="1780" spans="1:1" x14ac:dyDescent="0.2">
      <c r="A1780" t="e">
        <f>IF(NOT(ISBLANK([1]Variables!A1780)),[1]Variables!A1780,"")</f>
        <v>#REF!</v>
      </c>
    </row>
    <row r="1781" spans="1:1" x14ac:dyDescent="0.2">
      <c r="A1781" t="e">
        <f>IF(NOT(ISBLANK([1]Variables!A1781)),[1]Variables!A1781,"")</f>
        <v>#REF!</v>
      </c>
    </row>
    <row r="1782" spans="1:1" x14ac:dyDescent="0.2">
      <c r="A1782" t="e">
        <f>IF(NOT(ISBLANK([1]Variables!A1782)),[1]Variables!A1782,"")</f>
        <v>#REF!</v>
      </c>
    </row>
    <row r="1783" spans="1:1" x14ac:dyDescent="0.2">
      <c r="A1783" t="e">
        <f>IF(NOT(ISBLANK([1]Variables!A1783)),[1]Variables!A1783,"")</f>
        <v>#REF!</v>
      </c>
    </row>
    <row r="1784" spans="1:1" x14ac:dyDescent="0.2">
      <c r="A1784" t="e">
        <f>IF(NOT(ISBLANK([1]Variables!A1784)),[1]Variables!A1784,"")</f>
        <v>#REF!</v>
      </c>
    </row>
    <row r="1785" spans="1:1" x14ac:dyDescent="0.2">
      <c r="A1785" t="e">
        <f>IF(NOT(ISBLANK([1]Variables!A1785)),[1]Variables!A1785,"")</f>
        <v>#REF!</v>
      </c>
    </row>
    <row r="1786" spans="1:1" x14ac:dyDescent="0.2">
      <c r="A1786" t="e">
        <f>IF(NOT(ISBLANK([1]Variables!A1786)),[1]Variables!A1786,"")</f>
        <v>#REF!</v>
      </c>
    </row>
    <row r="1787" spans="1:1" x14ac:dyDescent="0.2">
      <c r="A1787" t="e">
        <f>IF(NOT(ISBLANK([1]Variables!A1787)),[1]Variables!A1787,"")</f>
        <v>#REF!</v>
      </c>
    </row>
    <row r="1788" spans="1:1" x14ac:dyDescent="0.2">
      <c r="A1788" t="e">
        <f>IF(NOT(ISBLANK([1]Variables!A1788)),[1]Variables!A1788,"")</f>
        <v>#REF!</v>
      </c>
    </row>
    <row r="1789" spans="1:1" x14ac:dyDescent="0.2">
      <c r="A1789" t="e">
        <f>IF(NOT(ISBLANK([1]Variables!A1789)),[1]Variables!A1789,"")</f>
        <v>#REF!</v>
      </c>
    </row>
    <row r="1790" spans="1:1" x14ac:dyDescent="0.2">
      <c r="A1790" t="e">
        <f>IF(NOT(ISBLANK([1]Variables!A1790)),[1]Variables!A1790,"")</f>
        <v>#REF!</v>
      </c>
    </row>
    <row r="1791" spans="1:1" x14ac:dyDescent="0.2">
      <c r="A1791" t="e">
        <f>IF(NOT(ISBLANK([1]Variables!A1791)),[1]Variables!A1791,"")</f>
        <v>#REF!</v>
      </c>
    </row>
    <row r="1792" spans="1:1" x14ac:dyDescent="0.2">
      <c r="A1792" t="e">
        <f>IF(NOT(ISBLANK([1]Variables!A1792)),[1]Variables!A1792,"")</f>
        <v>#REF!</v>
      </c>
    </row>
    <row r="1793" spans="1:1" x14ac:dyDescent="0.2">
      <c r="A1793" t="e">
        <f>IF(NOT(ISBLANK([1]Variables!A1793)),[1]Variables!A1793,"")</f>
        <v>#REF!</v>
      </c>
    </row>
    <row r="1794" spans="1:1" x14ac:dyDescent="0.2">
      <c r="A1794" t="e">
        <f>IF(NOT(ISBLANK([1]Variables!A1794)),[1]Variables!A1794,"")</f>
        <v>#REF!</v>
      </c>
    </row>
    <row r="1795" spans="1:1" x14ac:dyDescent="0.2">
      <c r="A1795" t="e">
        <f>IF(NOT(ISBLANK([1]Variables!A1795)),[1]Variables!A1795,"")</f>
        <v>#REF!</v>
      </c>
    </row>
    <row r="1796" spans="1:1" x14ac:dyDescent="0.2">
      <c r="A1796" t="e">
        <f>IF(NOT(ISBLANK([1]Variables!A1796)),[1]Variables!A1796,"")</f>
        <v>#REF!</v>
      </c>
    </row>
    <row r="1797" spans="1:1" x14ac:dyDescent="0.2">
      <c r="A1797" t="e">
        <f>IF(NOT(ISBLANK([1]Variables!A1797)),[1]Variables!A1797,"")</f>
        <v>#REF!</v>
      </c>
    </row>
    <row r="1798" spans="1:1" x14ac:dyDescent="0.2">
      <c r="A1798" t="e">
        <f>IF(NOT(ISBLANK([1]Variables!A1798)),[1]Variables!A1798,"")</f>
        <v>#REF!</v>
      </c>
    </row>
    <row r="1799" spans="1:1" x14ac:dyDescent="0.2">
      <c r="A1799" t="e">
        <f>IF(NOT(ISBLANK([1]Variables!A1799)),[1]Variables!A1799,"")</f>
        <v>#REF!</v>
      </c>
    </row>
    <row r="1800" spans="1:1" x14ac:dyDescent="0.2">
      <c r="A1800" t="e">
        <f>IF(NOT(ISBLANK([1]Variables!A1800)),[1]Variables!A1800,"")</f>
        <v>#REF!</v>
      </c>
    </row>
    <row r="1801" spans="1:1" x14ac:dyDescent="0.2">
      <c r="A1801" t="e">
        <f>IF(NOT(ISBLANK([1]Variables!A1801)),[1]Variables!A1801,"")</f>
        <v>#REF!</v>
      </c>
    </row>
    <row r="1802" spans="1:1" x14ac:dyDescent="0.2">
      <c r="A1802" t="e">
        <f>IF(NOT(ISBLANK([1]Variables!A1802)),[1]Variables!A1802,"")</f>
        <v>#REF!</v>
      </c>
    </row>
    <row r="1803" spans="1:1" x14ac:dyDescent="0.2">
      <c r="A1803" t="e">
        <f>IF(NOT(ISBLANK([1]Variables!A1803)),[1]Variables!A1803,"")</f>
        <v>#REF!</v>
      </c>
    </row>
    <row r="1804" spans="1:1" x14ac:dyDescent="0.2">
      <c r="A1804" t="e">
        <f>IF(NOT(ISBLANK([1]Variables!A1804)),[1]Variables!A1804,"")</f>
        <v>#REF!</v>
      </c>
    </row>
    <row r="1805" spans="1:1" x14ac:dyDescent="0.2">
      <c r="A1805" t="e">
        <f>IF(NOT(ISBLANK([1]Variables!A1805)),[1]Variables!A1805,"")</f>
        <v>#REF!</v>
      </c>
    </row>
    <row r="1806" spans="1:1" x14ac:dyDescent="0.2">
      <c r="A1806" t="e">
        <f>IF(NOT(ISBLANK([1]Variables!A1806)),[1]Variables!A1806,"")</f>
        <v>#REF!</v>
      </c>
    </row>
    <row r="1807" spans="1:1" x14ac:dyDescent="0.2">
      <c r="A1807" t="e">
        <f>IF(NOT(ISBLANK([1]Variables!A1807)),[1]Variables!A1807,"")</f>
        <v>#REF!</v>
      </c>
    </row>
    <row r="1808" spans="1:1" x14ac:dyDescent="0.2">
      <c r="A1808" t="e">
        <f>IF(NOT(ISBLANK([1]Variables!A1808)),[1]Variables!A1808,"")</f>
        <v>#REF!</v>
      </c>
    </row>
    <row r="1809" spans="1:1" x14ac:dyDescent="0.2">
      <c r="A1809" t="e">
        <f>IF(NOT(ISBLANK([1]Variables!A1809)),[1]Variables!A1809,"")</f>
        <v>#REF!</v>
      </c>
    </row>
    <row r="1810" spans="1:1" x14ac:dyDescent="0.2">
      <c r="A1810" t="e">
        <f>IF(NOT(ISBLANK([1]Variables!A1810)),[1]Variables!A1810,"")</f>
        <v>#REF!</v>
      </c>
    </row>
    <row r="1811" spans="1:1" x14ac:dyDescent="0.2">
      <c r="A1811" t="e">
        <f>IF(NOT(ISBLANK([1]Variables!A1811)),[1]Variables!A1811,"")</f>
        <v>#REF!</v>
      </c>
    </row>
    <row r="1812" spans="1:1" x14ac:dyDescent="0.2">
      <c r="A1812" t="e">
        <f>IF(NOT(ISBLANK([1]Variables!A1812)),[1]Variables!A1812,"")</f>
        <v>#REF!</v>
      </c>
    </row>
    <row r="1813" spans="1:1" x14ac:dyDescent="0.2">
      <c r="A1813" t="e">
        <f>IF(NOT(ISBLANK([1]Variables!A1813)),[1]Variables!A1813,"")</f>
        <v>#REF!</v>
      </c>
    </row>
    <row r="1814" spans="1:1" x14ac:dyDescent="0.2">
      <c r="A1814" t="e">
        <f>IF(NOT(ISBLANK([1]Variables!A1814)),[1]Variables!A1814,"")</f>
        <v>#REF!</v>
      </c>
    </row>
    <row r="1815" spans="1:1" x14ac:dyDescent="0.2">
      <c r="A1815" t="e">
        <f>IF(NOT(ISBLANK([1]Variables!A1815)),[1]Variables!A1815,"")</f>
        <v>#REF!</v>
      </c>
    </row>
    <row r="1816" spans="1:1" x14ac:dyDescent="0.2">
      <c r="A1816" t="e">
        <f>IF(NOT(ISBLANK([1]Variables!A1816)),[1]Variables!A1816,"")</f>
        <v>#REF!</v>
      </c>
    </row>
    <row r="1817" spans="1:1" x14ac:dyDescent="0.2">
      <c r="A1817" t="e">
        <f>IF(NOT(ISBLANK([1]Variables!A1817)),[1]Variables!A1817,"")</f>
        <v>#REF!</v>
      </c>
    </row>
    <row r="1818" spans="1:1" x14ac:dyDescent="0.2">
      <c r="A1818" t="e">
        <f>IF(NOT(ISBLANK([1]Variables!A1818)),[1]Variables!A1818,"")</f>
        <v>#REF!</v>
      </c>
    </row>
    <row r="1819" spans="1:1" x14ac:dyDescent="0.2">
      <c r="A1819" t="e">
        <f>IF(NOT(ISBLANK([1]Variables!A1819)),[1]Variables!A1819,"")</f>
        <v>#REF!</v>
      </c>
    </row>
    <row r="1820" spans="1:1" x14ac:dyDescent="0.2">
      <c r="A1820" t="e">
        <f>IF(NOT(ISBLANK([1]Variables!A1820)),[1]Variables!A1820,"")</f>
        <v>#REF!</v>
      </c>
    </row>
    <row r="1821" spans="1:1" x14ac:dyDescent="0.2">
      <c r="A1821" t="e">
        <f>IF(NOT(ISBLANK([1]Variables!A1821)),[1]Variables!A1821,"")</f>
        <v>#REF!</v>
      </c>
    </row>
    <row r="1822" spans="1:1" x14ac:dyDescent="0.2">
      <c r="A1822" t="e">
        <f>IF(NOT(ISBLANK([1]Variables!A1822)),[1]Variables!A1822,"")</f>
        <v>#REF!</v>
      </c>
    </row>
    <row r="1823" spans="1:1" x14ac:dyDescent="0.2">
      <c r="A1823" t="e">
        <f>IF(NOT(ISBLANK([1]Variables!A1823)),[1]Variables!A1823,"")</f>
        <v>#REF!</v>
      </c>
    </row>
    <row r="1824" spans="1:1" x14ac:dyDescent="0.2">
      <c r="A1824" t="e">
        <f>IF(NOT(ISBLANK([1]Variables!A1824)),[1]Variables!A1824,"")</f>
        <v>#REF!</v>
      </c>
    </row>
    <row r="1825" spans="1:1" x14ac:dyDescent="0.2">
      <c r="A1825" t="e">
        <f>IF(NOT(ISBLANK([1]Variables!A1825)),[1]Variables!A1825,"")</f>
        <v>#REF!</v>
      </c>
    </row>
    <row r="1826" spans="1:1" x14ac:dyDescent="0.2">
      <c r="A1826" t="e">
        <f>IF(NOT(ISBLANK([1]Variables!A1826)),[1]Variables!A1826,"")</f>
        <v>#REF!</v>
      </c>
    </row>
    <row r="1827" spans="1:1" x14ac:dyDescent="0.2">
      <c r="A1827" t="e">
        <f>IF(NOT(ISBLANK([1]Variables!A1827)),[1]Variables!A1827,"")</f>
        <v>#REF!</v>
      </c>
    </row>
    <row r="1828" spans="1:1" x14ac:dyDescent="0.2">
      <c r="A1828" t="e">
        <f>IF(NOT(ISBLANK([1]Variables!A1828)),[1]Variables!A1828,"")</f>
        <v>#REF!</v>
      </c>
    </row>
    <row r="1829" spans="1:1" x14ac:dyDescent="0.2">
      <c r="A1829" t="e">
        <f>IF(NOT(ISBLANK([1]Variables!A1829)),[1]Variables!A1829,"")</f>
        <v>#REF!</v>
      </c>
    </row>
    <row r="1830" spans="1:1" x14ac:dyDescent="0.2">
      <c r="A1830" t="e">
        <f>IF(NOT(ISBLANK([1]Variables!A1830)),[1]Variables!A1830,"")</f>
        <v>#REF!</v>
      </c>
    </row>
    <row r="1831" spans="1:1" x14ac:dyDescent="0.2">
      <c r="A1831" t="e">
        <f>IF(NOT(ISBLANK([1]Variables!A1831)),[1]Variables!A1831,"")</f>
        <v>#REF!</v>
      </c>
    </row>
    <row r="1832" spans="1:1" x14ac:dyDescent="0.2">
      <c r="A1832" t="e">
        <f>IF(NOT(ISBLANK([1]Variables!A1832)),[1]Variables!A1832,"")</f>
        <v>#REF!</v>
      </c>
    </row>
    <row r="1833" spans="1:1" x14ac:dyDescent="0.2">
      <c r="A1833" t="e">
        <f>IF(NOT(ISBLANK([1]Variables!A1833)),[1]Variables!A1833,"")</f>
        <v>#REF!</v>
      </c>
    </row>
    <row r="1834" spans="1:1" x14ac:dyDescent="0.2">
      <c r="A1834" t="e">
        <f>IF(NOT(ISBLANK([1]Variables!A1834)),[1]Variables!A1834,"")</f>
        <v>#REF!</v>
      </c>
    </row>
    <row r="1835" spans="1:1" x14ac:dyDescent="0.2">
      <c r="A1835" t="e">
        <f>IF(NOT(ISBLANK([1]Variables!A1835)),[1]Variables!A1835,"")</f>
        <v>#REF!</v>
      </c>
    </row>
    <row r="1836" spans="1:1" x14ac:dyDescent="0.2">
      <c r="A1836" t="e">
        <f>IF(NOT(ISBLANK([1]Variables!A1836)),[1]Variables!A1836,"")</f>
        <v>#REF!</v>
      </c>
    </row>
    <row r="1837" spans="1:1" x14ac:dyDescent="0.2">
      <c r="A1837" t="e">
        <f>IF(NOT(ISBLANK([1]Variables!A1837)),[1]Variables!A1837,"")</f>
        <v>#REF!</v>
      </c>
    </row>
    <row r="1838" spans="1:1" x14ac:dyDescent="0.2">
      <c r="A1838" t="e">
        <f>IF(NOT(ISBLANK([1]Variables!A1838)),[1]Variables!A1838,"")</f>
        <v>#REF!</v>
      </c>
    </row>
    <row r="1839" spans="1:1" x14ac:dyDescent="0.2">
      <c r="A1839" t="e">
        <f>IF(NOT(ISBLANK([1]Variables!A1839)),[1]Variables!A1839,"")</f>
        <v>#REF!</v>
      </c>
    </row>
    <row r="1840" spans="1:1" x14ac:dyDescent="0.2">
      <c r="A1840" t="e">
        <f>IF(NOT(ISBLANK([1]Variables!A1840)),[1]Variables!A1840,"")</f>
        <v>#REF!</v>
      </c>
    </row>
    <row r="1841" spans="1:1" x14ac:dyDescent="0.2">
      <c r="A1841" t="e">
        <f>IF(NOT(ISBLANK([1]Variables!A1841)),[1]Variables!A1841,"")</f>
        <v>#REF!</v>
      </c>
    </row>
    <row r="1842" spans="1:1" x14ac:dyDescent="0.2">
      <c r="A1842" t="e">
        <f>IF(NOT(ISBLANK([1]Variables!A1842)),[1]Variables!A1842,"")</f>
        <v>#REF!</v>
      </c>
    </row>
    <row r="1843" spans="1:1" x14ac:dyDescent="0.2">
      <c r="A1843" t="e">
        <f>IF(NOT(ISBLANK([1]Variables!A1843)),[1]Variables!A1843,"")</f>
        <v>#REF!</v>
      </c>
    </row>
    <row r="1844" spans="1:1" x14ac:dyDescent="0.2">
      <c r="A1844" t="e">
        <f>IF(NOT(ISBLANK([1]Variables!A1844)),[1]Variables!A1844,"")</f>
        <v>#REF!</v>
      </c>
    </row>
    <row r="1845" spans="1:1" x14ac:dyDescent="0.2">
      <c r="A1845" t="e">
        <f>IF(NOT(ISBLANK([1]Variables!A1845)),[1]Variables!A1845,"")</f>
        <v>#REF!</v>
      </c>
    </row>
    <row r="1846" spans="1:1" x14ac:dyDescent="0.2">
      <c r="A1846" t="e">
        <f>IF(NOT(ISBLANK([1]Variables!A1846)),[1]Variables!A1846,"")</f>
        <v>#REF!</v>
      </c>
    </row>
    <row r="1847" spans="1:1" x14ac:dyDescent="0.2">
      <c r="A1847" t="e">
        <f>IF(NOT(ISBLANK([1]Variables!A1847)),[1]Variables!A1847,"")</f>
        <v>#REF!</v>
      </c>
    </row>
    <row r="1848" spans="1:1" x14ac:dyDescent="0.2">
      <c r="A1848" t="e">
        <f>IF(NOT(ISBLANK([1]Variables!A1848)),[1]Variables!A1848,"")</f>
        <v>#REF!</v>
      </c>
    </row>
    <row r="1849" spans="1:1" x14ac:dyDescent="0.2">
      <c r="A1849" t="e">
        <f>IF(NOT(ISBLANK([1]Variables!A1849)),[1]Variables!A1849,"")</f>
        <v>#REF!</v>
      </c>
    </row>
    <row r="1850" spans="1:1" x14ac:dyDescent="0.2">
      <c r="A1850" t="e">
        <f>IF(NOT(ISBLANK([1]Variables!A1850)),[1]Variables!A1850,"")</f>
        <v>#REF!</v>
      </c>
    </row>
    <row r="1851" spans="1:1" x14ac:dyDescent="0.2">
      <c r="A1851" t="e">
        <f>IF(NOT(ISBLANK([1]Variables!A1851)),[1]Variables!A1851,"")</f>
        <v>#REF!</v>
      </c>
    </row>
    <row r="1852" spans="1:1" x14ac:dyDescent="0.2">
      <c r="A1852" t="e">
        <f>IF(NOT(ISBLANK([1]Variables!A1852)),[1]Variables!A1852,"")</f>
        <v>#REF!</v>
      </c>
    </row>
    <row r="1853" spans="1:1" x14ac:dyDescent="0.2">
      <c r="A1853" t="e">
        <f>IF(NOT(ISBLANK([1]Variables!A1853)),[1]Variables!A1853,"")</f>
        <v>#REF!</v>
      </c>
    </row>
    <row r="1854" spans="1:1" x14ac:dyDescent="0.2">
      <c r="A1854" t="e">
        <f>IF(NOT(ISBLANK([1]Variables!A1854)),[1]Variables!A1854,"")</f>
        <v>#REF!</v>
      </c>
    </row>
    <row r="1855" spans="1:1" x14ac:dyDescent="0.2">
      <c r="A1855" t="e">
        <f>IF(NOT(ISBLANK([1]Variables!A1855)),[1]Variables!A1855,"")</f>
        <v>#REF!</v>
      </c>
    </row>
    <row r="1856" spans="1:1" x14ac:dyDescent="0.2">
      <c r="A1856" t="e">
        <f>IF(NOT(ISBLANK([1]Variables!A1856)),[1]Variables!A1856,"")</f>
        <v>#REF!</v>
      </c>
    </row>
    <row r="1857" spans="1:1" x14ac:dyDescent="0.2">
      <c r="A1857" t="e">
        <f>IF(NOT(ISBLANK([1]Variables!A1857)),[1]Variables!A1857,"")</f>
        <v>#REF!</v>
      </c>
    </row>
    <row r="1858" spans="1:1" x14ac:dyDescent="0.2">
      <c r="A1858" t="e">
        <f>IF(NOT(ISBLANK([1]Variables!A1858)),[1]Variables!A1858,"")</f>
        <v>#REF!</v>
      </c>
    </row>
    <row r="1859" spans="1:1" x14ac:dyDescent="0.2">
      <c r="A1859" t="e">
        <f>IF(NOT(ISBLANK([1]Variables!A1859)),[1]Variables!A1859,"")</f>
        <v>#REF!</v>
      </c>
    </row>
    <row r="1860" spans="1:1" x14ac:dyDescent="0.2">
      <c r="A1860" t="e">
        <f>IF(NOT(ISBLANK([1]Variables!A1860)),[1]Variables!A1860,"")</f>
        <v>#REF!</v>
      </c>
    </row>
    <row r="1861" spans="1:1" x14ac:dyDescent="0.2">
      <c r="A1861" t="e">
        <f>IF(NOT(ISBLANK([1]Variables!A1861)),[1]Variables!A1861,"")</f>
        <v>#REF!</v>
      </c>
    </row>
    <row r="1862" spans="1:1" x14ac:dyDescent="0.2">
      <c r="A1862" t="e">
        <f>IF(NOT(ISBLANK([1]Variables!A1862)),[1]Variables!A1862,"")</f>
        <v>#REF!</v>
      </c>
    </row>
    <row r="1863" spans="1:1" x14ac:dyDescent="0.2">
      <c r="A1863" t="e">
        <f>IF(NOT(ISBLANK([1]Variables!A1863)),[1]Variables!A1863,"")</f>
        <v>#REF!</v>
      </c>
    </row>
    <row r="1864" spans="1:1" x14ac:dyDescent="0.2">
      <c r="A1864" t="e">
        <f>IF(NOT(ISBLANK([1]Variables!A1864)),[1]Variables!A1864,"")</f>
        <v>#REF!</v>
      </c>
    </row>
    <row r="1865" spans="1:1" x14ac:dyDescent="0.2">
      <c r="A1865" t="e">
        <f>IF(NOT(ISBLANK([1]Variables!A1865)),[1]Variables!A1865,"")</f>
        <v>#REF!</v>
      </c>
    </row>
    <row r="1866" spans="1:1" x14ac:dyDescent="0.2">
      <c r="A1866" t="e">
        <f>IF(NOT(ISBLANK([1]Variables!A1866)),[1]Variables!A1866,"")</f>
        <v>#REF!</v>
      </c>
    </row>
    <row r="1867" spans="1:1" x14ac:dyDescent="0.2">
      <c r="A1867" t="e">
        <f>IF(NOT(ISBLANK([1]Variables!A1867)),[1]Variables!A1867,"")</f>
        <v>#REF!</v>
      </c>
    </row>
    <row r="1868" spans="1:1" x14ac:dyDescent="0.2">
      <c r="A1868" t="e">
        <f>IF(NOT(ISBLANK([1]Variables!A1868)),[1]Variables!A1868,"")</f>
        <v>#REF!</v>
      </c>
    </row>
    <row r="1869" spans="1:1" x14ac:dyDescent="0.2">
      <c r="A1869" t="e">
        <f>IF(NOT(ISBLANK([1]Variables!A1869)),[1]Variables!A1869,"")</f>
        <v>#REF!</v>
      </c>
    </row>
    <row r="1870" spans="1:1" x14ac:dyDescent="0.2">
      <c r="A1870" t="e">
        <f>IF(NOT(ISBLANK([1]Variables!A1870)),[1]Variables!A1870,"")</f>
        <v>#REF!</v>
      </c>
    </row>
    <row r="1871" spans="1:1" x14ac:dyDescent="0.2">
      <c r="A1871" t="e">
        <f>IF(NOT(ISBLANK([1]Variables!A1871)),[1]Variables!A1871,"")</f>
        <v>#REF!</v>
      </c>
    </row>
    <row r="1872" spans="1:1" x14ac:dyDescent="0.2">
      <c r="A1872" t="e">
        <f>IF(NOT(ISBLANK([1]Variables!A1872)),[1]Variables!A1872,"")</f>
        <v>#REF!</v>
      </c>
    </row>
    <row r="1873" spans="1:1" x14ac:dyDescent="0.2">
      <c r="A1873" t="e">
        <f>IF(NOT(ISBLANK([1]Variables!A1873)),[1]Variables!A1873,"")</f>
        <v>#REF!</v>
      </c>
    </row>
    <row r="1874" spans="1:1" x14ac:dyDescent="0.2">
      <c r="A1874" t="e">
        <f>IF(NOT(ISBLANK([1]Variables!A1874)),[1]Variables!A1874,"")</f>
        <v>#REF!</v>
      </c>
    </row>
    <row r="1875" spans="1:1" x14ac:dyDescent="0.2">
      <c r="A1875" t="e">
        <f>IF(NOT(ISBLANK([1]Variables!A1875)),[1]Variables!A1875,"")</f>
        <v>#REF!</v>
      </c>
    </row>
    <row r="1876" spans="1:1" x14ac:dyDescent="0.2">
      <c r="A1876" t="e">
        <f>IF(NOT(ISBLANK([1]Variables!A1876)),[1]Variables!A1876,"")</f>
        <v>#REF!</v>
      </c>
    </row>
    <row r="1877" spans="1:1" x14ac:dyDescent="0.2">
      <c r="A1877" t="e">
        <f>IF(NOT(ISBLANK([1]Variables!A1877)),[1]Variables!A1877,"")</f>
        <v>#REF!</v>
      </c>
    </row>
    <row r="1878" spans="1:1" x14ac:dyDescent="0.2">
      <c r="A1878" t="e">
        <f>IF(NOT(ISBLANK([1]Variables!A1878)),[1]Variables!A1878,"")</f>
        <v>#REF!</v>
      </c>
    </row>
    <row r="1879" spans="1:1" x14ac:dyDescent="0.2">
      <c r="A1879" t="e">
        <f>IF(NOT(ISBLANK([1]Variables!A1879)),[1]Variables!A1879,"")</f>
        <v>#REF!</v>
      </c>
    </row>
    <row r="1880" spans="1:1" x14ac:dyDescent="0.2">
      <c r="A1880" t="e">
        <f>IF(NOT(ISBLANK([1]Variables!A1880)),[1]Variables!A1880,"")</f>
        <v>#REF!</v>
      </c>
    </row>
    <row r="1881" spans="1:1" x14ac:dyDescent="0.2">
      <c r="A1881" t="e">
        <f>IF(NOT(ISBLANK([1]Variables!A1881)),[1]Variables!A1881,"")</f>
        <v>#REF!</v>
      </c>
    </row>
    <row r="1882" spans="1:1" x14ac:dyDescent="0.2">
      <c r="A1882" t="e">
        <f>IF(NOT(ISBLANK([1]Variables!A1882)),[1]Variables!A1882,"")</f>
        <v>#REF!</v>
      </c>
    </row>
    <row r="1883" spans="1:1" x14ac:dyDescent="0.2">
      <c r="A1883" t="e">
        <f>IF(NOT(ISBLANK([1]Variables!A1883)),[1]Variables!A1883,"")</f>
        <v>#REF!</v>
      </c>
    </row>
    <row r="1884" spans="1:1" x14ac:dyDescent="0.2">
      <c r="A1884" t="e">
        <f>IF(NOT(ISBLANK([1]Variables!A1884)),[1]Variables!A1884,"")</f>
        <v>#REF!</v>
      </c>
    </row>
    <row r="1885" spans="1:1" x14ac:dyDescent="0.2">
      <c r="A1885" t="e">
        <f>IF(NOT(ISBLANK([1]Variables!A1885)),[1]Variables!A1885,"")</f>
        <v>#REF!</v>
      </c>
    </row>
    <row r="1886" spans="1:1" x14ac:dyDescent="0.2">
      <c r="A1886" t="e">
        <f>IF(NOT(ISBLANK([1]Variables!A1886)),[1]Variables!A1886,"")</f>
        <v>#REF!</v>
      </c>
    </row>
    <row r="1887" spans="1:1" x14ac:dyDescent="0.2">
      <c r="A1887" t="e">
        <f>IF(NOT(ISBLANK([1]Variables!A1887)),[1]Variables!A1887,"")</f>
        <v>#REF!</v>
      </c>
    </row>
    <row r="1888" spans="1:1" x14ac:dyDescent="0.2">
      <c r="A1888" t="e">
        <f>IF(NOT(ISBLANK([1]Variables!A1888)),[1]Variables!A1888,"")</f>
        <v>#REF!</v>
      </c>
    </row>
    <row r="1889" spans="1:1" x14ac:dyDescent="0.2">
      <c r="A1889" t="e">
        <f>IF(NOT(ISBLANK([1]Variables!A1889)),[1]Variables!A1889,"")</f>
        <v>#REF!</v>
      </c>
    </row>
    <row r="1890" spans="1:1" x14ac:dyDescent="0.2">
      <c r="A1890" t="e">
        <f>IF(NOT(ISBLANK([1]Variables!A1890)),[1]Variables!A1890,"")</f>
        <v>#REF!</v>
      </c>
    </row>
    <row r="1891" spans="1:1" x14ac:dyDescent="0.2">
      <c r="A1891" t="e">
        <f>IF(NOT(ISBLANK([1]Variables!A1891)),[1]Variables!A1891,"")</f>
        <v>#REF!</v>
      </c>
    </row>
    <row r="1892" spans="1:1" x14ac:dyDescent="0.2">
      <c r="A1892" t="e">
        <f>IF(NOT(ISBLANK([1]Variables!A1892)),[1]Variables!A1892,"")</f>
        <v>#REF!</v>
      </c>
    </row>
    <row r="1893" spans="1:1" x14ac:dyDescent="0.2">
      <c r="A1893" t="e">
        <f>IF(NOT(ISBLANK([1]Variables!A1893)),[1]Variables!A1893,"")</f>
        <v>#REF!</v>
      </c>
    </row>
    <row r="1894" spans="1:1" x14ac:dyDescent="0.2">
      <c r="A1894" t="e">
        <f>IF(NOT(ISBLANK([1]Variables!A1894)),[1]Variables!A1894,"")</f>
        <v>#REF!</v>
      </c>
    </row>
    <row r="1895" spans="1:1" x14ac:dyDescent="0.2">
      <c r="A1895" t="e">
        <f>IF(NOT(ISBLANK([1]Variables!A1895)),[1]Variables!A1895,"")</f>
        <v>#REF!</v>
      </c>
    </row>
    <row r="1896" spans="1:1" x14ac:dyDescent="0.2">
      <c r="A1896" t="e">
        <f>IF(NOT(ISBLANK([1]Variables!A1896)),[1]Variables!A1896,"")</f>
        <v>#REF!</v>
      </c>
    </row>
    <row r="1897" spans="1:1" x14ac:dyDescent="0.2">
      <c r="A1897" t="e">
        <f>IF(NOT(ISBLANK([1]Variables!A1897)),[1]Variables!A1897,"")</f>
        <v>#REF!</v>
      </c>
    </row>
    <row r="1898" spans="1:1" x14ac:dyDescent="0.2">
      <c r="A1898" t="e">
        <f>IF(NOT(ISBLANK([1]Variables!A1898)),[1]Variables!A1898,"")</f>
        <v>#REF!</v>
      </c>
    </row>
    <row r="1899" spans="1:1" x14ac:dyDescent="0.2">
      <c r="A1899" t="e">
        <f>IF(NOT(ISBLANK([1]Variables!A1899)),[1]Variables!A1899,"")</f>
        <v>#REF!</v>
      </c>
    </row>
    <row r="1900" spans="1:1" x14ac:dyDescent="0.2">
      <c r="A1900" t="e">
        <f>IF(NOT(ISBLANK([1]Variables!A1900)),[1]Variables!A1900,"")</f>
        <v>#REF!</v>
      </c>
    </row>
    <row r="1901" spans="1:1" x14ac:dyDescent="0.2">
      <c r="A1901" t="e">
        <f>IF(NOT(ISBLANK([1]Variables!A1901)),[1]Variables!A1901,"")</f>
        <v>#REF!</v>
      </c>
    </row>
    <row r="1902" spans="1:1" x14ac:dyDescent="0.2">
      <c r="A1902" t="e">
        <f>IF(NOT(ISBLANK([1]Variables!A1902)),[1]Variables!A1902,"")</f>
        <v>#REF!</v>
      </c>
    </row>
    <row r="1903" spans="1:1" x14ac:dyDescent="0.2">
      <c r="A1903" t="e">
        <f>IF(NOT(ISBLANK([1]Variables!A1903)),[1]Variables!A1903,"")</f>
        <v>#REF!</v>
      </c>
    </row>
    <row r="1904" spans="1:1" x14ac:dyDescent="0.2">
      <c r="A1904" t="e">
        <f>IF(NOT(ISBLANK([1]Variables!A1904)),[1]Variables!A1904,"")</f>
        <v>#REF!</v>
      </c>
    </row>
    <row r="1905" spans="1:1" x14ac:dyDescent="0.2">
      <c r="A1905" t="e">
        <f>IF(NOT(ISBLANK([1]Variables!A1905)),[1]Variables!A1905,"")</f>
        <v>#REF!</v>
      </c>
    </row>
    <row r="1906" spans="1:1" x14ac:dyDescent="0.2">
      <c r="A1906" t="e">
        <f>IF(NOT(ISBLANK([1]Variables!A1906)),[1]Variables!A1906,"")</f>
        <v>#REF!</v>
      </c>
    </row>
    <row r="1907" spans="1:1" x14ac:dyDescent="0.2">
      <c r="A1907" t="e">
        <f>IF(NOT(ISBLANK([1]Variables!A1907)),[1]Variables!A1907,"")</f>
        <v>#REF!</v>
      </c>
    </row>
    <row r="1908" spans="1:1" x14ac:dyDescent="0.2">
      <c r="A1908" t="e">
        <f>IF(NOT(ISBLANK([1]Variables!A1908)),[1]Variables!A1908,"")</f>
        <v>#REF!</v>
      </c>
    </row>
    <row r="1909" spans="1:1" x14ac:dyDescent="0.2">
      <c r="A1909" t="e">
        <f>IF(NOT(ISBLANK([1]Variables!A1909)),[1]Variables!A1909,"")</f>
        <v>#REF!</v>
      </c>
    </row>
    <row r="1910" spans="1:1" x14ac:dyDescent="0.2">
      <c r="A1910" t="e">
        <f>IF(NOT(ISBLANK([1]Variables!A1910)),[1]Variables!A1910,"")</f>
        <v>#REF!</v>
      </c>
    </row>
    <row r="1911" spans="1:1" x14ac:dyDescent="0.2">
      <c r="A1911" t="e">
        <f>IF(NOT(ISBLANK([1]Variables!A1911)),[1]Variables!A1911,"")</f>
        <v>#REF!</v>
      </c>
    </row>
    <row r="1912" spans="1:1" x14ac:dyDescent="0.2">
      <c r="A1912" t="e">
        <f>IF(NOT(ISBLANK([1]Variables!A1912)),[1]Variables!A1912,"")</f>
        <v>#REF!</v>
      </c>
    </row>
    <row r="1913" spans="1:1" x14ac:dyDescent="0.2">
      <c r="A1913" t="e">
        <f>IF(NOT(ISBLANK([1]Variables!A1913)),[1]Variables!A1913,"")</f>
        <v>#REF!</v>
      </c>
    </row>
    <row r="1914" spans="1:1" x14ac:dyDescent="0.2">
      <c r="A1914" t="e">
        <f>IF(NOT(ISBLANK([1]Variables!A1914)),[1]Variables!A1914,"")</f>
        <v>#REF!</v>
      </c>
    </row>
    <row r="1915" spans="1:1" x14ac:dyDescent="0.2">
      <c r="A1915" t="e">
        <f>IF(NOT(ISBLANK([1]Variables!A1915)),[1]Variables!A1915,"")</f>
        <v>#REF!</v>
      </c>
    </row>
    <row r="1916" spans="1:1" x14ac:dyDescent="0.2">
      <c r="A1916" t="e">
        <f>IF(NOT(ISBLANK([1]Variables!A1916)),[1]Variables!A1916,"")</f>
        <v>#REF!</v>
      </c>
    </row>
    <row r="1917" spans="1:1" x14ac:dyDescent="0.2">
      <c r="A1917" t="e">
        <f>IF(NOT(ISBLANK([1]Variables!A1917)),[1]Variables!A1917,"")</f>
        <v>#REF!</v>
      </c>
    </row>
    <row r="1918" spans="1:1" x14ac:dyDescent="0.2">
      <c r="A1918" t="e">
        <f>IF(NOT(ISBLANK([1]Variables!A1918)),[1]Variables!A1918,"")</f>
        <v>#REF!</v>
      </c>
    </row>
    <row r="1919" spans="1:1" x14ac:dyDescent="0.2">
      <c r="A1919" t="e">
        <f>IF(NOT(ISBLANK([1]Variables!A1919)),[1]Variables!A1919,"")</f>
        <v>#REF!</v>
      </c>
    </row>
    <row r="1920" spans="1:1" x14ac:dyDescent="0.2">
      <c r="A1920" t="e">
        <f>IF(NOT(ISBLANK([1]Variables!A1920)),[1]Variables!A1920,"")</f>
        <v>#REF!</v>
      </c>
    </row>
    <row r="1921" spans="1:1" x14ac:dyDescent="0.2">
      <c r="A1921" t="e">
        <f>IF(NOT(ISBLANK([1]Variables!A1921)),[1]Variables!A1921,"")</f>
        <v>#REF!</v>
      </c>
    </row>
    <row r="1922" spans="1:1" x14ac:dyDescent="0.2">
      <c r="A1922" t="e">
        <f>IF(NOT(ISBLANK([1]Variables!A1922)),[1]Variables!A1922,"")</f>
        <v>#REF!</v>
      </c>
    </row>
    <row r="1923" spans="1:1" x14ac:dyDescent="0.2">
      <c r="A1923" t="e">
        <f>IF(NOT(ISBLANK([1]Variables!A1923)),[1]Variables!A1923,"")</f>
        <v>#REF!</v>
      </c>
    </row>
    <row r="1924" spans="1:1" x14ac:dyDescent="0.2">
      <c r="A1924" t="e">
        <f>IF(NOT(ISBLANK([1]Variables!A1924)),[1]Variables!A1924,"")</f>
        <v>#REF!</v>
      </c>
    </row>
    <row r="1925" spans="1:1" x14ac:dyDescent="0.2">
      <c r="A1925" t="e">
        <f>IF(NOT(ISBLANK([1]Variables!A1925)),[1]Variables!A1925,"")</f>
        <v>#REF!</v>
      </c>
    </row>
    <row r="1926" spans="1:1" x14ac:dyDescent="0.2">
      <c r="A1926" t="e">
        <f>IF(NOT(ISBLANK([1]Variables!A1926)),[1]Variables!A1926,"")</f>
        <v>#REF!</v>
      </c>
    </row>
    <row r="1927" spans="1:1" x14ac:dyDescent="0.2">
      <c r="A1927" t="e">
        <f>IF(NOT(ISBLANK([1]Variables!A1927)),[1]Variables!A1927,"")</f>
        <v>#REF!</v>
      </c>
    </row>
    <row r="1928" spans="1:1" x14ac:dyDescent="0.2">
      <c r="A1928" t="e">
        <f>IF(NOT(ISBLANK([1]Variables!A1928)),[1]Variables!A1928,"")</f>
        <v>#REF!</v>
      </c>
    </row>
    <row r="1929" spans="1:1" x14ac:dyDescent="0.2">
      <c r="A1929" t="e">
        <f>IF(NOT(ISBLANK([1]Variables!A1929)),[1]Variables!A1929,"")</f>
        <v>#REF!</v>
      </c>
    </row>
    <row r="1930" spans="1:1" x14ac:dyDescent="0.2">
      <c r="A1930" t="e">
        <f>IF(NOT(ISBLANK([1]Variables!A1930)),[1]Variables!A1930,"")</f>
        <v>#REF!</v>
      </c>
    </row>
    <row r="1931" spans="1:1" x14ac:dyDescent="0.2">
      <c r="A1931" t="e">
        <f>IF(NOT(ISBLANK([1]Variables!A1931)),[1]Variables!A1931,"")</f>
        <v>#REF!</v>
      </c>
    </row>
    <row r="1932" spans="1:1" x14ac:dyDescent="0.2">
      <c r="A1932" t="e">
        <f>IF(NOT(ISBLANK([1]Variables!A1932)),[1]Variables!A1932,"")</f>
        <v>#REF!</v>
      </c>
    </row>
    <row r="1933" spans="1:1" x14ac:dyDescent="0.2">
      <c r="A1933" t="e">
        <f>IF(NOT(ISBLANK([1]Variables!A1933)),[1]Variables!A1933,"")</f>
        <v>#REF!</v>
      </c>
    </row>
    <row r="1934" spans="1:1" x14ac:dyDescent="0.2">
      <c r="A1934" t="e">
        <f>IF(NOT(ISBLANK([1]Variables!A1934)),[1]Variables!A1934,"")</f>
        <v>#REF!</v>
      </c>
    </row>
    <row r="1935" spans="1:1" x14ac:dyDescent="0.2">
      <c r="A1935" t="e">
        <f>IF(NOT(ISBLANK([1]Variables!A1935)),[1]Variables!A1935,"")</f>
        <v>#REF!</v>
      </c>
    </row>
    <row r="1936" spans="1:1" x14ac:dyDescent="0.2">
      <c r="A1936" t="e">
        <f>IF(NOT(ISBLANK([1]Variables!A1936)),[1]Variables!A1936,"")</f>
        <v>#REF!</v>
      </c>
    </row>
    <row r="1937" spans="1:1" x14ac:dyDescent="0.2">
      <c r="A1937" t="e">
        <f>IF(NOT(ISBLANK([1]Variables!A1937)),[1]Variables!A1937,"")</f>
        <v>#REF!</v>
      </c>
    </row>
    <row r="1938" spans="1:1" x14ac:dyDescent="0.2">
      <c r="A1938" t="e">
        <f>IF(NOT(ISBLANK([1]Variables!A1938)),[1]Variables!A1938,"")</f>
        <v>#REF!</v>
      </c>
    </row>
    <row r="1939" spans="1:1" x14ac:dyDescent="0.2">
      <c r="A1939" t="e">
        <f>IF(NOT(ISBLANK([1]Variables!A1939)),[1]Variables!A1939,"")</f>
        <v>#REF!</v>
      </c>
    </row>
    <row r="1940" spans="1:1" x14ac:dyDescent="0.2">
      <c r="A1940" t="e">
        <f>IF(NOT(ISBLANK([1]Variables!A1940)),[1]Variables!A1940,"")</f>
        <v>#REF!</v>
      </c>
    </row>
    <row r="1941" spans="1:1" x14ac:dyDescent="0.2">
      <c r="A1941" t="e">
        <f>IF(NOT(ISBLANK([1]Variables!A1941)),[1]Variables!A1941,"")</f>
        <v>#REF!</v>
      </c>
    </row>
    <row r="1942" spans="1:1" x14ac:dyDescent="0.2">
      <c r="A1942" t="e">
        <f>IF(NOT(ISBLANK([1]Variables!A1942)),[1]Variables!A1942,"")</f>
        <v>#REF!</v>
      </c>
    </row>
    <row r="1943" spans="1:1" x14ac:dyDescent="0.2">
      <c r="A1943" t="e">
        <f>IF(NOT(ISBLANK([1]Variables!A1943)),[1]Variables!A1943,"")</f>
        <v>#REF!</v>
      </c>
    </row>
    <row r="1944" spans="1:1" x14ac:dyDescent="0.2">
      <c r="A1944" t="e">
        <f>IF(NOT(ISBLANK([1]Variables!A1944)),[1]Variables!A1944,"")</f>
        <v>#REF!</v>
      </c>
    </row>
    <row r="1945" spans="1:1" x14ac:dyDescent="0.2">
      <c r="A1945" t="e">
        <f>IF(NOT(ISBLANK([1]Variables!A1945)),[1]Variables!A1945,"")</f>
        <v>#REF!</v>
      </c>
    </row>
    <row r="1946" spans="1:1" x14ac:dyDescent="0.2">
      <c r="A1946" t="e">
        <f>IF(NOT(ISBLANK([1]Variables!A1946)),[1]Variables!A1946,"")</f>
        <v>#REF!</v>
      </c>
    </row>
    <row r="1947" spans="1:1" x14ac:dyDescent="0.2">
      <c r="A1947" t="e">
        <f>IF(NOT(ISBLANK([1]Variables!A1947)),[1]Variables!A1947,"")</f>
        <v>#REF!</v>
      </c>
    </row>
    <row r="1948" spans="1:1" x14ac:dyDescent="0.2">
      <c r="A1948" t="e">
        <f>IF(NOT(ISBLANK([1]Variables!A1948)),[1]Variables!A1948,"")</f>
        <v>#REF!</v>
      </c>
    </row>
    <row r="1949" spans="1:1" x14ac:dyDescent="0.2">
      <c r="A1949" t="e">
        <f>IF(NOT(ISBLANK([1]Variables!A1949)),[1]Variables!A1949,"")</f>
        <v>#REF!</v>
      </c>
    </row>
    <row r="1950" spans="1:1" x14ac:dyDescent="0.2">
      <c r="A1950" t="e">
        <f>IF(NOT(ISBLANK([1]Variables!A1950)),[1]Variables!A1950,"")</f>
        <v>#REF!</v>
      </c>
    </row>
    <row r="1951" spans="1:1" x14ac:dyDescent="0.2">
      <c r="A1951" t="e">
        <f>IF(NOT(ISBLANK([1]Variables!A1951)),[1]Variables!A1951,"")</f>
        <v>#REF!</v>
      </c>
    </row>
    <row r="1952" spans="1:1" x14ac:dyDescent="0.2">
      <c r="A1952" t="e">
        <f>IF(NOT(ISBLANK([1]Variables!A1952)),[1]Variables!A1952,"")</f>
        <v>#REF!</v>
      </c>
    </row>
    <row r="1953" spans="1:1" x14ac:dyDescent="0.2">
      <c r="A1953" t="e">
        <f>IF(NOT(ISBLANK([1]Variables!A1953)),[1]Variables!A1953,"")</f>
        <v>#REF!</v>
      </c>
    </row>
    <row r="1954" spans="1:1" x14ac:dyDescent="0.2">
      <c r="A1954" t="e">
        <f>IF(NOT(ISBLANK([1]Variables!A1954)),[1]Variables!A1954,"")</f>
        <v>#REF!</v>
      </c>
    </row>
    <row r="1955" spans="1:1" x14ac:dyDescent="0.2">
      <c r="A1955" t="e">
        <f>IF(NOT(ISBLANK([1]Variables!A1955)),[1]Variables!A1955,"")</f>
        <v>#REF!</v>
      </c>
    </row>
    <row r="1956" spans="1:1" x14ac:dyDescent="0.2">
      <c r="A1956" t="e">
        <f>IF(NOT(ISBLANK([1]Variables!A1956)),[1]Variables!A1956,"")</f>
        <v>#REF!</v>
      </c>
    </row>
    <row r="1957" spans="1:1" x14ac:dyDescent="0.2">
      <c r="A1957" t="e">
        <f>IF(NOT(ISBLANK([1]Variables!A1957)),[1]Variables!A1957,"")</f>
        <v>#REF!</v>
      </c>
    </row>
    <row r="1958" spans="1:1" x14ac:dyDescent="0.2">
      <c r="A1958" t="e">
        <f>IF(NOT(ISBLANK([1]Variables!A1958)),[1]Variables!A1958,"")</f>
        <v>#REF!</v>
      </c>
    </row>
    <row r="1959" spans="1:1" x14ac:dyDescent="0.2">
      <c r="A1959" t="e">
        <f>IF(NOT(ISBLANK([1]Variables!A1959)),[1]Variables!A1959,"")</f>
        <v>#REF!</v>
      </c>
    </row>
    <row r="1960" spans="1:1" x14ac:dyDescent="0.2">
      <c r="A1960" t="e">
        <f>IF(NOT(ISBLANK([1]Variables!A1960)),[1]Variables!A1960,"")</f>
        <v>#REF!</v>
      </c>
    </row>
    <row r="1961" spans="1:1" x14ac:dyDescent="0.2">
      <c r="A1961" t="e">
        <f>IF(NOT(ISBLANK([1]Variables!A1961)),[1]Variables!A1961,"")</f>
        <v>#REF!</v>
      </c>
    </row>
    <row r="1962" spans="1:1" x14ac:dyDescent="0.2">
      <c r="A1962" t="e">
        <f>IF(NOT(ISBLANK([1]Variables!A1962)),[1]Variables!A1962,"")</f>
        <v>#REF!</v>
      </c>
    </row>
    <row r="1963" spans="1:1" x14ac:dyDescent="0.2">
      <c r="A1963" t="e">
        <f>IF(NOT(ISBLANK([1]Variables!A1963)),[1]Variables!A1963,"")</f>
        <v>#REF!</v>
      </c>
    </row>
    <row r="1964" spans="1:1" x14ac:dyDescent="0.2">
      <c r="A1964" t="e">
        <f>IF(NOT(ISBLANK([1]Variables!A1964)),[1]Variables!A1964,"")</f>
        <v>#REF!</v>
      </c>
    </row>
    <row r="1965" spans="1:1" x14ac:dyDescent="0.2">
      <c r="A1965" t="e">
        <f>IF(NOT(ISBLANK([1]Variables!A1965)),[1]Variables!A1965,"")</f>
        <v>#REF!</v>
      </c>
    </row>
    <row r="1966" spans="1:1" x14ac:dyDescent="0.2">
      <c r="A1966" t="e">
        <f>IF(NOT(ISBLANK([1]Variables!A1966)),[1]Variables!A1966,"")</f>
        <v>#REF!</v>
      </c>
    </row>
    <row r="1967" spans="1:1" x14ac:dyDescent="0.2">
      <c r="A1967" t="e">
        <f>IF(NOT(ISBLANK([1]Variables!A1967)),[1]Variables!A1967,"")</f>
        <v>#REF!</v>
      </c>
    </row>
    <row r="1968" spans="1:1" x14ac:dyDescent="0.2">
      <c r="A1968" t="e">
        <f>IF(NOT(ISBLANK([1]Variables!A1968)),[1]Variables!A1968,"")</f>
        <v>#REF!</v>
      </c>
    </row>
    <row r="1969" spans="1:1" x14ac:dyDescent="0.2">
      <c r="A1969" t="e">
        <f>IF(NOT(ISBLANK([1]Variables!A1969)),[1]Variables!A1969,"")</f>
        <v>#REF!</v>
      </c>
    </row>
    <row r="1970" spans="1:1" x14ac:dyDescent="0.2">
      <c r="A1970" t="e">
        <f>IF(NOT(ISBLANK([1]Variables!A1970)),[1]Variables!A1970,"")</f>
        <v>#REF!</v>
      </c>
    </row>
    <row r="1971" spans="1:1" x14ac:dyDescent="0.2">
      <c r="A1971" t="e">
        <f>IF(NOT(ISBLANK([1]Variables!A1971)),[1]Variables!A1971,"")</f>
        <v>#REF!</v>
      </c>
    </row>
    <row r="1972" spans="1:1" x14ac:dyDescent="0.2">
      <c r="A1972" t="e">
        <f>IF(NOT(ISBLANK([1]Variables!A1972)),[1]Variables!A1972,"")</f>
        <v>#REF!</v>
      </c>
    </row>
    <row r="1973" spans="1:1" x14ac:dyDescent="0.2">
      <c r="A1973" t="e">
        <f>IF(NOT(ISBLANK([1]Variables!A1973)),[1]Variables!A1973,"")</f>
        <v>#REF!</v>
      </c>
    </row>
    <row r="1974" spans="1:1" x14ac:dyDescent="0.2">
      <c r="A1974" t="e">
        <f>IF(NOT(ISBLANK([1]Variables!A1974)),[1]Variables!A1974,"")</f>
        <v>#REF!</v>
      </c>
    </row>
    <row r="1975" spans="1:1" x14ac:dyDescent="0.2">
      <c r="A1975" t="e">
        <f>IF(NOT(ISBLANK([1]Variables!A1975)),[1]Variables!A1975,"")</f>
        <v>#REF!</v>
      </c>
    </row>
    <row r="1976" spans="1:1" x14ac:dyDescent="0.2">
      <c r="A1976" t="e">
        <f>IF(NOT(ISBLANK([1]Variables!A1976)),[1]Variables!A1976,"")</f>
        <v>#REF!</v>
      </c>
    </row>
    <row r="1977" spans="1:1" x14ac:dyDescent="0.2">
      <c r="A1977" t="e">
        <f>IF(NOT(ISBLANK([1]Variables!A1977)),[1]Variables!A1977,"")</f>
        <v>#REF!</v>
      </c>
    </row>
    <row r="1978" spans="1:1" x14ac:dyDescent="0.2">
      <c r="A1978" t="e">
        <f>IF(NOT(ISBLANK([1]Variables!A1978)),[1]Variables!A1978,"")</f>
        <v>#REF!</v>
      </c>
    </row>
    <row r="1979" spans="1:1" x14ac:dyDescent="0.2">
      <c r="A1979" t="e">
        <f>IF(NOT(ISBLANK([1]Variables!A1979)),[1]Variables!A1979,"")</f>
        <v>#REF!</v>
      </c>
    </row>
    <row r="1980" spans="1:1" x14ac:dyDescent="0.2">
      <c r="A1980" t="e">
        <f>IF(NOT(ISBLANK([1]Variables!A1980)),[1]Variables!A1980,"")</f>
        <v>#REF!</v>
      </c>
    </row>
    <row r="1981" spans="1:1" x14ac:dyDescent="0.2">
      <c r="A1981" t="e">
        <f>IF(NOT(ISBLANK([1]Variables!A1981)),[1]Variables!A1981,"")</f>
        <v>#REF!</v>
      </c>
    </row>
    <row r="1982" spans="1:1" x14ac:dyDescent="0.2">
      <c r="A1982" t="e">
        <f>IF(NOT(ISBLANK([1]Variables!A1982)),[1]Variables!A1982,"")</f>
        <v>#REF!</v>
      </c>
    </row>
    <row r="1983" spans="1:1" x14ac:dyDescent="0.2">
      <c r="A1983" t="e">
        <f>IF(NOT(ISBLANK([1]Variables!A1983)),[1]Variables!A1983,"")</f>
        <v>#REF!</v>
      </c>
    </row>
    <row r="1984" spans="1:1" x14ac:dyDescent="0.2">
      <c r="A1984" t="e">
        <f>IF(NOT(ISBLANK([1]Variables!A1984)),[1]Variables!A1984,"")</f>
        <v>#REF!</v>
      </c>
    </row>
    <row r="1985" spans="1:1" x14ac:dyDescent="0.2">
      <c r="A1985" t="e">
        <f>IF(NOT(ISBLANK([1]Variables!A1985)),[1]Variables!A1985,"")</f>
        <v>#REF!</v>
      </c>
    </row>
    <row r="1986" spans="1:1" x14ac:dyDescent="0.2">
      <c r="A1986" t="e">
        <f>IF(NOT(ISBLANK([1]Variables!A1986)),[1]Variables!A1986,"")</f>
        <v>#REF!</v>
      </c>
    </row>
    <row r="1987" spans="1:1" x14ac:dyDescent="0.2">
      <c r="A1987" t="e">
        <f>IF(NOT(ISBLANK([1]Variables!A1987)),[1]Variables!A1987,"")</f>
        <v>#REF!</v>
      </c>
    </row>
    <row r="1988" spans="1:1" x14ac:dyDescent="0.2">
      <c r="A1988" t="e">
        <f>IF(NOT(ISBLANK([1]Variables!A1988)),[1]Variables!A1988,"")</f>
        <v>#REF!</v>
      </c>
    </row>
    <row r="1989" spans="1:1" x14ac:dyDescent="0.2">
      <c r="A1989" t="e">
        <f>IF(NOT(ISBLANK([1]Variables!A1989)),[1]Variables!A1989,"")</f>
        <v>#REF!</v>
      </c>
    </row>
    <row r="1990" spans="1:1" x14ac:dyDescent="0.2">
      <c r="A1990" t="e">
        <f>IF(NOT(ISBLANK([1]Variables!A1990)),[1]Variables!A1990,"")</f>
        <v>#REF!</v>
      </c>
    </row>
    <row r="1991" spans="1:1" x14ac:dyDescent="0.2">
      <c r="A1991" t="e">
        <f>IF(NOT(ISBLANK([1]Variables!A1991)),[1]Variables!A1991,"")</f>
        <v>#REF!</v>
      </c>
    </row>
    <row r="1992" spans="1:1" x14ac:dyDescent="0.2">
      <c r="A1992" t="e">
        <f>IF(NOT(ISBLANK([1]Variables!A1992)),[1]Variables!A1992,"")</f>
        <v>#REF!</v>
      </c>
    </row>
    <row r="1993" spans="1:1" x14ac:dyDescent="0.2">
      <c r="A1993" t="e">
        <f>IF(NOT(ISBLANK([1]Variables!A1993)),[1]Variables!A1993,"")</f>
        <v>#REF!</v>
      </c>
    </row>
    <row r="1994" spans="1:1" x14ac:dyDescent="0.2">
      <c r="A1994" t="e">
        <f>IF(NOT(ISBLANK([1]Variables!A1994)),[1]Variables!A1994,"")</f>
        <v>#REF!</v>
      </c>
    </row>
    <row r="1995" spans="1:1" x14ac:dyDescent="0.2">
      <c r="A1995" t="e">
        <f>IF(NOT(ISBLANK([1]Variables!A1995)),[1]Variables!A1995,"")</f>
        <v>#REF!</v>
      </c>
    </row>
    <row r="1996" spans="1:1" x14ac:dyDescent="0.2">
      <c r="A1996" t="e">
        <f>IF(NOT(ISBLANK([1]Variables!A1996)),[1]Variables!A1996,"")</f>
        <v>#REF!</v>
      </c>
    </row>
    <row r="1997" spans="1:1" x14ac:dyDescent="0.2">
      <c r="A1997" t="e">
        <f>IF(NOT(ISBLANK([1]Variables!A1997)),[1]Variables!A1997,"")</f>
        <v>#REF!</v>
      </c>
    </row>
    <row r="1998" spans="1:1" x14ac:dyDescent="0.2">
      <c r="A1998" t="e">
        <f>IF(NOT(ISBLANK([1]Variables!A1998)),[1]Variables!A1998,"")</f>
        <v>#REF!</v>
      </c>
    </row>
    <row r="1999" spans="1:1" x14ac:dyDescent="0.2">
      <c r="A1999" t="e">
        <f>IF(NOT(ISBLANK([1]Variables!A1999)),[1]Variables!A1999,"")</f>
        <v>#REF!</v>
      </c>
    </row>
    <row r="2000" spans="1:1" x14ac:dyDescent="0.2">
      <c r="A2000" t="e">
        <f>IF(NOT(ISBLANK([1]Variables!A2000)),[1]Variables!A2000,"")</f>
        <v>#REF!</v>
      </c>
    </row>
    <row r="2001" spans="1:1" x14ac:dyDescent="0.2">
      <c r="A2001" t="e">
        <f>IF(NOT(ISBLANK([1]Variables!A2001)),[1]Variables!A2001,"")</f>
        <v>#REF!</v>
      </c>
    </row>
    <row r="2002" spans="1:1" x14ac:dyDescent="0.2">
      <c r="A2002" t="e">
        <f>IF(NOT(ISBLANK([1]Variables!A2002)),[1]Variables!A2002,"")</f>
        <v>#REF!</v>
      </c>
    </row>
    <row r="2003" spans="1:1" x14ac:dyDescent="0.2">
      <c r="A2003" t="e">
        <f>IF(NOT(ISBLANK([1]Variables!A2003)),[1]Variables!A2003,"")</f>
        <v>#REF!</v>
      </c>
    </row>
    <row r="2004" spans="1:1" x14ac:dyDescent="0.2">
      <c r="A2004" t="e">
        <f>IF(NOT(ISBLANK([1]Variables!A2004)),[1]Variables!A2004,"")</f>
        <v>#REF!</v>
      </c>
    </row>
    <row r="2005" spans="1:1" x14ac:dyDescent="0.2">
      <c r="A2005" t="e">
        <f>IF(NOT(ISBLANK([1]Variables!A2005)),[1]Variables!A2005,"")</f>
        <v>#REF!</v>
      </c>
    </row>
    <row r="2006" spans="1:1" x14ac:dyDescent="0.2">
      <c r="A2006" t="e">
        <f>IF(NOT(ISBLANK([1]Variables!A2006)),[1]Variables!A2006,"")</f>
        <v>#REF!</v>
      </c>
    </row>
    <row r="2007" spans="1:1" x14ac:dyDescent="0.2">
      <c r="A2007" t="e">
        <f>IF(NOT(ISBLANK([1]Variables!A2007)),[1]Variables!A2007,"")</f>
        <v>#REF!</v>
      </c>
    </row>
    <row r="2008" spans="1:1" x14ac:dyDescent="0.2">
      <c r="A2008" t="e">
        <f>IF(NOT(ISBLANK([1]Variables!A2008)),[1]Variables!A2008,"")</f>
        <v>#REF!</v>
      </c>
    </row>
    <row r="2009" spans="1:1" x14ac:dyDescent="0.2">
      <c r="A2009" t="e">
        <f>IF(NOT(ISBLANK([1]Variables!A2009)),[1]Variables!A2009,"")</f>
        <v>#REF!</v>
      </c>
    </row>
    <row r="2010" spans="1:1" x14ac:dyDescent="0.2">
      <c r="A2010" t="e">
        <f>IF(NOT(ISBLANK([1]Variables!A2010)),[1]Variables!A2010,"")</f>
        <v>#REF!</v>
      </c>
    </row>
    <row r="2011" spans="1:1" x14ac:dyDescent="0.2">
      <c r="A2011" t="e">
        <f>IF(NOT(ISBLANK([1]Variables!A2011)),[1]Variables!A2011,"")</f>
        <v>#REF!</v>
      </c>
    </row>
    <row r="2012" spans="1:1" x14ac:dyDescent="0.2">
      <c r="A2012" t="e">
        <f>IF(NOT(ISBLANK([1]Variables!A2012)),[1]Variables!A2012,"")</f>
        <v>#REF!</v>
      </c>
    </row>
    <row r="2013" spans="1:1" x14ac:dyDescent="0.2">
      <c r="A2013" t="e">
        <f>IF(NOT(ISBLANK([1]Variables!A2013)),[1]Variables!A2013,"")</f>
        <v>#REF!</v>
      </c>
    </row>
    <row r="2014" spans="1:1" x14ac:dyDescent="0.2">
      <c r="A2014" t="e">
        <f>IF(NOT(ISBLANK([1]Variables!A2014)),[1]Variables!A2014,"")</f>
        <v>#REF!</v>
      </c>
    </row>
    <row r="2015" spans="1:1" x14ac:dyDescent="0.2">
      <c r="A2015" t="e">
        <f>IF(NOT(ISBLANK([1]Variables!A2015)),[1]Variables!A2015,"")</f>
        <v>#REF!</v>
      </c>
    </row>
    <row r="2016" spans="1:1" x14ac:dyDescent="0.2">
      <c r="A2016" t="e">
        <f>IF(NOT(ISBLANK([1]Variables!A2016)),[1]Variables!A2016,"")</f>
        <v>#REF!</v>
      </c>
    </row>
    <row r="2017" spans="1:1" x14ac:dyDescent="0.2">
      <c r="A2017" t="e">
        <f>IF(NOT(ISBLANK([1]Variables!A2017)),[1]Variables!A2017,"")</f>
        <v>#REF!</v>
      </c>
    </row>
    <row r="2018" spans="1:1" x14ac:dyDescent="0.2">
      <c r="A2018" t="e">
        <f>IF(NOT(ISBLANK([1]Variables!A2018)),[1]Variables!A2018,"")</f>
        <v>#REF!</v>
      </c>
    </row>
    <row r="2019" spans="1:1" x14ac:dyDescent="0.2">
      <c r="A2019" t="e">
        <f>IF(NOT(ISBLANK([1]Variables!A2019)),[1]Variables!A2019,"")</f>
        <v>#REF!</v>
      </c>
    </row>
    <row r="2020" spans="1:1" x14ac:dyDescent="0.2">
      <c r="A2020" t="e">
        <f>IF(NOT(ISBLANK([1]Variables!A2020)),[1]Variables!A2020,"")</f>
        <v>#REF!</v>
      </c>
    </row>
    <row r="2021" spans="1:1" x14ac:dyDescent="0.2">
      <c r="A2021" t="e">
        <f>IF(NOT(ISBLANK([1]Variables!A2021)),[1]Variables!A2021,"")</f>
        <v>#REF!</v>
      </c>
    </row>
    <row r="2022" spans="1:1" x14ac:dyDescent="0.2">
      <c r="A2022" t="e">
        <f>IF(NOT(ISBLANK([1]Variables!A2022)),[1]Variables!A2022,"")</f>
        <v>#REF!</v>
      </c>
    </row>
    <row r="2023" spans="1:1" x14ac:dyDescent="0.2">
      <c r="A2023" t="e">
        <f>IF(NOT(ISBLANK([1]Variables!A2023)),[1]Variables!A2023,"")</f>
        <v>#REF!</v>
      </c>
    </row>
    <row r="2024" spans="1:1" x14ac:dyDescent="0.2">
      <c r="A2024" t="e">
        <f>IF(NOT(ISBLANK([1]Variables!A2024)),[1]Variables!A2024,"")</f>
        <v>#REF!</v>
      </c>
    </row>
    <row r="2025" spans="1:1" x14ac:dyDescent="0.2">
      <c r="A2025" t="e">
        <f>IF(NOT(ISBLANK([1]Variables!A2025)),[1]Variables!A2025,"")</f>
        <v>#REF!</v>
      </c>
    </row>
    <row r="2026" spans="1:1" x14ac:dyDescent="0.2">
      <c r="A2026" t="e">
        <f>IF(NOT(ISBLANK([1]Variables!A2026)),[1]Variables!A2026,"")</f>
        <v>#REF!</v>
      </c>
    </row>
    <row r="2027" spans="1:1" x14ac:dyDescent="0.2">
      <c r="A2027" t="e">
        <f>IF(NOT(ISBLANK([1]Variables!A2027)),[1]Variables!A2027,"")</f>
        <v>#REF!</v>
      </c>
    </row>
    <row r="2028" spans="1:1" x14ac:dyDescent="0.2">
      <c r="A2028" t="e">
        <f>IF(NOT(ISBLANK([1]Variables!A2028)),[1]Variables!A2028,"")</f>
        <v>#REF!</v>
      </c>
    </row>
    <row r="2029" spans="1:1" x14ac:dyDescent="0.2">
      <c r="A2029" t="e">
        <f>IF(NOT(ISBLANK([1]Variables!A2029)),[1]Variables!A2029,"")</f>
        <v>#REF!</v>
      </c>
    </row>
    <row r="2030" spans="1:1" x14ac:dyDescent="0.2">
      <c r="A2030" t="e">
        <f>IF(NOT(ISBLANK([1]Variables!A2030)),[1]Variables!A2030,"")</f>
        <v>#REF!</v>
      </c>
    </row>
    <row r="2031" spans="1:1" x14ac:dyDescent="0.2">
      <c r="A2031" t="e">
        <f>IF(NOT(ISBLANK([1]Variables!A2031)),[1]Variables!A2031,"")</f>
        <v>#REF!</v>
      </c>
    </row>
    <row r="2032" spans="1:1" x14ac:dyDescent="0.2">
      <c r="A2032" t="e">
        <f>IF(NOT(ISBLANK([1]Variables!A2032)),[1]Variables!A2032,"")</f>
        <v>#REF!</v>
      </c>
    </row>
    <row r="2033" spans="1:1" x14ac:dyDescent="0.2">
      <c r="A2033" t="e">
        <f>IF(NOT(ISBLANK([1]Variables!A2033)),[1]Variables!A2033,"")</f>
        <v>#REF!</v>
      </c>
    </row>
    <row r="2034" spans="1:1" x14ac:dyDescent="0.2">
      <c r="A2034" t="e">
        <f>IF(NOT(ISBLANK([1]Variables!A2034)),[1]Variables!A2034,"")</f>
        <v>#REF!</v>
      </c>
    </row>
    <row r="2035" spans="1:1" x14ac:dyDescent="0.2">
      <c r="A2035" t="e">
        <f>IF(NOT(ISBLANK([1]Variables!A2035)),[1]Variables!A2035,"")</f>
        <v>#REF!</v>
      </c>
    </row>
    <row r="2036" spans="1:1" x14ac:dyDescent="0.2">
      <c r="A2036" t="e">
        <f>IF(NOT(ISBLANK([1]Variables!A2036)),[1]Variables!A2036,"")</f>
        <v>#REF!</v>
      </c>
    </row>
    <row r="2037" spans="1:1" x14ac:dyDescent="0.2">
      <c r="A2037" t="e">
        <f>IF(NOT(ISBLANK([1]Variables!A2037)),[1]Variables!A2037,"")</f>
        <v>#REF!</v>
      </c>
    </row>
    <row r="2038" spans="1:1" x14ac:dyDescent="0.2">
      <c r="A2038" t="e">
        <f>IF(NOT(ISBLANK([1]Variables!A2038)),[1]Variables!A2038,"")</f>
        <v>#REF!</v>
      </c>
    </row>
    <row r="2039" spans="1:1" x14ac:dyDescent="0.2">
      <c r="A2039" t="e">
        <f>IF(NOT(ISBLANK([1]Variables!A2039)),[1]Variables!A2039,"")</f>
        <v>#REF!</v>
      </c>
    </row>
    <row r="2040" spans="1:1" x14ac:dyDescent="0.2">
      <c r="A2040" t="e">
        <f>IF(NOT(ISBLANK([1]Variables!A2040)),[1]Variables!A2040,"")</f>
        <v>#REF!</v>
      </c>
    </row>
    <row r="2041" spans="1:1" x14ac:dyDescent="0.2">
      <c r="A2041" t="e">
        <f>IF(NOT(ISBLANK([1]Variables!A2041)),[1]Variables!A2041,"")</f>
        <v>#REF!</v>
      </c>
    </row>
    <row r="2042" spans="1:1" x14ac:dyDescent="0.2">
      <c r="A2042" t="e">
        <f>IF(NOT(ISBLANK([1]Variables!A2042)),[1]Variables!A2042,"")</f>
        <v>#REF!</v>
      </c>
    </row>
    <row r="2043" spans="1:1" x14ac:dyDescent="0.2">
      <c r="A2043" t="e">
        <f>IF(NOT(ISBLANK([1]Variables!A2043)),[1]Variables!A2043,"")</f>
        <v>#REF!</v>
      </c>
    </row>
    <row r="2044" spans="1:1" x14ac:dyDescent="0.2">
      <c r="A2044" t="e">
        <f>IF(NOT(ISBLANK([1]Variables!A2044)),[1]Variables!A2044,"")</f>
        <v>#REF!</v>
      </c>
    </row>
    <row r="2045" spans="1:1" x14ac:dyDescent="0.2">
      <c r="A2045" t="e">
        <f>IF(NOT(ISBLANK([1]Variables!A2045)),[1]Variables!A2045,"")</f>
        <v>#REF!</v>
      </c>
    </row>
    <row r="2046" spans="1:1" x14ac:dyDescent="0.2">
      <c r="A2046" t="e">
        <f>IF(NOT(ISBLANK([1]Variables!A2046)),[1]Variables!A2046,"")</f>
        <v>#REF!</v>
      </c>
    </row>
    <row r="2047" spans="1:1" x14ac:dyDescent="0.2">
      <c r="A2047" t="e">
        <f>IF(NOT(ISBLANK([1]Variables!A2047)),[1]Variables!A2047,"")</f>
        <v>#REF!</v>
      </c>
    </row>
    <row r="2048" spans="1:1" x14ac:dyDescent="0.2">
      <c r="A2048" t="e">
        <f>IF(NOT(ISBLANK([1]Variables!A2048)),[1]Variables!A2048,"")</f>
        <v>#REF!</v>
      </c>
    </row>
    <row r="2049" spans="1:1" x14ac:dyDescent="0.2">
      <c r="A2049" t="e">
        <f>IF(NOT(ISBLANK([1]Variables!A2049)),[1]Variables!A2049,"")</f>
        <v>#REF!</v>
      </c>
    </row>
    <row r="2050" spans="1:1" x14ac:dyDescent="0.2">
      <c r="A2050" t="e">
        <f>IF(NOT(ISBLANK([1]Variables!A2050)),[1]Variables!A2050,"")</f>
        <v>#REF!</v>
      </c>
    </row>
    <row r="2051" spans="1:1" x14ac:dyDescent="0.2">
      <c r="A2051" t="e">
        <f>IF(NOT(ISBLANK([1]Variables!A2051)),[1]Variables!A2051,"")</f>
        <v>#REF!</v>
      </c>
    </row>
    <row r="2052" spans="1:1" x14ac:dyDescent="0.2">
      <c r="A2052" t="e">
        <f>IF(NOT(ISBLANK([1]Variables!A2052)),[1]Variables!A2052,"")</f>
        <v>#REF!</v>
      </c>
    </row>
    <row r="2053" spans="1:1" x14ac:dyDescent="0.2">
      <c r="A2053" t="e">
        <f>IF(NOT(ISBLANK([1]Variables!A2053)),[1]Variables!A2053,"")</f>
        <v>#REF!</v>
      </c>
    </row>
    <row r="2054" spans="1:1" x14ac:dyDescent="0.2">
      <c r="A2054" t="e">
        <f>IF(NOT(ISBLANK([1]Variables!A2054)),[1]Variables!A2054,"")</f>
        <v>#REF!</v>
      </c>
    </row>
    <row r="2055" spans="1:1" x14ac:dyDescent="0.2">
      <c r="A2055" t="e">
        <f>IF(NOT(ISBLANK([1]Variables!A2055)),[1]Variables!A2055,"")</f>
        <v>#REF!</v>
      </c>
    </row>
    <row r="2056" spans="1:1" x14ac:dyDescent="0.2">
      <c r="A2056" t="e">
        <f>IF(NOT(ISBLANK([1]Variables!A2056)),[1]Variables!A2056,"")</f>
        <v>#REF!</v>
      </c>
    </row>
    <row r="2057" spans="1:1" x14ac:dyDescent="0.2">
      <c r="A2057" t="e">
        <f>IF(NOT(ISBLANK([1]Variables!A2057)),[1]Variables!A2057,"")</f>
        <v>#REF!</v>
      </c>
    </row>
    <row r="2058" spans="1:1" x14ac:dyDescent="0.2">
      <c r="A2058" t="e">
        <f>IF(NOT(ISBLANK([1]Variables!A2058)),[1]Variables!A2058,"")</f>
        <v>#REF!</v>
      </c>
    </row>
    <row r="2059" spans="1:1" x14ac:dyDescent="0.2">
      <c r="A2059" t="e">
        <f>IF(NOT(ISBLANK([1]Variables!A2059)),[1]Variables!A2059,"")</f>
        <v>#REF!</v>
      </c>
    </row>
    <row r="2060" spans="1:1" x14ac:dyDescent="0.2">
      <c r="A2060" t="e">
        <f>IF(NOT(ISBLANK([1]Variables!A2060)),[1]Variables!A2060,"")</f>
        <v>#REF!</v>
      </c>
    </row>
    <row r="2061" spans="1:1" x14ac:dyDescent="0.2">
      <c r="A2061" t="e">
        <f>IF(NOT(ISBLANK([1]Variables!A2061)),[1]Variables!A2061,"")</f>
        <v>#REF!</v>
      </c>
    </row>
    <row r="2062" spans="1:1" x14ac:dyDescent="0.2">
      <c r="A2062" t="e">
        <f>IF(NOT(ISBLANK([1]Variables!A2062)),[1]Variables!A2062,"")</f>
        <v>#REF!</v>
      </c>
    </row>
    <row r="2063" spans="1:1" x14ac:dyDescent="0.2">
      <c r="A2063" t="e">
        <f>IF(NOT(ISBLANK([1]Variables!A2063)),[1]Variables!A2063,"")</f>
        <v>#REF!</v>
      </c>
    </row>
    <row r="2064" spans="1:1" x14ac:dyDescent="0.2">
      <c r="A2064" t="e">
        <f>IF(NOT(ISBLANK([1]Variables!A2064)),[1]Variables!A2064,"")</f>
        <v>#REF!</v>
      </c>
    </row>
    <row r="2065" spans="1:1" x14ac:dyDescent="0.2">
      <c r="A2065" t="e">
        <f>IF(NOT(ISBLANK([1]Variables!A2065)),[1]Variables!A2065,"")</f>
        <v>#REF!</v>
      </c>
    </row>
    <row r="2066" spans="1:1" x14ac:dyDescent="0.2">
      <c r="A2066" t="e">
        <f>IF(NOT(ISBLANK([1]Variables!A2066)),[1]Variables!A2066,"")</f>
        <v>#REF!</v>
      </c>
    </row>
    <row r="2067" spans="1:1" x14ac:dyDescent="0.2">
      <c r="A2067" t="e">
        <f>IF(NOT(ISBLANK([1]Variables!A2067)),[1]Variables!A2067,"")</f>
        <v>#REF!</v>
      </c>
    </row>
    <row r="2068" spans="1:1" x14ac:dyDescent="0.2">
      <c r="A2068" t="e">
        <f>IF(NOT(ISBLANK([1]Variables!A2068)),[1]Variables!A2068,"")</f>
        <v>#REF!</v>
      </c>
    </row>
    <row r="2069" spans="1:1" x14ac:dyDescent="0.2">
      <c r="A2069" t="e">
        <f>IF(NOT(ISBLANK([1]Variables!A2069)),[1]Variables!A2069,"")</f>
        <v>#REF!</v>
      </c>
    </row>
    <row r="2070" spans="1:1" x14ac:dyDescent="0.2">
      <c r="A2070" t="e">
        <f>IF(NOT(ISBLANK([1]Variables!A2070)),[1]Variables!A2070,"")</f>
        <v>#REF!</v>
      </c>
    </row>
    <row r="2071" spans="1:1" x14ac:dyDescent="0.2">
      <c r="A2071" t="e">
        <f>IF(NOT(ISBLANK([1]Variables!A2071)),[1]Variables!A2071,"")</f>
        <v>#REF!</v>
      </c>
    </row>
    <row r="2072" spans="1:1" x14ac:dyDescent="0.2">
      <c r="A2072" t="e">
        <f>IF(NOT(ISBLANK([1]Variables!A2072)),[1]Variables!A2072,"")</f>
        <v>#REF!</v>
      </c>
    </row>
    <row r="2073" spans="1:1" x14ac:dyDescent="0.2">
      <c r="A2073" t="e">
        <f>IF(NOT(ISBLANK([1]Variables!A2073)),[1]Variables!A2073,"")</f>
        <v>#REF!</v>
      </c>
    </row>
    <row r="2074" spans="1:1" x14ac:dyDescent="0.2">
      <c r="A2074" t="e">
        <f>IF(NOT(ISBLANK([1]Variables!A2074)),[1]Variables!A2074,"")</f>
        <v>#REF!</v>
      </c>
    </row>
    <row r="2075" spans="1:1" x14ac:dyDescent="0.2">
      <c r="A2075" t="e">
        <f>IF(NOT(ISBLANK([1]Variables!A2075)),[1]Variables!A2075,"")</f>
        <v>#REF!</v>
      </c>
    </row>
    <row r="2076" spans="1:1" x14ac:dyDescent="0.2">
      <c r="A2076" t="e">
        <f>IF(NOT(ISBLANK([1]Variables!A2076)),[1]Variables!A2076,"")</f>
        <v>#REF!</v>
      </c>
    </row>
    <row r="2077" spans="1:1" x14ac:dyDescent="0.2">
      <c r="A2077" t="e">
        <f>IF(NOT(ISBLANK([1]Variables!A2077)),[1]Variables!A2077,"")</f>
        <v>#REF!</v>
      </c>
    </row>
    <row r="2078" spans="1:1" x14ac:dyDescent="0.2">
      <c r="A2078" t="e">
        <f>IF(NOT(ISBLANK([1]Variables!A2078)),[1]Variables!A2078,"")</f>
        <v>#REF!</v>
      </c>
    </row>
    <row r="2079" spans="1:1" x14ac:dyDescent="0.2">
      <c r="A2079" t="e">
        <f>IF(NOT(ISBLANK([1]Variables!A2079)),[1]Variables!A2079,"")</f>
        <v>#REF!</v>
      </c>
    </row>
    <row r="2080" spans="1:1" x14ac:dyDescent="0.2">
      <c r="A2080" t="e">
        <f>IF(NOT(ISBLANK([1]Variables!A2080)),[1]Variables!A2080,"")</f>
        <v>#REF!</v>
      </c>
    </row>
    <row r="2081" spans="1:1" x14ac:dyDescent="0.2">
      <c r="A2081" t="e">
        <f>IF(NOT(ISBLANK([1]Variables!A2081)),[1]Variables!A2081,"")</f>
        <v>#REF!</v>
      </c>
    </row>
    <row r="2082" spans="1:1" x14ac:dyDescent="0.2">
      <c r="A2082" t="e">
        <f>IF(NOT(ISBLANK([1]Variables!A2082)),[1]Variables!A2082,"")</f>
        <v>#REF!</v>
      </c>
    </row>
    <row r="2083" spans="1:1" x14ac:dyDescent="0.2">
      <c r="A2083" t="e">
        <f>IF(NOT(ISBLANK([1]Variables!A2083)),[1]Variables!A2083,"")</f>
        <v>#REF!</v>
      </c>
    </row>
    <row r="2084" spans="1:1" x14ac:dyDescent="0.2">
      <c r="A2084" t="e">
        <f>IF(NOT(ISBLANK([1]Variables!A2084)),[1]Variables!A2084,"")</f>
        <v>#REF!</v>
      </c>
    </row>
    <row r="2085" spans="1:1" x14ac:dyDescent="0.2">
      <c r="A2085" t="e">
        <f>IF(NOT(ISBLANK([1]Variables!A2085)),[1]Variables!A2085,"")</f>
        <v>#REF!</v>
      </c>
    </row>
    <row r="2086" spans="1:1" x14ac:dyDescent="0.2">
      <c r="A2086" t="e">
        <f>IF(NOT(ISBLANK([1]Variables!A2086)),[1]Variables!A2086,"")</f>
        <v>#REF!</v>
      </c>
    </row>
    <row r="2087" spans="1:1" x14ac:dyDescent="0.2">
      <c r="A2087" t="e">
        <f>IF(NOT(ISBLANK([1]Variables!A2087)),[1]Variables!A2087,"")</f>
        <v>#REF!</v>
      </c>
    </row>
    <row r="2088" spans="1:1" x14ac:dyDescent="0.2">
      <c r="A2088" t="e">
        <f>IF(NOT(ISBLANK([1]Variables!A2088)),[1]Variables!A2088,"")</f>
        <v>#REF!</v>
      </c>
    </row>
    <row r="2089" spans="1:1" x14ac:dyDescent="0.2">
      <c r="A2089" t="e">
        <f>IF(NOT(ISBLANK([1]Variables!A2089)),[1]Variables!A2089,"")</f>
        <v>#REF!</v>
      </c>
    </row>
    <row r="2090" spans="1:1" x14ac:dyDescent="0.2">
      <c r="A2090" t="e">
        <f>IF(NOT(ISBLANK([1]Variables!A2090)),[1]Variables!A2090,"")</f>
        <v>#REF!</v>
      </c>
    </row>
    <row r="2091" spans="1:1" x14ac:dyDescent="0.2">
      <c r="A2091" t="e">
        <f>IF(NOT(ISBLANK([1]Variables!A2091)),[1]Variables!A2091,"")</f>
        <v>#REF!</v>
      </c>
    </row>
    <row r="2092" spans="1:1" x14ac:dyDescent="0.2">
      <c r="A2092" t="e">
        <f>IF(NOT(ISBLANK([1]Variables!A2092)),[1]Variables!A2092,"")</f>
        <v>#REF!</v>
      </c>
    </row>
    <row r="2093" spans="1:1" x14ac:dyDescent="0.2">
      <c r="A2093" t="e">
        <f>IF(NOT(ISBLANK([1]Variables!A2093)),[1]Variables!A2093,"")</f>
        <v>#REF!</v>
      </c>
    </row>
    <row r="2094" spans="1:1" x14ac:dyDescent="0.2">
      <c r="A2094" t="e">
        <f>IF(NOT(ISBLANK([1]Variables!A2094)),[1]Variables!A2094,"")</f>
        <v>#REF!</v>
      </c>
    </row>
    <row r="2095" spans="1:1" x14ac:dyDescent="0.2">
      <c r="A2095" t="e">
        <f>IF(NOT(ISBLANK([1]Variables!A2095)),[1]Variables!A2095,"")</f>
        <v>#REF!</v>
      </c>
    </row>
    <row r="2096" spans="1:1" x14ac:dyDescent="0.2">
      <c r="A2096" t="e">
        <f>IF(NOT(ISBLANK([1]Variables!A2096)),[1]Variables!A2096,"")</f>
        <v>#REF!</v>
      </c>
    </row>
    <row r="2097" spans="1:1" x14ac:dyDescent="0.2">
      <c r="A2097" t="e">
        <f>IF(NOT(ISBLANK([1]Variables!A2097)),[1]Variables!A2097,"")</f>
        <v>#REF!</v>
      </c>
    </row>
    <row r="2098" spans="1:1" x14ac:dyDescent="0.2">
      <c r="A2098" t="e">
        <f>IF(NOT(ISBLANK([1]Variables!A2098)),[1]Variables!A2098,"")</f>
        <v>#REF!</v>
      </c>
    </row>
    <row r="2099" spans="1:1" x14ac:dyDescent="0.2">
      <c r="A2099" t="e">
        <f>IF(NOT(ISBLANK([1]Variables!A2099)),[1]Variables!A2099,"")</f>
        <v>#REF!</v>
      </c>
    </row>
    <row r="2100" spans="1:1" x14ac:dyDescent="0.2">
      <c r="A2100" t="e">
        <f>IF(NOT(ISBLANK([1]Variables!A2100)),[1]Variables!A2100,"")</f>
        <v>#REF!</v>
      </c>
    </row>
    <row r="2101" spans="1:1" x14ac:dyDescent="0.2">
      <c r="A2101" t="e">
        <f>IF(NOT(ISBLANK([1]Variables!A2101)),[1]Variables!A2101,"")</f>
        <v>#REF!</v>
      </c>
    </row>
    <row r="2102" spans="1:1" x14ac:dyDescent="0.2">
      <c r="A2102" t="e">
        <f>IF(NOT(ISBLANK([1]Variables!A2102)),[1]Variables!A2102,"")</f>
        <v>#REF!</v>
      </c>
    </row>
    <row r="2103" spans="1:1" x14ac:dyDescent="0.2">
      <c r="A2103" t="e">
        <f>IF(NOT(ISBLANK([1]Variables!A2103)),[1]Variables!A2103,"")</f>
        <v>#REF!</v>
      </c>
    </row>
    <row r="2104" spans="1:1" x14ac:dyDescent="0.2">
      <c r="A2104" t="e">
        <f>IF(NOT(ISBLANK([1]Variables!A2104)),[1]Variables!A2104,"")</f>
        <v>#REF!</v>
      </c>
    </row>
    <row r="2105" spans="1:1" x14ac:dyDescent="0.2">
      <c r="A2105" t="e">
        <f>IF(NOT(ISBLANK([1]Variables!A2105)),[1]Variables!A2105,"")</f>
        <v>#REF!</v>
      </c>
    </row>
    <row r="2106" spans="1:1" x14ac:dyDescent="0.2">
      <c r="A2106" t="e">
        <f>IF(NOT(ISBLANK([1]Variables!A2106)),[1]Variables!A2106,"")</f>
        <v>#REF!</v>
      </c>
    </row>
    <row r="2107" spans="1:1" x14ac:dyDescent="0.2">
      <c r="A2107" t="e">
        <f>IF(NOT(ISBLANK([1]Variables!A2107)),[1]Variables!A2107,"")</f>
        <v>#REF!</v>
      </c>
    </row>
    <row r="2108" spans="1:1" x14ac:dyDescent="0.2">
      <c r="A2108" t="e">
        <f>IF(NOT(ISBLANK([1]Variables!A2108)),[1]Variables!A2108,"")</f>
        <v>#REF!</v>
      </c>
    </row>
    <row r="2109" spans="1:1" x14ac:dyDescent="0.2">
      <c r="A2109" t="e">
        <f>IF(NOT(ISBLANK([1]Variables!A2109)),[1]Variables!A2109,"")</f>
        <v>#REF!</v>
      </c>
    </row>
    <row r="2110" spans="1:1" x14ac:dyDescent="0.2">
      <c r="A2110" t="e">
        <f>IF(NOT(ISBLANK([1]Variables!A2110)),[1]Variables!A2110,"")</f>
        <v>#REF!</v>
      </c>
    </row>
    <row r="2111" spans="1:1" x14ac:dyDescent="0.2">
      <c r="A2111" t="e">
        <f>IF(NOT(ISBLANK([1]Variables!A2111)),[1]Variables!A2111,"")</f>
        <v>#REF!</v>
      </c>
    </row>
    <row r="2112" spans="1:1" x14ac:dyDescent="0.2">
      <c r="A2112" t="e">
        <f>IF(NOT(ISBLANK([1]Variables!A2112)),[1]Variables!A2112,"")</f>
        <v>#REF!</v>
      </c>
    </row>
    <row r="2113" spans="1:1" x14ac:dyDescent="0.2">
      <c r="A2113" t="e">
        <f>IF(NOT(ISBLANK([1]Variables!A2113)),[1]Variables!A2113,"")</f>
        <v>#REF!</v>
      </c>
    </row>
    <row r="2114" spans="1:1" x14ac:dyDescent="0.2">
      <c r="A2114" t="e">
        <f>IF(NOT(ISBLANK([1]Variables!A2114)),[1]Variables!A2114,"")</f>
        <v>#REF!</v>
      </c>
    </row>
    <row r="2115" spans="1:1" x14ac:dyDescent="0.2">
      <c r="A2115" t="e">
        <f>IF(NOT(ISBLANK([1]Variables!A2115)),[1]Variables!A2115,"")</f>
        <v>#REF!</v>
      </c>
    </row>
    <row r="2116" spans="1:1" x14ac:dyDescent="0.2">
      <c r="A2116" t="e">
        <f>IF(NOT(ISBLANK([1]Variables!A2116)),[1]Variables!A2116,"")</f>
        <v>#REF!</v>
      </c>
    </row>
    <row r="2117" spans="1:1" x14ac:dyDescent="0.2">
      <c r="A2117" t="e">
        <f>IF(NOT(ISBLANK([1]Variables!A2117)),[1]Variables!A2117,"")</f>
        <v>#REF!</v>
      </c>
    </row>
    <row r="2118" spans="1:1" x14ac:dyDescent="0.2">
      <c r="A2118" t="e">
        <f>IF(NOT(ISBLANK([1]Variables!A2118)),[1]Variables!A2118,"")</f>
        <v>#REF!</v>
      </c>
    </row>
    <row r="2119" spans="1:1" x14ac:dyDescent="0.2">
      <c r="A2119" t="e">
        <f>IF(NOT(ISBLANK([1]Variables!A2119)),[1]Variables!A2119,"")</f>
        <v>#REF!</v>
      </c>
    </row>
    <row r="2120" spans="1:1" x14ac:dyDescent="0.2">
      <c r="A2120" t="e">
        <f>IF(NOT(ISBLANK([1]Variables!A2120)),[1]Variables!A2120,"")</f>
        <v>#REF!</v>
      </c>
    </row>
    <row r="2121" spans="1:1" x14ac:dyDescent="0.2">
      <c r="A2121" t="e">
        <f>IF(NOT(ISBLANK([1]Variables!A2121)),[1]Variables!A2121,"")</f>
        <v>#REF!</v>
      </c>
    </row>
    <row r="2122" spans="1:1" x14ac:dyDescent="0.2">
      <c r="A2122" t="e">
        <f>IF(NOT(ISBLANK([1]Variables!A2122)),[1]Variables!A2122,"")</f>
        <v>#REF!</v>
      </c>
    </row>
    <row r="2123" spans="1:1" x14ac:dyDescent="0.2">
      <c r="A2123" t="e">
        <f>IF(NOT(ISBLANK([1]Variables!A2123)),[1]Variables!A2123,"")</f>
        <v>#REF!</v>
      </c>
    </row>
    <row r="2124" spans="1:1" x14ac:dyDescent="0.2">
      <c r="A2124" t="e">
        <f>IF(NOT(ISBLANK([1]Variables!A2124)),[1]Variables!A2124,"")</f>
        <v>#REF!</v>
      </c>
    </row>
    <row r="2125" spans="1:1" x14ac:dyDescent="0.2">
      <c r="A2125" t="e">
        <f>IF(NOT(ISBLANK([1]Variables!A2125)),[1]Variables!A2125,"")</f>
        <v>#REF!</v>
      </c>
    </row>
    <row r="2126" spans="1:1" x14ac:dyDescent="0.2">
      <c r="A2126" t="e">
        <f>IF(NOT(ISBLANK([1]Variables!A2126)),[1]Variables!A2126,"")</f>
        <v>#REF!</v>
      </c>
    </row>
    <row r="2127" spans="1:1" x14ac:dyDescent="0.2">
      <c r="A2127" t="e">
        <f>IF(NOT(ISBLANK([1]Variables!A2127)),[1]Variables!A2127,"")</f>
        <v>#REF!</v>
      </c>
    </row>
    <row r="2128" spans="1:1" x14ac:dyDescent="0.2">
      <c r="A2128" t="e">
        <f>IF(NOT(ISBLANK([1]Variables!A2128)),[1]Variables!A2128,"")</f>
        <v>#REF!</v>
      </c>
    </row>
    <row r="2129" spans="1:1" x14ac:dyDescent="0.2">
      <c r="A2129" t="e">
        <f>IF(NOT(ISBLANK([1]Variables!A2129)),[1]Variables!A2129,"")</f>
        <v>#REF!</v>
      </c>
    </row>
    <row r="2130" spans="1:1" x14ac:dyDescent="0.2">
      <c r="A2130" t="e">
        <f>IF(NOT(ISBLANK([1]Variables!A2130)),[1]Variables!A2130,"")</f>
        <v>#REF!</v>
      </c>
    </row>
    <row r="2131" spans="1:1" x14ac:dyDescent="0.2">
      <c r="A2131" t="e">
        <f>IF(NOT(ISBLANK([1]Variables!A2131)),[1]Variables!A2131,"")</f>
        <v>#REF!</v>
      </c>
    </row>
    <row r="2132" spans="1:1" x14ac:dyDescent="0.2">
      <c r="A2132" t="e">
        <f>IF(NOT(ISBLANK([1]Variables!A2132)),[1]Variables!A2132,"")</f>
        <v>#REF!</v>
      </c>
    </row>
    <row r="2133" spans="1:1" x14ac:dyDescent="0.2">
      <c r="A2133" t="e">
        <f>IF(NOT(ISBLANK([1]Variables!A2133)),[1]Variables!A2133,"")</f>
        <v>#REF!</v>
      </c>
    </row>
    <row r="2134" spans="1:1" x14ac:dyDescent="0.2">
      <c r="A2134" t="e">
        <f>IF(NOT(ISBLANK([1]Variables!A2134)),[1]Variables!A2134,"")</f>
        <v>#REF!</v>
      </c>
    </row>
    <row r="2135" spans="1:1" x14ac:dyDescent="0.2">
      <c r="A2135" t="e">
        <f>IF(NOT(ISBLANK([1]Variables!A2135)),[1]Variables!A2135,"")</f>
        <v>#REF!</v>
      </c>
    </row>
    <row r="2136" spans="1:1" x14ac:dyDescent="0.2">
      <c r="A2136" t="e">
        <f>IF(NOT(ISBLANK([1]Variables!A2136)),[1]Variables!A2136,"")</f>
        <v>#REF!</v>
      </c>
    </row>
    <row r="2137" spans="1:1" x14ac:dyDescent="0.2">
      <c r="A2137" t="e">
        <f>IF(NOT(ISBLANK([1]Variables!A2137)),[1]Variables!A2137,"")</f>
        <v>#REF!</v>
      </c>
    </row>
    <row r="2138" spans="1:1" x14ac:dyDescent="0.2">
      <c r="A2138" t="e">
        <f>IF(NOT(ISBLANK([1]Variables!A2138)),[1]Variables!A2138,"")</f>
        <v>#REF!</v>
      </c>
    </row>
    <row r="2139" spans="1:1" x14ac:dyDescent="0.2">
      <c r="A2139" t="e">
        <f>IF(NOT(ISBLANK([1]Variables!A2139)),[1]Variables!A2139,"")</f>
        <v>#REF!</v>
      </c>
    </row>
    <row r="2140" spans="1:1" x14ac:dyDescent="0.2">
      <c r="A2140" t="e">
        <f>IF(NOT(ISBLANK([1]Variables!A2140)),[1]Variables!A2140,"")</f>
        <v>#REF!</v>
      </c>
    </row>
    <row r="2141" spans="1:1" x14ac:dyDescent="0.2">
      <c r="A2141" t="e">
        <f>IF(NOT(ISBLANK([1]Variables!A2141)),[1]Variables!A2141,"")</f>
        <v>#REF!</v>
      </c>
    </row>
    <row r="2142" spans="1:1" x14ac:dyDescent="0.2">
      <c r="A2142" t="e">
        <f>IF(NOT(ISBLANK([1]Variables!A2142)),[1]Variables!A2142,"")</f>
        <v>#REF!</v>
      </c>
    </row>
    <row r="2143" spans="1:1" x14ac:dyDescent="0.2">
      <c r="A2143" t="e">
        <f>IF(NOT(ISBLANK([1]Variables!A2143)),[1]Variables!A2143,"")</f>
        <v>#REF!</v>
      </c>
    </row>
    <row r="2144" spans="1:1" x14ac:dyDescent="0.2">
      <c r="A2144" t="e">
        <f>IF(NOT(ISBLANK([1]Variables!A2144)),[1]Variables!A2144,"")</f>
        <v>#REF!</v>
      </c>
    </row>
    <row r="2145" spans="1:1" x14ac:dyDescent="0.2">
      <c r="A2145" t="e">
        <f>IF(NOT(ISBLANK([1]Variables!A2145)),[1]Variables!A2145,"")</f>
        <v>#REF!</v>
      </c>
    </row>
    <row r="2146" spans="1:1" x14ac:dyDescent="0.2">
      <c r="A2146" t="e">
        <f>IF(NOT(ISBLANK([1]Variables!A2146)),[1]Variables!A2146,"")</f>
        <v>#REF!</v>
      </c>
    </row>
    <row r="2147" spans="1:1" x14ac:dyDescent="0.2">
      <c r="A2147" t="e">
        <f>IF(NOT(ISBLANK([1]Variables!A2147)),[1]Variables!A2147,"")</f>
        <v>#REF!</v>
      </c>
    </row>
    <row r="2148" spans="1:1" x14ac:dyDescent="0.2">
      <c r="A2148" t="e">
        <f>IF(NOT(ISBLANK([1]Variables!A2148)),[1]Variables!A2148,"")</f>
        <v>#REF!</v>
      </c>
    </row>
    <row r="2149" spans="1:1" x14ac:dyDescent="0.2">
      <c r="A2149" t="e">
        <f>IF(NOT(ISBLANK([1]Variables!A2149)),[1]Variables!A2149,"")</f>
        <v>#REF!</v>
      </c>
    </row>
    <row r="2150" spans="1:1" x14ac:dyDescent="0.2">
      <c r="A2150" t="e">
        <f>IF(NOT(ISBLANK([1]Variables!A2150)),[1]Variables!A2150,"")</f>
        <v>#REF!</v>
      </c>
    </row>
    <row r="2151" spans="1:1" x14ac:dyDescent="0.2">
      <c r="A2151" t="e">
        <f>IF(NOT(ISBLANK([1]Variables!A2151)),[1]Variables!A2151,"")</f>
        <v>#REF!</v>
      </c>
    </row>
    <row r="2152" spans="1:1" x14ac:dyDescent="0.2">
      <c r="A2152" t="e">
        <f>IF(NOT(ISBLANK([1]Variables!A2152)),[1]Variables!A2152,"")</f>
        <v>#REF!</v>
      </c>
    </row>
    <row r="2153" spans="1:1" x14ac:dyDescent="0.2">
      <c r="A2153" t="e">
        <f>IF(NOT(ISBLANK([1]Variables!A2153)),[1]Variables!A2153,"")</f>
        <v>#REF!</v>
      </c>
    </row>
    <row r="2154" spans="1:1" x14ac:dyDescent="0.2">
      <c r="A2154" t="e">
        <f>IF(NOT(ISBLANK([1]Variables!A2154)),[1]Variables!A2154,"")</f>
        <v>#REF!</v>
      </c>
    </row>
    <row r="2155" spans="1:1" x14ac:dyDescent="0.2">
      <c r="A2155" t="e">
        <f>IF(NOT(ISBLANK([1]Variables!A2155)),[1]Variables!A2155,"")</f>
        <v>#REF!</v>
      </c>
    </row>
    <row r="2156" spans="1:1" x14ac:dyDescent="0.2">
      <c r="A2156" t="e">
        <f>IF(NOT(ISBLANK([1]Variables!A2156)),[1]Variables!A2156,"")</f>
        <v>#REF!</v>
      </c>
    </row>
    <row r="2157" spans="1:1" x14ac:dyDescent="0.2">
      <c r="A2157" t="e">
        <f>IF(NOT(ISBLANK([1]Variables!A2157)),[1]Variables!A2157,"")</f>
        <v>#REF!</v>
      </c>
    </row>
    <row r="2158" spans="1:1" x14ac:dyDescent="0.2">
      <c r="A2158" t="e">
        <f>IF(NOT(ISBLANK([1]Variables!A2158)),[1]Variables!A2158,"")</f>
        <v>#REF!</v>
      </c>
    </row>
    <row r="2159" spans="1:1" x14ac:dyDescent="0.2">
      <c r="A2159" t="e">
        <f>IF(NOT(ISBLANK([1]Variables!A2159)),[1]Variables!A2159,"")</f>
        <v>#REF!</v>
      </c>
    </row>
    <row r="2160" spans="1:1" x14ac:dyDescent="0.2">
      <c r="A2160" t="e">
        <f>IF(NOT(ISBLANK([1]Variables!A2160)),[1]Variables!A2160,"")</f>
        <v>#REF!</v>
      </c>
    </row>
    <row r="2161" spans="1:1" x14ac:dyDescent="0.2">
      <c r="A2161" t="e">
        <f>IF(NOT(ISBLANK([1]Variables!A2161)),[1]Variables!A2161,"")</f>
        <v>#REF!</v>
      </c>
    </row>
    <row r="2162" spans="1:1" x14ac:dyDescent="0.2">
      <c r="A2162" t="e">
        <f>IF(NOT(ISBLANK([1]Variables!A2162)),[1]Variables!A2162,"")</f>
        <v>#REF!</v>
      </c>
    </row>
    <row r="2163" spans="1:1" x14ac:dyDescent="0.2">
      <c r="A2163" t="e">
        <f>IF(NOT(ISBLANK([1]Variables!A2163)),[1]Variables!A2163,"")</f>
        <v>#REF!</v>
      </c>
    </row>
    <row r="2164" spans="1:1" x14ac:dyDescent="0.2">
      <c r="A2164" t="e">
        <f>IF(NOT(ISBLANK([1]Variables!A2164)),[1]Variables!A2164,"")</f>
        <v>#REF!</v>
      </c>
    </row>
    <row r="2165" spans="1:1" x14ac:dyDescent="0.2">
      <c r="A2165" t="e">
        <f>IF(NOT(ISBLANK([1]Variables!A2165)),[1]Variables!A2165,"")</f>
        <v>#REF!</v>
      </c>
    </row>
    <row r="2166" spans="1:1" x14ac:dyDescent="0.2">
      <c r="A2166" t="e">
        <f>IF(NOT(ISBLANK([1]Variables!A2166)),[1]Variables!A2166,"")</f>
        <v>#REF!</v>
      </c>
    </row>
    <row r="2167" spans="1:1" x14ac:dyDescent="0.2">
      <c r="A2167" t="e">
        <f>IF(NOT(ISBLANK([1]Variables!A2167)),[1]Variables!A2167,"")</f>
        <v>#REF!</v>
      </c>
    </row>
    <row r="2168" spans="1:1" x14ac:dyDescent="0.2">
      <c r="A2168" t="e">
        <f>IF(NOT(ISBLANK([1]Variables!A2168)),[1]Variables!A2168,"")</f>
        <v>#REF!</v>
      </c>
    </row>
    <row r="2169" spans="1:1" x14ac:dyDescent="0.2">
      <c r="A2169" t="e">
        <f>IF(NOT(ISBLANK([1]Variables!A2169)),[1]Variables!A2169,"")</f>
        <v>#REF!</v>
      </c>
    </row>
    <row r="2170" spans="1:1" x14ac:dyDescent="0.2">
      <c r="A2170" t="e">
        <f>IF(NOT(ISBLANK([1]Variables!A2170)),[1]Variables!A2170,"")</f>
        <v>#REF!</v>
      </c>
    </row>
    <row r="2171" spans="1:1" x14ac:dyDescent="0.2">
      <c r="A2171" t="e">
        <f>IF(NOT(ISBLANK([1]Variables!A2171)),[1]Variables!A2171,"")</f>
        <v>#REF!</v>
      </c>
    </row>
    <row r="2172" spans="1:1" x14ac:dyDescent="0.2">
      <c r="A2172" t="e">
        <f>IF(NOT(ISBLANK([1]Variables!A2172)),[1]Variables!A2172,"")</f>
        <v>#REF!</v>
      </c>
    </row>
    <row r="2173" spans="1:1" x14ac:dyDescent="0.2">
      <c r="A2173" t="e">
        <f>IF(NOT(ISBLANK([1]Variables!A2173)),[1]Variables!A2173,"")</f>
        <v>#REF!</v>
      </c>
    </row>
    <row r="2174" spans="1:1" x14ac:dyDescent="0.2">
      <c r="A2174" t="e">
        <f>IF(NOT(ISBLANK([1]Variables!A2174)),[1]Variables!A2174,"")</f>
        <v>#REF!</v>
      </c>
    </row>
    <row r="2175" spans="1:1" x14ac:dyDescent="0.2">
      <c r="A2175" t="e">
        <f>IF(NOT(ISBLANK([1]Variables!A2175)),[1]Variables!A2175,"")</f>
        <v>#REF!</v>
      </c>
    </row>
    <row r="2176" spans="1:1" x14ac:dyDescent="0.2">
      <c r="A2176" t="e">
        <f>IF(NOT(ISBLANK([1]Variables!A2176)),[1]Variables!A2176,"")</f>
        <v>#REF!</v>
      </c>
    </row>
    <row r="2177" spans="1:1" x14ac:dyDescent="0.2">
      <c r="A2177" t="e">
        <f>IF(NOT(ISBLANK([1]Variables!A2177)),[1]Variables!A2177,"")</f>
        <v>#REF!</v>
      </c>
    </row>
    <row r="2178" spans="1:1" x14ac:dyDescent="0.2">
      <c r="A2178" t="e">
        <f>IF(NOT(ISBLANK([1]Variables!A2178)),[1]Variables!A2178,"")</f>
        <v>#REF!</v>
      </c>
    </row>
    <row r="2179" spans="1:1" x14ac:dyDescent="0.2">
      <c r="A2179" t="e">
        <f>IF(NOT(ISBLANK([1]Variables!A2179)),[1]Variables!A2179,"")</f>
        <v>#REF!</v>
      </c>
    </row>
    <row r="2180" spans="1:1" x14ac:dyDescent="0.2">
      <c r="A2180" t="e">
        <f>IF(NOT(ISBLANK([1]Variables!A2180)),[1]Variables!A2180,"")</f>
        <v>#REF!</v>
      </c>
    </row>
    <row r="2181" spans="1:1" x14ac:dyDescent="0.2">
      <c r="A2181" t="e">
        <f>IF(NOT(ISBLANK([1]Variables!A2181)),[1]Variables!A2181,"")</f>
        <v>#REF!</v>
      </c>
    </row>
    <row r="2182" spans="1:1" x14ac:dyDescent="0.2">
      <c r="A2182" t="e">
        <f>IF(NOT(ISBLANK([1]Variables!A2182)),[1]Variables!A2182,"")</f>
        <v>#REF!</v>
      </c>
    </row>
    <row r="2183" spans="1:1" x14ac:dyDescent="0.2">
      <c r="A2183" t="e">
        <f>IF(NOT(ISBLANK([1]Variables!A2183)),[1]Variables!A2183,"")</f>
        <v>#REF!</v>
      </c>
    </row>
    <row r="2184" spans="1:1" x14ac:dyDescent="0.2">
      <c r="A2184" t="e">
        <f>IF(NOT(ISBLANK([1]Variables!A2184)),[1]Variables!A2184,"")</f>
        <v>#REF!</v>
      </c>
    </row>
    <row r="2185" spans="1:1" x14ac:dyDescent="0.2">
      <c r="A2185" t="e">
        <f>IF(NOT(ISBLANK([1]Variables!A2185)),[1]Variables!A2185,"")</f>
        <v>#REF!</v>
      </c>
    </row>
    <row r="2186" spans="1:1" x14ac:dyDescent="0.2">
      <c r="A2186" t="e">
        <f>IF(NOT(ISBLANK([1]Variables!A2186)),[1]Variables!A2186,"")</f>
        <v>#REF!</v>
      </c>
    </row>
    <row r="2187" spans="1:1" x14ac:dyDescent="0.2">
      <c r="A2187" t="e">
        <f>IF(NOT(ISBLANK([1]Variables!A2187)),[1]Variables!A2187,"")</f>
        <v>#REF!</v>
      </c>
    </row>
    <row r="2188" spans="1:1" x14ac:dyDescent="0.2">
      <c r="A2188" t="e">
        <f>IF(NOT(ISBLANK([1]Variables!A2188)),[1]Variables!A2188,"")</f>
        <v>#REF!</v>
      </c>
    </row>
    <row r="2189" spans="1:1" x14ac:dyDescent="0.2">
      <c r="A2189" t="e">
        <f>IF(NOT(ISBLANK([1]Variables!A2189)),[1]Variables!A2189,"")</f>
        <v>#REF!</v>
      </c>
    </row>
    <row r="2190" spans="1:1" x14ac:dyDescent="0.2">
      <c r="A2190" t="e">
        <f>IF(NOT(ISBLANK([1]Variables!A2190)),[1]Variables!A2190,"")</f>
        <v>#REF!</v>
      </c>
    </row>
    <row r="2191" spans="1:1" x14ac:dyDescent="0.2">
      <c r="A2191" t="e">
        <f>IF(NOT(ISBLANK([1]Variables!A2191)),[1]Variables!A2191,"")</f>
        <v>#REF!</v>
      </c>
    </row>
    <row r="2192" spans="1:1" x14ac:dyDescent="0.2">
      <c r="A2192" t="e">
        <f>IF(NOT(ISBLANK([1]Variables!A2192)),[1]Variables!A2192,"")</f>
        <v>#REF!</v>
      </c>
    </row>
    <row r="2193" spans="1:1" x14ac:dyDescent="0.2">
      <c r="A2193" t="e">
        <f>IF(NOT(ISBLANK([1]Variables!A2193)),[1]Variables!A2193,"")</f>
        <v>#REF!</v>
      </c>
    </row>
    <row r="2194" spans="1:1" x14ac:dyDescent="0.2">
      <c r="A2194" t="e">
        <f>IF(NOT(ISBLANK([1]Variables!A2194)),[1]Variables!A2194,"")</f>
        <v>#REF!</v>
      </c>
    </row>
    <row r="2195" spans="1:1" x14ac:dyDescent="0.2">
      <c r="A2195" t="e">
        <f>IF(NOT(ISBLANK([1]Variables!A2195)),[1]Variables!A2195,"")</f>
        <v>#REF!</v>
      </c>
    </row>
    <row r="2196" spans="1:1" x14ac:dyDescent="0.2">
      <c r="A2196" t="e">
        <f>IF(NOT(ISBLANK([1]Variables!A2196)),[1]Variables!A2196,"")</f>
        <v>#REF!</v>
      </c>
    </row>
    <row r="2197" spans="1:1" x14ac:dyDescent="0.2">
      <c r="A2197" t="e">
        <f>IF(NOT(ISBLANK([1]Variables!A2197)),[1]Variables!A2197,"")</f>
        <v>#REF!</v>
      </c>
    </row>
    <row r="2198" spans="1:1" x14ac:dyDescent="0.2">
      <c r="A2198" t="e">
        <f>IF(NOT(ISBLANK([1]Variables!A2198)),[1]Variables!A2198,"")</f>
        <v>#REF!</v>
      </c>
    </row>
    <row r="2199" spans="1:1" x14ac:dyDescent="0.2">
      <c r="A2199" t="e">
        <f>IF(NOT(ISBLANK([1]Variables!A2199)),[1]Variables!A2199,"")</f>
        <v>#REF!</v>
      </c>
    </row>
    <row r="2200" spans="1:1" x14ac:dyDescent="0.2">
      <c r="A2200" t="e">
        <f>IF(NOT(ISBLANK([1]Variables!A2200)),[1]Variables!A2200,"")</f>
        <v>#REF!</v>
      </c>
    </row>
    <row r="2201" spans="1:1" x14ac:dyDescent="0.2">
      <c r="A2201" t="e">
        <f>IF(NOT(ISBLANK([1]Variables!A2201)),[1]Variables!A2201,"")</f>
        <v>#REF!</v>
      </c>
    </row>
    <row r="2202" spans="1:1" x14ac:dyDescent="0.2">
      <c r="A2202" t="e">
        <f>IF(NOT(ISBLANK([1]Variables!A2202)),[1]Variables!A2202,"")</f>
        <v>#REF!</v>
      </c>
    </row>
    <row r="2203" spans="1:1" x14ac:dyDescent="0.2">
      <c r="A2203" t="e">
        <f>IF(NOT(ISBLANK([1]Variables!A2203)),[1]Variables!A2203,"")</f>
        <v>#REF!</v>
      </c>
    </row>
    <row r="2204" spans="1:1" x14ac:dyDescent="0.2">
      <c r="A2204" t="e">
        <f>IF(NOT(ISBLANK([1]Variables!A2204)),[1]Variables!A2204,"")</f>
        <v>#REF!</v>
      </c>
    </row>
    <row r="2205" spans="1:1" x14ac:dyDescent="0.2">
      <c r="A2205" t="e">
        <f>IF(NOT(ISBLANK([1]Variables!A2205)),[1]Variables!A2205,"")</f>
        <v>#REF!</v>
      </c>
    </row>
    <row r="2206" spans="1:1" x14ac:dyDescent="0.2">
      <c r="A2206" t="e">
        <f>IF(NOT(ISBLANK([1]Variables!A2206)),[1]Variables!A2206,"")</f>
        <v>#REF!</v>
      </c>
    </row>
    <row r="2207" spans="1:1" x14ac:dyDescent="0.2">
      <c r="A2207" t="e">
        <f>IF(NOT(ISBLANK([1]Variables!A2207)),[1]Variables!A2207,"")</f>
        <v>#REF!</v>
      </c>
    </row>
    <row r="2208" spans="1:1" x14ac:dyDescent="0.2">
      <c r="A2208" t="e">
        <f>IF(NOT(ISBLANK([1]Variables!A2208)),[1]Variables!A2208,"")</f>
        <v>#REF!</v>
      </c>
    </row>
    <row r="2209" spans="1:1" x14ac:dyDescent="0.2">
      <c r="A2209" t="e">
        <f>IF(NOT(ISBLANK([1]Variables!A2209)),[1]Variables!A2209,"")</f>
        <v>#REF!</v>
      </c>
    </row>
    <row r="2210" spans="1:1" x14ac:dyDescent="0.2">
      <c r="A2210" t="e">
        <f>IF(NOT(ISBLANK([1]Variables!A2210)),[1]Variables!A2210,"")</f>
        <v>#REF!</v>
      </c>
    </row>
    <row r="2211" spans="1:1" x14ac:dyDescent="0.2">
      <c r="A2211" t="e">
        <f>IF(NOT(ISBLANK([1]Variables!A2211)),[1]Variables!A2211,"")</f>
        <v>#REF!</v>
      </c>
    </row>
    <row r="2212" spans="1:1" x14ac:dyDescent="0.2">
      <c r="A2212" t="e">
        <f>IF(NOT(ISBLANK([1]Variables!A2212)),[1]Variables!A2212,"")</f>
        <v>#REF!</v>
      </c>
    </row>
    <row r="2213" spans="1:1" x14ac:dyDescent="0.2">
      <c r="A2213" t="e">
        <f>IF(NOT(ISBLANK([1]Variables!A2213)),[1]Variables!A2213,"")</f>
        <v>#REF!</v>
      </c>
    </row>
    <row r="2214" spans="1:1" x14ac:dyDescent="0.2">
      <c r="A2214" t="e">
        <f>IF(NOT(ISBLANK([1]Variables!A2214)),[1]Variables!A2214,"")</f>
        <v>#REF!</v>
      </c>
    </row>
    <row r="2215" spans="1:1" x14ac:dyDescent="0.2">
      <c r="A2215" t="e">
        <f>IF(NOT(ISBLANK([1]Variables!A2215)),[1]Variables!A2215,"")</f>
        <v>#REF!</v>
      </c>
    </row>
    <row r="2216" spans="1:1" x14ac:dyDescent="0.2">
      <c r="A2216" t="e">
        <f>IF(NOT(ISBLANK([1]Variables!A2216)),[1]Variables!A2216,"")</f>
        <v>#REF!</v>
      </c>
    </row>
    <row r="2217" spans="1:1" x14ac:dyDescent="0.2">
      <c r="A2217" t="e">
        <f>IF(NOT(ISBLANK([1]Variables!A2217)),[1]Variables!A2217,"")</f>
        <v>#REF!</v>
      </c>
    </row>
    <row r="2218" spans="1:1" x14ac:dyDescent="0.2">
      <c r="A2218" t="e">
        <f>IF(NOT(ISBLANK([1]Variables!A2218)),[1]Variables!A2218,"")</f>
        <v>#REF!</v>
      </c>
    </row>
    <row r="2219" spans="1:1" x14ac:dyDescent="0.2">
      <c r="A2219" t="e">
        <f>IF(NOT(ISBLANK([1]Variables!A2219)),[1]Variables!A2219,"")</f>
        <v>#REF!</v>
      </c>
    </row>
    <row r="2220" spans="1:1" x14ac:dyDescent="0.2">
      <c r="A2220" t="e">
        <f>IF(NOT(ISBLANK([1]Variables!A2220)),[1]Variables!A2220,"")</f>
        <v>#REF!</v>
      </c>
    </row>
    <row r="2221" spans="1:1" x14ac:dyDescent="0.2">
      <c r="A2221" t="e">
        <f>IF(NOT(ISBLANK([1]Variables!A2221)),[1]Variables!A2221,"")</f>
        <v>#REF!</v>
      </c>
    </row>
    <row r="2222" spans="1:1" x14ac:dyDescent="0.2">
      <c r="A2222" t="e">
        <f>IF(NOT(ISBLANK([1]Variables!A2222)),[1]Variables!A2222,"")</f>
        <v>#REF!</v>
      </c>
    </row>
    <row r="2223" spans="1:1" x14ac:dyDescent="0.2">
      <c r="A2223" t="e">
        <f>IF(NOT(ISBLANK([1]Variables!A2223)),[1]Variables!A2223,"")</f>
        <v>#REF!</v>
      </c>
    </row>
    <row r="2224" spans="1:1" x14ac:dyDescent="0.2">
      <c r="A2224" t="e">
        <f>IF(NOT(ISBLANK([1]Variables!A2224)),[1]Variables!A2224,"")</f>
        <v>#REF!</v>
      </c>
    </row>
    <row r="2225" spans="1:1" x14ac:dyDescent="0.2">
      <c r="A2225" t="e">
        <f>IF(NOT(ISBLANK([1]Variables!A2225)),[1]Variables!A2225,"")</f>
        <v>#REF!</v>
      </c>
    </row>
    <row r="2226" spans="1:1" x14ac:dyDescent="0.2">
      <c r="A2226" t="e">
        <f>IF(NOT(ISBLANK([1]Variables!A2226)),[1]Variables!A2226,"")</f>
        <v>#REF!</v>
      </c>
    </row>
    <row r="2227" spans="1:1" x14ac:dyDescent="0.2">
      <c r="A2227" t="e">
        <f>IF(NOT(ISBLANK([1]Variables!A2227)),[1]Variables!A2227,"")</f>
        <v>#REF!</v>
      </c>
    </row>
    <row r="2228" spans="1:1" x14ac:dyDescent="0.2">
      <c r="A2228" t="e">
        <f>IF(NOT(ISBLANK([1]Variables!A2228)),[1]Variables!A2228,"")</f>
        <v>#REF!</v>
      </c>
    </row>
    <row r="2229" spans="1:1" x14ac:dyDescent="0.2">
      <c r="A2229" t="e">
        <f>IF(NOT(ISBLANK([1]Variables!A2229)),[1]Variables!A2229,"")</f>
        <v>#REF!</v>
      </c>
    </row>
    <row r="2230" spans="1:1" x14ac:dyDescent="0.2">
      <c r="A2230" t="e">
        <f>IF(NOT(ISBLANK([1]Variables!A2230)),[1]Variables!A2230,"")</f>
        <v>#REF!</v>
      </c>
    </row>
    <row r="2231" spans="1:1" x14ac:dyDescent="0.2">
      <c r="A2231" t="e">
        <f>IF(NOT(ISBLANK([1]Variables!A2231)),[1]Variables!A2231,"")</f>
        <v>#REF!</v>
      </c>
    </row>
    <row r="2232" spans="1:1" x14ac:dyDescent="0.2">
      <c r="A2232" t="e">
        <f>IF(NOT(ISBLANK([1]Variables!A2232)),[1]Variables!A2232,"")</f>
        <v>#REF!</v>
      </c>
    </row>
    <row r="2233" spans="1:1" x14ac:dyDescent="0.2">
      <c r="A2233" t="e">
        <f>IF(NOT(ISBLANK([1]Variables!A2233)),[1]Variables!A2233,"")</f>
        <v>#REF!</v>
      </c>
    </row>
    <row r="2234" spans="1:1" x14ac:dyDescent="0.2">
      <c r="A2234" t="e">
        <f>IF(NOT(ISBLANK([1]Variables!A2234)),[1]Variables!A2234,"")</f>
        <v>#REF!</v>
      </c>
    </row>
    <row r="2235" spans="1:1" x14ac:dyDescent="0.2">
      <c r="A2235" t="e">
        <f>IF(NOT(ISBLANK([1]Variables!A2235)),[1]Variables!A2235,"")</f>
        <v>#REF!</v>
      </c>
    </row>
    <row r="2236" spans="1:1" x14ac:dyDescent="0.2">
      <c r="A2236" t="e">
        <f>IF(NOT(ISBLANK([1]Variables!A2236)),[1]Variables!A2236,"")</f>
        <v>#REF!</v>
      </c>
    </row>
    <row r="2237" spans="1:1" x14ac:dyDescent="0.2">
      <c r="A2237" t="e">
        <f>IF(NOT(ISBLANK([1]Variables!A2237)),[1]Variables!A2237,"")</f>
        <v>#REF!</v>
      </c>
    </row>
    <row r="2238" spans="1:1" x14ac:dyDescent="0.2">
      <c r="A2238" t="e">
        <f>IF(NOT(ISBLANK([1]Variables!A2238)),[1]Variables!A2238,"")</f>
        <v>#REF!</v>
      </c>
    </row>
    <row r="2239" spans="1:1" x14ac:dyDescent="0.2">
      <c r="A2239" t="e">
        <f>IF(NOT(ISBLANK([1]Variables!A2239)),[1]Variables!A2239,"")</f>
        <v>#REF!</v>
      </c>
    </row>
    <row r="2240" spans="1:1" x14ac:dyDescent="0.2">
      <c r="A2240" t="e">
        <f>IF(NOT(ISBLANK([1]Variables!A2240)),[1]Variables!A2240,"")</f>
        <v>#REF!</v>
      </c>
    </row>
    <row r="2241" spans="1:1" x14ac:dyDescent="0.2">
      <c r="A2241" t="e">
        <f>IF(NOT(ISBLANK([1]Variables!A2241)),[1]Variables!A2241,"")</f>
        <v>#REF!</v>
      </c>
    </row>
    <row r="2242" spans="1:1" x14ac:dyDescent="0.2">
      <c r="A2242" t="e">
        <f>IF(NOT(ISBLANK([1]Variables!A2242)),[1]Variables!A2242,"")</f>
        <v>#REF!</v>
      </c>
    </row>
    <row r="2243" spans="1:1" x14ac:dyDescent="0.2">
      <c r="A2243" t="e">
        <f>IF(NOT(ISBLANK([1]Variables!A2243)),[1]Variables!A2243,"")</f>
        <v>#REF!</v>
      </c>
    </row>
    <row r="2244" spans="1:1" x14ac:dyDescent="0.2">
      <c r="A2244" t="e">
        <f>IF(NOT(ISBLANK([1]Variables!A2244)),[1]Variables!A2244,"")</f>
        <v>#REF!</v>
      </c>
    </row>
    <row r="2245" spans="1:1" x14ac:dyDescent="0.2">
      <c r="A2245" t="e">
        <f>IF(NOT(ISBLANK([1]Variables!A2245)),[1]Variables!A2245,"")</f>
        <v>#REF!</v>
      </c>
    </row>
    <row r="2246" spans="1:1" x14ac:dyDescent="0.2">
      <c r="A2246" t="e">
        <f>IF(NOT(ISBLANK([1]Variables!A2246)),[1]Variables!A2246,"")</f>
        <v>#REF!</v>
      </c>
    </row>
    <row r="2247" spans="1:1" x14ac:dyDescent="0.2">
      <c r="A2247" t="e">
        <f>IF(NOT(ISBLANK([1]Variables!A2247)),[1]Variables!A2247,"")</f>
        <v>#REF!</v>
      </c>
    </row>
    <row r="2248" spans="1:1" x14ac:dyDescent="0.2">
      <c r="A2248" t="e">
        <f>IF(NOT(ISBLANK([1]Variables!A2248)),[1]Variables!A2248,"")</f>
        <v>#REF!</v>
      </c>
    </row>
    <row r="2249" spans="1:1" x14ac:dyDescent="0.2">
      <c r="A2249" t="e">
        <f>IF(NOT(ISBLANK([1]Variables!A2249)),[1]Variables!A2249,"")</f>
        <v>#REF!</v>
      </c>
    </row>
    <row r="2250" spans="1:1" x14ac:dyDescent="0.2">
      <c r="A2250" t="e">
        <f>IF(NOT(ISBLANK([1]Variables!A2250)),[1]Variables!A2250,"")</f>
        <v>#REF!</v>
      </c>
    </row>
    <row r="2251" spans="1:1" x14ac:dyDescent="0.2">
      <c r="A2251" t="e">
        <f>IF(NOT(ISBLANK([1]Variables!A2251)),[1]Variables!A2251,"")</f>
        <v>#REF!</v>
      </c>
    </row>
    <row r="2252" spans="1:1" x14ac:dyDescent="0.2">
      <c r="A2252" t="e">
        <f>IF(NOT(ISBLANK([1]Variables!A2252)),[1]Variables!A2252,"")</f>
        <v>#REF!</v>
      </c>
    </row>
    <row r="2253" spans="1:1" x14ac:dyDescent="0.2">
      <c r="A2253" t="e">
        <f>IF(NOT(ISBLANK([1]Variables!A2253)),[1]Variables!A2253,"")</f>
        <v>#REF!</v>
      </c>
    </row>
    <row r="2254" spans="1:1" x14ac:dyDescent="0.2">
      <c r="A2254" t="e">
        <f>IF(NOT(ISBLANK([1]Variables!A2254)),[1]Variables!A2254,"")</f>
        <v>#REF!</v>
      </c>
    </row>
    <row r="2255" spans="1:1" x14ac:dyDescent="0.2">
      <c r="A2255" t="e">
        <f>IF(NOT(ISBLANK([1]Variables!A2255)),[1]Variables!A2255,"")</f>
        <v>#REF!</v>
      </c>
    </row>
    <row r="2256" spans="1:1" x14ac:dyDescent="0.2">
      <c r="A2256" t="e">
        <f>IF(NOT(ISBLANK([1]Variables!A2256)),[1]Variables!A2256,"")</f>
        <v>#REF!</v>
      </c>
    </row>
    <row r="2257" spans="1:1" x14ac:dyDescent="0.2">
      <c r="A2257" t="e">
        <f>IF(NOT(ISBLANK([1]Variables!A2257)),[1]Variables!A2257,"")</f>
        <v>#REF!</v>
      </c>
    </row>
    <row r="2258" spans="1:1" x14ac:dyDescent="0.2">
      <c r="A2258" t="e">
        <f>IF(NOT(ISBLANK([1]Variables!A2258)),[1]Variables!A2258,"")</f>
        <v>#REF!</v>
      </c>
    </row>
    <row r="2259" spans="1:1" x14ac:dyDescent="0.2">
      <c r="A2259" t="e">
        <f>IF(NOT(ISBLANK([1]Variables!A2259)),[1]Variables!A2259,"")</f>
        <v>#REF!</v>
      </c>
    </row>
    <row r="2260" spans="1:1" x14ac:dyDescent="0.2">
      <c r="A2260" t="e">
        <f>IF(NOT(ISBLANK([1]Variables!A2260)),[1]Variables!A2260,"")</f>
        <v>#REF!</v>
      </c>
    </row>
    <row r="2261" spans="1:1" x14ac:dyDescent="0.2">
      <c r="A2261" t="e">
        <f>IF(NOT(ISBLANK([1]Variables!A2261)),[1]Variables!A2261,"")</f>
        <v>#REF!</v>
      </c>
    </row>
    <row r="2262" spans="1:1" x14ac:dyDescent="0.2">
      <c r="A2262" t="e">
        <f>IF(NOT(ISBLANK([1]Variables!A2262)),[1]Variables!A2262,"")</f>
        <v>#REF!</v>
      </c>
    </row>
    <row r="2263" spans="1:1" x14ac:dyDescent="0.2">
      <c r="A2263" t="e">
        <f>IF(NOT(ISBLANK([1]Variables!A2263)),[1]Variables!A2263,"")</f>
        <v>#REF!</v>
      </c>
    </row>
    <row r="2264" spans="1:1" x14ac:dyDescent="0.2">
      <c r="A2264" t="e">
        <f>IF(NOT(ISBLANK([1]Variables!A2264)),[1]Variables!A2264,"")</f>
        <v>#REF!</v>
      </c>
    </row>
    <row r="2265" spans="1:1" x14ac:dyDescent="0.2">
      <c r="A2265" t="e">
        <f>IF(NOT(ISBLANK([1]Variables!A2265)),[1]Variables!A2265,"")</f>
        <v>#REF!</v>
      </c>
    </row>
    <row r="2266" spans="1:1" x14ac:dyDescent="0.2">
      <c r="A2266" t="e">
        <f>IF(NOT(ISBLANK([1]Variables!A2266)),[1]Variables!A2266,"")</f>
        <v>#REF!</v>
      </c>
    </row>
    <row r="2267" spans="1:1" x14ac:dyDescent="0.2">
      <c r="A2267" t="e">
        <f>IF(NOT(ISBLANK([1]Variables!A2267)),[1]Variables!A2267,"")</f>
        <v>#REF!</v>
      </c>
    </row>
    <row r="2268" spans="1:1" x14ac:dyDescent="0.2">
      <c r="A2268" t="e">
        <f>IF(NOT(ISBLANK([1]Variables!A2268)),[1]Variables!A2268,"")</f>
        <v>#REF!</v>
      </c>
    </row>
    <row r="2269" spans="1:1" x14ac:dyDescent="0.2">
      <c r="A2269" t="e">
        <f>IF(NOT(ISBLANK([1]Variables!A2269)),[1]Variables!A2269,"")</f>
        <v>#REF!</v>
      </c>
    </row>
    <row r="2270" spans="1:1" x14ac:dyDescent="0.2">
      <c r="A2270" t="e">
        <f>IF(NOT(ISBLANK([1]Variables!A2270)),[1]Variables!A2270,"")</f>
        <v>#REF!</v>
      </c>
    </row>
    <row r="2271" spans="1:1" x14ac:dyDescent="0.2">
      <c r="A2271" t="e">
        <f>IF(NOT(ISBLANK([1]Variables!A2271)),[1]Variables!A2271,"")</f>
        <v>#REF!</v>
      </c>
    </row>
    <row r="2272" spans="1:1" x14ac:dyDescent="0.2">
      <c r="A2272" t="e">
        <f>IF(NOT(ISBLANK([1]Variables!A2272)),[1]Variables!A2272,"")</f>
        <v>#REF!</v>
      </c>
    </row>
    <row r="2273" spans="1:1" x14ac:dyDescent="0.2">
      <c r="A2273" t="e">
        <f>IF(NOT(ISBLANK([1]Variables!A2273)),[1]Variables!A2273,"")</f>
        <v>#REF!</v>
      </c>
    </row>
    <row r="2274" spans="1:1" x14ac:dyDescent="0.2">
      <c r="A2274" t="e">
        <f>IF(NOT(ISBLANK([1]Variables!A2274)),[1]Variables!A2274,"")</f>
        <v>#REF!</v>
      </c>
    </row>
    <row r="2275" spans="1:1" x14ac:dyDescent="0.2">
      <c r="A2275" t="e">
        <f>IF(NOT(ISBLANK([1]Variables!A2275)),[1]Variables!A2275,"")</f>
        <v>#REF!</v>
      </c>
    </row>
    <row r="2276" spans="1:1" x14ac:dyDescent="0.2">
      <c r="A2276" t="e">
        <f>IF(NOT(ISBLANK([1]Variables!A2276)),[1]Variables!A2276,"")</f>
        <v>#REF!</v>
      </c>
    </row>
    <row r="2277" spans="1:1" x14ac:dyDescent="0.2">
      <c r="A2277" t="e">
        <f>IF(NOT(ISBLANK([1]Variables!A2277)),[1]Variables!A2277,"")</f>
        <v>#REF!</v>
      </c>
    </row>
    <row r="2278" spans="1:1" x14ac:dyDescent="0.2">
      <c r="A2278" t="e">
        <f>IF(NOT(ISBLANK([1]Variables!A2278)),[1]Variables!A2278,"")</f>
        <v>#REF!</v>
      </c>
    </row>
    <row r="2279" spans="1:1" x14ac:dyDescent="0.2">
      <c r="A2279" t="e">
        <f>IF(NOT(ISBLANK([1]Variables!A2279)),[1]Variables!A2279,"")</f>
        <v>#REF!</v>
      </c>
    </row>
    <row r="2280" spans="1:1" x14ac:dyDescent="0.2">
      <c r="A2280" t="e">
        <f>IF(NOT(ISBLANK([1]Variables!A2280)),[1]Variables!A2280,"")</f>
        <v>#REF!</v>
      </c>
    </row>
    <row r="2281" spans="1:1" x14ac:dyDescent="0.2">
      <c r="A2281" t="e">
        <f>IF(NOT(ISBLANK([1]Variables!A2281)),[1]Variables!A2281,"")</f>
        <v>#REF!</v>
      </c>
    </row>
    <row r="2282" spans="1:1" x14ac:dyDescent="0.2">
      <c r="A2282" t="e">
        <f>IF(NOT(ISBLANK([1]Variables!A2282)),[1]Variables!A2282,"")</f>
        <v>#REF!</v>
      </c>
    </row>
    <row r="2283" spans="1:1" x14ac:dyDescent="0.2">
      <c r="A2283" t="e">
        <f>IF(NOT(ISBLANK([1]Variables!A2283)),[1]Variables!A2283,"")</f>
        <v>#REF!</v>
      </c>
    </row>
    <row r="2284" spans="1:1" x14ac:dyDescent="0.2">
      <c r="A2284" t="e">
        <f>IF(NOT(ISBLANK([1]Variables!A2284)),[1]Variables!A2284,"")</f>
        <v>#REF!</v>
      </c>
    </row>
    <row r="2285" spans="1:1" x14ac:dyDescent="0.2">
      <c r="A2285" t="e">
        <f>IF(NOT(ISBLANK([1]Variables!A2285)),[1]Variables!A2285,"")</f>
        <v>#REF!</v>
      </c>
    </row>
    <row r="2286" spans="1:1" x14ac:dyDescent="0.2">
      <c r="A2286" t="e">
        <f>IF(NOT(ISBLANK([1]Variables!A2286)),[1]Variables!A2286,"")</f>
        <v>#REF!</v>
      </c>
    </row>
    <row r="2287" spans="1:1" x14ac:dyDescent="0.2">
      <c r="A2287" t="e">
        <f>IF(NOT(ISBLANK([1]Variables!A2287)),[1]Variables!A2287,"")</f>
        <v>#REF!</v>
      </c>
    </row>
    <row r="2288" spans="1:1" x14ac:dyDescent="0.2">
      <c r="A2288" t="e">
        <f>IF(NOT(ISBLANK([1]Variables!A2288)),[1]Variables!A2288,"")</f>
        <v>#REF!</v>
      </c>
    </row>
    <row r="2289" spans="1:1" x14ac:dyDescent="0.2">
      <c r="A2289" t="e">
        <f>IF(NOT(ISBLANK([1]Variables!A2289)),[1]Variables!A2289,"")</f>
        <v>#REF!</v>
      </c>
    </row>
    <row r="2290" spans="1:1" x14ac:dyDescent="0.2">
      <c r="A2290" t="e">
        <f>IF(NOT(ISBLANK([1]Variables!A2290)),[1]Variables!A2290,"")</f>
        <v>#REF!</v>
      </c>
    </row>
    <row r="2291" spans="1:1" x14ac:dyDescent="0.2">
      <c r="A2291" t="e">
        <f>IF(NOT(ISBLANK([1]Variables!A2291)),[1]Variables!A2291,"")</f>
        <v>#REF!</v>
      </c>
    </row>
    <row r="2292" spans="1:1" x14ac:dyDescent="0.2">
      <c r="A2292" t="e">
        <f>IF(NOT(ISBLANK([1]Variables!A2292)),[1]Variables!A2292,"")</f>
        <v>#REF!</v>
      </c>
    </row>
    <row r="2293" spans="1:1" x14ac:dyDescent="0.2">
      <c r="A2293" t="e">
        <f>IF(NOT(ISBLANK([1]Variables!A2293)),[1]Variables!A2293,"")</f>
        <v>#REF!</v>
      </c>
    </row>
    <row r="2294" spans="1:1" x14ac:dyDescent="0.2">
      <c r="A2294" t="e">
        <f>IF(NOT(ISBLANK([1]Variables!A2294)),[1]Variables!A2294,"")</f>
        <v>#REF!</v>
      </c>
    </row>
    <row r="2295" spans="1:1" x14ac:dyDescent="0.2">
      <c r="A2295" t="e">
        <f>IF(NOT(ISBLANK([1]Variables!A2295)),[1]Variables!A2295,"")</f>
        <v>#REF!</v>
      </c>
    </row>
    <row r="2296" spans="1:1" x14ac:dyDescent="0.2">
      <c r="A2296" t="e">
        <f>IF(NOT(ISBLANK([1]Variables!A2296)),[1]Variables!A2296,"")</f>
        <v>#REF!</v>
      </c>
    </row>
    <row r="2297" spans="1:1" x14ac:dyDescent="0.2">
      <c r="A2297" t="e">
        <f>IF(NOT(ISBLANK([1]Variables!A2297)),[1]Variables!A2297,"")</f>
        <v>#REF!</v>
      </c>
    </row>
    <row r="2298" spans="1:1" x14ac:dyDescent="0.2">
      <c r="A2298" t="e">
        <f>IF(NOT(ISBLANK([1]Variables!A2298)),[1]Variables!A2298,"")</f>
        <v>#REF!</v>
      </c>
    </row>
    <row r="2299" spans="1:1" x14ac:dyDescent="0.2">
      <c r="A2299" t="e">
        <f>IF(NOT(ISBLANK([1]Variables!A2299)),[1]Variables!A2299,"")</f>
        <v>#REF!</v>
      </c>
    </row>
    <row r="2300" spans="1:1" x14ac:dyDescent="0.2">
      <c r="A2300" t="e">
        <f>IF(NOT(ISBLANK([1]Variables!A2300)),[1]Variables!A2300,"")</f>
        <v>#REF!</v>
      </c>
    </row>
    <row r="2301" spans="1:1" x14ac:dyDescent="0.2">
      <c r="A2301" t="e">
        <f>IF(NOT(ISBLANK([1]Variables!A2301)),[1]Variables!A2301,"")</f>
        <v>#REF!</v>
      </c>
    </row>
    <row r="2302" spans="1:1" x14ac:dyDescent="0.2">
      <c r="A2302" t="e">
        <f>IF(NOT(ISBLANK([1]Variables!A2302)),[1]Variables!A2302,"")</f>
        <v>#REF!</v>
      </c>
    </row>
    <row r="2303" spans="1:1" x14ac:dyDescent="0.2">
      <c r="A2303" t="e">
        <f>IF(NOT(ISBLANK([1]Variables!A2303)),[1]Variables!A2303,"")</f>
        <v>#REF!</v>
      </c>
    </row>
    <row r="2304" spans="1:1" x14ac:dyDescent="0.2">
      <c r="A2304" t="e">
        <f>IF(NOT(ISBLANK([1]Variables!A2304)),[1]Variables!A2304,"")</f>
        <v>#REF!</v>
      </c>
    </row>
    <row r="2305" spans="1:1" x14ac:dyDescent="0.2">
      <c r="A2305" t="e">
        <f>IF(NOT(ISBLANK([1]Variables!A2305)),[1]Variables!A2305,"")</f>
        <v>#REF!</v>
      </c>
    </row>
    <row r="2306" spans="1:1" x14ac:dyDescent="0.2">
      <c r="A2306" t="e">
        <f>IF(NOT(ISBLANK([1]Variables!A2306)),[1]Variables!A2306,"")</f>
        <v>#REF!</v>
      </c>
    </row>
    <row r="2307" spans="1:1" x14ac:dyDescent="0.2">
      <c r="A2307" t="e">
        <f>IF(NOT(ISBLANK([1]Variables!A2307)),[1]Variables!A2307,"")</f>
        <v>#REF!</v>
      </c>
    </row>
    <row r="2308" spans="1:1" x14ac:dyDescent="0.2">
      <c r="A2308" t="e">
        <f>IF(NOT(ISBLANK([1]Variables!A2308)),[1]Variables!A2308,"")</f>
        <v>#REF!</v>
      </c>
    </row>
    <row r="2309" spans="1:1" x14ac:dyDescent="0.2">
      <c r="A2309" t="e">
        <f>IF(NOT(ISBLANK([1]Variables!A2309)),[1]Variables!A2309,"")</f>
        <v>#REF!</v>
      </c>
    </row>
    <row r="2310" spans="1:1" x14ac:dyDescent="0.2">
      <c r="A2310" t="e">
        <f>IF(NOT(ISBLANK([1]Variables!A2310)),[1]Variables!A2310,"")</f>
        <v>#REF!</v>
      </c>
    </row>
    <row r="2311" spans="1:1" x14ac:dyDescent="0.2">
      <c r="A2311" t="e">
        <f>IF(NOT(ISBLANK([1]Variables!A2311)),[1]Variables!A2311,"")</f>
        <v>#REF!</v>
      </c>
    </row>
    <row r="2312" spans="1:1" x14ac:dyDescent="0.2">
      <c r="A2312" t="e">
        <f>IF(NOT(ISBLANK([1]Variables!A2312)),[1]Variables!A2312,"")</f>
        <v>#REF!</v>
      </c>
    </row>
    <row r="2313" spans="1:1" x14ac:dyDescent="0.2">
      <c r="A2313" t="e">
        <f>IF(NOT(ISBLANK([1]Variables!A2313)),[1]Variables!A2313,"")</f>
        <v>#REF!</v>
      </c>
    </row>
    <row r="2314" spans="1:1" x14ac:dyDescent="0.2">
      <c r="A2314" t="e">
        <f>IF(NOT(ISBLANK([1]Variables!A2314)),[1]Variables!A2314,"")</f>
        <v>#REF!</v>
      </c>
    </row>
    <row r="2315" spans="1:1" x14ac:dyDescent="0.2">
      <c r="A2315" t="e">
        <f>IF(NOT(ISBLANK([1]Variables!A2315)),[1]Variables!A2315,"")</f>
        <v>#REF!</v>
      </c>
    </row>
    <row r="2316" spans="1:1" x14ac:dyDescent="0.2">
      <c r="A2316" t="e">
        <f>IF(NOT(ISBLANK([1]Variables!A2316)),[1]Variables!A2316,"")</f>
        <v>#REF!</v>
      </c>
    </row>
    <row r="2317" spans="1:1" x14ac:dyDescent="0.2">
      <c r="A2317" t="e">
        <f>IF(NOT(ISBLANK([1]Variables!A2317)),[1]Variables!A2317,"")</f>
        <v>#REF!</v>
      </c>
    </row>
    <row r="2318" spans="1:1" x14ac:dyDescent="0.2">
      <c r="A2318" t="e">
        <f>IF(NOT(ISBLANK([1]Variables!A2318)),[1]Variables!A2318,"")</f>
        <v>#REF!</v>
      </c>
    </row>
    <row r="2319" spans="1:1" x14ac:dyDescent="0.2">
      <c r="A2319" t="e">
        <f>IF(NOT(ISBLANK([1]Variables!A2319)),[1]Variables!A2319,"")</f>
        <v>#REF!</v>
      </c>
    </row>
    <row r="2320" spans="1:1" x14ac:dyDescent="0.2">
      <c r="A2320" t="e">
        <f>IF(NOT(ISBLANK([1]Variables!A2320)),[1]Variables!A2320,"")</f>
        <v>#REF!</v>
      </c>
    </row>
    <row r="2321" spans="1:1" x14ac:dyDescent="0.2">
      <c r="A2321" t="e">
        <f>IF(NOT(ISBLANK([1]Variables!A2321)),[1]Variables!A2321,"")</f>
        <v>#REF!</v>
      </c>
    </row>
    <row r="2322" spans="1:1" x14ac:dyDescent="0.2">
      <c r="A2322" t="e">
        <f>IF(NOT(ISBLANK([1]Variables!A2322)),[1]Variables!A2322,"")</f>
        <v>#REF!</v>
      </c>
    </row>
    <row r="2323" spans="1:1" x14ac:dyDescent="0.2">
      <c r="A2323" t="e">
        <f>IF(NOT(ISBLANK([1]Variables!A2323)),[1]Variables!A2323,"")</f>
        <v>#REF!</v>
      </c>
    </row>
    <row r="2324" spans="1:1" x14ac:dyDescent="0.2">
      <c r="A2324" t="e">
        <f>IF(NOT(ISBLANK([1]Variables!A2324)),[1]Variables!A2324,"")</f>
        <v>#REF!</v>
      </c>
    </row>
    <row r="2325" spans="1:1" x14ac:dyDescent="0.2">
      <c r="A2325" t="e">
        <f>IF(NOT(ISBLANK([1]Variables!A2325)),[1]Variables!A2325,"")</f>
        <v>#REF!</v>
      </c>
    </row>
    <row r="2326" spans="1:1" x14ac:dyDescent="0.2">
      <c r="A2326" t="e">
        <f>IF(NOT(ISBLANK([1]Variables!A2326)),[1]Variables!A2326,"")</f>
        <v>#REF!</v>
      </c>
    </row>
    <row r="2327" spans="1:1" x14ac:dyDescent="0.2">
      <c r="A2327" t="e">
        <f>IF(NOT(ISBLANK([1]Variables!A2327)),[1]Variables!A2327,"")</f>
        <v>#REF!</v>
      </c>
    </row>
    <row r="2328" spans="1:1" x14ac:dyDescent="0.2">
      <c r="A2328" t="e">
        <f>IF(NOT(ISBLANK([1]Variables!A2328)),[1]Variables!A2328,"")</f>
        <v>#REF!</v>
      </c>
    </row>
    <row r="2329" spans="1:1" x14ac:dyDescent="0.2">
      <c r="A2329" t="e">
        <f>IF(NOT(ISBLANK([1]Variables!A2329)),[1]Variables!A2329,"")</f>
        <v>#REF!</v>
      </c>
    </row>
    <row r="2330" spans="1:1" x14ac:dyDescent="0.2">
      <c r="A2330" t="e">
        <f>IF(NOT(ISBLANK([1]Variables!A2330)),[1]Variables!A2330,"")</f>
        <v>#REF!</v>
      </c>
    </row>
    <row r="2331" spans="1:1" x14ac:dyDescent="0.2">
      <c r="A2331" t="e">
        <f>IF(NOT(ISBLANK([1]Variables!A2331)),[1]Variables!A2331,"")</f>
        <v>#REF!</v>
      </c>
    </row>
    <row r="2332" spans="1:1" x14ac:dyDescent="0.2">
      <c r="A2332" t="e">
        <f>IF(NOT(ISBLANK([1]Variables!A2332)),[1]Variables!A2332,"")</f>
        <v>#REF!</v>
      </c>
    </row>
    <row r="2333" spans="1:1" x14ac:dyDescent="0.2">
      <c r="A2333" t="e">
        <f>IF(NOT(ISBLANK([1]Variables!A2333)),[1]Variables!A2333,"")</f>
        <v>#REF!</v>
      </c>
    </row>
    <row r="2334" spans="1:1" x14ac:dyDescent="0.2">
      <c r="A2334" t="e">
        <f>IF(NOT(ISBLANK([1]Variables!A2334)),[1]Variables!A2334,"")</f>
        <v>#REF!</v>
      </c>
    </row>
    <row r="2335" spans="1:1" x14ac:dyDescent="0.2">
      <c r="A2335" t="e">
        <f>IF(NOT(ISBLANK([1]Variables!A2335)),[1]Variables!A2335,"")</f>
        <v>#REF!</v>
      </c>
    </row>
    <row r="2336" spans="1:1" x14ac:dyDescent="0.2">
      <c r="A2336" t="e">
        <f>IF(NOT(ISBLANK([1]Variables!A2336)),[1]Variables!A2336,"")</f>
        <v>#REF!</v>
      </c>
    </row>
    <row r="2337" spans="1:1" x14ac:dyDescent="0.2">
      <c r="A2337" t="e">
        <f>IF(NOT(ISBLANK([1]Variables!A2337)),[1]Variables!A2337,"")</f>
        <v>#REF!</v>
      </c>
    </row>
    <row r="2338" spans="1:1" x14ac:dyDescent="0.2">
      <c r="A2338" t="e">
        <f>IF(NOT(ISBLANK([1]Variables!A2338)),[1]Variables!A2338,"")</f>
        <v>#REF!</v>
      </c>
    </row>
    <row r="2339" spans="1:1" x14ac:dyDescent="0.2">
      <c r="A2339" t="e">
        <f>IF(NOT(ISBLANK([1]Variables!A2339)),[1]Variables!A2339,"")</f>
        <v>#REF!</v>
      </c>
    </row>
    <row r="2340" spans="1:1" x14ac:dyDescent="0.2">
      <c r="A2340" t="e">
        <f>IF(NOT(ISBLANK([1]Variables!A2340)),[1]Variables!A2340,"")</f>
        <v>#REF!</v>
      </c>
    </row>
    <row r="2341" spans="1:1" x14ac:dyDescent="0.2">
      <c r="A2341" t="e">
        <f>IF(NOT(ISBLANK([1]Variables!A2341)),[1]Variables!A2341,"")</f>
        <v>#REF!</v>
      </c>
    </row>
    <row r="2342" spans="1:1" x14ac:dyDescent="0.2">
      <c r="A2342" t="e">
        <f>IF(NOT(ISBLANK([1]Variables!A2342)),[1]Variables!A2342,"")</f>
        <v>#REF!</v>
      </c>
    </row>
    <row r="2343" spans="1:1" x14ac:dyDescent="0.2">
      <c r="A2343" t="e">
        <f>IF(NOT(ISBLANK([1]Variables!A2343)),[1]Variables!A2343,"")</f>
        <v>#REF!</v>
      </c>
    </row>
    <row r="2344" spans="1:1" x14ac:dyDescent="0.2">
      <c r="A2344" t="e">
        <f>IF(NOT(ISBLANK([1]Variables!A2344)),[1]Variables!A2344,"")</f>
        <v>#REF!</v>
      </c>
    </row>
    <row r="2345" spans="1:1" x14ac:dyDescent="0.2">
      <c r="A2345" t="e">
        <f>IF(NOT(ISBLANK([1]Variables!A2345)),[1]Variables!A2345,"")</f>
        <v>#REF!</v>
      </c>
    </row>
    <row r="2346" spans="1:1" x14ac:dyDescent="0.2">
      <c r="A2346" t="e">
        <f>IF(NOT(ISBLANK([1]Variables!A2346)),[1]Variables!A2346,"")</f>
        <v>#REF!</v>
      </c>
    </row>
    <row r="2347" spans="1:1" x14ac:dyDescent="0.2">
      <c r="A2347" t="e">
        <f>IF(NOT(ISBLANK([1]Variables!A2347)),[1]Variables!A2347,"")</f>
        <v>#REF!</v>
      </c>
    </row>
    <row r="2348" spans="1:1" x14ac:dyDescent="0.2">
      <c r="A2348" t="e">
        <f>IF(NOT(ISBLANK([1]Variables!A2348)),[1]Variables!A2348,"")</f>
        <v>#REF!</v>
      </c>
    </row>
    <row r="2349" spans="1:1" x14ac:dyDescent="0.2">
      <c r="A2349" t="e">
        <f>IF(NOT(ISBLANK([1]Variables!A2349)),[1]Variables!A2349,"")</f>
        <v>#REF!</v>
      </c>
    </row>
    <row r="2350" spans="1:1" x14ac:dyDescent="0.2">
      <c r="A2350" t="e">
        <f>IF(NOT(ISBLANK([1]Variables!A2350)),[1]Variables!A2350,"")</f>
        <v>#REF!</v>
      </c>
    </row>
    <row r="2351" spans="1:1" x14ac:dyDescent="0.2">
      <c r="A2351" t="e">
        <f>IF(NOT(ISBLANK([1]Variables!A2351)),[1]Variables!A2351,"")</f>
        <v>#REF!</v>
      </c>
    </row>
    <row r="2352" spans="1:1" x14ac:dyDescent="0.2">
      <c r="A2352" t="e">
        <f>IF(NOT(ISBLANK([1]Variables!A2352)),[1]Variables!A2352,"")</f>
        <v>#REF!</v>
      </c>
    </row>
    <row r="2353" spans="1:1" x14ac:dyDescent="0.2">
      <c r="A2353" t="e">
        <f>IF(NOT(ISBLANK([1]Variables!A2353)),[1]Variables!A2353,"")</f>
        <v>#REF!</v>
      </c>
    </row>
    <row r="2354" spans="1:1" x14ac:dyDescent="0.2">
      <c r="A2354" t="e">
        <f>IF(NOT(ISBLANK([1]Variables!A2354)),[1]Variables!A2354,"")</f>
        <v>#REF!</v>
      </c>
    </row>
    <row r="2355" spans="1:1" x14ac:dyDescent="0.2">
      <c r="A2355" t="e">
        <f>IF(NOT(ISBLANK([1]Variables!A2355)),[1]Variables!A2355,"")</f>
        <v>#REF!</v>
      </c>
    </row>
    <row r="2356" spans="1:1" x14ac:dyDescent="0.2">
      <c r="A2356" t="e">
        <f>IF(NOT(ISBLANK([1]Variables!A2356)),[1]Variables!A2356,"")</f>
        <v>#REF!</v>
      </c>
    </row>
    <row r="2357" spans="1:1" x14ac:dyDescent="0.2">
      <c r="A2357" t="e">
        <f>IF(NOT(ISBLANK([1]Variables!A2357)),[1]Variables!A2357,"")</f>
        <v>#REF!</v>
      </c>
    </row>
    <row r="2358" spans="1:1" x14ac:dyDescent="0.2">
      <c r="A2358" t="e">
        <f>IF(NOT(ISBLANK([1]Variables!A2358)),[1]Variables!A2358,"")</f>
        <v>#REF!</v>
      </c>
    </row>
    <row r="2359" spans="1:1" x14ac:dyDescent="0.2">
      <c r="A2359" t="e">
        <f>IF(NOT(ISBLANK([1]Variables!A2359)),[1]Variables!A2359,"")</f>
        <v>#REF!</v>
      </c>
    </row>
    <row r="2360" spans="1:1" x14ac:dyDescent="0.2">
      <c r="A2360" t="e">
        <f>IF(NOT(ISBLANK([1]Variables!A2360)),[1]Variables!A2360,"")</f>
        <v>#REF!</v>
      </c>
    </row>
    <row r="2361" spans="1:1" x14ac:dyDescent="0.2">
      <c r="A2361" t="e">
        <f>IF(NOT(ISBLANK([1]Variables!A2361)),[1]Variables!A2361,"")</f>
        <v>#REF!</v>
      </c>
    </row>
    <row r="2362" spans="1:1" x14ac:dyDescent="0.2">
      <c r="A2362" t="e">
        <f>IF(NOT(ISBLANK([1]Variables!A2362)),[1]Variables!A2362,"")</f>
        <v>#REF!</v>
      </c>
    </row>
    <row r="2363" spans="1:1" x14ac:dyDescent="0.2">
      <c r="A2363" t="e">
        <f>IF(NOT(ISBLANK([1]Variables!A2363)),[1]Variables!A2363,"")</f>
        <v>#REF!</v>
      </c>
    </row>
    <row r="2364" spans="1:1" x14ac:dyDescent="0.2">
      <c r="A2364" t="e">
        <f>IF(NOT(ISBLANK([1]Variables!A2364)),[1]Variables!A2364,"")</f>
        <v>#REF!</v>
      </c>
    </row>
    <row r="2365" spans="1:1" x14ac:dyDescent="0.2">
      <c r="A2365" t="e">
        <f>IF(NOT(ISBLANK([1]Variables!A2365)),[1]Variables!A2365,"")</f>
        <v>#REF!</v>
      </c>
    </row>
    <row r="2366" spans="1:1" x14ac:dyDescent="0.2">
      <c r="A2366" t="e">
        <f>IF(NOT(ISBLANK([1]Variables!A2366)),[1]Variables!A2366,"")</f>
        <v>#REF!</v>
      </c>
    </row>
    <row r="2367" spans="1:1" x14ac:dyDescent="0.2">
      <c r="A2367" t="e">
        <f>IF(NOT(ISBLANK([1]Variables!A2367)),[1]Variables!A2367,"")</f>
        <v>#REF!</v>
      </c>
    </row>
    <row r="2368" spans="1:1" x14ac:dyDescent="0.2">
      <c r="A2368" t="e">
        <f>IF(NOT(ISBLANK([1]Variables!A2368)),[1]Variables!A2368,"")</f>
        <v>#REF!</v>
      </c>
    </row>
    <row r="2369" spans="1:1" x14ac:dyDescent="0.2">
      <c r="A2369" t="e">
        <f>IF(NOT(ISBLANK([1]Variables!A2369)),[1]Variables!A2369,"")</f>
        <v>#REF!</v>
      </c>
    </row>
    <row r="2370" spans="1:1" x14ac:dyDescent="0.2">
      <c r="A2370" t="e">
        <f>IF(NOT(ISBLANK([1]Variables!A2370)),[1]Variables!A2370,"")</f>
        <v>#REF!</v>
      </c>
    </row>
    <row r="2371" spans="1:1" x14ac:dyDescent="0.2">
      <c r="A2371" t="e">
        <f>IF(NOT(ISBLANK([1]Variables!A2371)),[1]Variables!A2371,"")</f>
        <v>#REF!</v>
      </c>
    </row>
    <row r="2372" spans="1:1" x14ac:dyDescent="0.2">
      <c r="A2372" t="e">
        <f>IF(NOT(ISBLANK([1]Variables!A2372)),[1]Variables!A2372,"")</f>
        <v>#REF!</v>
      </c>
    </row>
    <row r="2373" spans="1:1" x14ac:dyDescent="0.2">
      <c r="A2373" t="e">
        <f>IF(NOT(ISBLANK([1]Variables!A2373)),[1]Variables!A2373,"")</f>
        <v>#REF!</v>
      </c>
    </row>
    <row r="2374" spans="1:1" x14ac:dyDescent="0.2">
      <c r="A2374" t="e">
        <f>IF(NOT(ISBLANK([1]Variables!A2374)),[1]Variables!A2374,"")</f>
        <v>#REF!</v>
      </c>
    </row>
    <row r="2375" spans="1:1" x14ac:dyDescent="0.2">
      <c r="A2375" t="e">
        <f>IF(NOT(ISBLANK([1]Variables!A2375)),[1]Variables!A2375,"")</f>
        <v>#REF!</v>
      </c>
    </row>
    <row r="2376" spans="1:1" x14ac:dyDescent="0.2">
      <c r="A2376" t="e">
        <f>IF(NOT(ISBLANK([1]Variables!A2376)),[1]Variables!A2376,"")</f>
        <v>#REF!</v>
      </c>
    </row>
    <row r="2377" spans="1:1" x14ac:dyDescent="0.2">
      <c r="A2377" t="e">
        <f>IF(NOT(ISBLANK([1]Variables!A2377)),[1]Variables!A2377,"")</f>
        <v>#REF!</v>
      </c>
    </row>
    <row r="2378" spans="1:1" x14ac:dyDescent="0.2">
      <c r="A2378" t="e">
        <f>IF(NOT(ISBLANK([1]Variables!A2378)),[1]Variables!A2378,"")</f>
        <v>#REF!</v>
      </c>
    </row>
    <row r="2379" spans="1:1" x14ac:dyDescent="0.2">
      <c r="A2379" t="e">
        <f>IF(NOT(ISBLANK([1]Variables!A2379)),[1]Variables!A2379,"")</f>
        <v>#REF!</v>
      </c>
    </row>
    <row r="2380" spans="1:1" x14ac:dyDescent="0.2">
      <c r="A2380" t="e">
        <f>IF(NOT(ISBLANK([1]Variables!A2380)),[1]Variables!A2380,"")</f>
        <v>#REF!</v>
      </c>
    </row>
    <row r="2381" spans="1:1" x14ac:dyDescent="0.2">
      <c r="A2381" t="e">
        <f>IF(NOT(ISBLANK([1]Variables!A2381)),[1]Variables!A2381,"")</f>
        <v>#REF!</v>
      </c>
    </row>
    <row r="2382" spans="1:1" x14ac:dyDescent="0.2">
      <c r="A2382" t="e">
        <f>IF(NOT(ISBLANK([1]Variables!A2382)),[1]Variables!A2382,"")</f>
        <v>#REF!</v>
      </c>
    </row>
    <row r="2383" spans="1:1" x14ac:dyDescent="0.2">
      <c r="A2383" t="e">
        <f>IF(NOT(ISBLANK([1]Variables!A2383)),[1]Variables!A2383,"")</f>
        <v>#REF!</v>
      </c>
    </row>
    <row r="2384" spans="1:1" x14ac:dyDescent="0.2">
      <c r="A2384" t="e">
        <f>IF(NOT(ISBLANK([1]Variables!A2384)),[1]Variables!A2384,"")</f>
        <v>#REF!</v>
      </c>
    </row>
    <row r="2385" spans="1:1" x14ac:dyDescent="0.2">
      <c r="A2385" t="e">
        <f>IF(NOT(ISBLANK([1]Variables!A2385)),[1]Variables!A2385,"")</f>
        <v>#REF!</v>
      </c>
    </row>
    <row r="2386" spans="1:1" x14ac:dyDescent="0.2">
      <c r="A2386" t="e">
        <f>IF(NOT(ISBLANK([1]Variables!A2386)),[1]Variables!A2386,"")</f>
        <v>#REF!</v>
      </c>
    </row>
    <row r="2387" spans="1:1" x14ac:dyDescent="0.2">
      <c r="A2387" t="e">
        <f>IF(NOT(ISBLANK([1]Variables!A2387)),[1]Variables!A2387,"")</f>
        <v>#REF!</v>
      </c>
    </row>
    <row r="2388" spans="1:1" x14ac:dyDescent="0.2">
      <c r="A2388" t="e">
        <f>IF(NOT(ISBLANK([1]Variables!A2388)),[1]Variables!A2388,"")</f>
        <v>#REF!</v>
      </c>
    </row>
    <row r="2389" spans="1:1" x14ac:dyDescent="0.2">
      <c r="A2389" t="e">
        <f>IF(NOT(ISBLANK([1]Variables!A2389)),[1]Variables!A2389,"")</f>
        <v>#REF!</v>
      </c>
    </row>
    <row r="2390" spans="1:1" x14ac:dyDescent="0.2">
      <c r="A2390" t="e">
        <f>IF(NOT(ISBLANK([1]Variables!A2390)),[1]Variables!A2390,"")</f>
        <v>#REF!</v>
      </c>
    </row>
    <row r="2391" spans="1:1" x14ac:dyDescent="0.2">
      <c r="A2391" t="e">
        <f>IF(NOT(ISBLANK([1]Variables!A2391)),[1]Variables!A2391,"")</f>
        <v>#REF!</v>
      </c>
    </row>
    <row r="2392" spans="1:1" x14ac:dyDescent="0.2">
      <c r="A2392" t="e">
        <f>IF(NOT(ISBLANK([1]Variables!A2392)),[1]Variables!A2392,"")</f>
        <v>#REF!</v>
      </c>
    </row>
    <row r="2393" spans="1:1" x14ac:dyDescent="0.2">
      <c r="A2393" t="e">
        <f>IF(NOT(ISBLANK([1]Variables!A2393)),[1]Variables!A2393,"")</f>
        <v>#REF!</v>
      </c>
    </row>
    <row r="2394" spans="1:1" x14ac:dyDescent="0.2">
      <c r="A2394" t="e">
        <f>IF(NOT(ISBLANK([1]Variables!A2394)),[1]Variables!A2394,"")</f>
        <v>#REF!</v>
      </c>
    </row>
    <row r="2395" spans="1:1" x14ac:dyDescent="0.2">
      <c r="A2395" t="e">
        <f>IF(NOT(ISBLANK([1]Variables!A2395)),[1]Variables!A2395,"")</f>
        <v>#REF!</v>
      </c>
    </row>
    <row r="2396" spans="1:1" x14ac:dyDescent="0.2">
      <c r="A2396" t="e">
        <f>IF(NOT(ISBLANK([1]Variables!A2396)),[1]Variables!A2396,"")</f>
        <v>#REF!</v>
      </c>
    </row>
    <row r="2397" spans="1:1" x14ac:dyDescent="0.2">
      <c r="A2397" t="e">
        <f>IF(NOT(ISBLANK([1]Variables!A2397)),[1]Variables!A2397,"")</f>
        <v>#REF!</v>
      </c>
    </row>
    <row r="2398" spans="1:1" x14ac:dyDescent="0.2">
      <c r="A2398" t="e">
        <f>IF(NOT(ISBLANK([1]Variables!A2398)),[1]Variables!A2398,"")</f>
        <v>#REF!</v>
      </c>
    </row>
    <row r="2399" spans="1:1" x14ac:dyDescent="0.2">
      <c r="A2399" t="e">
        <f>IF(NOT(ISBLANK([1]Variables!A2399)),[1]Variables!A2399,"")</f>
        <v>#REF!</v>
      </c>
    </row>
    <row r="2400" spans="1:1" x14ac:dyDescent="0.2">
      <c r="A2400" t="e">
        <f>IF(NOT(ISBLANK([1]Variables!A2400)),[1]Variables!A2400,"")</f>
        <v>#REF!</v>
      </c>
    </row>
    <row r="2401" spans="1:1" x14ac:dyDescent="0.2">
      <c r="A2401" t="e">
        <f>IF(NOT(ISBLANK([1]Variables!A2401)),[1]Variables!A2401,"")</f>
        <v>#REF!</v>
      </c>
    </row>
    <row r="2402" spans="1:1" x14ac:dyDescent="0.2">
      <c r="A2402" t="e">
        <f>IF(NOT(ISBLANK([1]Variables!A2402)),[1]Variables!A2402,"")</f>
        <v>#REF!</v>
      </c>
    </row>
    <row r="2403" spans="1:1" x14ac:dyDescent="0.2">
      <c r="A2403" t="e">
        <f>IF(NOT(ISBLANK([1]Variables!A2403)),[1]Variables!A2403,"")</f>
        <v>#REF!</v>
      </c>
    </row>
    <row r="2404" spans="1:1" x14ac:dyDescent="0.2">
      <c r="A2404" t="e">
        <f>IF(NOT(ISBLANK([1]Variables!A2404)),[1]Variables!A2404,"")</f>
        <v>#REF!</v>
      </c>
    </row>
    <row r="2405" spans="1:1" x14ac:dyDescent="0.2">
      <c r="A2405" t="e">
        <f>IF(NOT(ISBLANK([1]Variables!A2405)),[1]Variables!A2405,"")</f>
        <v>#REF!</v>
      </c>
    </row>
    <row r="2406" spans="1:1" x14ac:dyDescent="0.2">
      <c r="A2406" t="e">
        <f>IF(NOT(ISBLANK([1]Variables!A2406)),[1]Variables!A2406,"")</f>
        <v>#REF!</v>
      </c>
    </row>
    <row r="2407" spans="1:1" x14ac:dyDescent="0.2">
      <c r="A2407" t="e">
        <f>IF(NOT(ISBLANK([1]Variables!A2407)),[1]Variables!A2407,"")</f>
        <v>#REF!</v>
      </c>
    </row>
    <row r="2408" spans="1:1" x14ac:dyDescent="0.2">
      <c r="A2408" t="e">
        <f>IF(NOT(ISBLANK([1]Variables!A2408)),[1]Variables!A2408,"")</f>
        <v>#REF!</v>
      </c>
    </row>
    <row r="2409" spans="1:1" x14ac:dyDescent="0.2">
      <c r="A2409" t="e">
        <f>IF(NOT(ISBLANK([1]Variables!A2409)),[1]Variables!A2409,"")</f>
        <v>#REF!</v>
      </c>
    </row>
    <row r="2410" spans="1:1" x14ac:dyDescent="0.2">
      <c r="A2410" t="e">
        <f>IF(NOT(ISBLANK([1]Variables!A2410)),[1]Variables!A2410,"")</f>
        <v>#REF!</v>
      </c>
    </row>
    <row r="2411" spans="1:1" x14ac:dyDescent="0.2">
      <c r="A2411" t="e">
        <f>IF(NOT(ISBLANK([1]Variables!A2411)),[1]Variables!A2411,"")</f>
        <v>#REF!</v>
      </c>
    </row>
    <row r="2412" spans="1:1" x14ac:dyDescent="0.2">
      <c r="A2412" t="e">
        <f>IF(NOT(ISBLANK([1]Variables!A2412)),[1]Variables!A2412,"")</f>
        <v>#REF!</v>
      </c>
    </row>
    <row r="2413" spans="1:1" x14ac:dyDescent="0.2">
      <c r="A2413" t="e">
        <f>IF(NOT(ISBLANK([1]Variables!A2413)),[1]Variables!A2413,"")</f>
        <v>#REF!</v>
      </c>
    </row>
    <row r="2414" spans="1:1" x14ac:dyDescent="0.2">
      <c r="A2414" t="e">
        <f>IF(NOT(ISBLANK([1]Variables!A2414)),[1]Variables!A2414,"")</f>
        <v>#REF!</v>
      </c>
    </row>
    <row r="2415" spans="1:1" x14ac:dyDescent="0.2">
      <c r="A2415" t="e">
        <f>IF(NOT(ISBLANK([1]Variables!A2415)),[1]Variables!A2415,"")</f>
        <v>#REF!</v>
      </c>
    </row>
    <row r="2416" spans="1:1" x14ac:dyDescent="0.2">
      <c r="A2416" t="e">
        <f>IF(NOT(ISBLANK([1]Variables!A2416)),[1]Variables!A2416,"")</f>
        <v>#REF!</v>
      </c>
    </row>
    <row r="2417" spans="1:1" x14ac:dyDescent="0.2">
      <c r="A2417" t="e">
        <f>IF(NOT(ISBLANK([1]Variables!A2417)),[1]Variables!A2417,"")</f>
        <v>#REF!</v>
      </c>
    </row>
    <row r="2418" spans="1:1" x14ac:dyDescent="0.2">
      <c r="A2418" t="e">
        <f>IF(NOT(ISBLANK([1]Variables!A2418)),[1]Variables!A2418,"")</f>
        <v>#REF!</v>
      </c>
    </row>
    <row r="2419" spans="1:1" x14ac:dyDescent="0.2">
      <c r="A2419" t="e">
        <f>IF(NOT(ISBLANK([1]Variables!A2419)),[1]Variables!A2419,"")</f>
        <v>#REF!</v>
      </c>
    </row>
    <row r="2420" spans="1:1" x14ac:dyDescent="0.2">
      <c r="A2420" t="e">
        <f>IF(NOT(ISBLANK([1]Variables!A2420)),[1]Variables!A2420,"")</f>
        <v>#REF!</v>
      </c>
    </row>
    <row r="2421" spans="1:1" x14ac:dyDescent="0.2">
      <c r="A2421" t="e">
        <f>IF(NOT(ISBLANK([1]Variables!A2421)),[1]Variables!A2421,"")</f>
        <v>#REF!</v>
      </c>
    </row>
    <row r="2422" spans="1:1" x14ac:dyDescent="0.2">
      <c r="A2422" t="e">
        <f>IF(NOT(ISBLANK([1]Variables!A2422)),[1]Variables!A2422,"")</f>
        <v>#REF!</v>
      </c>
    </row>
    <row r="2423" spans="1:1" x14ac:dyDescent="0.2">
      <c r="A2423" t="e">
        <f>IF(NOT(ISBLANK([1]Variables!A2423)),[1]Variables!A2423,"")</f>
        <v>#REF!</v>
      </c>
    </row>
    <row r="2424" spans="1:1" x14ac:dyDescent="0.2">
      <c r="A2424" t="e">
        <f>IF(NOT(ISBLANK([1]Variables!A2424)),[1]Variables!A2424,"")</f>
        <v>#REF!</v>
      </c>
    </row>
    <row r="2425" spans="1:1" x14ac:dyDescent="0.2">
      <c r="A2425" t="e">
        <f>IF(NOT(ISBLANK([1]Variables!A2425)),[1]Variables!A2425,"")</f>
        <v>#REF!</v>
      </c>
    </row>
    <row r="2426" spans="1:1" x14ac:dyDescent="0.2">
      <c r="A2426" t="e">
        <f>IF(NOT(ISBLANK([1]Variables!A2426)),[1]Variables!A2426,"")</f>
        <v>#REF!</v>
      </c>
    </row>
    <row r="2427" spans="1:1" x14ac:dyDescent="0.2">
      <c r="A2427" t="e">
        <f>IF(NOT(ISBLANK([1]Variables!A2427)),[1]Variables!A2427,"")</f>
        <v>#REF!</v>
      </c>
    </row>
    <row r="2428" spans="1:1" x14ac:dyDescent="0.2">
      <c r="A2428" t="e">
        <f>IF(NOT(ISBLANK([1]Variables!A2428)),[1]Variables!A2428,"")</f>
        <v>#REF!</v>
      </c>
    </row>
    <row r="2429" spans="1:1" x14ac:dyDescent="0.2">
      <c r="A2429" t="e">
        <f>IF(NOT(ISBLANK([1]Variables!A2429)),[1]Variables!A2429,"")</f>
        <v>#REF!</v>
      </c>
    </row>
    <row r="2430" spans="1:1" x14ac:dyDescent="0.2">
      <c r="A2430" t="e">
        <f>IF(NOT(ISBLANK([1]Variables!A2430)),[1]Variables!A2430,"")</f>
        <v>#REF!</v>
      </c>
    </row>
    <row r="2431" spans="1:1" x14ac:dyDescent="0.2">
      <c r="A2431" t="e">
        <f>IF(NOT(ISBLANK([1]Variables!A2431)),[1]Variables!A2431,"")</f>
        <v>#REF!</v>
      </c>
    </row>
    <row r="2432" spans="1:1" x14ac:dyDescent="0.2">
      <c r="A2432" t="e">
        <f>IF(NOT(ISBLANK([1]Variables!A2432)),[1]Variables!A2432,"")</f>
        <v>#REF!</v>
      </c>
    </row>
    <row r="2433" spans="1:1" x14ac:dyDescent="0.2">
      <c r="A2433" t="e">
        <f>IF(NOT(ISBLANK([1]Variables!A2433)),[1]Variables!A2433,"")</f>
        <v>#REF!</v>
      </c>
    </row>
    <row r="2434" spans="1:1" x14ac:dyDescent="0.2">
      <c r="A2434" t="e">
        <f>IF(NOT(ISBLANK([1]Variables!A2434)),[1]Variables!A2434,"")</f>
        <v>#REF!</v>
      </c>
    </row>
    <row r="2435" spans="1:1" x14ac:dyDescent="0.2">
      <c r="A2435" t="e">
        <f>IF(NOT(ISBLANK([1]Variables!A2435)),[1]Variables!A2435,"")</f>
        <v>#REF!</v>
      </c>
    </row>
    <row r="2436" spans="1:1" x14ac:dyDescent="0.2">
      <c r="A2436" t="e">
        <f>IF(NOT(ISBLANK([1]Variables!A2436)),[1]Variables!A2436,"")</f>
        <v>#REF!</v>
      </c>
    </row>
    <row r="2437" spans="1:1" x14ac:dyDescent="0.2">
      <c r="A2437" t="e">
        <f>IF(NOT(ISBLANK([1]Variables!A2437)),[1]Variables!A2437,"")</f>
        <v>#REF!</v>
      </c>
    </row>
    <row r="2438" spans="1:1" x14ac:dyDescent="0.2">
      <c r="A2438" t="e">
        <f>IF(NOT(ISBLANK([1]Variables!A2438)),[1]Variables!A2438,"")</f>
        <v>#REF!</v>
      </c>
    </row>
    <row r="2439" spans="1:1" x14ac:dyDescent="0.2">
      <c r="A2439" t="e">
        <f>IF(NOT(ISBLANK([1]Variables!A2439)),[1]Variables!A2439,"")</f>
        <v>#REF!</v>
      </c>
    </row>
    <row r="2440" spans="1:1" x14ac:dyDescent="0.2">
      <c r="A2440" t="e">
        <f>IF(NOT(ISBLANK([1]Variables!A2440)),[1]Variables!A2440,"")</f>
        <v>#REF!</v>
      </c>
    </row>
    <row r="2441" spans="1:1" x14ac:dyDescent="0.2">
      <c r="A2441" t="e">
        <f>IF(NOT(ISBLANK([1]Variables!A2441)),[1]Variables!A2441,"")</f>
        <v>#REF!</v>
      </c>
    </row>
    <row r="2442" spans="1:1" x14ac:dyDescent="0.2">
      <c r="A2442" t="e">
        <f>IF(NOT(ISBLANK([1]Variables!A2442)),[1]Variables!A2442,"")</f>
        <v>#REF!</v>
      </c>
    </row>
    <row r="2443" spans="1:1" x14ac:dyDescent="0.2">
      <c r="A2443" t="e">
        <f>IF(NOT(ISBLANK([1]Variables!A2443)),[1]Variables!A2443,"")</f>
        <v>#REF!</v>
      </c>
    </row>
    <row r="2444" spans="1:1" x14ac:dyDescent="0.2">
      <c r="A2444" t="e">
        <f>IF(NOT(ISBLANK([1]Variables!A2444)),[1]Variables!A2444,"")</f>
        <v>#REF!</v>
      </c>
    </row>
    <row r="2445" spans="1:1" x14ac:dyDescent="0.2">
      <c r="A2445" t="e">
        <f>IF(NOT(ISBLANK([1]Variables!A2445)),[1]Variables!A2445,"")</f>
        <v>#REF!</v>
      </c>
    </row>
    <row r="2446" spans="1:1" x14ac:dyDescent="0.2">
      <c r="A2446" t="e">
        <f>IF(NOT(ISBLANK([1]Variables!A2446)),[1]Variables!A2446,"")</f>
        <v>#REF!</v>
      </c>
    </row>
    <row r="2447" spans="1:1" x14ac:dyDescent="0.2">
      <c r="A2447" t="e">
        <f>IF(NOT(ISBLANK([1]Variables!A2447)),[1]Variables!A2447,"")</f>
        <v>#REF!</v>
      </c>
    </row>
    <row r="2448" spans="1:1" x14ac:dyDescent="0.2">
      <c r="A2448" t="e">
        <f>IF(NOT(ISBLANK([1]Variables!A2448)),[1]Variables!A2448,"")</f>
        <v>#REF!</v>
      </c>
    </row>
    <row r="2449" spans="1:1" x14ac:dyDescent="0.2">
      <c r="A2449" t="e">
        <f>IF(NOT(ISBLANK([1]Variables!A2449)),[1]Variables!A2449,"")</f>
        <v>#REF!</v>
      </c>
    </row>
    <row r="2450" spans="1:1" x14ac:dyDescent="0.2">
      <c r="A2450" t="e">
        <f>IF(NOT(ISBLANK([1]Variables!A2450)),[1]Variables!A2450,"")</f>
        <v>#REF!</v>
      </c>
    </row>
    <row r="2451" spans="1:1" x14ac:dyDescent="0.2">
      <c r="A2451" t="e">
        <f>IF(NOT(ISBLANK([1]Variables!A2451)),[1]Variables!A2451,"")</f>
        <v>#REF!</v>
      </c>
    </row>
    <row r="2452" spans="1:1" x14ac:dyDescent="0.2">
      <c r="A2452" t="e">
        <f>IF(NOT(ISBLANK([1]Variables!A2452)),[1]Variables!A2452,"")</f>
        <v>#REF!</v>
      </c>
    </row>
    <row r="2453" spans="1:1" x14ac:dyDescent="0.2">
      <c r="A2453" t="e">
        <f>IF(NOT(ISBLANK([1]Variables!A2453)),[1]Variables!A2453,"")</f>
        <v>#REF!</v>
      </c>
    </row>
    <row r="2454" spans="1:1" x14ac:dyDescent="0.2">
      <c r="A2454" t="e">
        <f>IF(NOT(ISBLANK([1]Variables!A2454)),[1]Variables!A2454,"")</f>
        <v>#REF!</v>
      </c>
    </row>
    <row r="2455" spans="1:1" x14ac:dyDescent="0.2">
      <c r="A2455" t="e">
        <f>IF(NOT(ISBLANK([1]Variables!A2455)),[1]Variables!A2455,"")</f>
        <v>#REF!</v>
      </c>
    </row>
    <row r="2456" spans="1:1" x14ac:dyDescent="0.2">
      <c r="A2456" t="e">
        <f>IF(NOT(ISBLANK([1]Variables!A2456)),[1]Variables!A2456,"")</f>
        <v>#REF!</v>
      </c>
    </row>
    <row r="2457" spans="1:1" x14ac:dyDescent="0.2">
      <c r="A2457" t="e">
        <f>IF(NOT(ISBLANK([1]Variables!A2457)),[1]Variables!A2457,"")</f>
        <v>#REF!</v>
      </c>
    </row>
    <row r="2458" spans="1:1" x14ac:dyDescent="0.2">
      <c r="A2458" t="e">
        <f>IF(NOT(ISBLANK([1]Variables!A2458)),[1]Variables!A2458,"")</f>
        <v>#REF!</v>
      </c>
    </row>
    <row r="2459" spans="1:1" x14ac:dyDescent="0.2">
      <c r="A2459" t="e">
        <f>IF(NOT(ISBLANK([1]Variables!A2459)),[1]Variables!A2459,"")</f>
        <v>#REF!</v>
      </c>
    </row>
    <row r="2460" spans="1:1" x14ac:dyDescent="0.2">
      <c r="A2460" t="e">
        <f>IF(NOT(ISBLANK([1]Variables!A2460)),[1]Variables!A2460,"")</f>
        <v>#REF!</v>
      </c>
    </row>
    <row r="2461" spans="1:1" x14ac:dyDescent="0.2">
      <c r="A2461" t="e">
        <f>IF(NOT(ISBLANK([1]Variables!A2461)),[1]Variables!A2461,"")</f>
        <v>#REF!</v>
      </c>
    </row>
    <row r="2462" spans="1:1" x14ac:dyDescent="0.2">
      <c r="A2462" t="e">
        <f>IF(NOT(ISBLANK([1]Variables!A2462)),[1]Variables!A2462,"")</f>
        <v>#REF!</v>
      </c>
    </row>
    <row r="2463" spans="1:1" x14ac:dyDescent="0.2">
      <c r="A2463" t="e">
        <f>IF(NOT(ISBLANK([1]Variables!A2463)),[1]Variables!A2463,"")</f>
        <v>#REF!</v>
      </c>
    </row>
    <row r="2464" spans="1:1" x14ac:dyDescent="0.2">
      <c r="A2464" t="e">
        <f>IF(NOT(ISBLANK([1]Variables!A2464)),[1]Variables!A2464,"")</f>
        <v>#REF!</v>
      </c>
    </row>
    <row r="2465" spans="1:1" x14ac:dyDescent="0.2">
      <c r="A2465" t="e">
        <f>IF(NOT(ISBLANK([1]Variables!A2465)),[1]Variables!A2465,"")</f>
        <v>#REF!</v>
      </c>
    </row>
    <row r="2466" spans="1:1" x14ac:dyDescent="0.2">
      <c r="A2466" t="e">
        <f>IF(NOT(ISBLANK([1]Variables!A2466)),[1]Variables!A2466,"")</f>
        <v>#REF!</v>
      </c>
    </row>
    <row r="2467" spans="1:1" x14ac:dyDescent="0.2">
      <c r="A2467" t="e">
        <f>IF(NOT(ISBLANK([1]Variables!A2467)),[1]Variables!A2467,"")</f>
        <v>#REF!</v>
      </c>
    </row>
    <row r="2468" spans="1:1" x14ac:dyDescent="0.2">
      <c r="A2468" t="e">
        <f>IF(NOT(ISBLANK([1]Variables!A2468)),[1]Variables!A2468,"")</f>
        <v>#REF!</v>
      </c>
    </row>
    <row r="2469" spans="1:1" x14ac:dyDescent="0.2">
      <c r="A2469" t="e">
        <f>IF(NOT(ISBLANK([1]Variables!A2469)),[1]Variables!A2469,"")</f>
        <v>#REF!</v>
      </c>
    </row>
    <row r="2470" spans="1:1" x14ac:dyDescent="0.2">
      <c r="A2470" t="e">
        <f>IF(NOT(ISBLANK([1]Variables!A2470)),[1]Variables!A2470,"")</f>
        <v>#REF!</v>
      </c>
    </row>
    <row r="2471" spans="1:1" x14ac:dyDescent="0.2">
      <c r="A2471" t="e">
        <f>IF(NOT(ISBLANK([1]Variables!A2471)),[1]Variables!A2471,"")</f>
        <v>#REF!</v>
      </c>
    </row>
    <row r="2472" spans="1:1" x14ac:dyDescent="0.2">
      <c r="A2472" t="e">
        <f>IF(NOT(ISBLANK([1]Variables!A2472)),[1]Variables!A2472,"")</f>
        <v>#REF!</v>
      </c>
    </row>
    <row r="2473" spans="1:1" x14ac:dyDescent="0.2">
      <c r="A2473" t="e">
        <f>IF(NOT(ISBLANK([1]Variables!A2473)),[1]Variables!A2473,"")</f>
        <v>#REF!</v>
      </c>
    </row>
    <row r="2474" spans="1:1" x14ac:dyDescent="0.2">
      <c r="A2474" t="e">
        <f>IF(NOT(ISBLANK([1]Variables!A2474)),[1]Variables!A2474,"")</f>
        <v>#REF!</v>
      </c>
    </row>
    <row r="2475" spans="1:1" x14ac:dyDescent="0.2">
      <c r="A2475" t="e">
        <f>IF(NOT(ISBLANK([1]Variables!A2475)),[1]Variables!A2475,"")</f>
        <v>#REF!</v>
      </c>
    </row>
    <row r="2476" spans="1:1" x14ac:dyDescent="0.2">
      <c r="A2476" t="e">
        <f>IF(NOT(ISBLANK([1]Variables!A2476)),[1]Variables!A2476,"")</f>
        <v>#REF!</v>
      </c>
    </row>
    <row r="2477" spans="1:1" x14ac:dyDescent="0.2">
      <c r="A2477" t="e">
        <f>IF(NOT(ISBLANK([1]Variables!A2477)),[1]Variables!A2477,"")</f>
        <v>#REF!</v>
      </c>
    </row>
    <row r="2478" spans="1:1" x14ac:dyDescent="0.2">
      <c r="A2478" t="e">
        <f>IF(NOT(ISBLANK([1]Variables!A2478)),[1]Variables!A2478,"")</f>
        <v>#REF!</v>
      </c>
    </row>
    <row r="2479" spans="1:1" x14ac:dyDescent="0.2">
      <c r="A2479" t="e">
        <f>IF(NOT(ISBLANK([1]Variables!A2479)),[1]Variables!A2479,"")</f>
        <v>#REF!</v>
      </c>
    </row>
    <row r="2480" spans="1:1" x14ac:dyDescent="0.2">
      <c r="A2480" t="e">
        <f>IF(NOT(ISBLANK([1]Variables!A2480)),[1]Variables!A2480,"")</f>
        <v>#REF!</v>
      </c>
    </row>
    <row r="2481" spans="1:1" x14ac:dyDescent="0.2">
      <c r="A2481" t="e">
        <f>IF(NOT(ISBLANK([1]Variables!A2481)),[1]Variables!A2481,"")</f>
        <v>#REF!</v>
      </c>
    </row>
    <row r="2482" spans="1:1" x14ac:dyDescent="0.2">
      <c r="A2482" t="e">
        <f>IF(NOT(ISBLANK([1]Variables!A2482)),[1]Variables!A2482,"")</f>
        <v>#REF!</v>
      </c>
    </row>
    <row r="2483" spans="1:1" x14ac:dyDescent="0.2">
      <c r="A2483" t="e">
        <f>IF(NOT(ISBLANK([1]Variables!A2483)),[1]Variables!A2483,"")</f>
        <v>#REF!</v>
      </c>
    </row>
    <row r="2484" spans="1:1" x14ac:dyDescent="0.2">
      <c r="A2484" t="e">
        <f>IF(NOT(ISBLANK([1]Variables!A2484)),[1]Variables!A2484,"")</f>
        <v>#REF!</v>
      </c>
    </row>
    <row r="2485" spans="1:1" x14ac:dyDescent="0.2">
      <c r="A2485" t="e">
        <f>IF(NOT(ISBLANK([1]Variables!A2485)),[1]Variables!A2485,"")</f>
        <v>#REF!</v>
      </c>
    </row>
    <row r="2486" spans="1:1" x14ac:dyDescent="0.2">
      <c r="A2486" t="e">
        <f>IF(NOT(ISBLANK([1]Variables!A2486)),[1]Variables!A2486,"")</f>
        <v>#REF!</v>
      </c>
    </row>
    <row r="2487" spans="1:1" x14ac:dyDescent="0.2">
      <c r="A2487" t="e">
        <f>IF(NOT(ISBLANK([1]Variables!A2487)),[1]Variables!A2487,"")</f>
        <v>#REF!</v>
      </c>
    </row>
    <row r="2488" spans="1:1" x14ac:dyDescent="0.2">
      <c r="A2488" t="e">
        <f>IF(NOT(ISBLANK([1]Variables!A2488)),[1]Variables!A2488,"")</f>
        <v>#REF!</v>
      </c>
    </row>
    <row r="2489" spans="1:1" x14ac:dyDescent="0.2">
      <c r="A2489" t="e">
        <f>IF(NOT(ISBLANK([1]Variables!A2489)),[1]Variables!A2489,"")</f>
        <v>#REF!</v>
      </c>
    </row>
    <row r="2490" spans="1:1" x14ac:dyDescent="0.2">
      <c r="A2490" t="e">
        <f>IF(NOT(ISBLANK([1]Variables!A2490)),[1]Variables!A2490,"")</f>
        <v>#REF!</v>
      </c>
    </row>
    <row r="2491" spans="1:1" x14ac:dyDescent="0.2">
      <c r="A2491" t="e">
        <f>IF(NOT(ISBLANK([1]Variables!A2491)),[1]Variables!A2491,"")</f>
        <v>#REF!</v>
      </c>
    </row>
    <row r="2492" spans="1:1" x14ac:dyDescent="0.2">
      <c r="A2492" t="e">
        <f>IF(NOT(ISBLANK([1]Variables!A2492)),[1]Variables!A2492,"")</f>
        <v>#REF!</v>
      </c>
    </row>
    <row r="2493" spans="1:1" x14ac:dyDescent="0.2">
      <c r="A2493" t="e">
        <f>IF(NOT(ISBLANK([1]Variables!A2493)),[1]Variables!A2493,"")</f>
        <v>#REF!</v>
      </c>
    </row>
    <row r="2494" spans="1:1" x14ac:dyDescent="0.2">
      <c r="A2494" t="e">
        <f>IF(NOT(ISBLANK([1]Variables!A2494)),[1]Variables!A2494,"")</f>
        <v>#REF!</v>
      </c>
    </row>
    <row r="2495" spans="1:1" x14ac:dyDescent="0.2">
      <c r="A2495" t="e">
        <f>IF(NOT(ISBLANK([1]Variables!A2495)),[1]Variables!A2495,"")</f>
        <v>#REF!</v>
      </c>
    </row>
    <row r="2496" spans="1:1" x14ac:dyDescent="0.2">
      <c r="A2496" t="e">
        <f>IF(NOT(ISBLANK([1]Variables!A2496)),[1]Variables!A2496,"")</f>
        <v>#REF!</v>
      </c>
    </row>
    <row r="2497" spans="1:1" x14ac:dyDescent="0.2">
      <c r="A2497" t="e">
        <f>IF(NOT(ISBLANK([1]Variables!A2497)),[1]Variables!A2497,"")</f>
        <v>#REF!</v>
      </c>
    </row>
    <row r="2498" spans="1:1" x14ac:dyDescent="0.2">
      <c r="A2498" t="e">
        <f>IF(NOT(ISBLANK([1]Variables!A2498)),[1]Variables!A2498,"")</f>
        <v>#REF!</v>
      </c>
    </row>
    <row r="2499" spans="1:1" x14ac:dyDescent="0.2">
      <c r="A2499" t="e">
        <f>IF(NOT(ISBLANK([1]Variables!A2499)),[1]Variables!A2499,"")</f>
        <v>#REF!</v>
      </c>
    </row>
    <row r="2500" spans="1:1" x14ac:dyDescent="0.2">
      <c r="A2500" t="e">
        <f>IF(NOT(ISBLANK([1]Variables!A2500)),[1]Variables!A2500,"")</f>
        <v>#REF!</v>
      </c>
    </row>
    <row r="2501" spans="1:1" x14ac:dyDescent="0.2">
      <c r="A2501" t="e">
        <f>IF(NOT(ISBLANK([1]Variables!A2501)),[1]Variables!A2501,"")</f>
        <v>#REF!</v>
      </c>
    </row>
    <row r="2502" spans="1:1" x14ac:dyDescent="0.2">
      <c r="A2502" t="e">
        <f>IF(NOT(ISBLANK([1]Variables!A2502)),[1]Variables!A2502,"")</f>
        <v>#REF!</v>
      </c>
    </row>
    <row r="2503" spans="1:1" x14ac:dyDescent="0.2">
      <c r="A2503" t="e">
        <f>IF(NOT(ISBLANK([1]Variables!A2503)),[1]Variables!A2503,"")</f>
        <v>#REF!</v>
      </c>
    </row>
    <row r="2504" spans="1:1" x14ac:dyDescent="0.2">
      <c r="A2504" t="e">
        <f>IF(NOT(ISBLANK([1]Variables!A2504)),[1]Variables!A2504,"")</f>
        <v>#REF!</v>
      </c>
    </row>
    <row r="2505" spans="1:1" x14ac:dyDescent="0.2">
      <c r="A2505" t="e">
        <f>IF(NOT(ISBLANK([1]Variables!A2505)),[1]Variables!A2505,"")</f>
        <v>#REF!</v>
      </c>
    </row>
    <row r="2506" spans="1:1" x14ac:dyDescent="0.2">
      <c r="A2506" t="e">
        <f>IF(NOT(ISBLANK([1]Variables!A2506)),[1]Variables!A2506,"")</f>
        <v>#REF!</v>
      </c>
    </row>
    <row r="2507" spans="1:1" x14ac:dyDescent="0.2">
      <c r="A2507" t="e">
        <f>IF(NOT(ISBLANK([1]Variables!A2507)),[1]Variables!A2507,"")</f>
        <v>#REF!</v>
      </c>
    </row>
    <row r="2508" spans="1:1" x14ac:dyDescent="0.2">
      <c r="A2508" t="e">
        <f>IF(NOT(ISBLANK([1]Variables!A2508)),[1]Variables!A2508,"")</f>
        <v>#REF!</v>
      </c>
    </row>
    <row r="2509" spans="1:1" x14ac:dyDescent="0.2">
      <c r="A2509" t="e">
        <f>IF(NOT(ISBLANK([1]Variables!A2509)),[1]Variables!A2509,"")</f>
        <v>#REF!</v>
      </c>
    </row>
    <row r="2510" spans="1:1" x14ac:dyDescent="0.2">
      <c r="A2510" t="e">
        <f>IF(NOT(ISBLANK([1]Variables!A2510)),[1]Variables!A2510,"")</f>
        <v>#REF!</v>
      </c>
    </row>
    <row r="2511" spans="1:1" x14ac:dyDescent="0.2">
      <c r="A2511" t="e">
        <f>IF(NOT(ISBLANK([1]Variables!A2511)),[1]Variables!A2511,"")</f>
        <v>#REF!</v>
      </c>
    </row>
    <row r="2512" spans="1:1" x14ac:dyDescent="0.2">
      <c r="A2512" t="e">
        <f>IF(NOT(ISBLANK([1]Variables!A2512)),[1]Variables!A2512,"")</f>
        <v>#REF!</v>
      </c>
    </row>
    <row r="2513" spans="1:1" x14ac:dyDescent="0.2">
      <c r="A2513" t="e">
        <f>IF(NOT(ISBLANK([1]Variables!A2513)),[1]Variables!A2513,"")</f>
        <v>#REF!</v>
      </c>
    </row>
    <row r="2514" spans="1:1" x14ac:dyDescent="0.2">
      <c r="A2514" t="e">
        <f>IF(NOT(ISBLANK([1]Variables!A2514)),[1]Variables!A2514,"")</f>
        <v>#REF!</v>
      </c>
    </row>
    <row r="2515" spans="1:1" x14ac:dyDescent="0.2">
      <c r="A2515" t="e">
        <f>IF(NOT(ISBLANK([1]Variables!A2515)),[1]Variables!A2515,"")</f>
        <v>#REF!</v>
      </c>
    </row>
    <row r="2516" spans="1:1" x14ac:dyDescent="0.2">
      <c r="A2516" t="e">
        <f>IF(NOT(ISBLANK([1]Variables!A2516)),[1]Variables!A2516,"")</f>
        <v>#REF!</v>
      </c>
    </row>
    <row r="2517" spans="1:1" x14ac:dyDescent="0.2">
      <c r="A2517" t="e">
        <f>IF(NOT(ISBLANK([1]Variables!A2517)),[1]Variables!A2517,"")</f>
        <v>#REF!</v>
      </c>
    </row>
    <row r="2518" spans="1:1" x14ac:dyDescent="0.2">
      <c r="A2518" t="e">
        <f>IF(NOT(ISBLANK([1]Variables!A2518)),[1]Variables!A2518,"")</f>
        <v>#REF!</v>
      </c>
    </row>
    <row r="2519" spans="1:1" x14ac:dyDescent="0.2">
      <c r="A2519" t="e">
        <f>IF(NOT(ISBLANK([1]Variables!A2519)),[1]Variables!A2519,"")</f>
        <v>#REF!</v>
      </c>
    </row>
    <row r="2520" spans="1:1" x14ac:dyDescent="0.2">
      <c r="A2520" t="e">
        <f>IF(NOT(ISBLANK([1]Variables!A2520)),[1]Variables!A2520,"")</f>
        <v>#REF!</v>
      </c>
    </row>
    <row r="2521" spans="1:1" x14ac:dyDescent="0.2">
      <c r="A2521" t="e">
        <f>IF(NOT(ISBLANK([1]Variables!A2521)),[1]Variables!A2521,"")</f>
        <v>#REF!</v>
      </c>
    </row>
    <row r="2522" spans="1:1" x14ac:dyDescent="0.2">
      <c r="A2522" t="e">
        <f>IF(NOT(ISBLANK([1]Variables!A2522)),[1]Variables!A2522,"")</f>
        <v>#REF!</v>
      </c>
    </row>
    <row r="2523" spans="1:1" x14ac:dyDescent="0.2">
      <c r="A2523" t="e">
        <f>IF(NOT(ISBLANK([1]Variables!A2523)),[1]Variables!A2523,"")</f>
        <v>#REF!</v>
      </c>
    </row>
    <row r="2524" spans="1:1" x14ac:dyDescent="0.2">
      <c r="A2524" t="e">
        <f>IF(NOT(ISBLANK([1]Variables!A2524)),[1]Variables!A2524,"")</f>
        <v>#REF!</v>
      </c>
    </row>
    <row r="2525" spans="1:1" x14ac:dyDescent="0.2">
      <c r="A2525" t="e">
        <f>IF(NOT(ISBLANK([1]Variables!A2525)),[1]Variables!A2525,"")</f>
        <v>#REF!</v>
      </c>
    </row>
    <row r="2526" spans="1:1" x14ac:dyDescent="0.2">
      <c r="A2526" t="e">
        <f>IF(NOT(ISBLANK([1]Variables!A2526)),[1]Variables!A2526,"")</f>
        <v>#REF!</v>
      </c>
    </row>
    <row r="2527" spans="1:1" x14ac:dyDescent="0.2">
      <c r="A2527" t="e">
        <f>IF(NOT(ISBLANK([1]Variables!A2527)),[1]Variables!A2527,"")</f>
        <v>#REF!</v>
      </c>
    </row>
    <row r="2528" spans="1:1" x14ac:dyDescent="0.2">
      <c r="A2528" t="e">
        <f>IF(NOT(ISBLANK([1]Variables!A2528)),[1]Variables!A2528,"")</f>
        <v>#REF!</v>
      </c>
    </row>
    <row r="2529" spans="1:1" x14ac:dyDescent="0.2">
      <c r="A2529" t="e">
        <f>IF(NOT(ISBLANK([1]Variables!A2529)),[1]Variables!A2529,"")</f>
        <v>#REF!</v>
      </c>
    </row>
    <row r="2530" spans="1:1" x14ac:dyDescent="0.2">
      <c r="A2530" t="e">
        <f>IF(NOT(ISBLANK([1]Variables!A2530)),[1]Variables!A2530,"")</f>
        <v>#REF!</v>
      </c>
    </row>
    <row r="2531" spans="1:1" x14ac:dyDescent="0.2">
      <c r="A2531" t="e">
        <f>IF(NOT(ISBLANK([1]Variables!A2531)),[1]Variables!A2531,"")</f>
        <v>#REF!</v>
      </c>
    </row>
    <row r="2532" spans="1:1" x14ac:dyDescent="0.2">
      <c r="A2532" t="e">
        <f>IF(NOT(ISBLANK([1]Variables!A2532)),[1]Variables!A2532,"")</f>
        <v>#REF!</v>
      </c>
    </row>
    <row r="2533" spans="1:1" x14ac:dyDescent="0.2">
      <c r="A2533" t="e">
        <f>IF(NOT(ISBLANK([1]Variables!A2533)),[1]Variables!A2533,"")</f>
        <v>#REF!</v>
      </c>
    </row>
    <row r="2534" spans="1:1" x14ac:dyDescent="0.2">
      <c r="A2534" t="e">
        <f>IF(NOT(ISBLANK([1]Variables!A2534)),[1]Variables!A2534,"")</f>
        <v>#REF!</v>
      </c>
    </row>
    <row r="2535" spans="1:1" x14ac:dyDescent="0.2">
      <c r="A2535" t="e">
        <f>IF(NOT(ISBLANK([1]Variables!A2535)),[1]Variables!A2535,"")</f>
        <v>#REF!</v>
      </c>
    </row>
    <row r="2536" spans="1:1" x14ac:dyDescent="0.2">
      <c r="A2536" t="e">
        <f>IF(NOT(ISBLANK([1]Variables!A2536)),[1]Variables!A2536,"")</f>
        <v>#REF!</v>
      </c>
    </row>
    <row r="2537" spans="1:1" x14ac:dyDescent="0.2">
      <c r="A2537" t="e">
        <f>IF(NOT(ISBLANK([1]Variables!A2537)),[1]Variables!A2537,"")</f>
        <v>#REF!</v>
      </c>
    </row>
    <row r="2538" spans="1:1" x14ac:dyDescent="0.2">
      <c r="A2538" t="e">
        <f>IF(NOT(ISBLANK([1]Variables!A2538)),[1]Variables!A2538,"")</f>
        <v>#REF!</v>
      </c>
    </row>
    <row r="2539" spans="1:1" x14ac:dyDescent="0.2">
      <c r="A2539" t="e">
        <f>IF(NOT(ISBLANK([1]Variables!A2539)),[1]Variables!A2539,"")</f>
        <v>#REF!</v>
      </c>
    </row>
    <row r="2540" spans="1:1" x14ac:dyDescent="0.2">
      <c r="A2540" t="e">
        <f>IF(NOT(ISBLANK([1]Variables!A2540)),[1]Variables!A2540,"")</f>
        <v>#REF!</v>
      </c>
    </row>
    <row r="2541" spans="1:1" x14ac:dyDescent="0.2">
      <c r="A2541" t="e">
        <f>IF(NOT(ISBLANK([1]Variables!A2541)),[1]Variables!A2541,"")</f>
        <v>#REF!</v>
      </c>
    </row>
    <row r="2542" spans="1:1" x14ac:dyDescent="0.2">
      <c r="A2542" t="e">
        <f>IF(NOT(ISBLANK([1]Variables!A2542)),[1]Variables!A2542,"")</f>
        <v>#REF!</v>
      </c>
    </row>
    <row r="2543" spans="1:1" x14ac:dyDescent="0.2">
      <c r="A2543" t="e">
        <f>IF(NOT(ISBLANK([1]Variables!A2543)),[1]Variables!A2543,"")</f>
        <v>#REF!</v>
      </c>
    </row>
    <row r="2544" spans="1:1" x14ac:dyDescent="0.2">
      <c r="A2544" t="e">
        <f>IF(NOT(ISBLANK([1]Variables!A2544)),[1]Variables!A2544,"")</f>
        <v>#REF!</v>
      </c>
    </row>
    <row r="2545" spans="1:1" x14ac:dyDescent="0.2">
      <c r="A2545" t="e">
        <f>IF(NOT(ISBLANK([1]Variables!A2545)),[1]Variables!A2545,"")</f>
        <v>#REF!</v>
      </c>
    </row>
    <row r="2546" spans="1:1" x14ac:dyDescent="0.2">
      <c r="A2546" t="e">
        <f>IF(NOT(ISBLANK([1]Variables!A2546)),[1]Variables!A2546,"")</f>
        <v>#REF!</v>
      </c>
    </row>
    <row r="2547" spans="1:1" x14ac:dyDescent="0.2">
      <c r="A2547" t="e">
        <f>IF(NOT(ISBLANK([1]Variables!A2547)),[1]Variables!A2547,"")</f>
        <v>#REF!</v>
      </c>
    </row>
    <row r="2548" spans="1:1" x14ac:dyDescent="0.2">
      <c r="A2548" t="e">
        <f>IF(NOT(ISBLANK([1]Variables!A2548)),[1]Variables!A2548,"")</f>
        <v>#REF!</v>
      </c>
    </row>
    <row r="2549" spans="1:1" x14ac:dyDescent="0.2">
      <c r="A2549" t="e">
        <f>IF(NOT(ISBLANK([1]Variables!A2549)),[1]Variables!A2549,"")</f>
        <v>#REF!</v>
      </c>
    </row>
    <row r="2550" spans="1:1" x14ac:dyDescent="0.2">
      <c r="A2550" t="e">
        <f>IF(NOT(ISBLANK([1]Variables!A2550)),[1]Variables!A2550,"")</f>
        <v>#REF!</v>
      </c>
    </row>
    <row r="2551" spans="1:1" x14ac:dyDescent="0.2">
      <c r="A2551" t="e">
        <f>IF(NOT(ISBLANK([1]Variables!A2551)),[1]Variables!A2551,"")</f>
        <v>#REF!</v>
      </c>
    </row>
    <row r="2552" spans="1:1" x14ac:dyDescent="0.2">
      <c r="A2552" t="e">
        <f>IF(NOT(ISBLANK([1]Variables!A2552)),[1]Variables!A2552,"")</f>
        <v>#REF!</v>
      </c>
    </row>
    <row r="2553" spans="1:1" x14ac:dyDescent="0.2">
      <c r="A2553" t="e">
        <f>IF(NOT(ISBLANK([1]Variables!A2553)),[1]Variables!A2553,"")</f>
        <v>#REF!</v>
      </c>
    </row>
    <row r="2554" spans="1:1" x14ac:dyDescent="0.2">
      <c r="A2554" t="e">
        <f>IF(NOT(ISBLANK([1]Variables!A2554)),[1]Variables!A2554,"")</f>
        <v>#REF!</v>
      </c>
    </row>
    <row r="2555" spans="1:1" x14ac:dyDescent="0.2">
      <c r="A2555" t="e">
        <f>IF(NOT(ISBLANK([1]Variables!A2555)),[1]Variables!A2555,"")</f>
        <v>#REF!</v>
      </c>
    </row>
    <row r="2556" spans="1:1" x14ac:dyDescent="0.2">
      <c r="A2556" t="e">
        <f>IF(NOT(ISBLANK([1]Variables!A2556)),[1]Variables!A2556,"")</f>
        <v>#REF!</v>
      </c>
    </row>
    <row r="2557" spans="1:1" x14ac:dyDescent="0.2">
      <c r="A2557" t="e">
        <f>IF(NOT(ISBLANK([1]Variables!A2557)),[1]Variables!A2557,"")</f>
        <v>#REF!</v>
      </c>
    </row>
    <row r="2558" spans="1:1" x14ac:dyDescent="0.2">
      <c r="A2558" t="e">
        <f>IF(NOT(ISBLANK([1]Variables!A2558)),[1]Variables!A2558,"")</f>
        <v>#REF!</v>
      </c>
    </row>
    <row r="2559" spans="1:1" x14ac:dyDescent="0.2">
      <c r="A2559" t="e">
        <f>IF(NOT(ISBLANK([1]Variables!A2559)),[1]Variables!A2559,"")</f>
        <v>#REF!</v>
      </c>
    </row>
    <row r="2560" spans="1:1" x14ac:dyDescent="0.2">
      <c r="A2560" t="e">
        <f>IF(NOT(ISBLANK([1]Variables!A2560)),[1]Variables!A2560,"")</f>
        <v>#REF!</v>
      </c>
    </row>
    <row r="2561" spans="1:1" x14ac:dyDescent="0.2">
      <c r="A2561" t="e">
        <f>IF(NOT(ISBLANK([1]Variables!A2561)),[1]Variables!A2561,"")</f>
        <v>#REF!</v>
      </c>
    </row>
    <row r="2562" spans="1:1" x14ac:dyDescent="0.2">
      <c r="A2562" t="e">
        <f>IF(NOT(ISBLANK([1]Variables!A2562)),[1]Variables!A2562,"")</f>
        <v>#REF!</v>
      </c>
    </row>
    <row r="2563" spans="1:1" x14ac:dyDescent="0.2">
      <c r="A2563" t="e">
        <f>IF(NOT(ISBLANK([1]Variables!A2563)),[1]Variables!A2563,"")</f>
        <v>#REF!</v>
      </c>
    </row>
    <row r="2564" spans="1:1" x14ac:dyDescent="0.2">
      <c r="A2564" t="e">
        <f>IF(NOT(ISBLANK([1]Variables!A2564)),[1]Variables!A2564,"")</f>
        <v>#REF!</v>
      </c>
    </row>
    <row r="2565" spans="1:1" x14ac:dyDescent="0.2">
      <c r="A2565" t="e">
        <f>IF(NOT(ISBLANK([1]Variables!A2565)),[1]Variables!A2565,"")</f>
        <v>#REF!</v>
      </c>
    </row>
    <row r="2566" spans="1:1" x14ac:dyDescent="0.2">
      <c r="A2566" t="e">
        <f>IF(NOT(ISBLANK([1]Variables!A2566)),[1]Variables!A2566,"")</f>
        <v>#REF!</v>
      </c>
    </row>
    <row r="2567" spans="1:1" x14ac:dyDescent="0.2">
      <c r="A2567" t="e">
        <f>IF(NOT(ISBLANK([1]Variables!A2567)),[1]Variables!A2567,"")</f>
        <v>#REF!</v>
      </c>
    </row>
    <row r="2568" spans="1:1" x14ac:dyDescent="0.2">
      <c r="A2568" t="e">
        <f>IF(NOT(ISBLANK([1]Variables!A2568)),[1]Variables!A2568,"")</f>
        <v>#REF!</v>
      </c>
    </row>
    <row r="2569" spans="1:1" x14ac:dyDescent="0.2">
      <c r="A2569" t="e">
        <f>IF(NOT(ISBLANK([1]Variables!A2569)),[1]Variables!A2569,"")</f>
        <v>#REF!</v>
      </c>
    </row>
    <row r="2570" spans="1:1" x14ac:dyDescent="0.2">
      <c r="A2570" t="e">
        <f>IF(NOT(ISBLANK([1]Variables!A2570)),[1]Variables!A2570,"")</f>
        <v>#REF!</v>
      </c>
    </row>
    <row r="2571" spans="1:1" x14ac:dyDescent="0.2">
      <c r="A2571" t="e">
        <f>IF(NOT(ISBLANK([1]Variables!A2571)),[1]Variables!A2571,"")</f>
        <v>#REF!</v>
      </c>
    </row>
    <row r="2572" spans="1:1" x14ac:dyDescent="0.2">
      <c r="A2572" t="e">
        <f>IF(NOT(ISBLANK([1]Variables!A2572)),[1]Variables!A2572,"")</f>
        <v>#REF!</v>
      </c>
    </row>
    <row r="2573" spans="1:1" x14ac:dyDescent="0.2">
      <c r="A2573" t="e">
        <f>IF(NOT(ISBLANK([1]Variables!A2573)),[1]Variables!A2573,"")</f>
        <v>#REF!</v>
      </c>
    </row>
    <row r="2574" spans="1:1" x14ac:dyDescent="0.2">
      <c r="A2574" t="e">
        <f>IF(NOT(ISBLANK([1]Variables!A2574)),[1]Variables!A2574,"")</f>
        <v>#REF!</v>
      </c>
    </row>
    <row r="2575" spans="1:1" x14ac:dyDescent="0.2">
      <c r="A2575" t="e">
        <f>IF(NOT(ISBLANK([1]Variables!A2575)),[1]Variables!A2575,"")</f>
        <v>#REF!</v>
      </c>
    </row>
    <row r="2576" spans="1:1" x14ac:dyDescent="0.2">
      <c r="A2576" t="e">
        <f>IF(NOT(ISBLANK([1]Variables!A2576)),[1]Variables!A2576,"")</f>
        <v>#REF!</v>
      </c>
    </row>
    <row r="2577" spans="1:1" x14ac:dyDescent="0.2">
      <c r="A2577" t="e">
        <f>IF(NOT(ISBLANK([1]Variables!A2577)),[1]Variables!A2577,"")</f>
        <v>#REF!</v>
      </c>
    </row>
    <row r="2578" spans="1:1" x14ac:dyDescent="0.2">
      <c r="A2578" t="e">
        <f>IF(NOT(ISBLANK([1]Variables!A2578)),[1]Variables!A2578,"")</f>
        <v>#REF!</v>
      </c>
    </row>
    <row r="2579" spans="1:1" x14ac:dyDescent="0.2">
      <c r="A2579" t="e">
        <f>IF(NOT(ISBLANK([1]Variables!A2579)),[1]Variables!A2579,"")</f>
        <v>#REF!</v>
      </c>
    </row>
    <row r="2580" spans="1:1" x14ac:dyDescent="0.2">
      <c r="A2580" t="e">
        <f>IF(NOT(ISBLANK([1]Variables!A2580)),[1]Variables!A2580,"")</f>
        <v>#REF!</v>
      </c>
    </row>
    <row r="2581" spans="1:1" x14ac:dyDescent="0.2">
      <c r="A2581" t="e">
        <f>IF(NOT(ISBLANK([1]Variables!A2581)),[1]Variables!A2581,"")</f>
        <v>#REF!</v>
      </c>
    </row>
    <row r="2582" spans="1:1" x14ac:dyDescent="0.2">
      <c r="A2582" t="e">
        <f>IF(NOT(ISBLANK([1]Variables!A2582)),[1]Variables!A2582,"")</f>
        <v>#REF!</v>
      </c>
    </row>
    <row r="2583" spans="1:1" x14ac:dyDescent="0.2">
      <c r="A2583" t="e">
        <f>IF(NOT(ISBLANK([1]Variables!A2583)),[1]Variables!A2583,"")</f>
        <v>#REF!</v>
      </c>
    </row>
    <row r="2584" spans="1:1" x14ac:dyDescent="0.2">
      <c r="A2584" t="e">
        <f>IF(NOT(ISBLANK([1]Variables!A2584)),[1]Variables!A2584,"")</f>
        <v>#REF!</v>
      </c>
    </row>
    <row r="2585" spans="1:1" x14ac:dyDescent="0.2">
      <c r="A2585" t="e">
        <f>IF(NOT(ISBLANK([1]Variables!A2585)),[1]Variables!A2585,"")</f>
        <v>#REF!</v>
      </c>
    </row>
    <row r="2586" spans="1:1" x14ac:dyDescent="0.2">
      <c r="A2586" t="e">
        <f>IF(NOT(ISBLANK([1]Variables!A2586)),[1]Variables!A2586,"")</f>
        <v>#REF!</v>
      </c>
    </row>
    <row r="2587" spans="1:1" x14ac:dyDescent="0.2">
      <c r="A2587" t="e">
        <f>IF(NOT(ISBLANK([1]Variables!A2587)),[1]Variables!A2587,"")</f>
        <v>#REF!</v>
      </c>
    </row>
    <row r="2588" spans="1:1" x14ac:dyDescent="0.2">
      <c r="A2588" t="e">
        <f>IF(NOT(ISBLANK([1]Variables!A2588)),[1]Variables!A2588,"")</f>
        <v>#REF!</v>
      </c>
    </row>
    <row r="2589" spans="1:1" x14ac:dyDescent="0.2">
      <c r="A2589" t="e">
        <f>IF(NOT(ISBLANK([1]Variables!A2589)),[1]Variables!A2589,"")</f>
        <v>#REF!</v>
      </c>
    </row>
    <row r="2590" spans="1:1" x14ac:dyDescent="0.2">
      <c r="A2590" t="e">
        <f>IF(NOT(ISBLANK([1]Variables!A2590)),[1]Variables!A2590,"")</f>
        <v>#REF!</v>
      </c>
    </row>
    <row r="2591" spans="1:1" x14ac:dyDescent="0.2">
      <c r="A2591" t="e">
        <f>IF(NOT(ISBLANK([1]Variables!A2591)),[1]Variables!A2591,"")</f>
        <v>#REF!</v>
      </c>
    </row>
    <row r="2592" spans="1:1" x14ac:dyDescent="0.2">
      <c r="A2592" t="e">
        <f>IF(NOT(ISBLANK([1]Variables!A2592)),[1]Variables!A2592,"")</f>
        <v>#REF!</v>
      </c>
    </row>
    <row r="2593" spans="1:1" x14ac:dyDescent="0.2">
      <c r="A2593" t="e">
        <f>IF(NOT(ISBLANK([1]Variables!A2593)),[1]Variables!A2593,"")</f>
        <v>#REF!</v>
      </c>
    </row>
    <row r="2594" spans="1:1" x14ac:dyDescent="0.2">
      <c r="A2594" t="e">
        <f>IF(NOT(ISBLANK([1]Variables!A2594)),[1]Variables!A2594,"")</f>
        <v>#REF!</v>
      </c>
    </row>
    <row r="2595" spans="1:1" x14ac:dyDescent="0.2">
      <c r="A2595" t="e">
        <f>IF(NOT(ISBLANK([1]Variables!A2595)),[1]Variables!A2595,"")</f>
        <v>#REF!</v>
      </c>
    </row>
    <row r="2596" spans="1:1" x14ac:dyDescent="0.2">
      <c r="A2596" t="e">
        <f>IF(NOT(ISBLANK([1]Variables!A2596)),[1]Variables!A2596,"")</f>
        <v>#REF!</v>
      </c>
    </row>
    <row r="2597" spans="1:1" x14ac:dyDescent="0.2">
      <c r="A2597" t="e">
        <f>IF(NOT(ISBLANK([1]Variables!A2597)),[1]Variables!A2597,"")</f>
        <v>#REF!</v>
      </c>
    </row>
    <row r="2598" spans="1:1" x14ac:dyDescent="0.2">
      <c r="A2598" t="e">
        <f>IF(NOT(ISBLANK([1]Variables!A2598)),[1]Variables!A2598,"")</f>
        <v>#REF!</v>
      </c>
    </row>
    <row r="2599" spans="1:1" x14ac:dyDescent="0.2">
      <c r="A2599" t="e">
        <f>IF(NOT(ISBLANK([1]Variables!A2599)),[1]Variables!A2599,"")</f>
        <v>#REF!</v>
      </c>
    </row>
    <row r="2600" spans="1:1" x14ac:dyDescent="0.2">
      <c r="A2600" t="e">
        <f>IF(NOT(ISBLANK([1]Variables!A2600)),[1]Variables!A2600,"")</f>
        <v>#REF!</v>
      </c>
    </row>
    <row r="2601" spans="1:1" x14ac:dyDescent="0.2">
      <c r="A2601" t="e">
        <f>IF(NOT(ISBLANK([1]Variables!A2601)),[1]Variables!A2601,"")</f>
        <v>#REF!</v>
      </c>
    </row>
    <row r="2602" spans="1:1" x14ac:dyDescent="0.2">
      <c r="A2602" t="e">
        <f>IF(NOT(ISBLANK([1]Variables!A2602)),[1]Variables!A2602,"")</f>
        <v>#REF!</v>
      </c>
    </row>
    <row r="2603" spans="1:1" x14ac:dyDescent="0.2">
      <c r="A2603" t="e">
        <f>IF(NOT(ISBLANK([1]Variables!A2603)),[1]Variables!A2603,"")</f>
        <v>#REF!</v>
      </c>
    </row>
    <row r="2604" spans="1:1" x14ac:dyDescent="0.2">
      <c r="A2604" t="e">
        <f>IF(NOT(ISBLANK([1]Variables!A2604)),[1]Variables!A2604,"")</f>
        <v>#REF!</v>
      </c>
    </row>
    <row r="2605" spans="1:1" x14ac:dyDescent="0.2">
      <c r="A2605" t="e">
        <f>IF(NOT(ISBLANK([1]Variables!A2605)),[1]Variables!A2605,"")</f>
        <v>#REF!</v>
      </c>
    </row>
    <row r="2606" spans="1:1" x14ac:dyDescent="0.2">
      <c r="A2606" t="e">
        <f>IF(NOT(ISBLANK([1]Variables!A2606)),[1]Variables!A2606,"")</f>
        <v>#REF!</v>
      </c>
    </row>
    <row r="2607" spans="1:1" x14ac:dyDescent="0.2">
      <c r="A2607" t="e">
        <f>IF(NOT(ISBLANK([1]Variables!A2607)),[1]Variables!A2607,"")</f>
        <v>#REF!</v>
      </c>
    </row>
    <row r="2608" spans="1:1" x14ac:dyDescent="0.2">
      <c r="A2608" t="e">
        <f>IF(NOT(ISBLANK([1]Variables!A2608)),[1]Variables!A2608,"")</f>
        <v>#REF!</v>
      </c>
    </row>
    <row r="2609" spans="1:1" x14ac:dyDescent="0.2">
      <c r="A2609" t="e">
        <f>IF(NOT(ISBLANK([1]Variables!A2609)),[1]Variables!A2609,"")</f>
        <v>#REF!</v>
      </c>
    </row>
    <row r="2610" spans="1:1" x14ac:dyDescent="0.2">
      <c r="A2610" t="e">
        <f>IF(NOT(ISBLANK([1]Variables!A2610)),[1]Variables!A2610,"")</f>
        <v>#REF!</v>
      </c>
    </row>
    <row r="2611" spans="1:1" x14ac:dyDescent="0.2">
      <c r="A2611" t="e">
        <f>IF(NOT(ISBLANK([1]Variables!A2611)),[1]Variables!A2611,"")</f>
        <v>#REF!</v>
      </c>
    </row>
    <row r="2612" spans="1:1" x14ac:dyDescent="0.2">
      <c r="A2612" t="e">
        <f>IF(NOT(ISBLANK([1]Variables!A2612)),[1]Variables!A2612,"")</f>
        <v>#REF!</v>
      </c>
    </row>
    <row r="2613" spans="1:1" x14ac:dyDescent="0.2">
      <c r="A2613" t="e">
        <f>IF(NOT(ISBLANK([1]Variables!A2613)),[1]Variables!A2613,"")</f>
        <v>#REF!</v>
      </c>
    </row>
    <row r="2614" spans="1:1" x14ac:dyDescent="0.2">
      <c r="A2614" t="e">
        <f>IF(NOT(ISBLANK([1]Variables!A2614)),[1]Variables!A2614,"")</f>
        <v>#REF!</v>
      </c>
    </row>
    <row r="2615" spans="1:1" x14ac:dyDescent="0.2">
      <c r="A2615" t="e">
        <f>IF(NOT(ISBLANK([1]Variables!A2615)),[1]Variables!A2615,"")</f>
        <v>#REF!</v>
      </c>
    </row>
    <row r="2616" spans="1:1" x14ac:dyDescent="0.2">
      <c r="A2616" t="e">
        <f>IF(NOT(ISBLANK([1]Variables!A2616)),[1]Variables!A2616,"")</f>
        <v>#REF!</v>
      </c>
    </row>
    <row r="2617" spans="1:1" x14ac:dyDescent="0.2">
      <c r="A2617" t="e">
        <f>IF(NOT(ISBLANK([1]Variables!A2617)),[1]Variables!A2617,"")</f>
        <v>#REF!</v>
      </c>
    </row>
    <row r="2618" spans="1:1" x14ac:dyDescent="0.2">
      <c r="A2618" t="e">
        <f>IF(NOT(ISBLANK([1]Variables!A2618)),[1]Variables!A2618,"")</f>
        <v>#REF!</v>
      </c>
    </row>
    <row r="2619" spans="1:1" x14ac:dyDescent="0.2">
      <c r="A2619" t="e">
        <f>IF(NOT(ISBLANK([1]Variables!A2619)),[1]Variables!A2619,"")</f>
        <v>#REF!</v>
      </c>
    </row>
    <row r="2620" spans="1:1" x14ac:dyDescent="0.2">
      <c r="A2620" t="e">
        <f>IF(NOT(ISBLANK([1]Variables!A2620)),[1]Variables!A2620,"")</f>
        <v>#REF!</v>
      </c>
    </row>
    <row r="2621" spans="1:1" x14ac:dyDescent="0.2">
      <c r="A2621" t="e">
        <f>IF(NOT(ISBLANK([1]Variables!A2621)),[1]Variables!A2621,"")</f>
        <v>#REF!</v>
      </c>
    </row>
    <row r="2622" spans="1:1" x14ac:dyDescent="0.2">
      <c r="A2622" t="e">
        <f>IF(NOT(ISBLANK([1]Variables!A2622)),[1]Variables!A2622,"")</f>
        <v>#REF!</v>
      </c>
    </row>
    <row r="2623" spans="1:1" x14ac:dyDescent="0.2">
      <c r="A2623" t="e">
        <f>IF(NOT(ISBLANK([1]Variables!A2623)),[1]Variables!A2623,"")</f>
        <v>#REF!</v>
      </c>
    </row>
    <row r="2624" spans="1:1" x14ac:dyDescent="0.2">
      <c r="A2624" t="e">
        <f>IF(NOT(ISBLANK([1]Variables!A2624)),[1]Variables!A2624,"")</f>
        <v>#REF!</v>
      </c>
    </row>
    <row r="2625" spans="1:1" x14ac:dyDescent="0.2">
      <c r="A2625" t="e">
        <f>IF(NOT(ISBLANK([1]Variables!A2625)),[1]Variables!A2625,"")</f>
        <v>#REF!</v>
      </c>
    </row>
    <row r="2626" spans="1:1" x14ac:dyDescent="0.2">
      <c r="A2626" t="e">
        <f>IF(NOT(ISBLANK([1]Variables!A2626)),[1]Variables!A2626,"")</f>
        <v>#REF!</v>
      </c>
    </row>
    <row r="2627" spans="1:1" x14ac:dyDescent="0.2">
      <c r="A2627" t="e">
        <f>IF(NOT(ISBLANK([1]Variables!A2627)),[1]Variables!A2627,"")</f>
        <v>#REF!</v>
      </c>
    </row>
    <row r="2628" spans="1:1" x14ac:dyDescent="0.2">
      <c r="A2628" t="e">
        <f>IF(NOT(ISBLANK([1]Variables!A2628)),[1]Variables!A2628,"")</f>
        <v>#REF!</v>
      </c>
    </row>
    <row r="2629" spans="1:1" x14ac:dyDescent="0.2">
      <c r="A2629" t="e">
        <f>IF(NOT(ISBLANK([1]Variables!A2629)),[1]Variables!A2629,"")</f>
        <v>#REF!</v>
      </c>
    </row>
    <row r="2630" spans="1:1" x14ac:dyDescent="0.2">
      <c r="A2630" t="e">
        <f>IF(NOT(ISBLANK([1]Variables!A2630)),[1]Variables!A2630,"")</f>
        <v>#REF!</v>
      </c>
    </row>
    <row r="2631" spans="1:1" x14ac:dyDescent="0.2">
      <c r="A2631" t="e">
        <f>IF(NOT(ISBLANK([1]Variables!A2631)),[1]Variables!A2631,"")</f>
        <v>#REF!</v>
      </c>
    </row>
    <row r="2632" spans="1:1" x14ac:dyDescent="0.2">
      <c r="A2632" t="e">
        <f>IF(NOT(ISBLANK([1]Variables!A2632)),[1]Variables!A2632,"")</f>
        <v>#REF!</v>
      </c>
    </row>
    <row r="2633" spans="1:1" x14ac:dyDescent="0.2">
      <c r="A2633" t="e">
        <f>IF(NOT(ISBLANK([1]Variables!A2633)),[1]Variables!A2633,"")</f>
        <v>#REF!</v>
      </c>
    </row>
    <row r="2634" spans="1:1" x14ac:dyDescent="0.2">
      <c r="A2634" t="e">
        <f>IF(NOT(ISBLANK([1]Variables!A2634)),[1]Variables!A2634,"")</f>
        <v>#REF!</v>
      </c>
    </row>
    <row r="2635" spans="1:1" x14ac:dyDescent="0.2">
      <c r="A2635" t="e">
        <f>IF(NOT(ISBLANK([1]Variables!A2635)),[1]Variables!A2635,"")</f>
        <v>#REF!</v>
      </c>
    </row>
    <row r="2636" spans="1:1" x14ac:dyDescent="0.2">
      <c r="A2636" t="e">
        <f>IF(NOT(ISBLANK([1]Variables!A2636)),[1]Variables!A2636,"")</f>
        <v>#REF!</v>
      </c>
    </row>
    <row r="2637" spans="1:1" x14ac:dyDescent="0.2">
      <c r="A2637" t="e">
        <f>IF(NOT(ISBLANK([1]Variables!A2637)),[1]Variables!A2637,"")</f>
        <v>#REF!</v>
      </c>
    </row>
    <row r="2638" spans="1:1" x14ac:dyDescent="0.2">
      <c r="A2638" t="e">
        <f>IF(NOT(ISBLANK([1]Variables!A2638)),[1]Variables!A2638,"")</f>
        <v>#REF!</v>
      </c>
    </row>
    <row r="2639" spans="1:1" x14ac:dyDescent="0.2">
      <c r="A2639" t="e">
        <f>IF(NOT(ISBLANK([1]Variables!A2639)),[1]Variables!A2639,"")</f>
        <v>#REF!</v>
      </c>
    </row>
    <row r="2640" spans="1:1" x14ac:dyDescent="0.2">
      <c r="A2640" t="e">
        <f>IF(NOT(ISBLANK([1]Variables!A2640)),[1]Variables!A2640,"")</f>
        <v>#REF!</v>
      </c>
    </row>
    <row r="2641" spans="1:1" x14ac:dyDescent="0.2">
      <c r="A2641" t="e">
        <f>IF(NOT(ISBLANK([1]Variables!A2641)),[1]Variables!A2641,"")</f>
        <v>#REF!</v>
      </c>
    </row>
    <row r="2642" spans="1:1" x14ac:dyDescent="0.2">
      <c r="A2642" t="e">
        <f>IF(NOT(ISBLANK([1]Variables!A2642)),[1]Variables!A2642,"")</f>
        <v>#REF!</v>
      </c>
    </row>
    <row r="2643" spans="1:1" x14ac:dyDescent="0.2">
      <c r="A2643" t="e">
        <f>IF(NOT(ISBLANK([1]Variables!A2643)),[1]Variables!A2643,"")</f>
        <v>#REF!</v>
      </c>
    </row>
    <row r="2644" spans="1:1" x14ac:dyDescent="0.2">
      <c r="A2644" t="e">
        <f>IF(NOT(ISBLANK([1]Variables!A2644)),[1]Variables!A2644,"")</f>
        <v>#REF!</v>
      </c>
    </row>
    <row r="2645" spans="1:1" x14ac:dyDescent="0.2">
      <c r="A2645" t="e">
        <f>IF(NOT(ISBLANK([1]Variables!A2645)),[1]Variables!A2645,"")</f>
        <v>#REF!</v>
      </c>
    </row>
    <row r="2646" spans="1:1" x14ac:dyDescent="0.2">
      <c r="A2646" t="e">
        <f>IF(NOT(ISBLANK([1]Variables!A2646)),[1]Variables!A2646,"")</f>
        <v>#REF!</v>
      </c>
    </row>
    <row r="2647" spans="1:1" x14ac:dyDescent="0.2">
      <c r="A2647" t="e">
        <f>IF(NOT(ISBLANK([1]Variables!A2647)),[1]Variables!A2647,"")</f>
        <v>#REF!</v>
      </c>
    </row>
    <row r="2648" spans="1:1" x14ac:dyDescent="0.2">
      <c r="A2648" t="e">
        <f>IF(NOT(ISBLANK([1]Variables!A2648)),[1]Variables!A2648,"")</f>
        <v>#REF!</v>
      </c>
    </row>
    <row r="2649" spans="1:1" x14ac:dyDescent="0.2">
      <c r="A2649" t="e">
        <f>IF(NOT(ISBLANK([1]Variables!A2649)),[1]Variables!A2649,"")</f>
        <v>#REF!</v>
      </c>
    </row>
    <row r="2650" spans="1:1" x14ac:dyDescent="0.2">
      <c r="A2650" t="e">
        <f>IF(NOT(ISBLANK([1]Variables!A2650)),[1]Variables!A2650,"")</f>
        <v>#REF!</v>
      </c>
    </row>
    <row r="2651" spans="1:1" x14ac:dyDescent="0.2">
      <c r="A2651" t="e">
        <f>IF(NOT(ISBLANK([1]Variables!A2651)),[1]Variables!A2651,"")</f>
        <v>#REF!</v>
      </c>
    </row>
    <row r="2652" spans="1:1" x14ac:dyDescent="0.2">
      <c r="A2652" t="e">
        <f>IF(NOT(ISBLANK([1]Variables!A2652)),[1]Variables!A2652,"")</f>
        <v>#REF!</v>
      </c>
    </row>
    <row r="2653" spans="1:1" x14ac:dyDescent="0.2">
      <c r="A2653" t="e">
        <f>IF(NOT(ISBLANK([1]Variables!A2653)),[1]Variables!A2653,"")</f>
        <v>#REF!</v>
      </c>
    </row>
    <row r="2654" spans="1:1" x14ac:dyDescent="0.2">
      <c r="A2654" t="e">
        <f>IF(NOT(ISBLANK([1]Variables!A2654)),[1]Variables!A2654,"")</f>
        <v>#REF!</v>
      </c>
    </row>
    <row r="2655" spans="1:1" x14ac:dyDescent="0.2">
      <c r="A2655" t="e">
        <f>IF(NOT(ISBLANK([1]Variables!A2655)),[1]Variables!A2655,"")</f>
        <v>#REF!</v>
      </c>
    </row>
    <row r="2656" spans="1:1" x14ac:dyDescent="0.2">
      <c r="A2656" t="e">
        <f>IF(NOT(ISBLANK([1]Variables!A2656)),[1]Variables!A2656,"")</f>
        <v>#REF!</v>
      </c>
    </row>
    <row r="2657" spans="1:1" x14ac:dyDescent="0.2">
      <c r="A2657" t="e">
        <f>IF(NOT(ISBLANK([1]Variables!A2657)),[1]Variables!A2657,"")</f>
        <v>#REF!</v>
      </c>
    </row>
    <row r="2658" spans="1:1" x14ac:dyDescent="0.2">
      <c r="A2658" t="e">
        <f>IF(NOT(ISBLANK([1]Variables!A2658)),[1]Variables!A2658,"")</f>
        <v>#REF!</v>
      </c>
    </row>
    <row r="2659" spans="1:1" x14ac:dyDescent="0.2">
      <c r="A2659" t="e">
        <f>IF(NOT(ISBLANK([1]Variables!A2659)),[1]Variables!A2659,"")</f>
        <v>#REF!</v>
      </c>
    </row>
    <row r="2660" spans="1:1" x14ac:dyDescent="0.2">
      <c r="A2660" t="e">
        <f>IF(NOT(ISBLANK([1]Variables!A2660)),[1]Variables!A2660,"")</f>
        <v>#REF!</v>
      </c>
    </row>
    <row r="2661" spans="1:1" x14ac:dyDescent="0.2">
      <c r="A2661" t="e">
        <f>IF(NOT(ISBLANK([1]Variables!A2661)),[1]Variables!A2661,"")</f>
        <v>#REF!</v>
      </c>
    </row>
    <row r="2662" spans="1:1" x14ac:dyDescent="0.2">
      <c r="A2662" t="e">
        <f>IF(NOT(ISBLANK([1]Variables!A2662)),[1]Variables!A2662,"")</f>
        <v>#REF!</v>
      </c>
    </row>
    <row r="2663" spans="1:1" x14ac:dyDescent="0.2">
      <c r="A2663" t="e">
        <f>IF(NOT(ISBLANK([1]Variables!A2663)),[1]Variables!A2663,"")</f>
        <v>#REF!</v>
      </c>
    </row>
    <row r="2664" spans="1:1" x14ac:dyDescent="0.2">
      <c r="A2664" t="e">
        <f>IF(NOT(ISBLANK([1]Variables!A2664)),[1]Variables!A2664,"")</f>
        <v>#REF!</v>
      </c>
    </row>
    <row r="2665" spans="1:1" x14ac:dyDescent="0.2">
      <c r="A2665" t="e">
        <f>IF(NOT(ISBLANK([1]Variables!A2665)),[1]Variables!A2665,"")</f>
        <v>#REF!</v>
      </c>
    </row>
    <row r="2666" spans="1:1" x14ac:dyDescent="0.2">
      <c r="A2666" t="e">
        <f>IF(NOT(ISBLANK([1]Variables!A2666)),[1]Variables!A2666,"")</f>
        <v>#REF!</v>
      </c>
    </row>
    <row r="2667" spans="1:1" x14ac:dyDescent="0.2">
      <c r="A2667" t="e">
        <f>IF(NOT(ISBLANK([1]Variables!A2667)),[1]Variables!A2667,"")</f>
        <v>#REF!</v>
      </c>
    </row>
    <row r="2668" spans="1:1" x14ac:dyDescent="0.2">
      <c r="A2668" t="e">
        <f>IF(NOT(ISBLANK([1]Variables!A2668)),[1]Variables!A2668,"")</f>
        <v>#REF!</v>
      </c>
    </row>
    <row r="2669" spans="1:1" x14ac:dyDescent="0.2">
      <c r="A2669" t="e">
        <f>IF(NOT(ISBLANK([1]Variables!A2669)),[1]Variables!A2669,"")</f>
        <v>#REF!</v>
      </c>
    </row>
    <row r="2670" spans="1:1" x14ac:dyDescent="0.2">
      <c r="A2670" t="e">
        <f>IF(NOT(ISBLANK([1]Variables!A2670)),[1]Variables!A2670,"")</f>
        <v>#REF!</v>
      </c>
    </row>
    <row r="2671" spans="1:1" x14ac:dyDescent="0.2">
      <c r="A2671" t="e">
        <f>IF(NOT(ISBLANK([1]Variables!A2671)),[1]Variables!A2671,"")</f>
        <v>#REF!</v>
      </c>
    </row>
    <row r="2672" spans="1:1" x14ac:dyDescent="0.2">
      <c r="A2672" t="e">
        <f>IF(NOT(ISBLANK([1]Variables!A2672)),[1]Variables!A2672,"")</f>
        <v>#REF!</v>
      </c>
    </row>
    <row r="2673" spans="1:1" x14ac:dyDescent="0.2">
      <c r="A2673" t="e">
        <f>IF(NOT(ISBLANK([1]Variables!A2673)),[1]Variables!A2673,"")</f>
        <v>#REF!</v>
      </c>
    </row>
    <row r="2674" spans="1:1" x14ac:dyDescent="0.2">
      <c r="A2674" t="e">
        <f>IF(NOT(ISBLANK([1]Variables!A2674)),[1]Variables!A2674,"")</f>
        <v>#REF!</v>
      </c>
    </row>
    <row r="2675" spans="1:1" x14ac:dyDescent="0.2">
      <c r="A2675" t="e">
        <f>IF(NOT(ISBLANK([1]Variables!A2675)),[1]Variables!A2675,"")</f>
        <v>#REF!</v>
      </c>
    </row>
    <row r="2676" spans="1:1" x14ac:dyDescent="0.2">
      <c r="A2676" t="e">
        <f>IF(NOT(ISBLANK([1]Variables!A2676)),[1]Variables!A2676,"")</f>
        <v>#REF!</v>
      </c>
    </row>
    <row r="2677" spans="1:1" x14ac:dyDescent="0.2">
      <c r="A2677" t="e">
        <f>IF(NOT(ISBLANK([1]Variables!A2677)),[1]Variables!A2677,"")</f>
        <v>#REF!</v>
      </c>
    </row>
    <row r="2678" spans="1:1" x14ac:dyDescent="0.2">
      <c r="A2678" t="e">
        <f>IF(NOT(ISBLANK([1]Variables!A2678)),[1]Variables!A2678,"")</f>
        <v>#REF!</v>
      </c>
    </row>
    <row r="2679" spans="1:1" x14ac:dyDescent="0.2">
      <c r="A2679" t="e">
        <f>IF(NOT(ISBLANK([1]Variables!A2679)),[1]Variables!A2679,"")</f>
        <v>#REF!</v>
      </c>
    </row>
    <row r="2680" spans="1:1" x14ac:dyDescent="0.2">
      <c r="A2680" t="e">
        <f>IF(NOT(ISBLANK([1]Variables!A2680)),[1]Variables!A2680,"")</f>
        <v>#REF!</v>
      </c>
    </row>
    <row r="2681" spans="1:1" x14ac:dyDescent="0.2">
      <c r="A2681" t="e">
        <f>IF(NOT(ISBLANK([1]Variables!A2681)),[1]Variables!A2681,"")</f>
        <v>#REF!</v>
      </c>
    </row>
    <row r="2682" spans="1:1" x14ac:dyDescent="0.2">
      <c r="A2682" t="e">
        <f>IF(NOT(ISBLANK([1]Variables!A2682)),[1]Variables!A2682,"")</f>
        <v>#REF!</v>
      </c>
    </row>
    <row r="2683" spans="1:1" x14ac:dyDescent="0.2">
      <c r="A2683" t="e">
        <f>IF(NOT(ISBLANK([1]Variables!A2683)),[1]Variables!A2683,"")</f>
        <v>#REF!</v>
      </c>
    </row>
    <row r="2684" spans="1:1" x14ac:dyDescent="0.2">
      <c r="A2684" t="e">
        <f>IF(NOT(ISBLANK([1]Variables!A2684)),[1]Variables!A2684,"")</f>
        <v>#REF!</v>
      </c>
    </row>
    <row r="2685" spans="1:1" x14ac:dyDescent="0.2">
      <c r="A2685" t="e">
        <f>IF(NOT(ISBLANK([1]Variables!A2685)),[1]Variables!A2685,"")</f>
        <v>#REF!</v>
      </c>
    </row>
    <row r="2686" spans="1:1" x14ac:dyDescent="0.2">
      <c r="A2686" t="e">
        <f>IF(NOT(ISBLANK([1]Variables!A2686)),[1]Variables!A2686,"")</f>
        <v>#REF!</v>
      </c>
    </row>
    <row r="2687" spans="1:1" x14ac:dyDescent="0.2">
      <c r="A2687" t="e">
        <f>IF(NOT(ISBLANK([1]Variables!A2687)),[1]Variables!A2687,"")</f>
        <v>#REF!</v>
      </c>
    </row>
    <row r="2688" spans="1:1" x14ac:dyDescent="0.2">
      <c r="A2688" t="e">
        <f>IF(NOT(ISBLANK([1]Variables!A2688)),[1]Variables!A2688,"")</f>
        <v>#REF!</v>
      </c>
    </row>
    <row r="2689" spans="1:1" x14ac:dyDescent="0.2">
      <c r="A2689" t="e">
        <f>IF(NOT(ISBLANK([1]Variables!A2689)),[1]Variables!A2689,"")</f>
        <v>#REF!</v>
      </c>
    </row>
    <row r="2690" spans="1:1" x14ac:dyDescent="0.2">
      <c r="A2690" t="e">
        <f>IF(NOT(ISBLANK([1]Variables!A2690)),[1]Variables!A2690,"")</f>
        <v>#REF!</v>
      </c>
    </row>
    <row r="2691" spans="1:1" x14ac:dyDescent="0.2">
      <c r="A2691" t="e">
        <f>IF(NOT(ISBLANK([1]Variables!A2691)),[1]Variables!A2691,"")</f>
        <v>#REF!</v>
      </c>
    </row>
    <row r="2692" spans="1:1" x14ac:dyDescent="0.2">
      <c r="A2692" t="e">
        <f>IF(NOT(ISBLANK([1]Variables!A2692)),[1]Variables!A2692,"")</f>
        <v>#REF!</v>
      </c>
    </row>
    <row r="2693" spans="1:1" x14ac:dyDescent="0.2">
      <c r="A2693" t="e">
        <f>IF(NOT(ISBLANK([1]Variables!A2693)),[1]Variables!A2693,"")</f>
        <v>#REF!</v>
      </c>
    </row>
    <row r="2694" spans="1:1" x14ac:dyDescent="0.2">
      <c r="A2694" t="e">
        <f>IF(NOT(ISBLANK([1]Variables!A2694)),[1]Variables!A2694,"")</f>
        <v>#REF!</v>
      </c>
    </row>
    <row r="2695" spans="1:1" x14ac:dyDescent="0.2">
      <c r="A2695" t="e">
        <f>IF(NOT(ISBLANK([1]Variables!A2695)),[1]Variables!A2695,"")</f>
        <v>#REF!</v>
      </c>
    </row>
    <row r="2696" spans="1:1" x14ac:dyDescent="0.2">
      <c r="A2696" t="e">
        <f>IF(NOT(ISBLANK([1]Variables!A2696)),[1]Variables!A2696,"")</f>
        <v>#REF!</v>
      </c>
    </row>
    <row r="2697" spans="1:1" x14ac:dyDescent="0.2">
      <c r="A2697" t="e">
        <f>IF(NOT(ISBLANK([1]Variables!A2697)),[1]Variables!A2697,"")</f>
        <v>#REF!</v>
      </c>
    </row>
    <row r="2698" spans="1:1" x14ac:dyDescent="0.2">
      <c r="A2698" t="e">
        <f>IF(NOT(ISBLANK([1]Variables!A2698)),[1]Variables!A2698,"")</f>
        <v>#REF!</v>
      </c>
    </row>
    <row r="2699" spans="1:1" x14ac:dyDescent="0.2">
      <c r="A2699" t="e">
        <f>IF(NOT(ISBLANK([1]Variables!A2699)),[1]Variables!A2699,"")</f>
        <v>#REF!</v>
      </c>
    </row>
    <row r="2700" spans="1:1" x14ac:dyDescent="0.2">
      <c r="A2700" t="e">
        <f>IF(NOT(ISBLANK([1]Variables!A2700)),[1]Variables!A2700,"")</f>
        <v>#REF!</v>
      </c>
    </row>
    <row r="2701" spans="1:1" x14ac:dyDescent="0.2">
      <c r="A2701" t="e">
        <f>IF(NOT(ISBLANK([1]Variables!A2701)),[1]Variables!A2701,"")</f>
        <v>#REF!</v>
      </c>
    </row>
    <row r="2702" spans="1:1" x14ac:dyDescent="0.2">
      <c r="A2702" t="e">
        <f>IF(NOT(ISBLANK([1]Variables!A2702)),[1]Variables!A2702,"")</f>
        <v>#REF!</v>
      </c>
    </row>
    <row r="2703" spans="1:1" x14ac:dyDescent="0.2">
      <c r="A2703" t="e">
        <f>IF(NOT(ISBLANK([1]Variables!A2703)),[1]Variables!A2703,"")</f>
        <v>#REF!</v>
      </c>
    </row>
    <row r="2704" spans="1:1" x14ac:dyDescent="0.2">
      <c r="A2704" t="e">
        <f>IF(NOT(ISBLANK([1]Variables!A2704)),[1]Variables!A2704,"")</f>
        <v>#REF!</v>
      </c>
    </row>
    <row r="2705" spans="1:1" x14ac:dyDescent="0.2">
      <c r="A2705" t="e">
        <f>IF(NOT(ISBLANK([1]Variables!A2705)),[1]Variables!A2705,"")</f>
        <v>#REF!</v>
      </c>
    </row>
    <row r="2706" spans="1:1" x14ac:dyDescent="0.2">
      <c r="A2706" t="e">
        <f>IF(NOT(ISBLANK([1]Variables!A2706)),[1]Variables!A2706,"")</f>
        <v>#REF!</v>
      </c>
    </row>
    <row r="2707" spans="1:1" x14ac:dyDescent="0.2">
      <c r="A2707" t="e">
        <f>IF(NOT(ISBLANK([1]Variables!A2707)),[1]Variables!A2707,"")</f>
        <v>#REF!</v>
      </c>
    </row>
    <row r="2708" spans="1:1" x14ac:dyDescent="0.2">
      <c r="A2708" t="e">
        <f>IF(NOT(ISBLANK([1]Variables!A2708)),[1]Variables!A2708,"")</f>
        <v>#REF!</v>
      </c>
    </row>
    <row r="2709" spans="1:1" x14ac:dyDescent="0.2">
      <c r="A2709" t="e">
        <f>IF(NOT(ISBLANK([1]Variables!A2709)),[1]Variables!A2709,"")</f>
        <v>#REF!</v>
      </c>
    </row>
    <row r="2710" spans="1:1" x14ac:dyDescent="0.2">
      <c r="A2710" t="e">
        <f>IF(NOT(ISBLANK([1]Variables!A2710)),[1]Variables!A2710,"")</f>
        <v>#REF!</v>
      </c>
    </row>
    <row r="2711" spans="1:1" x14ac:dyDescent="0.2">
      <c r="A2711" t="e">
        <f>IF(NOT(ISBLANK([1]Variables!A2711)),[1]Variables!A2711,"")</f>
        <v>#REF!</v>
      </c>
    </row>
    <row r="2712" spans="1:1" x14ac:dyDescent="0.2">
      <c r="A2712" t="e">
        <f>IF(NOT(ISBLANK([1]Variables!A2712)),[1]Variables!A2712,"")</f>
        <v>#REF!</v>
      </c>
    </row>
    <row r="2713" spans="1:1" x14ac:dyDescent="0.2">
      <c r="A2713" t="e">
        <f>IF(NOT(ISBLANK([1]Variables!A2713)),[1]Variables!A2713,"")</f>
        <v>#REF!</v>
      </c>
    </row>
    <row r="2714" spans="1:1" x14ac:dyDescent="0.2">
      <c r="A2714" t="e">
        <f>IF(NOT(ISBLANK([1]Variables!A2714)),[1]Variables!A2714,"")</f>
        <v>#REF!</v>
      </c>
    </row>
    <row r="2715" spans="1:1" x14ac:dyDescent="0.2">
      <c r="A2715" t="e">
        <f>IF(NOT(ISBLANK([1]Variables!A2715)),[1]Variables!A2715,"")</f>
        <v>#REF!</v>
      </c>
    </row>
    <row r="2716" spans="1:1" x14ac:dyDescent="0.2">
      <c r="A2716" t="e">
        <f>IF(NOT(ISBLANK([1]Variables!A2716)),[1]Variables!A2716,"")</f>
        <v>#REF!</v>
      </c>
    </row>
    <row r="2717" spans="1:1" x14ac:dyDescent="0.2">
      <c r="A2717" t="e">
        <f>IF(NOT(ISBLANK([1]Variables!A2717)),[1]Variables!A2717,"")</f>
        <v>#REF!</v>
      </c>
    </row>
    <row r="2718" spans="1:1" x14ac:dyDescent="0.2">
      <c r="A2718" t="e">
        <f>IF(NOT(ISBLANK([1]Variables!A2718)),[1]Variables!A2718,"")</f>
        <v>#REF!</v>
      </c>
    </row>
    <row r="2719" spans="1:1" x14ac:dyDescent="0.2">
      <c r="A2719" t="e">
        <f>IF(NOT(ISBLANK([1]Variables!A2719)),[1]Variables!A2719,"")</f>
        <v>#REF!</v>
      </c>
    </row>
    <row r="2720" spans="1:1" x14ac:dyDescent="0.2">
      <c r="A2720" t="e">
        <f>IF(NOT(ISBLANK([1]Variables!A2720)),[1]Variables!A2720,"")</f>
        <v>#REF!</v>
      </c>
    </row>
    <row r="2721" spans="1:1" x14ac:dyDescent="0.2">
      <c r="A2721" t="e">
        <f>IF(NOT(ISBLANK([1]Variables!A2721)),[1]Variables!A2721,"")</f>
        <v>#REF!</v>
      </c>
    </row>
    <row r="2722" spans="1:1" x14ac:dyDescent="0.2">
      <c r="A2722" t="e">
        <f>IF(NOT(ISBLANK([1]Variables!A2722)),[1]Variables!A2722,"")</f>
        <v>#REF!</v>
      </c>
    </row>
    <row r="2723" spans="1:1" x14ac:dyDescent="0.2">
      <c r="A2723" t="e">
        <f>IF(NOT(ISBLANK([1]Variables!A2723)),[1]Variables!A2723,"")</f>
        <v>#REF!</v>
      </c>
    </row>
    <row r="2724" spans="1:1" x14ac:dyDescent="0.2">
      <c r="A2724" t="e">
        <f>IF(NOT(ISBLANK([1]Variables!A2724)),[1]Variables!A2724,"")</f>
        <v>#REF!</v>
      </c>
    </row>
    <row r="2725" spans="1:1" x14ac:dyDescent="0.2">
      <c r="A2725" t="e">
        <f>IF(NOT(ISBLANK([1]Variables!A2725)),[1]Variables!A2725,"")</f>
        <v>#REF!</v>
      </c>
    </row>
    <row r="2726" spans="1:1" x14ac:dyDescent="0.2">
      <c r="A2726" t="e">
        <f>IF(NOT(ISBLANK([1]Variables!A2726)),[1]Variables!A2726,"")</f>
        <v>#REF!</v>
      </c>
    </row>
    <row r="2727" spans="1:1" x14ac:dyDescent="0.2">
      <c r="A2727" t="e">
        <f>IF(NOT(ISBLANK([1]Variables!A2727)),[1]Variables!A2727,"")</f>
        <v>#REF!</v>
      </c>
    </row>
    <row r="2728" spans="1:1" x14ac:dyDescent="0.2">
      <c r="A2728" t="e">
        <f>IF(NOT(ISBLANK([1]Variables!A2728)),[1]Variables!A2728,"")</f>
        <v>#REF!</v>
      </c>
    </row>
    <row r="2729" spans="1:1" x14ac:dyDescent="0.2">
      <c r="A2729" t="e">
        <f>IF(NOT(ISBLANK([1]Variables!A2729)),[1]Variables!A2729,"")</f>
        <v>#REF!</v>
      </c>
    </row>
    <row r="2730" spans="1:1" x14ac:dyDescent="0.2">
      <c r="A2730" t="e">
        <f>IF(NOT(ISBLANK([1]Variables!A2730)),[1]Variables!A2730,"")</f>
        <v>#REF!</v>
      </c>
    </row>
    <row r="2731" spans="1:1" x14ac:dyDescent="0.2">
      <c r="A2731" t="e">
        <f>IF(NOT(ISBLANK([1]Variables!A2731)),[1]Variables!A2731,"")</f>
        <v>#REF!</v>
      </c>
    </row>
    <row r="2732" spans="1:1" x14ac:dyDescent="0.2">
      <c r="A2732" t="e">
        <f>IF(NOT(ISBLANK([1]Variables!A2732)),[1]Variables!A2732,"")</f>
        <v>#REF!</v>
      </c>
    </row>
    <row r="2733" spans="1:1" x14ac:dyDescent="0.2">
      <c r="A2733" t="e">
        <f>IF(NOT(ISBLANK([1]Variables!A2733)),[1]Variables!A2733,"")</f>
        <v>#REF!</v>
      </c>
    </row>
    <row r="2734" spans="1:1" x14ac:dyDescent="0.2">
      <c r="A2734" t="e">
        <f>IF(NOT(ISBLANK([1]Variables!A2734)),[1]Variables!A2734,"")</f>
        <v>#REF!</v>
      </c>
    </row>
    <row r="2735" spans="1:1" x14ac:dyDescent="0.2">
      <c r="A2735" t="e">
        <f>IF(NOT(ISBLANK([1]Variables!A2735)),[1]Variables!A2735,"")</f>
        <v>#REF!</v>
      </c>
    </row>
    <row r="2736" spans="1:1" x14ac:dyDescent="0.2">
      <c r="A2736" t="e">
        <f>IF(NOT(ISBLANK([1]Variables!A2736)),[1]Variables!A2736,"")</f>
        <v>#REF!</v>
      </c>
    </row>
    <row r="2737" spans="1:1" x14ac:dyDescent="0.2">
      <c r="A2737" t="e">
        <f>IF(NOT(ISBLANK([1]Variables!A2737)),[1]Variables!A2737,"")</f>
        <v>#REF!</v>
      </c>
    </row>
    <row r="2738" spans="1:1" x14ac:dyDescent="0.2">
      <c r="A2738" t="e">
        <f>IF(NOT(ISBLANK([1]Variables!A2738)),[1]Variables!A2738,"")</f>
        <v>#REF!</v>
      </c>
    </row>
    <row r="2739" spans="1:1" x14ac:dyDescent="0.2">
      <c r="A2739" t="e">
        <f>IF(NOT(ISBLANK([1]Variables!A2739)),[1]Variables!A2739,"")</f>
        <v>#REF!</v>
      </c>
    </row>
    <row r="2740" spans="1:1" x14ac:dyDescent="0.2">
      <c r="A2740" t="e">
        <f>IF(NOT(ISBLANK([1]Variables!A2740)),[1]Variables!A2740,"")</f>
        <v>#REF!</v>
      </c>
    </row>
    <row r="2741" spans="1:1" x14ac:dyDescent="0.2">
      <c r="A2741" t="e">
        <f>IF(NOT(ISBLANK([1]Variables!A2741)),[1]Variables!A2741,"")</f>
        <v>#REF!</v>
      </c>
    </row>
    <row r="2742" spans="1:1" x14ac:dyDescent="0.2">
      <c r="A2742" t="e">
        <f>IF(NOT(ISBLANK([1]Variables!A2742)),[1]Variables!A2742,"")</f>
        <v>#REF!</v>
      </c>
    </row>
    <row r="2743" spans="1:1" x14ac:dyDescent="0.2">
      <c r="A2743" t="e">
        <f>IF(NOT(ISBLANK([1]Variables!A2743)),[1]Variables!A2743,"")</f>
        <v>#REF!</v>
      </c>
    </row>
    <row r="2744" spans="1:1" x14ac:dyDescent="0.2">
      <c r="A2744" t="e">
        <f>IF(NOT(ISBLANK([1]Variables!A2744)),[1]Variables!A2744,"")</f>
        <v>#REF!</v>
      </c>
    </row>
    <row r="2745" spans="1:1" x14ac:dyDescent="0.2">
      <c r="A2745" t="e">
        <f>IF(NOT(ISBLANK([1]Variables!A2745)),[1]Variables!A2745,"")</f>
        <v>#REF!</v>
      </c>
    </row>
    <row r="2746" spans="1:1" x14ac:dyDescent="0.2">
      <c r="A2746" t="e">
        <f>IF(NOT(ISBLANK([1]Variables!A2746)),[1]Variables!A2746,"")</f>
        <v>#REF!</v>
      </c>
    </row>
    <row r="2747" spans="1:1" x14ac:dyDescent="0.2">
      <c r="A2747" t="e">
        <f>IF(NOT(ISBLANK([1]Variables!A2747)),[1]Variables!A2747,"")</f>
        <v>#REF!</v>
      </c>
    </row>
    <row r="2748" spans="1:1" x14ac:dyDescent="0.2">
      <c r="A2748" t="e">
        <f>IF(NOT(ISBLANK([1]Variables!A2748)),[1]Variables!A2748,"")</f>
        <v>#REF!</v>
      </c>
    </row>
    <row r="2749" spans="1:1" x14ac:dyDescent="0.2">
      <c r="A2749" t="e">
        <f>IF(NOT(ISBLANK([1]Variables!A2749)),[1]Variables!A2749,"")</f>
        <v>#REF!</v>
      </c>
    </row>
    <row r="2750" spans="1:1" x14ac:dyDescent="0.2">
      <c r="A2750" t="e">
        <f>IF(NOT(ISBLANK([1]Variables!A2750)),[1]Variables!A2750,"")</f>
        <v>#REF!</v>
      </c>
    </row>
    <row r="2751" spans="1:1" x14ac:dyDescent="0.2">
      <c r="A2751" t="e">
        <f>IF(NOT(ISBLANK([1]Variables!A2751)),[1]Variables!A2751,"")</f>
        <v>#REF!</v>
      </c>
    </row>
    <row r="2752" spans="1:1" x14ac:dyDescent="0.2">
      <c r="A2752" t="e">
        <f>IF(NOT(ISBLANK([1]Variables!A2752)),[1]Variables!A2752,"")</f>
        <v>#REF!</v>
      </c>
    </row>
    <row r="2753" spans="1:1" x14ac:dyDescent="0.2">
      <c r="A2753" t="e">
        <f>IF(NOT(ISBLANK([1]Variables!A2753)),[1]Variables!A2753,"")</f>
        <v>#REF!</v>
      </c>
    </row>
    <row r="2754" spans="1:1" x14ac:dyDescent="0.2">
      <c r="A2754" t="e">
        <f>IF(NOT(ISBLANK([1]Variables!A2754)),[1]Variables!A2754,"")</f>
        <v>#REF!</v>
      </c>
    </row>
    <row r="2755" spans="1:1" x14ac:dyDescent="0.2">
      <c r="A2755" t="e">
        <f>IF(NOT(ISBLANK([1]Variables!A2755)),[1]Variables!A2755,"")</f>
        <v>#REF!</v>
      </c>
    </row>
    <row r="2756" spans="1:1" x14ac:dyDescent="0.2">
      <c r="A2756" t="e">
        <f>IF(NOT(ISBLANK([1]Variables!A2756)),[1]Variables!A2756,"")</f>
        <v>#REF!</v>
      </c>
    </row>
    <row r="2757" spans="1:1" x14ac:dyDescent="0.2">
      <c r="A2757" t="e">
        <f>IF(NOT(ISBLANK([1]Variables!A2757)),[1]Variables!A2757,"")</f>
        <v>#REF!</v>
      </c>
    </row>
    <row r="2758" spans="1:1" x14ac:dyDescent="0.2">
      <c r="A2758" t="e">
        <f>IF(NOT(ISBLANK([1]Variables!A2758)),[1]Variables!A2758,"")</f>
        <v>#REF!</v>
      </c>
    </row>
    <row r="2759" spans="1:1" x14ac:dyDescent="0.2">
      <c r="A2759" t="e">
        <f>IF(NOT(ISBLANK([1]Variables!A2759)),[1]Variables!A2759,"")</f>
        <v>#REF!</v>
      </c>
    </row>
    <row r="2760" spans="1:1" x14ac:dyDescent="0.2">
      <c r="A2760" t="e">
        <f>IF(NOT(ISBLANK([1]Variables!A2760)),[1]Variables!A2760,"")</f>
        <v>#REF!</v>
      </c>
    </row>
    <row r="2761" spans="1:1" x14ac:dyDescent="0.2">
      <c r="A2761" t="e">
        <f>IF(NOT(ISBLANK([1]Variables!A2761)),[1]Variables!A2761,"")</f>
        <v>#REF!</v>
      </c>
    </row>
    <row r="2762" spans="1:1" x14ac:dyDescent="0.2">
      <c r="A2762" t="e">
        <f>IF(NOT(ISBLANK([1]Variables!A2762)),[1]Variables!A2762,"")</f>
        <v>#REF!</v>
      </c>
    </row>
    <row r="2763" spans="1:1" x14ac:dyDescent="0.2">
      <c r="A2763" t="e">
        <f>IF(NOT(ISBLANK([1]Variables!A2763)),[1]Variables!A2763,"")</f>
        <v>#REF!</v>
      </c>
    </row>
    <row r="2764" spans="1:1" x14ac:dyDescent="0.2">
      <c r="A2764" t="e">
        <f>IF(NOT(ISBLANK([1]Variables!A2764)),[1]Variables!A2764,"")</f>
        <v>#REF!</v>
      </c>
    </row>
    <row r="2765" spans="1:1" x14ac:dyDescent="0.2">
      <c r="A2765" t="e">
        <f>IF(NOT(ISBLANK([1]Variables!A2765)),[1]Variables!A2765,"")</f>
        <v>#REF!</v>
      </c>
    </row>
    <row r="2766" spans="1:1" x14ac:dyDescent="0.2">
      <c r="A2766" t="e">
        <f>IF(NOT(ISBLANK([1]Variables!A2766)),[1]Variables!A2766,"")</f>
        <v>#REF!</v>
      </c>
    </row>
    <row r="2767" spans="1:1" x14ac:dyDescent="0.2">
      <c r="A2767" t="e">
        <f>IF(NOT(ISBLANK([1]Variables!A2767)),[1]Variables!A2767,"")</f>
        <v>#REF!</v>
      </c>
    </row>
    <row r="2768" spans="1:1" x14ac:dyDescent="0.2">
      <c r="A2768" t="e">
        <f>IF(NOT(ISBLANK([1]Variables!A2768)),[1]Variables!A2768,"")</f>
        <v>#REF!</v>
      </c>
    </row>
    <row r="2769" spans="1:1" x14ac:dyDescent="0.2">
      <c r="A2769" t="e">
        <f>IF(NOT(ISBLANK([1]Variables!A2769)),[1]Variables!A2769,"")</f>
        <v>#REF!</v>
      </c>
    </row>
    <row r="2770" spans="1:1" x14ac:dyDescent="0.2">
      <c r="A2770" t="e">
        <f>IF(NOT(ISBLANK([1]Variables!A2770)),[1]Variables!A2770,"")</f>
        <v>#REF!</v>
      </c>
    </row>
    <row r="2771" spans="1:1" x14ac:dyDescent="0.2">
      <c r="A2771" t="e">
        <f>IF(NOT(ISBLANK([1]Variables!A2771)),[1]Variables!A2771,"")</f>
        <v>#REF!</v>
      </c>
    </row>
    <row r="2772" spans="1:1" x14ac:dyDescent="0.2">
      <c r="A2772" t="e">
        <f>IF(NOT(ISBLANK([1]Variables!A2772)),[1]Variables!A2772,"")</f>
        <v>#REF!</v>
      </c>
    </row>
    <row r="2773" spans="1:1" x14ac:dyDescent="0.2">
      <c r="A2773" t="e">
        <f>IF(NOT(ISBLANK([1]Variables!A2773)),[1]Variables!A2773,"")</f>
        <v>#REF!</v>
      </c>
    </row>
    <row r="2774" spans="1:1" x14ac:dyDescent="0.2">
      <c r="A2774" t="e">
        <f>IF(NOT(ISBLANK([1]Variables!A2774)),[1]Variables!A2774,"")</f>
        <v>#REF!</v>
      </c>
    </row>
    <row r="2775" spans="1:1" x14ac:dyDescent="0.2">
      <c r="A2775" t="e">
        <f>IF(NOT(ISBLANK([1]Variables!A2775)),[1]Variables!A2775,"")</f>
        <v>#REF!</v>
      </c>
    </row>
    <row r="2776" spans="1:1" x14ac:dyDescent="0.2">
      <c r="A2776" t="e">
        <f>IF(NOT(ISBLANK([1]Variables!A2776)),[1]Variables!A2776,"")</f>
        <v>#REF!</v>
      </c>
    </row>
    <row r="2777" spans="1:1" x14ac:dyDescent="0.2">
      <c r="A2777" t="e">
        <f>IF(NOT(ISBLANK([1]Variables!A2777)),[1]Variables!A2777,"")</f>
        <v>#REF!</v>
      </c>
    </row>
    <row r="2778" spans="1:1" x14ac:dyDescent="0.2">
      <c r="A2778" t="e">
        <f>IF(NOT(ISBLANK([1]Variables!A2778)),[1]Variables!A2778,"")</f>
        <v>#REF!</v>
      </c>
    </row>
    <row r="2779" spans="1:1" x14ac:dyDescent="0.2">
      <c r="A2779" t="e">
        <f>IF(NOT(ISBLANK([1]Variables!A2779)),[1]Variables!A2779,"")</f>
        <v>#REF!</v>
      </c>
    </row>
    <row r="2780" spans="1:1" x14ac:dyDescent="0.2">
      <c r="A2780" t="e">
        <f>IF(NOT(ISBLANK([1]Variables!A2780)),[1]Variables!A2780,"")</f>
        <v>#REF!</v>
      </c>
    </row>
    <row r="2781" spans="1:1" x14ac:dyDescent="0.2">
      <c r="A2781" t="e">
        <f>IF(NOT(ISBLANK([1]Variables!A2781)),[1]Variables!A2781,"")</f>
        <v>#REF!</v>
      </c>
    </row>
    <row r="2782" spans="1:1" x14ac:dyDescent="0.2">
      <c r="A2782" t="e">
        <f>IF(NOT(ISBLANK([1]Variables!A2782)),[1]Variables!A2782,"")</f>
        <v>#REF!</v>
      </c>
    </row>
    <row r="2783" spans="1:1" x14ac:dyDescent="0.2">
      <c r="A2783" t="e">
        <f>IF(NOT(ISBLANK([1]Variables!A2783)),[1]Variables!A2783,"")</f>
        <v>#REF!</v>
      </c>
    </row>
    <row r="2784" spans="1:1" x14ac:dyDescent="0.2">
      <c r="A2784" t="e">
        <f>IF(NOT(ISBLANK([1]Variables!A2784)),[1]Variables!A2784,"")</f>
        <v>#REF!</v>
      </c>
    </row>
    <row r="2785" spans="1:1" x14ac:dyDescent="0.2">
      <c r="A2785" t="e">
        <f>IF(NOT(ISBLANK([1]Variables!A2785)),[1]Variables!A2785,"")</f>
        <v>#REF!</v>
      </c>
    </row>
    <row r="2786" spans="1:1" x14ac:dyDescent="0.2">
      <c r="A2786" t="e">
        <f>IF(NOT(ISBLANK([1]Variables!A2786)),[1]Variables!A2786,"")</f>
        <v>#REF!</v>
      </c>
    </row>
    <row r="2787" spans="1:1" x14ac:dyDescent="0.2">
      <c r="A2787" t="e">
        <f>IF(NOT(ISBLANK([1]Variables!A2787)),[1]Variables!A2787,"")</f>
        <v>#REF!</v>
      </c>
    </row>
    <row r="2788" spans="1:1" x14ac:dyDescent="0.2">
      <c r="A2788" t="e">
        <f>IF(NOT(ISBLANK([1]Variables!A2788)),[1]Variables!A2788,"")</f>
        <v>#REF!</v>
      </c>
    </row>
    <row r="2789" spans="1:1" x14ac:dyDescent="0.2">
      <c r="A2789" t="e">
        <f>IF(NOT(ISBLANK([1]Variables!A2789)),[1]Variables!A2789,"")</f>
        <v>#REF!</v>
      </c>
    </row>
    <row r="2790" spans="1:1" x14ac:dyDescent="0.2">
      <c r="A2790" t="e">
        <f>IF(NOT(ISBLANK([1]Variables!A2790)),[1]Variables!A2790,"")</f>
        <v>#REF!</v>
      </c>
    </row>
    <row r="2791" spans="1:1" x14ac:dyDescent="0.2">
      <c r="A2791" t="e">
        <f>IF(NOT(ISBLANK([1]Variables!A2791)),[1]Variables!A2791,"")</f>
        <v>#REF!</v>
      </c>
    </row>
    <row r="2792" spans="1:1" x14ac:dyDescent="0.2">
      <c r="A2792" t="e">
        <f>IF(NOT(ISBLANK([1]Variables!A2792)),[1]Variables!A2792,"")</f>
        <v>#REF!</v>
      </c>
    </row>
    <row r="2793" spans="1:1" x14ac:dyDescent="0.2">
      <c r="A2793" t="e">
        <f>IF(NOT(ISBLANK([1]Variables!A2793)),[1]Variables!A2793,"")</f>
        <v>#REF!</v>
      </c>
    </row>
    <row r="2794" spans="1:1" x14ac:dyDescent="0.2">
      <c r="A2794" t="e">
        <f>IF(NOT(ISBLANK([1]Variables!A2794)),[1]Variables!A2794,"")</f>
        <v>#REF!</v>
      </c>
    </row>
    <row r="2795" spans="1:1" x14ac:dyDescent="0.2">
      <c r="A2795" t="e">
        <f>IF(NOT(ISBLANK([1]Variables!A2795)),[1]Variables!A2795,"")</f>
        <v>#REF!</v>
      </c>
    </row>
    <row r="2796" spans="1:1" x14ac:dyDescent="0.2">
      <c r="A2796" t="e">
        <f>IF(NOT(ISBLANK([1]Variables!A2796)),[1]Variables!A2796,"")</f>
        <v>#REF!</v>
      </c>
    </row>
    <row r="2797" spans="1:1" x14ac:dyDescent="0.2">
      <c r="A2797" t="e">
        <f>IF(NOT(ISBLANK([1]Variables!A2797)),[1]Variables!A2797,"")</f>
        <v>#REF!</v>
      </c>
    </row>
    <row r="2798" spans="1:1" x14ac:dyDescent="0.2">
      <c r="A2798" t="e">
        <f>IF(NOT(ISBLANK([1]Variables!A2798)),[1]Variables!A2798,"")</f>
        <v>#REF!</v>
      </c>
    </row>
    <row r="2799" spans="1:1" x14ac:dyDescent="0.2">
      <c r="A2799" t="e">
        <f>IF(NOT(ISBLANK([1]Variables!A2799)),[1]Variables!A2799,"")</f>
        <v>#REF!</v>
      </c>
    </row>
    <row r="2800" spans="1:1" x14ac:dyDescent="0.2">
      <c r="A2800" t="e">
        <f>IF(NOT(ISBLANK([1]Variables!A2800)),[1]Variables!A2800,"")</f>
        <v>#REF!</v>
      </c>
    </row>
    <row r="2801" spans="1:1" x14ac:dyDescent="0.2">
      <c r="A2801" t="e">
        <f>IF(NOT(ISBLANK([1]Variables!A2801)),[1]Variables!A2801,"")</f>
        <v>#REF!</v>
      </c>
    </row>
    <row r="2802" spans="1:1" x14ac:dyDescent="0.2">
      <c r="A2802" t="e">
        <f>IF(NOT(ISBLANK([1]Variables!A2802)),[1]Variables!A2802,"")</f>
        <v>#REF!</v>
      </c>
    </row>
    <row r="2803" spans="1:1" x14ac:dyDescent="0.2">
      <c r="A2803" t="e">
        <f>IF(NOT(ISBLANK([1]Variables!A2803)),[1]Variables!A2803,"")</f>
        <v>#REF!</v>
      </c>
    </row>
    <row r="2804" spans="1:1" x14ac:dyDescent="0.2">
      <c r="A2804" t="e">
        <f>IF(NOT(ISBLANK([1]Variables!A2804)),[1]Variables!A2804,"")</f>
        <v>#REF!</v>
      </c>
    </row>
    <row r="2805" spans="1:1" x14ac:dyDescent="0.2">
      <c r="A2805" t="e">
        <f>IF(NOT(ISBLANK([1]Variables!A2805)),[1]Variables!A2805,"")</f>
        <v>#REF!</v>
      </c>
    </row>
    <row r="2806" spans="1:1" x14ac:dyDescent="0.2">
      <c r="A2806" t="e">
        <f>IF(NOT(ISBLANK([1]Variables!A2806)),[1]Variables!A2806,"")</f>
        <v>#REF!</v>
      </c>
    </row>
    <row r="2807" spans="1:1" x14ac:dyDescent="0.2">
      <c r="A2807" t="e">
        <f>IF(NOT(ISBLANK([1]Variables!A2807)),[1]Variables!A2807,"")</f>
        <v>#REF!</v>
      </c>
    </row>
    <row r="2808" spans="1:1" x14ac:dyDescent="0.2">
      <c r="A2808" t="e">
        <f>IF(NOT(ISBLANK([1]Variables!A2808)),[1]Variables!A2808,"")</f>
        <v>#REF!</v>
      </c>
    </row>
    <row r="2809" spans="1:1" x14ac:dyDescent="0.2">
      <c r="A2809" t="e">
        <f>IF(NOT(ISBLANK([1]Variables!A2809)),[1]Variables!A2809,"")</f>
        <v>#REF!</v>
      </c>
    </row>
    <row r="2810" spans="1:1" x14ac:dyDescent="0.2">
      <c r="A2810" t="e">
        <f>IF(NOT(ISBLANK([1]Variables!A2810)),[1]Variables!A2810,"")</f>
        <v>#REF!</v>
      </c>
    </row>
    <row r="2811" spans="1:1" x14ac:dyDescent="0.2">
      <c r="A2811" t="e">
        <f>IF(NOT(ISBLANK([1]Variables!A2811)),[1]Variables!A2811,"")</f>
        <v>#REF!</v>
      </c>
    </row>
    <row r="2812" spans="1:1" x14ac:dyDescent="0.2">
      <c r="A2812" t="e">
        <f>IF(NOT(ISBLANK([1]Variables!A2812)),[1]Variables!A2812,"")</f>
        <v>#REF!</v>
      </c>
    </row>
    <row r="2813" spans="1:1" x14ac:dyDescent="0.2">
      <c r="A2813" t="e">
        <f>IF(NOT(ISBLANK([1]Variables!A2813)),[1]Variables!A2813,"")</f>
        <v>#REF!</v>
      </c>
    </row>
    <row r="2814" spans="1:1" x14ac:dyDescent="0.2">
      <c r="A2814" t="e">
        <f>IF(NOT(ISBLANK([1]Variables!A2814)),[1]Variables!A2814,"")</f>
        <v>#REF!</v>
      </c>
    </row>
    <row r="2815" spans="1:1" x14ac:dyDescent="0.2">
      <c r="A2815" t="e">
        <f>IF(NOT(ISBLANK([1]Variables!A2815)),[1]Variables!A2815,"")</f>
        <v>#REF!</v>
      </c>
    </row>
    <row r="2816" spans="1:1" x14ac:dyDescent="0.2">
      <c r="A2816" t="e">
        <f>IF(NOT(ISBLANK([1]Variables!A2816)),[1]Variables!A2816,"")</f>
        <v>#REF!</v>
      </c>
    </row>
    <row r="2817" spans="1:1" x14ac:dyDescent="0.2">
      <c r="A2817" t="e">
        <f>IF(NOT(ISBLANK([1]Variables!A2817)),[1]Variables!A2817,"")</f>
        <v>#REF!</v>
      </c>
    </row>
    <row r="2818" spans="1:1" x14ac:dyDescent="0.2">
      <c r="A2818" t="e">
        <f>IF(NOT(ISBLANK([1]Variables!A2818)),[1]Variables!A2818,"")</f>
        <v>#REF!</v>
      </c>
    </row>
    <row r="2819" spans="1:1" x14ac:dyDescent="0.2">
      <c r="A2819" t="e">
        <f>IF(NOT(ISBLANK([1]Variables!A2819)),[1]Variables!A2819,"")</f>
        <v>#REF!</v>
      </c>
    </row>
    <row r="2820" spans="1:1" x14ac:dyDescent="0.2">
      <c r="A2820" t="e">
        <f>IF(NOT(ISBLANK([1]Variables!A2820)),[1]Variables!A2820,"")</f>
        <v>#REF!</v>
      </c>
    </row>
    <row r="2821" spans="1:1" x14ac:dyDescent="0.2">
      <c r="A2821" t="e">
        <f>IF(NOT(ISBLANK([1]Variables!A2821)),[1]Variables!A2821,"")</f>
        <v>#REF!</v>
      </c>
    </row>
    <row r="2822" spans="1:1" x14ac:dyDescent="0.2">
      <c r="A2822" t="e">
        <f>IF(NOT(ISBLANK([1]Variables!A2822)),[1]Variables!A2822,"")</f>
        <v>#REF!</v>
      </c>
    </row>
    <row r="2823" spans="1:1" x14ac:dyDescent="0.2">
      <c r="A2823" t="e">
        <f>IF(NOT(ISBLANK([1]Variables!A2823)),[1]Variables!A2823,"")</f>
        <v>#REF!</v>
      </c>
    </row>
    <row r="2824" spans="1:1" x14ac:dyDescent="0.2">
      <c r="A2824" t="e">
        <f>IF(NOT(ISBLANK([1]Variables!A2824)),[1]Variables!A2824,"")</f>
        <v>#REF!</v>
      </c>
    </row>
    <row r="2825" spans="1:1" x14ac:dyDescent="0.2">
      <c r="A2825" t="e">
        <f>IF(NOT(ISBLANK([1]Variables!A2825)),[1]Variables!A2825,"")</f>
        <v>#REF!</v>
      </c>
    </row>
    <row r="2826" spans="1:1" x14ac:dyDescent="0.2">
      <c r="A2826" t="e">
        <f>IF(NOT(ISBLANK([1]Variables!A2826)),[1]Variables!A2826,"")</f>
        <v>#REF!</v>
      </c>
    </row>
    <row r="2827" spans="1:1" x14ac:dyDescent="0.2">
      <c r="A2827" t="e">
        <f>IF(NOT(ISBLANK([1]Variables!A2827)),[1]Variables!A2827,"")</f>
        <v>#REF!</v>
      </c>
    </row>
    <row r="2828" spans="1:1" x14ac:dyDescent="0.2">
      <c r="A2828" t="e">
        <f>IF(NOT(ISBLANK([1]Variables!A2828)),[1]Variables!A2828,"")</f>
        <v>#REF!</v>
      </c>
    </row>
    <row r="2829" spans="1:1" x14ac:dyDescent="0.2">
      <c r="A2829" t="e">
        <f>IF(NOT(ISBLANK([1]Variables!A2829)),[1]Variables!A2829,"")</f>
        <v>#REF!</v>
      </c>
    </row>
    <row r="2830" spans="1:1" x14ac:dyDescent="0.2">
      <c r="A2830" t="e">
        <f>IF(NOT(ISBLANK([1]Variables!A2830)),[1]Variables!A2830,"")</f>
        <v>#REF!</v>
      </c>
    </row>
    <row r="2831" spans="1:1" x14ac:dyDescent="0.2">
      <c r="A2831" t="e">
        <f>IF(NOT(ISBLANK([1]Variables!A2831)),[1]Variables!A2831,"")</f>
        <v>#REF!</v>
      </c>
    </row>
    <row r="2832" spans="1:1" x14ac:dyDescent="0.2">
      <c r="A2832" t="e">
        <f>IF(NOT(ISBLANK([1]Variables!A2832)),[1]Variables!A2832,"")</f>
        <v>#REF!</v>
      </c>
    </row>
    <row r="2833" spans="1:1" x14ac:dyDescent="0.2">
      <c r="A2833" t="e">
        <f>IF(NOT(ISBLANK([1]Variables!A2833)),[1]Variables!A2833,"")</f>
        <v>#REF!</v>
      </c>
    </row>
    <row r="2834" spans="1:1" x14ac:dyDescent="0.2">
      <c r="A2834" t="e">
        <f>IF(NOT(ISBLANK([1]Variables!A2834)),[1]Variables!A2834,"")</f>
        <v>#REF!</v>
      </c>
    </row>
    <row r="2835" spans="1:1" x14ac:dyDescent="0.2">
      <c r="A2835" t="e">
        <f>IF(NOT(ISBLANK([1]Variables!A2835)),[1]Variables!A2835,"")</f>
        <v>#REF!</v>
      </c>
    </row>
    <row r="2836" spans="1:1" x14ac:dyDescent="0.2">
      <c r="A2836" t="e">
        <f>IF(NOT(ISBLANK([1]Variables!A2836)),[1]Variables!A2836,"")</f>
        <v>#REF!</v>
      </c>
    </row>
    <row r="2837" spans="1:1" x14ac:dyDescent="0.2">
      <c r="A2837" t="e">
        <f>IF(NOT(ISBLANK([1]Variables!A2837)),[1]Variables!A2837,"")</f>
        <v>#REF!</v>
      </c>
    </row>
    <row r="2838" spans="1:1" x14ac:dyDescent="0.2">
      <c r="A2838" t="e">
        <f>IF(NOT(ISBLANK([1]Variables!A2838)),[1]Variables!A2838,"")</f>
        <v>#REF!</v>
      </c>
    </row>
    <row r="2839" spans="1:1" x14ac:dyDescent="0.2">
      <c r="A2839" t="e">
        <f>IF(NOT(ISBLANK([1]Variables!A2839)),[1]Variables!A2839,"")</f>
        <v>#REF!</v>
      </c>
    </row>
    <row r="2840" spans="1:1" x14ac:dyDescent="0.2">
      <c r="A2840" t="e">
        <f>IF(NOT(ISBLANK([1]Variables!A2840)),[1]Variables!A2840,"")</f>
        <v>#REF!</v>
      </c>
    </row>
    <row r="2841" spans="1:1" x14ac:dyDescent="0.2">
      <c r="A2841" t="e">
        <f>IF(NOT(ISBLANK([1]Variables!A2841)),[1]Variables!A2841,"")</f>
        <v>#REF!</v>
      </c>
    </row>
    <row r="2842" spans="1:1" x14ac:dyDescent="0.2">
      <c r="A2842" t="e">
        <f>IF(NOT(ISBLANK([1]Variables!A2842)),[1]Variables!A2842,"")</f>
        <v>#REF!</v>
      </c>
    </row>
    <row r="2843" spans="1:1" x14ac:dyDescent="0.2">
      <c r="A2843" t="e">
        <f>IF(NOT(ISBLANK([1]Variables!A2843)),[1]Variables!A2843,"")</f>
        <v>#REF!</v>
      </c>
    </row>
    <row r="2844" spans="1:1" x14ac:dyDescent="0.2">
      <c r="A2844" t="e">
        <f>IF(NOT(ISBLANK([1]Variables!A2844)),[1]Variables!A2844,"")</f>
        <v>#REF!</v>
      </c>
    </row>
    <row r="2845" spans="1:1" x14ac:dyDescent="0.2">
      <c r="A2845" t="e">
        <f>IF(NOT(ISBLANK([1]Variables!A2845)),[1]Variables!A2845,"")</f>
        <v>#REF!</v>
      </c>
    </row>
    <row r="2846" spans="1:1" x14ac:dyDescent="0.2">
      <c r="A2846" t="e">
        <f>IF(NOT(ISBLANK([1]Variables!A2846)),[1]Variables!A2846,"")</f>
        <v>#REF!</v>
      </c>
    </row>
    <row r="2847" spans="1:1" x14ac:dyDescent="0.2">
      <c r="A2847" t="e">
        <f>IF(NOT(ISBLANK([1]Variables!A2847)),[1]Variables!A2847,"")</f>
        <v>#REF!</v>
      </c>
    </row>
    <row r="2848" spans="1:1" x14ac:dyDescent="0.2">
      <c r="A2848" t="e">
        <f>IF(NOT(ISBLANK([1]Variables!A2848)),[1]Variables!A2848,"")</f>
        <v>#REF!</v>
      </c>
    </row>
    <row r="2849" spans="1:1" x14ac:dyDescent="0.2">
      <c r="A2849" t="e">
        <f>IF(NOT(ISBLANK([1]Variables!A2849)),[1]Variables!A2849,"")</f>
        <v>#REF!</v>
      </c>
    </row>
    <row r="2850" spans="1:1" x14ac:dyDescent="0.2">
      <c r="A2850" t="e">
        <f>IF(NOT(ISBLANK([1]Variables!A2850)),[1]Variables!A2850,"")</f>
        <v>#REF!</v>
      </c>
    </row>
    <row r="2851" spans="1:1" x14ac:dyDescent="0.2">
      <c r="A2851" t="e">
        <f>IF(NOT(ISBLANK([1]Variables!A2851)),[1]Variables!A2851,"")</f>
        <v>#REF!</v>
      </c>
    </row>
    <row r="2852" spans="1:1" x14ac:dyDescent="0.2">
      <c r="A2852" t="e">
        <f>IF(NOT(ISBLANK([1]Variables!A2852)),[1]Variables!A2852,"")</f>
        <v>#REF!</v>
      </c>
    </row>
    <row r="2853" spans="1:1" x14ac:dyDescent="0.2">
      <c r="A2853" t="e">
        <f>IF(NOT(ISBLANK([1]Variables!A2853)),[1]Variables!A2853,"")</f>
        <v>#REF!</v>
      </c>
    </row>
    <row r="2854" spans="1:1" x14ac:dyDescent="0.2">
      <c r="A2854" t="e">
        <f>IF(NOT(ISBLANK([1]Variables!A2854)),[1]Variables!A2854,"")</f>
        <v>#REF!</v>
      </c>
    </row>
    <row r="2855" spans="1:1" x14ac:dyDescent="0.2">
      <c r="A2855" t="e">
        <f>IF(NOT(ISBLANK([1]Variables!A2855)),[1]Variables!A2855,"")</f>
        <v>#REF!</v>
      </c>
    </row>
    <row r="2856" spans="1:1" x14ac:dyDescent="0.2">
      <c r="A2856" t="e">
        <f>IF(NOT(ISBLANK([1]Variables!A2856)),[1]Variables!A2856,"")</f>
        <v>#REF!</v>
      </c>
    </row>
    <row r="2857" spans="1:1" x14ac:dyDescent="0.2">
      <c r="A2857" t="e">
        <f>IF(NOT(ISBLANK([1]Variables!A2857)),[1]Variables!A2857,"")</f>
        <v>#REF!</v>
      </c>
    </row>
    <row r="2858" spans="1:1" x14ac:dyDescent="0.2">
      <c r="A2858" t="e">
        <f>IF(NOT(ISBLANK([1]Variables!A2858)),[1]Variables!A2858,"")</f>
        <v>#REF!</v>
      </c>
    </row>
    <row r="2859" spans="1:1" x14ac:dyDescent="0.2">
      <c r="A2859" t="e">
        <f>IF(NOT(ISBLANK([1]Variables!A2859)),[1]Variables!A2859,"")</f>
        <v>#REF!</v>
      </c>
    </row>
    <row r="2860" spans="1:1" x14ac:dyDescent="0.2">
      <c r="A2860" t="e">
        <f>IF(NOT(ISBLANK([1]Variables!A2860)),[1]Variables!A2860,"")</f>
        <v>#REF!</v>
      </c>
    </row>
    <row r="2861" spans="1:1" x14ac:dyDescent="0.2">
      <c r="A2861" t="e">
        <f>IF(NOT(ISBLANK([1]Variables!A2861)),[1]Variables!A2861,"")</f>
        <v>#REF!</v>
      </c>
    </row>
    <row r="2862" spans="1:1" x14ac:dyDescent="0.2">
      <c r="A2862" t="e">
        <f>IF(NOT(ISBLANK([1]Variables!A2862)),[1]Variables!A2862,"")</f>
        <v>#REF!</v>
      </c>
    </row>
    <row r="2863" spans="1:1" x14ac:dyDescent="0.2">
      <c r="A2863" t="e">
        <f>IF(NOT(ISBLANK([1]Variables!A2863)),[1]Variables!A2863,"")</f>
        <v>#REF!</v>
      </c>
    </row>
    <row r="2864" spans="1:1" x14ac:dyDescent="0.2">
      <c r="A2864" t="e">
        <f>IF(NOT(ISBLANK([1]Variables!A2864)),[1]Variables!A2864,"")</f>
        <v>#REF!</v>
      </c>
    </row>
    <row r="2865" spans="1:1" x14ac:dyDescent="0.2">
      <c r="A2865" t="e">
        <f>IF(NOT(ISBLANK([1]Variables!A2865)),[1]Variables!A2865,"")</f>
        <v>#REF!</v>
      </c>
    </row>
    <row r="2866" spans="1:1" x14ac:dyDescent="0.2">
      <c r="A2866" t="e">
        <f>IF(NOT(ISBLANK([1]Variables!A2866)),[1]Variables!A2866,"")</f>
        <v>#REF!</v>
      </c>
    </row>
    <row r="2867" spans="1:1" x14ac:dyDescent="0.2">
      <c r="A2867" t="e">
        <f>IF(NOT(ISBLANK([1]Variables!A2867)),[1]Variables!A2867,"")</f>
        <v>#REF!</v>
      </c>
    </row>
    <row r="2868" spans="1:1" x14ac:dyDescent="0.2">
      <c r="A2868" t="e">
        <f>IF(NOT(ISBLANK([1]Variables!A2868)),[1]Variables!A2868,"")</f>
        <v>#REF!</v>
      </c>
    </row>
    <row r="2869" spans="1:1" x14ac:dyDescent="0.2">
      <c r="A2869" t="e">
        <f>IF(NOT(ISBLANK([1]Variables!A2869)),[1]Variables!A2869,"")</f>
        <v>#REF!</v>
      </c>
    </row>
    <row r="2870" spans="1:1" x14ac:dyDescent="0.2">
      <c r="A2870" t="e">
        <f>IF(NOT(ISBLANK([1]Variables!A2870)),[1]Variables!A2870,"")</f>
        <v>#REF!</v>
      </c>
    </row>
    <row r="2871" spans="1:1" x14ac:dyDescent="0.2">
      <c r="A2871" t="e">
        <f>IF(NOT(ISBLANK([1]Variables!A2871)),[1]Variables!A2871,"")</f>
        <v>#REF!</v>
      </c>
    </row>
    <row r="2872" spans="1:1" x14ac:dyDescent="0.2">
      <c r="A2872" t="e">
        <f>IF(NOT(ISBLANK([1]Variables!A2872)),[1]Variables!A2872,"")</f>
        <v>#REF!</v>
      </c>
    </row>
    <row r="2873" spans="1:1" x14ac:dyDescent="0.2">
      <c r="A2873" t="e">
        <f>IF(NOT(ISBLANK([1]Variables!A2873)),[1]Variables!A2873,"")</f>
        <v>#REF!</v>
      </c>
    </row>
    <row r="2874" spans="1:1" x14ac:dyDescent="0.2">
      <c r="A2874" t="e">
        <f>IF(NOT(ISBLANK([1]Variables!A2874)),[1]Variables!A2874,"")</f>
        <v>#REF!</v>
      </c>
    </row>
    <row r="2875" spans="1:1" x14ac:dyDescent="0.2">
      <c r="A2875" t="e">
        <f>IF(NOT(ISBLANK([1]Variables!A2875)),[1]Variables!A2875,"")</f>
        <v>#REF!</v>
      </c>
    </row>
    <row r="2876" spans="1:1" x14ac:dyDescent="0.2">
      <c r="A2876" t="e">
        <f>IF(NOT(ISBLANK([1]Variables!A2876)),[1]Variables!A2876,"")</f>
        <v>#REF!</v>
      </c>
    </row>
    <row r="2877" spans="1:1" x14ac:dyDescent="0.2">
      <c r="A2877" t="e">
        <f>IF(NOT(ISBLANK([1]Variables!A2877)),[1]Variables!A2877,"")</f>
        <v>#REF!</v>
      </c>
    </row>
    <row r="2878" spans="1:1" x14ac:dyDescent="0.2">
      <c r="A2878" t="e">
        <f>IF(NOT(ISBLANK([1]Variables!A2878)),[1]Variables!A2878,"")</f>
        <v>#REF!</v>
      </c>
    </row>
    <row r="2879" spans="1:1" x14ac:dyDescent="0.2">
      <c r="A2879" t="e">
        <f>IF(NOT(ISBLANK([1]Variables!A2879)),[1]Variables!A2879,"")</f>
        <v>#REF!</v>
      </c>
    </row>
    <row r="2880" spans="1:1" x14ac:dyDescent="0.2">
      <c r="A2880" t="e">
        <f>IF(NOT(ISBLANK([1]Variables!A2880)),[1]Variables!A2880,"")</f>
        <v>#REF!</v>
      </c>
    </row>
    <row r="2881" spans="1:1" x14ac:dyDescent="0.2">
      <c r="A2881" t="e">
        <f>IF(NOT(ISBLANK([1]Variables!A2881)),[1]Variables!A2881,"")</f>
        <v>#REF!</v>
      </c>
    </row>
    <row r="2882" spans="1:1" x14ac:dyDescent="0.2">
      <c r="A2882" t="e">
        <f>IF(NOT(ISBLANK([1]Variables!A2882)),[1]Variables!A2882,"")</f>
        <v>#REF!</v>
      </c>
    </row>
    <row r="2883" spans="1:1" x14ac:dyDescent="0.2">
      <c r="A2883" t="e">
        <f>IF(NOT(ISBLANK([1]Variables!A2883)),[1]Variables!A2883,"")</f>
        <v>#REF!</v>
      </c>
    </row>
    <row r="2884" spans="1:1" x14ac:dyDescent="0.2">
      <c r="A2884" t="e">
        <f>IF(NOT(ISBLANK([1]Variables!A2884)),[1]Variables!A2884,"")</f>
        <v>#REF!</v>
      </c>
    </row>
    <row r="2885" spans="1:1" x14ac:dyDescent="0.2">
      <c r="A2885" t="e">
        <f>IF(NOT(ISBLANK([1]Variables!A2885)),[1]Variables!A2885,"")</f>
        <v>#REF!</v>
      </c>
    </row>
    <row r="2886" spans="1:1" x14ac:dyDescent="0.2">
      <c r="A2886" t="e">
        <f>IF(NOT(ISBLANK([1]Variables!A2886)),[1]Variables!A2886,"")</f>
        <v>#REF!</v>
      </c>
    </row>
    <row r="2887" spans="1:1" x14ac:dyDescent="0.2">
      <c r="A2887" t="e">
        <f>IF(NOT(ISBLANK([1]Variables!A2887)),[1]Variables!A2887,"")</f>
        <v>#REF!</v>
      </c>
    </row>
    <row r="2888" spans="1:1" x14ac:dyDescent="0.2">
      <c r="A2888" t="e">
        <f>IF(NOT(ISBLANK([1]Variables!A2888)),[1]Variables!A2888,"")</f>
        <v>#REF!</v>
      </c>
    </row>
    <row r="2889" spans="1:1" x14ac:dyDescent="0.2">
      <c r="A2889" t="e">
        <f>IF(NOT(ISBLANK([1]Variables!A2889)),[1]Variables!A2889,"")</f>
        <v>#REF!</v>
      </c>
    </row>
    <row r="2890" spans="1:1" x14ac:dyDescent="0.2">
      <c r="A2890" t="e">
        <f>IF(NOT(ISBLANK([1]Variables!A2890)),[1]Variables!A2890,"")</f>
        <v>#REF!</v>
      </c>
    </row>
    <row r="2891" spans="1:1" x14ac:dyDescent="0.2">
      <c r="A2891" t="e">
        <f>IF(NOT(ISBLANK([1]Variables!A2891)),[1]Variables!A2891,"")</f>
        <v>#REF!</v>
      </c>
    </row>
    <row r="2892" spans="1:1" x14ac:dyDescent="0.2">
      <c r="A2892" t="e">
        <f>IF(NOT(ISBLANK([1]Variables!A2892)),[1]Variables!A2892,"")</f>
        <v>#REF!</v>
      </c>
    </row>
    <row r="2893" spans="1:1" x14ac:dyDescent="0.2">
      <c r="A2893" t="e">
        <f>IF(NOT(ISBLANK([1]Variables!A2893)),[1]Variables!A2893,"")</f>
        <v>#REF!</v>
      </c>
    </row>
    <row r="2894" spans="1:1" x14ac:dyDescent="0.2">
      <c r="A2894" t="e">
        <f>IF(NOT(ISBLANK([1]Variables!A2894)),[1]Variables!A2894,"")</f>
        <v>#REF!</v>
      </c>
    </row>
    <row r="2895" spans="1:1" x14ac:dyDescent="0.2">
      <c r="A2895" t="e">
        <f>IF(NOT(ISBLANK([1]Variables!A2895)),[1]Variables!A2895,"")</f>
        <v>#REF!</v>
      </c>
    </row>
    <row r="2896" spans="1:1" x14ac:dyDescent="0.2">
      <c r="A2896" t="e">
        <f>IF(NOT(ISBLANK([1]Variables!A2896)),[1]Variables!A2896,"")</f>
        <v>#REF!</v>
      </c>
    </row>
    <row r="2897" spans="1:1" x14ac:dyDescent="0.2">
      <c r="A2897" t="e">
        <f>IF(NOT(ISBLANK([1]Variables!A2897)),[1]Variables!A2897,"")</f>
        <v>#REF!</v>
      </c>
    </row>
    <row r="2898" spans="1:1" x14ac:dyDescent="0.2">
      <c r="A2898" t="e">
        <f>IF(NOT(ISBLANK([1]Variables!A2898)),[1]Variables!A2898,"")</f>
        <v>#REF!</v>
      </c>
    </row>
    <row r="2899" spans="1:1" x14ac:dyDescent="0.2">
      <c r="A2899" t="e">
        <f>IF(NOT(ISBLANK([1]Variables!A2899)),[1]Variables!A2899,"")</f>
        <v>#REF!</v>
      </c>
    </row>
    <row r="2900" spans="1:1" x14ac:dyDescent="0.2">
      <c r="A2900" t="e">
        <f>IF(NOT(ISBLANK([1]Variables!A2900)),[1]Variables!A2900,"")</f>
        <v>#REF!</v>
      </c>
    </row>
    <row r="2901" spans="1:1" x14ac:dyDescent="0.2">
      <c r="A2901" t="e">
        <f>IF(NOT(ISBLANK([1]Variables!A2901)),[1]Variables!A2901,"")</f>
        <v>#REF!</v>
      </c>
    </row>
    <row r="2902" spans="1:1" x14ac:dyDescent="0.2">
      <c r="A2902" t="e">
        <f>IF(NOT(ISBLANK([1]Variables!A2902)),[1]Variables!A2902,"")</f>
        <v>#REF!</v>
      </c>
    </row>
    <row r="2903" spans="1:1" x14ac:dyDescent="0.2">
      <c r="A2903" t="e">
        <f>IF(NOT(ISBLANK([1]Variables!A2903)),[1]Variables!A2903,"")</f>
        <v>#REF!</v>
      </c>
    </row>
    <row r="2904" spans="1:1" x14ac:dyDescent="0.2">
      <c r="A2904" t="e">
        <f>IF(NOT(ISBLANK([1]Variables!A2904)),[1]Variables!A2904,"")</f>
        <v>#REF!</v>
      </c>
    </row>
    <row r="2905" spans="1:1" x14ac:dyDescent="0.2">
      <c r="A2905" t="e">
        <f>IF(NOT(ISBLANK([1]Variables!A2905)),[1]Variables!A2905,"")</f>
        <v>#REF!</v>
      </c>
    </row>
    <row r="2906" spans="1:1" x14ac:dyDescent="0.2">
      <c r="A2906" t="e">
        <f>IF(NOT(ISBLANK([1]Variables!A2906)),[1]Variables!A2906,"")</f>
        <v>#REF!</v>
      </c>
    </row>
    <row r="2907" spans="1:1" x14ac:dyDescent="0.2">
      <c r="A2907" t="e">
        <f>IF(NOT(ISBLANK([1]Variables!A2907)),[1]Variables!A2907,"")</f>
        <v>#REF!</v>
      </c>
    </row>
    <row r="2908" spans="1:1" x14ac:dyDescent="0.2">
      <c r="A2908" t="e">
        <f>IF(NOT(ISBLANK([1]Variables!A2908)),[1]Variables!A2908,"")</f>
        <v>#REF!</v>
      </c>
    </row>
    <row r="2909" spans="1:1" x14ac:dyDescent="0.2">
      <c r="A2909" t="e">
        <f>IF(NOT(ISBLANK([1]Variables!A2909)),[1]Variables!A2909,"")</f>
        <v>#REF!</v>
      </c>
    </row>
    <row r="2910" spans="1:1" x14ac:dyDescent="0.2">
      <c r="A2910" t="e">
        <f>IF(NOT(ISBLANK([1]Variables!A2910)),[1]Variables!A2910,"")</f>
        <v>#REF!</v>
      </c>
    </row>
    <row r="2911" spans="1:1" x14ac:dyDescent="0.2">
      <c r="A2911" t="e">
        <f>IF(NOT(ISBLANK([1]Variables!A2911)),[1]Variables!A2911,"")</f>
        <v>#REF!</v>
      </c>
    </row>
    <row r="2912" spans="1:1" x14ac:dyDescent="0.2">
      <c r="A2912" t="e">
        <f>IF(NOT(ISBLANK([1]Variables!A2912)),[1]Variables!A2912,"")</f>
        <v>#REF!</v>
      </c>
    </row>
    <row r="2913" spans="1:1" x14ac:dyDescent="0.2">
      <c r="A2913" t="e">
        <f>IF(NOT(ISBLANK([1]Variables!A2913)),[1]Variables!A2913,"")</f>
        <v>#REF!</v>
      </c>
    </row>
    <row r="2914" spans="1:1" x14ac:dyDescent="0.2">
      <c r="A2914" t="e">
        <f>IF(NOT(ISBLANK([1]Variables!A2914)),[1]Variables!A2914,"")</f>
        <v>#REF!</v>
      </c>
    </row>
    <row r="2915" spans="1:1" x14ac:dyDescent="0.2">
      <c r="A2915" t="e">
        <f>IF(NOT(ISBLANK([1]Variables!A2915)),[1]Variables!A2915,"")</f>
        <v>#REF!</v>
      </c>
    </row>
    <row r="2916" spans="1:1" x14ac:dyDescent="0.2">
      <c r="A2916" t="e">
        <f>IF(NOT(ISBLANK([1]Variables!A2916)),[1]Variables!A2916,"")</f>
        <v>#REF!</v>
      </c>
    </row>
    <row r="2917" spans="1:1" x14ac:dyDescent="0.2">
      <c r="A2917" t="e">
        <f>IF(NOT(ISBLANK([1]Variables!A2917)),[1]Variables!A2917,"")</f>
        <v>#REF!</v>
      </c>
    </row>
    <row r="2918" spans="1:1" x14ac:dyDescent="0.2">
      <c r="A2918" t="e">
        <f>IF(NOT(ISBLANK([1]Variables!A2918)),[1]Variables!A2918,"")</f>
        <v>#REF!</v>
      </c>
    </row>
    <row r="2919" spans="1:1" x14ac:dyDescent="0.2">
      <c r="A2919" t="e">
        <f>IF(NOT(ISBLANK([1]Variables!A2919)),[1]Variables!A2919,"")</f>
        <v>#REF!</v>
      </c>
    </row>
    <row r="2920" spans="1:1" x14ac:dyDescent="0.2">
      <c r="A2920" t="e">
        <f>IF(NOT(ISBLANK([1]Variables!A2920)),[1]Variables!A2920,"")</f>
        <v>#REF!</v>
      </c>
    </row>
    <row r="2921" spans="1:1" x14ac:dyDescent="0.2">
      <c r="A2921" t="e">
        <f>IF(NOT(ISBLANK([1]Variables!A2921)),[1]Variables!A2921,"")</f>
        <v>#REF!</v>
      </c>
    </row>
    <row r="2922" spans="1:1" x14ac:dyDescent="0.2">
      <c r="A2922" t="e">
        <f>IF(NOT(ISBLANK([1]Variables!A2922)),[1]Variables!A2922,"")</f>
        <v>#REF!</v>
      </c>
    </row>
    <row r="2923" spans="1:1" x14ac:dyDescent="0.2">
      <c r="A2923" t="e">
        <f>IF(NOT(ISBLANK([1]Variables!A2923)),[1]Variables!A2923,"")</f>
        <v>#REF!</v>
      </c>
    </row>
    <row r="2924" spans="1:1" x14ac:dyDescent="0.2">
      <c r="A2924" t="e">
        <f>IF(NOT(ISBLANK([1]Variables!A2924)),[1]Variables!A2924,"")</f>
        <v>#REF!</v>
      </c>
    </row>
    <row r="2925" spans="1:1" x14ac:dyDescent="0.2">
      <c r="A2925" t="e">
        <f>IF(NOT(ISBLANK([1]Variables!A2925)),[1]Variables!A2925,"")</f>
        <v>#REF!</v>
      </c>
    </row>
    <row r="2926" spans="1:1" x14ac:dyDescent="0.2">
      <c r="A2926" t="e">
        <f>IF(NOT(ISBLANK([1]Variables!A2926)),[1]Variables!A2926,"")</f>
        <v>#REF!</v>
      </c>
    </row>
    <row r="2927" spans="1:1" x14ac:dyDescent="0.2">
      <c r="A2927" t="e">
        <f>IF(NOT(ISBLANK([1]Variables!A2927)),[1]Variables!A2927,"")</f>
        <v>#REF!</v>
      </c>
    </row>
    <row r="2928" spans="1:1" x14ac:dyDescent="0.2">
      <c r="A2928" t="e">
        <f>IF(NOT(ISBLANK([1]Variables!A2928)),[1]Variables!A2928,"")</f>
        <v>#REF!</v>
      </c>
    </row>
    <row r="2929" spans="1:1" x14ac:dyDescent="0.2">
      <c r="A2929" t="e">
        <f>IF(NOT(ISBLANK([1]Variables!A2929)),[1]Variables!A2929,"")</f>
        <v>#REF!</v>
      </c>
    </row>
    <row r="2930" spans="1:1" x14ac:dyDescent="0.2">
      <c r="A2930" t="e">
        <f>IF(NOT(ISBLANK([1]Variables!A2930)),[1]Variables!A2930,"")</f>
        <v>#REF!</v>
      </c>
    </row>
    <row r="2931" spans="1:1" x14ac:dyDescent="0.2">
      <c r="A2931" t="e">
        <f>IF(NOT(ISBLANK([1]Variables!A2931)),[1]Variables!A2931,"")</f>
        <v>#REF!</v>
      </c>
    </row>
    <row r="2932" spans="1:1" x14ac:dyDescent="0.2">
      <c r="A2932" t="e">
        <f>IF(NOT(ISBLANK([1]Variables!A2932)),[1]Variables!A2932,"")</f>
        <v>#REF!</v>
      </c>
    </row>
    <row r="2933" spans="1:1" x14ac:dyDescent="0.2">
      <c r="A2933" t="e">
        <f>IF(NOT(ISBLANK([1]Variables!A2933)),[1]Variables!A2933,"")</f>
        <v>#REF!</v>
      </c>
    </row>
    <row r="2934" spans="1:1" x14ac:dyDescent="0.2">
      <c r="A2934" t="e">
        <f>IF(NOT(ISBLANK([1]Variables!A2934)),[1]Variables!A2934,"")</f>
        <v>#REF!</v>
      </c>
    </row>
    <row r="2935" spans="1:1" x14ac:dyDescent="0.2">
      <c r="A2935" t="e">
        <f>IF(NOT(ISBLANK([1]Variables!A2935)),[1]Variables!A2935,"")</f>
        <v>#REF!</v>
      </c>
    </row>
    <row r="2936" spans="1:1" x14ac:dyDescent="0.2">
      <c r="A2936" t="e">
        <f>IF(NOT(ISBLANK([1]Variables!A2936)),[1]Variables!A2936,"")</f>
        <v>#REF!</v>
      </c>
    </row>
    <row r="2937" spans="1:1" x14ac:dyDescent="0.2">
      <c r="A2937" t="e">
        <f>IF(NOT(ISBLANK([1]Variables!A2937)),[1]Variables!A2937,"")</f>
        <v>#REF!</v>
      </c>
    </row>
    <row r="2938" spans="1:1" x14ac:dyDescent="0.2">
      <c r="A2938" t="e">
        <f>IF(NOT(ISBLANK([1]Variables!A2938)),[1]Variables!A2938,"")</f>
        <v>#REF!</v>
      </c>
    </row>
    <row r="2939" spans="1:1" x14ac:dyDescent="0.2">
      <c r="A2939" t="e">
        <f>IF(NOT(ISBLANK([1]Variables!A2939)),[1]Variables!A2939,"")</f>
        <v>#REF!</v>
      </c>
    </row>
    <row r="2940" spans="1:1" x14ac:dyDescent="0.2">
      <c r="A2940" t="e">
        <f>IF(NOT(ISBLANK([1]Variables!A2940)),[1]Variables!A2940,"")</f>
        <v>#REF!</v>
      </c>
    </row>
    <row r="2941" spans="1:1" x14ac:dyDescent="0.2">
      <c r="A2941" t="e">
        <f>IF(NOT(ISBLANK([1]Variables!A2941)),[1]Variables!A2941,"")</f>
        <v>#REF!</v>
      </c>
    </row>
    <row r="2942" spans="1:1" x14ac:dyDescent="0.2">
      <c r="A2942" t="e">
        <f>IF(NOT(ISBLANK([1]Variables!A2942)),[1]Variables!A2942,"")</f>
        <v>#REF!</v>
      </c>
    </row>
    <row r="2943" spans="1:1" x14ac:dyDescent="0.2">
      <c r="A2943" t="e">
        <f>IF(NOT(ISBLANK([1]Variables!A2943)),[1]Variables!A2943,"")</f>
        <v>#REF!</v>
      </c>
    </row>
    <row r="2944" spans="1:1" x14ac:dyDescent="0.2">
      <c r="A2944" t="e">
        <f>IF(NOT(ISBLANK([1]Variables!A2944)),[1]Variables!A2944,"")</f>
        <v>#REF!</v>
      </c>
    </row>
    <row r="2945" spans="1:1" x14ac:dyDescent="0.2">
      <c r="A2945" t="e">
        <f>IF(NOT(ISBLANK([1]Variables!A2945)),[1]Variables!A2945,"")</f>
        <v>#REF!</v>
      </c>
    </row>
    <row r="2946" spans="1:1" x14ac:dyDescent="0.2">
      <c r="A2946" t="e">
        <f>IF(NOT(ISBLANK([1]Variables!A2946)),[1]Variables!A2946,"")</f>
        <v>#REF!</v>
      </c>
    </row>
    <row r="2947" spans="1:1" x14ac:dyDescent="0.2">
      <c r="A2947" t="e">
        <f>IF(NOT(ISBLANK([1]Variables!A2947)),[1]Variables!A2947,"")</f>
        <v>#REF!</v>
      </c>
    </row>
    <row r="2948" spans="1:1" x14ac:dyDescent="0.2">
      <c r="A2948" t="e">
        <f>IF(NOT(ISBLANK([1]Variables!A2948)),[1]Variables!A2948,"")</f>
        <v>#REF!</v>
      </c>
    </row>
    <row r="2949" spans="1:1" x14ac:dyDescent="0.2">
      <c r="A2949" t="e">
        <f>IF(NOT(ISBLANK([1]Variables!A2949)),[1]Variables!A2949,"")</f>
        <v>#REF!</v>
      </c>
    </row>
    <row r="2950" spans="1:1" x14ac:dyDescent="0.2">
      <c r="A2950" t="e">
        <f>IF(NOT(ISBLANK([1]Variables!A2950)),[1]Variables!A2950,"")</f>
        <v>#REF!</v>
      </c>
    </row>
    <row r="2951" spans="1:1" x14ac:dyDescent="0.2">
      <c r="A2951" t="e">
        <f>IF(NOT(ISBLANK([1]Variables!A2951)),[1]Variables!A2951,"")</f>
        <v>#REF!</v>
      </c>
    </row>
    <row r="2952" spans="1:1" x14ac:dyDescent="0.2">
      <c r="A2952" t="e">
        <f>IF(NOT(ISBLANK([1]Variables!A2952)),[1]Variables!A2952,"")</f>
        <v>#REF!</v>
      </c>
    </row>
    <row r="2953" spans="1:1" x14ac:dyDescent="0.2">
      <c r="A2953" t="e">
        <f>IF(NOT(ISBLANK([1]Variables!A2953)),[1]Variables!A2953,"")</f>
        <v>#REF!</v>
      </c>
    </row>
    <row r="2954" spans="1:1" x14ac:dyDescent="0.2">
      <c r="A2954" t="e">
        <f>IF(NOT(ISBLANK([1]Variables!A2954)),[1]Variables!A2954,"")</f>
        <v>#REF!</v>
      </c>
    </row>
    <row r="2955" spans="1:1" x14ac:dyDescent="0.2">
      <c r="A2955" t="e">
        <f>IF(NOT(ISBLANK([1]Variables!A2955)),[1]Variables!A2955,"")</f>
        <v>#REF!</v>
      </c>
    </row>
    <row r="2956" spans="1:1" x14ac:dyDescent="0.2">
      <c r="A2956" t="e">
        <f>IF(NOT(ISBLANK([1]Variables!A2956)),[1]Variables!A2956,"")</f>
        <v>#REF!</v>
      </c>
    </row>
    <row r="2957" spans="1:1" x14ac:dyDescent="0.2">
      <c r="A2957" t="e">
        <f>IF(NOT(ISBLANK([1]Variables!A2957)),[1]Variables!A2957,"")</f>
        <v>#REF!</v>
      </c>
    </row>
    <row r="2958" spans="1:1" x14ac:dyDescent="0.2">
      <c r="A2958" t="e">
        <f>IF(NOT(ISBLANK([1]Variables!A2958)),[1]Variables!A2958,"")</f>
        <v>#REF!</v>
      </c>
    </row>
    <row r="2959" spans="1:1" x14ac:dyDescent="0.2">
      <c r="A2959" t="e">
        <f>IF(NOT(ISBLANK([1]Variables!A2959)),[1]Variables!A2959,"")</f>
        <v>#REF!</v>
      </c>
    </row>
    <row r="2960" spans="1:1" x14ac:dyDescent="0.2">
      <c r="A2960" t="e">
        <f>IF(NOT(ISBLANK([1]Variables!A2960)),[1]Variables!A2960,"")</f>
        <v>#REF!</v>
      </c>
    </row>
    <row r="2961" spans="1:1" x14ac:dyDescent="0.2">
      <c r="A2961" t="e">
        <f>IF(NOT(ISBLANK([1]Variables!A2961)),[1]Variables!A2961,"")</f>
        <v>#REF!</v>
      </c>
    </row>
    <row r="2962" spans="1:1" x14ac:dyDescent="0.2">
      <c r="A2962" t="e">
        <f>IF(NOT(ISBLANK([1]Variables!A2962)),[1]Variables!A2962,"")</f>
        <v>#REF!</v>
      </c>
    </row>
    <row r="2963" spans="1:1" x14ac:dyDescent="0.2">
      <c r="A2963" t="e">
        <f>IF(NOT(ISBLANK([1]Variables!A2963)),[1]Variables!A2963,"")</f>
        <v>#REF!</v>
      </c>
    </row>
    <row r="2964" spans="1:1" x14ac:dyDescent="0.2">
      <c r="A2964" t="e">
        <f>IF(NOT(ISBLANK([1]Variables!A2964)),[1]Variables!A2964,"")</f>
        <v>#REF!</v>
      </c>
    </row>
    <row r="2965" spans="1:1" x14ac:dyDescent="0.2">
      <c r="A2965" t="e">
        <f>IF(NOT(ISBLANK([1]Variables!A2965)),[1]Variables!A2965,"")</f>
        <v>#REF!</v>
      </c>
    </row>
    <row r="2966" spans="1:1" x14ac:dyDescent="0.2">
      <c r="A2966" t="e">
        <f>IF(NOT(ISBLANK([1]Variables!A2966)),[1]Variables!A2966,"")</f>
        <v>#REF!</v>
      </c>
    </row>
    <row r="2967" spans="1:1" x14ac:dyDescent="0.2">
      <c r="A2967" t="e">
        <f>IF(NOT(ISBLANK([1]Variables!A2967)),[1]Variables!A2967,"")</f>
        <v>#REF!</v>
      </c>
    </row>
    <row r="2968" spans="1:1" x14ac:dyDescent="0.2">
      <c r="A2968" t="e">
        <f>IF(NOT(ISBLANK([1]Variables!A2968)),[1]Variables!A2968,"")</f>
        <v>#REF!</v>
      </c>
    </row>
    <row r="2969" spans="1:1" x14ac:dyDescent="0.2">
      <c r="A2969" t="e">
        <f>IF(NOT(ISBLANK([1]Variables!A2969)),[1]Variables!A2969,"")</f>
        <v>#REF!</v>
      </c>
    </row>
    <row r="2970" spans="1:1" x14ac:dyDescent="0.2">
      <c r="A2970" t="e">
        <f>IF(NOT(ISBLANK([1]Variables!A2970)),[1]Variables!A2970,"")</f>
        <v>#REF!</v>
      </c>
    </row>
    <row r="2971" spans="1:1" x14ac:dyDescent="0.2">
      <c r="A2971" t="e">
        <f>IF(NOT(ISBLANK([1]Variables!A2971)),[1]Variables!A2971,"")</f>
        <v>#REF!</v>
      </c>
    </row>
    <row r="2972" spans="1:1" x14ac:dyDescent="0.2">
      <c r="A2972" t="e">
        <f>IF(NOT(ISBLANK([1]Variables!A2972)),[1]Variables!A2972,"")</f>
        <v>#REF!</v>
      </c>
    </row>
    <row r="2973" spans="1:1" x14ac:dyDescent="0.2">
      <c r="A2973" t="e">
        <f>IF(NOT(ISBLANK([1]Variables!A2973)),[1]Variables!A2973,"")</f>
        <v>#REF!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2973"/>
  <sheetViews>
    <sheetView workbookViewId="0">
      <selection activeCell="C14" sqref="C14"/>
    </sheetView>
  </sheetViews>
  <sheetFormatPr baseColWidth="10" defaultColWidth="11.1640625" defaultRowHeight="16" x14ac:dyDescent="0.2"/>
  <sheetData>
    <row r="1" spans="1:9" x14ac:dyDescent="0.3">
      <c r="A1" t="s">
        <v>113</v>
      </c>
      <c r="B1" t="s">
        <v>2</v>
      </c>
      <c r="C1" t="s">
        <v>3</v>
      </c>
      <c r="D1" t="s">
        <v>12</v>
      </c>
      <c r="E1" t="s">
        <v>12</v>
      </c>
      <c r="F1">
        <v>0</v>
      </c>
      <c r="G1">
        <v>0</v>
      </c>
      <c r="H1">
        <v>0</v>
      </c>
      <c r="I1" t="s">
        <v>445</v>
      </c>
    </row>
    <row r="2" spans="1:9" x14ac:dyDescent="0.3">
      <c r="A2" t="s">
        <v>114</v>
      </c>
      <c r="B2" t="s">
        <v>2</v>
      </c>
      <c r="C2" t="s">
        <v>3</v>
      </c>
      <c r="D2" t="s">
        <v>12</v>
      </c>
      <c r="E2" t="s">
        <v>12</v>
      </c>
      <c r="F2">
        <v>0</v>
      </c>
      <c r="G2">
        <v>0</v>
      </c>
      <c r="H2">
        <v>1</v>
      </c>
      <c r="I2" t="s">
        <v>446</v>
      </c>
    </row>
    <row r="3" spans="1:9" x14ac:dyDescent="0.3">
      <c r="A3" t="s">
        <v>115</v>
      </c>
      <c r="B3" t="s">
        <v>2</v>
      </c>
      <c r="C3" t="s">
        <v>3</v>
      </c>
      <c r="D3" t="s">
        <v>12</v>
      </c>
      <c r="E3" t="s">
        <v>12</v>
      </c>
      <c r="F3">
        <v>0</v>
      </c>
      <c r="G3">
        <v>0</v>
      </c>
      <c r="H3">
        <v>2</v>
      </c>
      <c r="I3" t="s">
        <v>60</v>
      </c>
    </row>
    <row r="4" spans="1:9" x14ac:dyDescent="0.3">
      <c r="A4" t="s">
        <v>116</v>
      </c>
      <c r="B4" t="s">
        <v>2</v>
      </c>
      <c r="C4" t="s">
        <v>3</v>
      </c>
      <c r="D4" t="s">
        <v>12</v>
      </c>
      <c r="E4" t="s">
        <v>12</v>
      </c>
      <c r="F4">
        <v>0</v>
      </c>
      <c r="G4">
        <v>1</v>
      </c>
      <c r="H4">
        <v>0</v>
      </c>
      <c r="I4" t="s">
        <v>74</v>
      </c>
    </row>
    <row r="5" spans="1:9" x14ac:dyDescent="0.3">
      <c r="A5" t="s">
        <v>117</v>
      </c>
      <c r="B5" t="s">
        <v>2</v>
      </c>
      <c r="C5" t="s">
        <v>3</v>
      </c>
      <c r="D5" t="s">
        <v>12</v>
      </c>
      <c r="E5" t="s">
        <v>12</v>
      </c>
      <c r="F5">
        <v>0</v>
      </c>
      <c r="G5">
        <v>1</v>
      </c>
      <c r="H5">
        <v>1</v>
      </c>
      <c r="I5" t="s">
        <v>446</v>
      </c>
    </row>
    <row r="6" spans="1:9" x14ac:dyDescent="0.3">
      <c r="A6" t="s">
        <v>118</v>
      </c>
      <c r="B6" t="s">
        <v>2</v>
      </c>
      <c r="C6" t="s">
        <v>3</v>
      </c>
      <c r="D6" t="s">
        <v>12</v>
      </c>
      <c r="E6" t="s">
        <v>12</v>
      </c>
      <c r="F6">
        <v>0</v>
      </c>
      <c r="G6">
        <v>1</v>
      </c>
      <c r="H6">
        <v>2</v>
      </c>
      <c r="I6" t="s">
        <v>1041</v>
      </c>
    </row>
    <row r="7" spans="1:9" x14ac:dyDescent="0.3">
      <c r="A7" t="s">
        <v>119</v>
      </c>
      <c r="B7" t="s">
        <v>2</v>
      </c>
      <c r="C7" t="s">
        <v>3</v>
      </c>
      <c r="D7" t="s">
        <v>12</v>
      </c>
      <c r="E7" t="s">
        <v>12</v>
      </c>
      <c r="F7">
        <v>0</v>
      </c>
      <c r="G7">
        <v>2</v>
      </c>
      <c r="H7">
        <v>0</v>
      </c>
      <c r="I7" t="s">
        <v>446</v>
      </c>
    </row>
    <row r="8" spans="1:9" x14ac:dyDescent="0.3">
      <c r="A8" t="s">
        <v>120</v>
      </c>
      <c r="B8" t="s">
        <v>2</v>
      </c>
      <c r="C8" t="s">
        <v>3</v>
      </c>
      <c r="D8" t="s">
        <v>12</v>
      </c>
      <c r="E8" t="s">
        <v>12</v>
      </c>
      <c r="F8">
        <v>0</v>
      </c>
      <c r="G8">
        <v>2</v>
      </c>
      <c r="H8">
        <v>1</v>
      </c>
      <c r="I8" t="s">
        <v>446</v>
      </c>
    </row>
    <row r="9" spans="1:9" x14ac:dyDescent="0.3">
      <c r="A9" t="s">
        <v>121</v>
      </c>
      <c r="B9" t="s">
        <v>2</v>
      </c>
      <c r="C9" t="s">
        <v>3</v>
      </c>
      <c r="D9" t="s">
        <v>12</v>
      </c>
      <c r="E9" t="s">
        <v>12</v>
      </c>
      <c r="F9">
        <v>0</v>
      </c>
      <c r="G9">
        <v>2</v>
      </c>
      <c r="H9">
        <v>2</v>
      </c>
      <c r="I9" t="s">
        <v>62</v>
      </c>
    </row>
    <row r="10" spans="1:9" x14ac:dyDescent="0.3">
      <c r="A10" t="s">
        <v>122</v>
      </c>
      <c r="B10" t="s">
        <v>2</v>
      </c>
      <c r="C10" t="s">
        <v>3</v>
      </c>
      <c r="D10" t="s">
        <v>12</v>
      </c>
      <c r="E10" t="s">
        <v>12</v>
      </c>
      <c r="F10">
        <v>0</v>
      </c>
      <c r="G10">
        <v>3</v>
      </c>
      <c r="H10">
        <v>0</v>
      </c>
      <c r="I10" t="s">
        <v>1040</v>
      </c>
    </row>
    <row r="11" spans="1:9" x14ac:dyDescent="0.3">
      <c r="A11" t="s">
        <v>123</v>
      </c>
      <c r="B11" t="s">
        <v>2</v>
      </c>
      <c r="C11" t="s">
        <v>3</v>
      </c>
      <c r="D11" t="s">
        <v>12</v>
      </c>
      <c r="E11" t="s">
        <v>12</v>
      </c>
      <c r="F11">
        <v>0</v>
      </c>
      <c r="G11">
        <v>3</v>
      </c>
      <c r="H11">
        <v>1</v>
      </c>
      <c r="I11" t="s">
        <v>446</v>
      </c>
    </row>
    <row r="12" spans="1:9" x14ac:dyDescent="0.3">
      <c r="A12" t="s">
        <v>124</v>
      </c>
      <c r="B12" t="s">
        <v>2</v>
      </c>
      <c r="C12" t="s">
        <v>3</v>
      </c>
      <c r="D12" t="s">
        <v>12</v>
      </c>
      <c r="E12" t="s">
        <v>12</v>
      </c>
      <c r="F12">
        <v>0</v>
      </c>
      <c r="G12">
        <v>3</v>
      </c>
      <c r="H12">
        <v>2</v>
      </c>
      <c r="I12" t="s">
        <v>72</v>
      </c>
    </row>
    <row r="13" spans="1:9" x14ac:dyDescent="0.3">
      <c r="A13" t="s">
        <v>125</v>
      </c>
      <c r="B13" t="s">
        <v>2</v>
      </c>
      <c r="C13" t="s">
        <v>3</v>
      </c>
      <c r="D13" t="s">
        <v>12</v>
      </c>
      <c r="E13" t="s">
        <v>12</v>
      </c>
      <c r="F13">
        <v>0</v>
      </c>
      <c r="G13">
        <v>4</v>
      </c>
      <c r="H13">
        <v>0</v>
      </c>
      <c r="I13" t="s">
        <v>75</v>
      </c>
    </row>
    <row r="14" spans="1:9" x14ac:dyDescent="0.3">
      <c r="A14" t="s">
        <v>126</v>
      </c>
      <c r="B14" t="s">
        <v>2</v>
      </c>
      <c r="C14" t="s">
        <v>3</v>
      </c>
      <c r="D14" t="s">
        <v>12</v>
      </c>
      <c r="E14" t="s">
        <v>12</v>
      </c>
      <c r="F14">
        <v>0</v>
      </c>
      <c r="G14">
        <v>4</v>
      </c>
      <c r="H14">
        <v>1</v>
      </c>
      <c r="I14" t="s">
        <v>446</v>
      </c>
    </row>
    <row r="15" spans="1:9" x14ac:dyDescent="0.3">
      <c r="A15" t="s">
        <v>127</v>
      </c>
      <c r="B15" t="s">
        <v>2</v>
      </c>
      <c r="C15" t="s">
        <v>3</v>
      </c>
      <c r="D15" t="s">
        <v>12</v>
      </c>
      <c r="E15" t="s">
        <v>12</v>
      </c>
      <c r="F15">
        <v>0</v>
      </c>
      <c r="G15">
        <v>4</v>
      </c>
      <c r="H15">
        <v>2</v>
      </c>
      <c r="I15" t="s">
        <v>72</v>
      </c>
    </row>
    <row r="16" spans="1:9" x14ac:dyDescent="0.3">
      <c r="A16" t="s">
        <v>128</v>
      </c>
      <c r="B16" t="s">
        <v>2</v>
      </c>
      <c r="C16" t="s">
        <v>3</v>
      </c>
      <c r="D16" t="s">
        <v>12</v>
      </c>
      <c r="E16" t="s">
        <v>12</v>
      </c>
      <c r="F16">
        <v>0</v>
      </c>
      <c r="G16">
        <v>5</v>
      </c>
      <c r="H16">
        <v>0</v>
      </c>
      <c r="I16" t="s">
        <v>1042</v>
      </c>
    </row>
    <row r="17" spans="1:9" x14ac:dyDescent="0.3">
      <c r="A17" t="s">
        <v>129</v>
      </c>
      <c r="B17" t="s">
        <v>2</v>
      </c>
      <c r="C17" t="s">
        <v>3</v>
      </c>
      <c r="D17" t="s">
        <v>12</v>
      </c>
      <c r="E17" t="s">
        <v>12</v>
      </c>
      <c r="F17">
        <v>0</v>
      </c>
      <c r="G17">
        <v>5</v>
      </c>
      <c r="H17">
        <v>1</v>
      </c>
      <c r="I17" t="s">
        <v>446</v>
      </c>
    </row>
    <row r="18" spans="1:9" x14ac:dyDescent="0.3">
      <c r="A18" t="s">
        <v>130</v>
      </c>
      <c r="B18" t="s">
        <v>2</v>
      </c>
      <c r="C18" t="s">
        <v>3</v>
      </c>
      <c r="D18" t="s">
        <v>12</v>
      </c>
      <c r="E18" t="s">
        <v>12</v>
      </c>
      <c r="F18">
        <v>0</v>
      </c>
      <c r="G18">
        <v>5</v>
      </c>
      <c r="H18">
        <v>2</v>
      </c>
      <c r="I18" t="s">
        <v>72</v>
      </c>
    </row>
    <row r="19" spans="1:9" x14ac:dyDescent="0.3">
      <c r="A19" t="s">
        <v>131</v>
      </c>
      <c r="B19" t="s">
        <v>2</v>
      </c>
      <c r="C19" t="s">
        <v>3</v>
      </c>
      <c r="D19" t="s">
        <v>12</v>
      </c>
      <c r="E19" t="s">
        <v>12</v>
      </c>
      <c r="F19">
        <v>0</v>
      </c>
      <c r="G19">
        <v>6</v>
      </c>
      <c r="H19">
        <v>0</v>
      </c>
      <c r="I19" t="s">
        <v>1039</v>
      </c>
    </row>
    <row r="20" spans="1:9" x14ac:dyDescent="0.3">
      <c r="A20" t="s">
        <v>132</v>
      </c>
      <c r="B20" t="s">
        <v>2</v>
      </c>
      <c r="C20" t="s">
        <v>3</v>
      </c>
      <c r="D20" t="s">
        <v>12</v>
      </c>
      <c r="E20" t="s">
        <v>12</v>
      </c>
      <c r="F20">
        <v>0</v>
      </c>
      <c r="G20">
        <v>6</v>
      </c>
      <c r="H20">
        <v>1</v>
      </c>
      <c r="I20" t="s">
        <v>446</v>
      </c>
    </row>
    <row r="21" spans="1:9" x14ac:dyDescent="0.3">
      <c r="A21" t="s">
        <v>133</v>
      </c>
      <c r="B21" t="s">
        <v>2</v>
      </c>
      <c r="C21" t="s">
        <v>3</v>
      </c>
      <c r="D21" t="s">
        <v>12</v>
      </c>
      <c r="E21" t="s">
        <v>12</v>
      </c>
      <c r="F21">
        <v>0</v>
      </c>
      <c r="G21">
        <v>6</v>
      </c>
      <c r="H21">
        <v>2</v>
      </c>
      <c r="I21" t="s">
        <v>72</v>
      </c>
    </row>
    <row r="22" spans="1:9" x14ac:dyDescent="0.3">
      <c r="A22" t="s">
        <v>134</v>
      </c>
      <c r="B22" t="s">
        <v>2</v>
      </c>
      <c r="C22" t="s">
        <v>3</v>
      </c>
      <c r="D22" t="s">
        <v>12</v>
      </c>
      <c r="E22" t="s">
        <v>12</v>
      </c>
      <c r="F22">
        <v>0</v>
      </c>
      <c r="G22">
        <v>7</v>
      </c>
      <c r="H22">
        <v>0</v>
      </c>
      <c r="I22" t="s">
        <v>1043</v>
      </c>
    </row>
    <row r="23" spans="1:9" x14ac:dyDescent="0.3">
      <c r="A23" t="s">
        <v>135</v>
      </c>
      <c r="B23" t="s">
        <v>2</v>
      </c>
      <c r="C23" t="s">
        <v>3</v>
      </c>
      <c r="D23" t="s">
        <v>12</v>
      </c>
      <c r="E23" t="s">
        <v>12</v>
      </c>
      <c r="F23">
        <v>0</v>
      </c>
      <c r="G23">
        <v>7</v>
      </c>
      <c r="H23">
        <v>1</v>
      </c>
      <c r="I23" t="s">
        <v>74</v>
      </c>
    </row>
    <row r="24" spans="1:9" x14ac:dyDescent="0.3">
      <c r="A24" t="s">
        <v>136</v>
      </c>
      <c r="B24" t="s">
        <v>2</v>
      </c>
      <c r="C24" t="s">
        <v>3</v>
      </c>
      <c r="D24" t="s">
        <v>12</v>
      </c>
      <c r="E24" t="s">
        <v>12</v>
      </c>
      <c r="F24">
        <v>0</v>
      </c>
      <c r="G24">
        <v>7</v>
      </c>
      <c r="H24">
        <v>2</v>
      </c>
      <c r="I24" t="s">
        <v>72</v>
      </c>
    </row>
    <row r="25" spans="1:9" x14ac:dyDescent="0.3">
      <c r="A25" t="s">
        <v>137</v>
      </c>
      <c r="B25" t="s">
        <v>2</v>
      </c>
      <c r="C25" t="s">
        <v>3</v>
      </c>
      <c r="D25" t="s">
        <v>12</v>
      </c>
      <c r="E25" t="s">
        <v>12</v>
      </c>
      <c r="F25">
        <v>0</v>
      </c>
      <c r="G25">
        <v>8</v>
      </c>
      <c r="H25">
        <v>0</v>
      </c>
      <c r="I25" t="s">
        <v>1044</v>
      </c>
    </row>
    <row r="26" spans="1:9" x14ac:dyDescent="0.3">
      <c r="A26" t="s">
        <v>138</v>
      </c>
      <c r="B26" t="s">
        <v>2</v>
      </c>
      <c r="C26" t="s">
        <v>3</v>
      </c>
      <c r="D26" t="s">
        <v>12</v>
      </c>
      <c r="E26" t="s">
        <v>12</v>
      </c>
      <c r="F26">
        <v>0</v>
      </c>
      <c r="G26">
        <v>8</v>
      </c>
      <c r="H26">
        <v>1</v>
      </c>
      <c r="I26" t="s">
        <v>445</v>
      </c>
    </row>
    <row r="27" spans="1:9" x14ac:dyDescent="0.3">
      <c r="A27" t="s">
        <v>139</v>
      </c>
      <c r="B27" t="s">
        <v>2</v>
      </c>
      <c r="C27" t="s">
        <v>3</v>
      </c>
      <c r="D27" t="s">
        <v>12</v>
      </c>
      <c r="E27" t="s">
        <v>12</v>
      </c>
      <c r="F27">
        <v>0</v>
      </c>
      <c r="G27">
        <v>8</v>
      </c>
      <c r="H27">
        <v>2</v>
      </c>
      <c r="I27" t="s">
        <v>72</v>
      </c>
    </row>
    <row r="28" spans="1:9" x14ac:dyDescent="0.3">
      <c r="A28" t="s">
        <v>140</v>
      </c>
      <c r="B28" t="s">
        <v>2</v>
      </c>
      <c r="C28" t="s">
        <v>3</v>
      </c>
      <c r="D28" t="s">
        <v>12</v>
      </c>
      <c r="E28" t="s">
        <v>12</v>
      </c>
      <c r="F28">
        <v>0</v>
      </c>
      <c r="G28">
        <v>9</v>
      </c>
      <c r="H28">
        <v>0</v>
      </c>
      <c r="I28" t="s">
        <v>1045</v>
      </c>
    </row>
    <row r="29" spans="1:9" x14ac:dyDescent="0.3">
      <c r="A29" t="s">
        <v>141</v>
      </c>
      <c r="B29" t="s">
        <v>2</v>
      </c>
      <c r="C29" t="s">
        <v>3</v>
      </c>
      <c r="D29" t="s">
        <v>12</v>
      </c>
      <c r="E29" t="s">
        <v>12</v>
      </c>
      <c r="F29">
        <v>0</v>
      </c>
      <c r="G29">
        <v>9</v>
      </c>
      <c r="H29">
        <v>1</v>
      </c>
      <c r="I29" t="s">
        <v>69</v>
      </c>
    </row>
    <row r="30" spans="1:9" x14ac:dyDescent="0.3">
      <c r="A30" t="s">
        <v>142</v>
      </c>
      <c r="B30" t="s">
        <v>2</v>
      </c>
      <c r="C30" t="s">
        <v>3</v>
      </c>
      <c r="D30" t="s">
        <v>12</v>
      </c>
      <c r="E30" t="s">
        <v>12</v>
      </c>
      <c r="F30">
        <v>0</v>
      </c>
      <c r="G30">
        <v>9</v>
      </c>
      <c r="H30">
        <v>2</v>
      </c>
      <c r="I30" t="s">
        <v>72</v>
      </c>
    </row>
    <row r="31" spans="1:9" x14ac:dyDescent="0.3">
      <c r="A31" t="s">
        <v>143</v>
      </c>
      <c r="B31" t="s">
        <v>2</v>
      </c>
      <c r="C31" t="s">
        <v>3</v>
      </c>
      <c r="D31" t="s">
        <v>12</v>
      </c>
      <c r="E31" t="s">
        <v>12</v>
      </c>
      <c r="F31">
        <v>1</v>
      </c>
      <c r="G31">
        <v>0</v>
      </c>
      <c r="H31">
        <v>0</v>
      </c>
      <c r="I31" t="s">
        <v>445</v>
      </c>
    </row>
    <row r="32" spans="1:9" x14ac:dyDescent="0.3">
      <c r="A32" t="s">
        <v>144</v>
      </c>
      <c r="B32" t="s">
        <v>2</v>
      </c>
      <c r="C32" t="s">
        <v>3</v>
      </c>
      <c r="D32" t="s">
        <v>12</v>
      </c>
      <c r="E32" t="s">
        <v>12</v>
      </c>
      <c r="F32">
        <v>1</v>
      </c>
      <c r="G32">
        <v>0</v>
      </c>
      <c r="H32">
        <v>1</v>
      </c>
      <c r="I32" t="s">
        <v>446</v>
      </c>
    </row>
    <row r="33" spans="1:9" x14ac:dyDescent="0.3">
      <c r="A33" t="s">
        <v>145</v>
      </c>
      <c r="B33" t="s">
        <v>2</v>
      </c>
      <c r="C33" t="s">
        <v>3</v>
      </c>
      <c r="D33" t="s">
        <v>12</v>
      </c>
      <c r="E33" t="s">
        <v>12</v>
      </c>
      <c r="F33">
        <v>1</v>
      </c>
      <c r="G33">
        <v>0</v>
      </c>
      <c r="H33">
        <v>2</v>
      </c>
      <c r="I33" t="s">
        <v>444</v>
      </c>
    </row>
    <row r="34" spans="1:9" x14ac:dyDescent="0.3">
      <c r="A34" t="s">
        <v>146</v>
      </c>
      <c r="B34" t="s">
        <v>2</v>
      </c>
      <c r="C34" t="s">
        <v>3</v>
      </c>
      <c r="D34" t="s">
        <v>12</v>
      </c>
      <c r="E34" t="s">
        <v>12</v>
      </c>
      <c r="F34">
        <v>1</v>
      </c>
      <c r="G34">
        <v>1</v>
      </c>
      <c r="H34">
        <v>0</v>
      </c>
      <c r="I34" t="s">
        <v>74</v>
      </c>
    </row>
    <row r="35" spans="1:9" x14ac:dyDescent="0.3">
      <c r="A35" t="s">
        <v>147</v>
      </c>
      <c r="B35" t="s">
        <v>2</v>
      </c>
      <c r="C35" t="s">
        <v>3</v>
      </c>
      <c r="D35" t="s">
        <v>12</v>
      </c>
      <c r="E35" t="s">
        <v>12</v>
      </c>
      <c r="F35">
        <v>1</v>
      </c>
      <c r="G35">
        <v>1</v>
      </c>
      <c r="H35">
        <v>1</v>
      </c>
      <c r="I35" t="s">
        <v>446</v>
      </c>
    </row>
    <row r="36" spans="1:9" x14ac:dyDescent="0.3">
      <c r="A36" t="s">
        <v>148</v>
      </c>
      <c r="B36" t="s">
        <v>2</v>
      </c>
      <c r="C36" t="s">
        <v>3</v>
      </c>
      <c r="D36" t="s">
        <v>12</v>
      </c>
      <c r="E36" t="s">
        <v>12</v>
      </c>
      <c r="F36">
        <v>1</v>
      </c>
      <c r="G36">
        <v>1</v>
      </c>
      <c r="H36">
        <v>2</v>
      </c>
      <c r="I36" t="s">
        <v>1041</v>
      </c>
    </row>
    <row r="37" spans="1:9" x14ac:dyDescent="0.3">
      <c r="A37" t="s">
        <v>149</v>
      </c>
      <c r="B37" t="s">
        <v>2</v>
      </c>
      <c r="C37" t="s">
        <v>3</v>
      </c>
      <c r="D37" t="s">
        <v>12</v>
      </c>
      <c r="E37" t="s">
        <v>12</v>
      </c>
      <c r="F37">
        <v>1</v>
      </c>
      <c r="G37">
        <v>2</v>
      </c>
      <c r="H37">
        <v>0</v>
      </c>
      <c r="I37" t="s">
        <v>446</v>
      </c>
    </row>
    <row r="38" spans="1:9" x14ac:dyDescent="0.3">
      <c r="A38" t="s">
        <v>150</v>
      </c>
      <c r="B38" t="s">
        <v>2</v>
      </c>
      <c r="C38" t="s">
        <v>3</v>
      </c>
      <c r="D38" t="s">
        <v>12</v>
      </c>
      <c r="E38" t="s">
        <v>12</v>
      </c>
      <c r="F38">
        <v>1</v>
      </c>
      <c r="G38">
        <v>2</v>
      </c>
      <c r="H38">
        <v>1</v>
      </c>
      <c r="I38" t="s">
        <v>446</v>
      </c>
    </row>
    <row r="39" spans="1:9" x14ac:dyDescent="0.3">
      <c r="A39" t="s">
        <v>151</v>
      </c>
      <c r="B39" t="s">
        <v>2</v>
      </c>
      <c r="C39" t="s">
        <v>3</v>
      </c>
      <c r="D39" t="s">
        <v>12</v>
      </c>
      <c r="E39" t="s">
        <v>12</v>
      </c>
      <c r="F39">
        <v>1</v>
      </c>
      <c r="G39">
        <v>2</v>
      </c>
      <c r="H39">
        <v>2</v>
      </c>
      <c r="I39" t="s">
        <v>62</v>
      </c>
    </row>
    <row r="40" spans="1:9" x14ac:dyDescent="0.3">
      <c r="A40" t="s">
        <v>152</v>
      </c>
      <c r="B40" t="s">
        <v>2</v>
      </c>
      <c r="C40" t="s">
        <v>3</v>
      </c>
      <c r="D40" t="s">
        <v>12</v>
      </c>
      <c r="E40" t="s">
        <v>12</v>
      </c>
      <c r="F40">
        <v>1</v>
      </c>
      <c r="G40">
        <v>3</v>
      </c>
      <c r="H40">
        <v>0</v>
      </c>
      <c r="I40" t="s">
        <v>1040</v>
      </c>
    </row>
    <row r="41" spans="1:9" x14ac:dyDescent="0.3">
      <c r="A41" t="s">
        <v>153</v>
      </c>
      <c r="B41" t="s">
        <v>2</v>
      </c>
      <c r="C41" t="s">
        <v>3</v>
      </c>
      <c r="D41" t="s">
        <v>12</v>
      </c>
      <c r="E41" t="s">
        <v>12</v>
      </c>
      <c r="F41">
        <v>1</v>
      </c>
      <c r="G41">
        <v>3</v>
      </c>
      <c r="H41">
        <v>1</v>
      </c>
      <c r="I41" t="s">
        <v>446</v>
      </c>
    </row>
    <row r="42" spans="1:9" x14ac:dyDescent="0.2">
      <c r="A42" t="s">
        <v>154</v>
      </c>
      <c r="B42" t="s">
        <v>2</v>
      </c>
      <c r="C42" t="s">
        <v>3</v>
      </c>
      <c r="D42" t="s">
        <v>12</v>
      </c>
      <c r="E42" t="s">
        <v>12</v>
      </c>
      <c r="F42">
        <v>1</v>
      </c>
      <c r="G42">
        <v>3</v>
      </c>
      <c r="H42">
        <v>2</v>
      </c>
      <c r="I42" t="s">
        <v>72</v>
      </c>
    </row>
    <row r="43" spans="1:9" x14ac:dyDescent="0.2">
      <c r="A43" t="s">
        <v>155</v>
      </c>
      <c r="B43" t="s">
        <v>2</v>
      </c>
      <c r="C43" t="s">
        <v>3</v>
      </c>
      <c r="D43" t="s">
        <v>12</v>
      </c>
      <c r="E43" t="s">
        <v>12</v>
      </c>
      <c r="F43">
        <v>1</v>
      </c>
      <c r="G43">
        <v>4</v>
      </c>
      <c r="H43">
        <v>0</v>
      </c>
      <c r="I43" t="s">
        <v>75</v>
      </c>
    </row>
    <row r="44" spans="1:9" x14ac:dyDescent="0.2">
      <c r="A44" t="s">
        <v>156</v>
      </c>
      <c r="B44" t="s">
        <v>2</v>
      </c>
      <c r="C44" t="s">
        <v>3</v>
      </c>
      <c r="D44" t="s">
        <v>12</v>
      </c>
      <c r="E44" t="s">
        <v>12</v>
      </c>
      <c r="F44">
        <v>1</v>
      </c>
      <c r="G44">
        <v>4</v>
      </c>
      <c r="H44">
        <v>1</v>
      </c>
      <c r="I44" t="s">
        <v>446</v>
      </c>
    </row>
    <row r="45" spans="1:9" x14ac:dyDescent="0.2">
      <c r="A45" t="s">
        <v>157</v>
      </c>
      <c r="B45" t="s">
        <v>2</v>
      </c>
      <c r="C45" t="s">
        <v>3</v>
      </c>
      <c r="D45" t="s">
        <v>12</v>
      </c>
      <c r="E45" t="s">
        <v>12</v>
      </c>
      <c r="F45">
        <v>1</v>
      </c>
      <c r="G45">
        <v>4</v>
      </c>
      <c r="H45">
        <v>2</v>
      </c>
      <c r="I45" t="s">
        <v>72</v>
      </c>
    </row>
    <row r="46" spans="1:9" x14ac:dyDescent="0.2">
      <c r="A46" t="s">
        <v>158</v>
      </c>
      <c r="B46" t="s">
        <v>2</v>
      </c>
      <c r="C46" t="s">
        <v>3</v>
      </c>
      <c r="D46" t="s">
        <v>12</v>
      </c>
      <c r="E46" t="s">
        <v>12</v>
      </c>
      <c r="F46">
        <v>1</v>
      </c>
      <c r="G46">
        <v>5</v>
      </c>
      <c r="H46">
        <v>0</v>
      </c>
      <c r="I46" t="s">
        <v>1042</v>
      </c>
    </row>
    <row r="47" spans="1:9" x14ac:dyDescent="0.2">
      <c r="A47" t="s">
        <v>159</v>
      </c>
      <c r="B47" t="s">
        <v>2</v>
      </c>
      <c r="C47" t="s">
        <v>3</v>
      </c>
      <c r="D47" t="s">
        <v>12</v>
      </c>
      <c r="E47" t="s">
        <v>12</v>
      </c>
      <c r="F47">
        <v>1</v>
      </c>
      <c r="G47">
        <v>5</v>
      </c>
      <c r="H47">
        <v>1</v>
      </c>
      <c r="I47" t="s">
        <v>446</v>
      </c>
    </row>
    <row r="48" spans="1:9" x14ac:dyDescent="0.2">
      <c r="A48" t="s">
        <v>160</v>
      </c>
      <c r="B48" t="s">
        <v>2</v>
      </c>
      <c r="C48" t="s">
        <v>3</v>
      </c>
      <c r="D48" t="s">
        <v>12</v>
      </c>
      <c r="E48" t="s">
        <v>12</v>
      </c>
      <c r="F48">
        <v>1</v>
      </c>
      <c r="G48">
        <v>5</v>
      </c>
      <c r="H48">
        <v>2</v>
      </c>
      <c r="I48" t="s">
        <v>72</v>
      </c>
    </row>
    <row r="49" spans="1:9" x14ac:dyDescent="0.2">
      <c r="A49" t="s">
        <v>161</v>
      </c>
      <c r="B49" t="s">
        <v>2</v>
      </c>
      <c r="C49" t="s">
        <v>3</v>
      </c>
      <c r="D49" t="s">
        <v>12</v>
      </c>
      <c r="E49" t="s">
        <v>12</v>
      </c>
      <c r="F49">
        <v>1</v>
      </c>
      <c r="G49">
        <v>6</v>
      </c>
      <c r="H49">
        <v>0</v>
      </c>
      <c r="I49" t="s">
        <v>1039</v>
      </c>
    </row>
    <row r="50" spans="1:9" x14ac:dyDescent="0.2">
      <c r="A50" t="s">
        <v>162</v>
      </c>
      <c r="B50" t="s">
        <v>2</v>
      </c>
      <c r="C50" t="s">
        <v>3</v>
      </c>
      <c r="D50" t="s">
        <v>12</v>
      </c>
      <c r="E50" t="s">
        <v>12</v>
      </c>
      <c r="F50">
        <v>1</v>
      </c>
      <c r="G50">
        <v>6</v>
      </c>
      <c r="H50">
        <v>1</v>
      </c>
      <c r="I50" t="s">
        <v>446</v>
      </c>
    </row>
    <row r="51" spans="1:9" x14ac:dyDescent="0.2">
      <c r="A51" t="s">
        <v>163</v>
      </c>
      <c r="B51" t="s">
        <v>2</v>
      </c>
      <c r="C51" t="s">
        <v>3</v>
      </c>
      <c r="D51" t="s">
        <v>12</v>
      </c>
      <c r="E51" t="s">
        <v>12</v>
      </c>
      <c r="F51">
        <v>1</v>
      </c>
      <c r="G51">
        <v>6</v>
      </c>
      <c r="H51">
        <v>2</v>
      </c>
      <c r="I51" t="s">
        <v>72</v>
      </c>
    </row>
    <row r="52" spans="1:9" x14ac:dyDescent="0.2">
      <c r="A52" t="s">
        <v>164</v>
      </c>
      <c r="B52" t="s">
        <v>2</v>
      </c>
      <c r="C52" t="s">
        <v>3</v>
      </c>
      <c r="D52" t="s">
        <v>12</v>
      </c>
      <c r="E52" t="s">
        <v>12</v>
      </c>
      <c r="F52">
        <v>1</v>
      </c>
      <c r="G52">
        <v>7</v>
      </c>
      <c r="H52">
        <v>0</v>
      </c>
      <c r="I52" t="s">
        <v>1043</v>
      </c>
    </row>
    <row r="53" spans="1:9" x14ac:dyDescent="0.2">
      <c r="A53" t="s">
        <v>165</v>
      </c>
      <c r="B53" t="s">
        <v>2</v>
      </c>
      <c r="C53" t="s">
        <v>3</v>
      </c>
      <c r="D53" t="s">
        <v>12</v>
      </c>
      <c r="E53" t="s">
        <v>12</v>
      </c>
      <c r="F53">
        <v>1</v>
      </c>
      <c r="G53">
        <v>7</v>
      </c>
      <c r="H53">
        <v>1</v>
      </c>
      <c r="I53" t="s">
        <v>74</v>
      </c>
    </row>
    <row r="54" spans="1:9" x14ac:dyDescent="0.2">
      <c r="A54" t="s">
        <v>166</v>
      </c>
      <c r="B54" t="s">
        <v>2</v>
      </c>
      <c r="C54" t="s">
        <v>3</v>
      </c>
      <c r="D54" t="s">
        <v>12</v>
      </c>
      <c r="E54" t="s">
        <v>12</v>
      </c>
      <c r="F54">
        <v>1</v>
      </c>
      <c r="G54">
        <v>7</v>
      </c>
      <c r="H54">
        <v>2</v>
      </c>
      <c r="I54" t="s">
        <v>72</v>
      </c>
    </row>
    <row r="55" spans="1:9" x14ac:dyDescent="0.2">
      <c r="A55" t="s">
        <v>167</v>
      </c>
      <c r="B55" t="s">
        <v>2</v>
      </c>
      <c r="C55" t="s">
        <v>3</v>
      </c>
      <c r="D55" t="s">
        <v>12</v>
      </c>
      <c r="E55" t="s">
        <v>12</v>
      </c>
      <c r="F55">
        <v>1</v>
      </c>
      <c r="G55">
        <v>8</v>
      </c>
      <c r="H55">
        <v>0</v>
      </c>
      <c r="I55" t="s">
        <v>1044</v>
      </c>
    </row>
    <row r="56" spans="1:9" x14ac:dyDescent="0.2">
      <c r="A56" t="s">
        <v>168</v>
      </c>
      <c r="B56" t="s">
        <v>2</v>
      </c>
      <c r="C56" t="s">
        <v>3</v>
      </c>
      <c r="D56" t="s">
        <v>12</v>
      </c>
      <c r="E56" t="s">
        <v>12</v>
      </c>
      <c r="F56">
        <v>1</v>
      </c>
      <c r="G56">
        <v>8</v>
      </c>
      <c r="H56">
        <v>1</v>
      </c>
      <c r="I56" t="s">
        <v>445</v>
      </c>
    </row>
    <row r="57" spans="1:9" x14ac:dyDescent="0.2">
      <c r="A57" t="s">
        <v>169</v>
      </c>
      <c r="B57" t="s">
        <v>2</v>
      </c>
      <c r="C57" t="s">
        <v>3</v>
      </c>
      <c r="D57" t="s">
        <v>12</v>
      </c>
      <c r="E57" t="s">
        <v>12</v>
      </c>
      <c r="F57">
        <v>1</v>
      </c>
      <c r="G57">
        <v>8</v>
      </c>
      <c r="H57">
        <v>2</v>
      </c>
      <c r="I57" t="s">
        <v>72</v>
      </c>
    </row>
    <row r="58" spans="1:9" x14ac:dyDescent="0.2">
      <c r="A58" t="s">
        <v>170</v>
      </c>
      <c r="B58" t="s">
        <v>2</v>
      </c>
      <c r="C58" t="s">
        <v>3</v>
      </c>
      <c r="D58" t="s">
        <v>12</v>
      </c>
      <c r="E58" t="s">
        <v>12</v>
      </c>
      <c r="F58">
        <v>1</v>
      </c>
      <c r="G58">
        <v>9</v>
      </c>
      <c r="H58">
        <v>0</v>
      </c>
      <c r="I58" t="s">
        <v>1045</v>
      </c>
    </row>
    <row r="59" spans="1:9" x14ac:dyDescent="0.2">
      <c r="A59" t="s">
        <v>171</v>
      </c>
      <c r="B59" t="s">
        <v>2</v>
      </c>
      <c r="C59" t="s">
        <v>3</v>
      </c>
      <c r="D59" t="s">
        <v>12</v>
      </c>
      <c r="E59" t="s">
        <v>12</v>
      </c>
      <c r="F59">
        <v>1</v>
      </c>
      <c r="G59">
        <v>9</v>
      </c>
      <c r="H59">
        <v>1</v>
      </c>
      <c r="I59" t="s">
        <v>69</v>
      </c>
    </row>
    <row r="60" spans="1:9" x14ac:dyDescent="0.2">
      <c r="A60" t="s">
        <v>172</v>
      </c>
      <c r="B60" t="s">
        <v>2</v>
      </c>
      <c r="C60" t="s">
        <v>3</v>
      </c>
      <c r="D60" t="s">
        <v>12</v>
      </c>
      <c r="E60" t="s">
        <v>12</v>
      </c>
      <c r="F60">
        <v>1</v>
      </c>
      <c r="G60">
        <v>9</v>
      </c>
      <c r="H60">
        <v>2</v>
      </c>
      <c r="I60" t="s">
        <v>72</v>
      </c>
    </row>
    <row r="61" spans="1:9" x14ac:dyDescent="0.2">
      <c r="A61" t="s">
        <v>1075</v>
      </c>
      <c r="B61" t="s">
        <v>2</v>
      </c>
      <c r="C61" t="s">
        <v>3</v>
      </c>
      <c r="D61" t="s">
        <v>12</v>
      </c>
      <c r="E61" t="s">
        <v>12</v>
      </c>
      <c r="F61">
        <v>2</v>
      </c>
      <c r="G61">
        <v>0</v>
      </c>
      <c r="H61">
        <v>0</v>
      </c>
      <c r="I61" t="s">
        <v>445</v>
      </c>
    </row>
    <row r="62" spans="1:9" x14ac:dyDescent="0.2">
      <c r="A62" t="s">
        <v>1076</v>
      </c>
      <c r="B62" t="s">
        <v>2</v>
      </c>
      <c r="C62" t="s">
        <v>3</v>
      </c>
      <c r="D62" t="s">
        <v>12</v>
      </c>
      <c r="E62" t="s">
        <v>12</v>
      </c>
      <c r="F62">
        <v>2</v>
      </c>
      <c r="G62">
        <v>0</v>
      </c>
      <c r="H62">
        <v>1</v>
      </c>
      <c r="I62" t="s">
        <v>446</v>
      </c>
    </row>
    <row r="63" spans="1:9" x14ac:dyDescent="0.2">
      <c r="A63" t="s">
        <v>1077</v>
      </c>
      <c r="B63" t="s">
        <v>2</v>
      </c>
      <c r="C63" t="s">
        <v>3</v>
      </c>
      <c r="D63" t="s">
        <v>12</v>
      </c>
      <c r="E63" t="s">
        <v>12</v>
      </c>
      <c r="F63">
        <v>2</v>
      </c>
      <c r="G63">
        <v>0</v>
      </c>
      <c r="H63">
        <v>2</v>
      </c>
      <c r="I63" t="s">
        <v>444</v>
      </c>
    </row>
    <row r="64" spans="1:9" x14ac:dyDescent="0.2">
      <c r="A64" t="s">
        <v>1078</v>
      </c>
      <c r="B64" t="s">
        <v>2</v>
      </c>
      <c r="C64" t="s">
        <v>3</v>
      </c>
      <c r="D64" t="s">
        <v>12</v>
      </c>
      <c r="E64" t="s">
        <v>12</v>
      </c>
      <c r="F64">
        <v>2</v>
      </c>
      <c r="G64">
        <v>1</v>
      </c>
      <c r="H64">
        <v>0</v>
      </c>
      <c r="I64" t="s">
        <v>74</v>
      </c>
    </row>
    <row r="65" spans="1:9" x14ac:dyDescent="0.2">
      <c r="A65" t="s">
        <v>1079</v>
      </c>
      <c r="B65" t="s">
        <v>2</v>
      </c>
      <c r="C65" t="s">
        <v>3</v>
      </c>
      <c r="D65" t="s">
        <v>12</v>
      </c>
      <c r="E65" t="s">
        <v>12</v>
      </c>
      <c r="F65">
        <v>2</v>
      </c>
      <c r="G65">
        <v>1</v>
      </c>
      <c r="H65">
        <v>1</v>
      </c>
      <c r="I65" t="s">
        <v>446</v>
      </c>
    </row>
    <row r="66" spans="1:9" x14ac:dyDescent="0.2">
      <c r="A66" t="s">
        <v>1080</v>
      </c>
      <c r="B66" t="s">
        <v>2</v>
      </c>
      <c r="C66" t="s">
        <v>3</v>
      </c>
      <c r="D66" t="s">
        <v>12</v>
      </c>
      <c r="E66" t="s">
        <v>12</v>
      </c>
      <c r="F66">
        <v>2</v>
      </c>
      <c r="G66">
        <v>1</v>
      </c>
      <c r="H66">
        <v>2</v>
      </c>
      <c r="I66" t="s">
        <v>76</v>
      </c>
    </row>
    <row r="67" spans="1:9" x14ac:dyDescent="0.2">
      <c r="A67" t="s">
        <v>1081</v>
      </c>
      <c r="B67" t="s">
        <v>2</v>
      </c>
      <c r="C67" t="s">
        <v>3</v>
      </c>
      <c r="D67" t="s">
        <v>12</v>
      </c>
      <c r="E67" t="s">
        <v>12</v>
      </c>
      <c r="F67">
        <v>2</v>
      </c>
      <c r="G67">
        <v>2</v>
      </c>
      <c r="H67">
        <v>0</v>
      </c>
      <c r="I67" t="s">
        <v>446</v>
      </c>
    </row>
    <row r="68" spans="1:9" x14ac:dyDescent="0.2">
      <c r="A68" t="s">
        <v>1082</v>
      </c>
      <c r="B68" t="s">
        <v>2</v>
      </c>
      <c r="C68" t="s">
        <v>3</v>
      </c>
      <c r="D68" t="s">
        <v>12</v>
      </c>
      <c r="E68" t="s">
        <v>12</v>
      </c>
      <c r="F68">
        <v>2</v>
      </c>
      <c r="G68">
        <v>2</v>
      </c>
      <c r="H68">
        <v>1</v>
      </c>
      <c r="I68" t="s">
        <v>446</v>
      </c>
    </row>
    <row r="69" spans="1:9" x14ac:dyDescent="0.2">
      <c r="A69" t="s">
        <v>1083</v>
      </c>
      <c r="B69" t="s">
        <v>2</v>
      </c>
      <c r="C69" t="s">
        <v>3</v>
      </c>
      <c r="D69" t="s">
        <v>12</v>
      </c>
      <c r="E69" t="s">
        <v>12</v>
      </c>
      <c r="F69">
        <v>2</v>
      </c>
      <c r="G69">
        <v>2</v>
      </c>
      <c r="H69">
        <v>2</v>
      </c>
      <c r="I69" t="s">
        <v>61</v>
      </c>
    </row>
    <row r="70" spans="1:9" x14ac:dyDescent="0.2">
      <c r="A70" t="s">
        <v>1084</v>
      </c>
      <c r="B70" t="s">
        <v>2</v>
      </c>
      <c r="C70" t="s">
        <v>3</v>
      </c>
      <c r="D70" t="s">
        <v>12</v>
      </c>
      <c r="E70" t="s">
        <v>12</v>
      </c>
      <c r="F70">
        <v>2</v>
      </c>
      <c r="G70">
        <v>3</v>
      </c>
      <c r="H70">
        <v>0</v>
      </c>
      <c r="I70" t="s">
        <v>1040</v>
      </c>
    </row>
    <row r="71" spans="1:9" x14ac:dyDescent="0.2">
      <c r="A71" t="s">
        <v>1085</v>
      </c>
      <c r="B71" t="s">
        <v>2</v>
      </c>
      <c r="C71" t="s">
        <v>3</v>
      </c>
      <c r="D71" t="s">
        <v>12</v>
      </c>
      <c r="E71" t="s">
        <v>12</v>
      </c>
      <c r="F71">
        <v>2</v>
      </c>
      <c r="G71">
        <v>3</v>
      </c>
      <c r="H71">
        <v>1</v>
      </c>
      <c r="I71" t="s">
        <v>446</v>
      </c>
    </row>
    <row r="72" spans="1:9" x14ac:dyDescent="0.2">
      <c r="A72" t="s">
        <v>1086</v>
      </c>
      <c r="B72" t="s">
        <v>2</v>
      </c>
      <c r="C72" t="s">
        <v>3</v>
      </c>
      <c r="D72" t="s">
        <v>12</v>
      </c>
      <c r="E72" t="s">
        <v>12</v>
      </c>
      <c r="F72">
        <v>2</v>
      </c>
      <c r="G72">
        <v>3</v>
      </c>
      <c r="H72">
        <v>2</v>
      </c>
      <c r="I72" t="s">
        <v>72</v>
      </c>
    </row>
    <row r="73" spans="1:9" x14ac:dyDescent="0.2">
      <c r="A73" t="s">
        <v>1087</v>
      </c>
      <c r="B73" t="s">
        <v>2</v>
      </c>
      <c r="C73" t="s">
        <v>3</v>
      </c>
      <c r="D73" t="s">
        <v>12</v>
      </c>
      <c r="E73" t="s">
        <v>12</v>
      </c>
      <c r="F73">
        <v>2</v>
      </c>
      <c r="G73">
        <v>4</v>
      </c>
      <c r="H73">
        <v>0</v>
      </c>
      <c r="I73" t="s">
        <v>75</v>
      </c>
    </row>
    <row r="74" spans="1:9" x14ac:dyDescent="0.2">
      <c r="A74" t="s">
        <v>1088</v>
      </c>
      <c r="B74" t="s">
        <v>2</v>
      </c>
      <c r="C74" t="s">
        <v>3</v>
      </c>
      <c r="D74" t="s">
        <v>12</v>
      </c>
      <c r="E74" t="s">
        <v>12</v>
      </c>
      <c r="F74">
        <v>2</v>
      </c>
      <c r="G74">
        <v>4</v>
      </c>
      <c r="H74">
        <v>1</v>
      </c>
      <c r="I74" t="s">
        <v>446</v>
      </c>
    </row>
    <row r="75" spans="1:9" x14ac:dyDescent="0.2">
      <c r="A75" t="s">
        <v>1089</v>
      </c>
      <c r="B75" t="s">
        <v>2</v>
      </c>
      <c r="C75" t="s">
        <v>3</v>
      </c>
      <c r="D75" t="s">
        <v>12</v>
      </c>
      <c r="E75" t="s">
        <v>12</v>
      </c>
      <c r="F75">
        <v>2</v>
      </c>
      <c r="G75">
        <v>4</v>
      </c>
      <c r="H75">
        <v>2</v>
      </c>
      <c r="I75" t="s">
        <v>72</v>
      </c>
    </row>
    <row r="76" spans="1:9" x14ac:dyDescent="0.2">
      <c r="A76" t="s">
        <v>1090</v>
      </c>
      <c r="B76" t="s">
        <v>2</v>
      </c>
      <c r="C76" t="s">
        <v>3</v>
      </c>
      <c r="D76" t="s">
        <v>12</v>
      </c>
      <c r="E76" t="s">
        <v>12</v>
      </c>
      <c r="F76">
        <v>2</v>
      </c>
      <c r="G76">
        <v>5</v>
      </c>
      <c r="H76">
        <v>0</v>
      </c>
      <c r="I76" t="s">
        <v>1042</v>
      </c>
    </row>
    <row r="77" spans="1:9" x14ac:dyDescent="0.2">
      <c r="A77" t="s">
        <v>1091</v>
      </c>
      <c r="B77" t="s">
        <v>2</v>
      </c>
      <c r="C77" t="s">
        <v>3</v>
      </c>
      <c r="D77" t="s">
        <v>12</v>
      </c>
      <c r="E77" t="s">
        <v>12</v>
      </c>
      <c r="F77">
        <v>2</v>
      </c>
      <c r="G77">
        <v>5</v>
      </c>
      <c r="H77">
        <v>1</v>
      </c>
      <c r="I77" t="s">
        <v>446</v>
      </c>
    </row>
    <row r="78" spans="1:9" x14ac:dyDescent="0.2">
      <c r="A78" t="s">
        <v>1092</v>
      </c>
      <c r="B78" t="s">
        <v>2</v>
      </c>
      <c r="C78" t="s">
        <v>3</v>
      </c>
      <c r="D78" t="s">
        <v>12</v>
      </c>
      <c r="E78" t="s">
        <v>12</v>
      </c>
      <c r="F78">
        <v>2</v>
      </c>
      <c r="G78">
        <v>5</v>
      </c>
      <c r="H78">
        <v>2</v>
      </c>
      <c r="I78" t="s">
        <v>72</v>
      </c>
    </row>
    <row r="79" spans="1:9" x14ac:dyDescent="0.2">
      <c r="A79" t="s">
        <v>1093</v>
      </c>
      <c r="B79" t="s">
        <v>2</v>
      </c>
      <c r="C79" t="s">
        <v>3</v>
      </c>
      <c r="D79" t="s">
        <v>12</v>
      </c>
      <c r="E79" t="s">
        <v>12</v>
      </c>
      <c r="F79">
        <v>2</v>
      </c>
      <c r="G79">
        <v>6</v>
      </c>
      <c r="H79">
        <v>0</v>
      </c>
      <c r="I79" t="s">
        <v>1039</v>
      </c>
    </row>
    <row r="80" spans="1:9" x14ac:dyDescent="0.2">
      <c r="A80" t="s">
        <v>1094</v>
      </c>
      <c r="B80" t="s">
        <v>2</v>
      </c>
      <c r="C80" t="s">
        <v>3</v>
      </c>
      <c r="D80" t="s">
        <v>12</v>
      </c>
      <c r="E80" t="s">
        <v>12</v>
      </c>
      <c r="F80">
        <v>2</v>
      </c>
      <c r="G80">
        <v>6</v>
      </c>
      <c r="H80">
        <v>1</v>
      </c>
      <c r="I80" t="s">
        <v>446</v>
      </c>
    </row>
    <row r="81" spans="1:9" x14ac:dyDescent="0.2">
      <c r="A81" t="s">
        <v>1095</v>
      </c>
      <c r="B81" t="s">
        <v>2</v>
      </c>
      <c r="C81" t="s">
        <v>3</v>
      </c>
      <c r="D81" t="s">
        <v>12</v>
      </c>
      <c r="E81" t="s">
        <v>12</v>
      </c>
      <c r="F81">
        <v>2</v>
      </c>
      <c r="G81">
        <v>6</v>
      </c>
      <c r="H81">
        <v>2</v>
      </c>
      <c r="I81" t="s">
        <v>72</v>
      </c>
    </row>
    <row r="82" spans="1:9" x14ac:dyDescent="0.2">
      <c r="A82" t="s">
        <v>1096</v>
      </c>
      <c r="B82" t="s">
        <v>2</v>
      </c>
      <c r="C82" t="s">
        <v>3</v>
      </c>
      <c r="D82" t="s">
        <v>12</v>
      </c>
      <c r="E82" t="s">
        <v>12</v>
      </c>
      <c r="F82">
        <v>2</v>
      </c>
      <c r="G82">
        <v>7</v>
      </c>
      <c r="H82">
        <v>0</v>
      </c>
      <c r="I82" t="s">
        <v>1043</v>
      </c>
    </row>
    <row r="83" spans="1:9" x14ac:dyDescent="0.2">
      <c r="A83" t="s">
        <v>1097</v>
      </c>
      <c r="B83" t="s">
        <v>2</v>
      </c>
      <c r="C83" t="s">
        <v>3</v>
      </c>
      <c r="D83" t="s">
        <v>12</v>
      </c>
      <c r="E83" t="s">
        <v>12</v>
      </c>
      <c r="F83">
        <v>2</v>
      </c>
      <c r="G83">
        <v>7</v>
      </c>
      <c r="H83">
        <v>1</v>
      </c>
      <c r="I83" t="s">
        <v>74</v>
      </c>
    </row>
    <row r="84" spans="1:9" x14ac:dyDescent="0.2">
      <c r="A84" t="s">
        <v>1098</v>
      </c>
      <c r="B84" t="s">
        <v>2</v>
      </c>
      <c r="C84" t="s">
        <v>3</v>
      </c>
      <c r="D84" t="s">
        <v>12</v>
      </c>
      <c r="E84" t="s">
        <v>12</v>
      </c>
      <c r="F84">
        <v>2</v>
      </c>
      <c r="G84">
        <v>7</v>
      </c>
      <c r="H84">
        <v>2</v>
      </c>
      <c r="I84" t="s">
        <v>72</v>
      </c>
    </row>
    <row r="85" spans="1:9" x14ac:dyDescent="0.2">
      <c r="A85" t="s">
        <v>1099</v>
      </c>
      <c r="B85" t="s">
        <v>2</v>
      </c>
      <c r="C85" t="s">
        <v>3</v>
      </c>
      <c r="D85" t="s">
        <v>12</v>
      </c>
      <c r="E85" t="s">
        <v>12</v>
      </c>
      <c r="F85">
        <v>2</v>
      </c>
      <c r="G85">
        <v>8</v>
      </c>
      <c r="H85">
        <v>0</v>
      </c>
      <c r="I85" t="s">
        <v>1044</v>
      </c>
    </row>
    <row r="86" spans="1:9" x14ac:dyDescent="0.2">
      <c r="A86" t="s">
        <v>1100</v>
      </c>
      <c r="B86" t="s">
        <v>2</v>
      </c>
      <c r="C86" t="s">
        <v>3</v>
      </c>
      <c r="D86" t="s">
        <v>12</v>
      </c>
      <c r="E86" t="s">
        <v>12</v>
      </c>
      <c r="F86">
        <v>2</v>
      </c>
      <c r="G86">
        <v>8</v>
      </c>
      <c r="H86">
        <v>1</v>
      </c>
      <c r="I86" t="s">
        <v>445</v>
      </c>
    </row>
    <row r="87" spans="1:9" x14ac:dyDescent="0.2">
      <c r="A87" t="s">
        <v>1101</v>
      </c>
      <c r="B87" t="s">
        <v>2</v>
      </c>
      <c r="C87" t="s">
        <v>3</v>
      </c>
      <c r="D87" t="s">
        <v>12</v>
      </c>
      <c r="E87" t="s">
        <v>12</v>
      </c>
      <c r="F87">
        <v>2</v>
      </c>
      <c r="G87">
        <v>8</v>
      </c>
      <c r="H87">
        <v>2</v>
      </c>
      <c r="I87" t="s">
        <v>72</v>
      </c>
    </row>
    <row r="88" spans="1:9" x14ac:dyDescent="0.2">
      <c r="A88" t="s">
        <v>1102</v>
      </c>
      <c r="B88" t="s">
        <v>2</v>
      </c>
      <c r="C88" t="s">
        <v>3</v>
      </c>
      <c r="D88" t="s">
        <v>12</v>
      </c>
      <c r="E88" t="s">
        <v>12</v>
      </c>
      <c r="F88">
        <v>2</v>
      </c>
      <c r="G88">
        <v>9</v>
      </c>
      <c r="H88">
        <v>0</v>
      </c>
      <c r="I88" t="s">
        <v>1045</v>
      </c>
    </row>
    <row r="89" spans="1:9" x14ac:dyDescent="0.2">
      <c r="A89" t="s">
        <v>1103</v>
      </c>
      <c r="B89" t="s">
        <v>2</v>
      </c>
      <c r="C89" t="s">
        <v>3</v>
      </c>
      <c r="D89" t="s">
        <v>12</v>
      </c>
      <c r="E89" t="s">
        <v>12</v>
      </c>
      <c r="F89">
        <v>2</v>
      </c>
      <c r="G89">
        <v>9</v>
      </c>
      <c r="H89">
        <v>1</v>
      </c>
      <c r="I89" t="s">
        <v>69</v>
      </c>
    </row>
    <row r="90" spans="1:9" x14ac:dyDescent="0.2">
      <c r="A90" t="s">
        <v>1104</v>
      </c>
      <c r="B90" t="s">
        <v>2</v>
      </c>
      <c r="C90" t="s">
        <v>3</v>
      </c>
      <c r="D90" t="s">
        <v>12</v>
      </c>
      <c r="E90" t="s">
        <v>12</v>
      </c>
      <c r="F90">
        <v>2</v>
      </c>
      <c r="G90">
        <v>9</v>
      </c>
      <c r="H90">
        <v>2</v>
      </c>
      <c r="I90" t="s">
        <v>72</v>
      </c>
    </row>
    <row r="91" spans="1:9" x14ac:dyDescent="0.2">
      <c r="A91" t="s">
        <v>1105</v>
      </c>
      <c r="B91" t="s">
        <v>4</v>
      </c>
      <c r="C91" t="s">
        <v>5</v>
      </c>
      <c r="D91" t="s">
        <v>12</v>
      </c>
      <c r="E91" t="s">
        <v>12</v>
      </c>
      <c r="F91" t="s">
        <v>12</v>
      </c>
      <c r="G91">
        <v>0</v>
      </c>
      <c r="H91">
        <v>0</v>
      </c>
      <c r="I91" t="s">
        <v>1047</v>
      </c>
    </row>
    <row r="92" spans="1:9" x14ac:dyDescent="0.2">
      <c r="A92" t="s">
        <v>1106</v>
      </c>
      <c r="B92" t="s">
        <v>4</v>
      </c>
      <c r="C92" t="s">
        <v>5</v>
      </c>
      <c r="D92" t="s">
        <v>12</v>
      </c>
      <c r="E92" t="s">
        <v>12</v>
      </c>
      <c r="F92" t="s">
        <v>12</v>
      </c>
      <c r="G92">
        <v>0</v>
      </c>
      <c r="H92">
        <v>1</v>
      </c>
      <c r="I92" t="s">
        <v>1046</v>
      </c>
    </row>
    <row r="93" spans="1:9" x14ac:dyDescent="0.2">
      <c r="A93" t="s">
        <v>1107</v>
      </c>
      <c r="B93" t="s">
        <v>4</v>
      </c>
      <c r="C93" t="s">
        <v>5</v>
      </c>
      <c r="D93" t="s">
        <v>12</v>
      </c>
      <c r="E93" t="s">
        <v>12</v>
      </c>
      <c r="F93" t="s">
        <v>12</v>
      </c>
      <c r="G93">
        <v>0</v>
      </c>
      <c r="H93">
        <v>2</v>
      </c>
      <c r="I93" t="s">
        <v>1057</v>
      </c>
    </row>
    <row r="94" spans="1:9" x14ac:dyDescent="0.2">
      <c r="A94" t="s">
        <v>1108</v>
      </c>
      <c r="B94" t="s">
        <v>4</v>
      </c>
      <c r="C94" t="s">
        <v>5</v>
      </c>
      <c r="D94" t="s">
        <v>12</v>
      </c>
      <c r="E94" t="s">
        <v>12</v>
      </c>
      <c r="F94" t="s">
        <v>12</v>
      </c>
      <c r="G94">
        <v>0</v>
      </c>
      <c r="H94">
        <v>3</v>
      </c>
      <c r="I94" t="s">
        <v>1047</v>
      </c>
    </row>
    <row r="95" spans="1:9" x14ac:dyDescent="0.2">
      <c r="A95" t="s">
        <v>1109</v>
      </c>
      <c r="B95" t="s">
        <v>4</v>
      </c>
      <c r="C95" t="s">
        <v>5</v>
      </c>
      <c r="D95" t="s">
        <v>12</v>
      </c>
      <c r="E95" t="s">
        <v>12</v>
      </c>
      <c r="F95" t="s">
        <v>12</v>
      </c>
      <c r="G95">
        <v>0</v>
      </c>
      <c r="H95">
        <v>4</v>
      </c>
      <c r="I95" t="s">
        <v>1047</v>
      </c>
    </row>
    <row r="96" spans="1:9" x14ac:dyDescent="0.2">
      <c r="A96" t="s">
        <v>1110</v>
      </c>
      <c r="B96" t="s">
        <v>4</v>
      </c>
      <c r="C96" t="s">
        <v>5</v>
      </c>
      <c r="D96" t="s">
        <v>12</v>
      </c>
      <c r="E96" t="s">
        <v>12</v>
      </c>
      <c r="F96" t="s">
        <v>12</v>
      </c>
      <c r="G96">
        <v>0</v>
      </c>
      <c r="H96">
        <v>5</v>
      </c>
      <c r="I96" t="s">
        <v>1058</v>
      </c>
    </row>
    <row r="97" spans="1:9" x14ac:dyDescent="0.2">
      <c r="A97" t="s">
        <v>1111</v>
      </c>
      <c r="B97" t="s">
        <v>4</v>
      </c>
      <c r="C97" t="s">
        <v>5</v>
      </c>
      <c r="D97" t="s">
        <v>12</v>
      </c>
      <c r="E97" t="s">
        <v>12</v>
      </c>
      <c r="F97" t="s">
        <v>12</v>
      </c>
      <c r="G97">
        <v>0</v>
      </c>
      <c r="H97">
        <v>6</v>
      </c>
      <c r="I97" t="s">
        <v>1058</v>
      </c>
    </row>
    <row r="98" spans="1:9" x14ac:dyDescent="0.2">
      <c r="A98" t="s">
        <v>1112</v>
      </c>
      <c r="B98" t="s">
        <v>4</v>
      </c>
      <c r="C98" t="s">
        <v>5</v>
      </c>
      <c r="D98" t="s">
        <v>12</v>
      </c>
      <c r="E98" t="s">
        <v>12</v>
      </c>
      <c r="F98" t="s">
        <v>12</v>
      </c>
      <c r="G98">
        <v>0</v>
      </c>
      <c r="H98">
        <v>7</v>
      </c>
      <c r="I98" t="s">
        <v>1058</v>
      </c>
    </row>
    <row r="99" spans="1:9" x14ac:dyDescent="0.2">
      <c r="A99" t="s">
        <v>1113</v>
      </c>
      <c r="B99" t="s">
        <v>4</v>
      </c>
      <c r="C99" t="s">
        <v>5</v>
      </c>
      <c r="D99" t="s">
        <v>12</v>
      </c>
      <c r="E99" t="s">
        <v>12</v>
      </c>
      <c r="F99" t="s">
        <v>12</v>
      </c>
      <c r="G99">
        <v>0</v>
      </c>
      <c r="H99">
        <v>8</v>
      </c>
      <c r="I99" t="s">
        <v>1047</v>
      </c>
    </row>
    <row r="100" spans="1:9" x14ac:dyDescent="0.2">
      <c r="A100" t="s">
        <v>1114</v>
      </c>
      <c r="B100" t="s">
        <v>4</v>
      </c>
      <c r="C100" t="s">
        <v>5</v>
      </c>
      <c r="D100" t="s">
        <v>12</v>
      </c>
      <c r="E100" t="s">
        <v>12</v>
      </c>
      <c r="F100" t="s">
        <v>12</v>
      </c>
      <c r="G100">
        <v>0</v>
      </c>
      <c r="H100">
        <v>9</v>
      </c>
      <c r="I100" t="s">
        <v>1047</v>
      </c>
    </row>
    <row r="101" spans="1:9" x14ac:dyDescent="0.2">
      <c r="A101" t="s">
        <v>1115</v>
      </c>
      <c r="B101" t="s">
        <v>4</v>
      </c>
      <c r="C101" t="s">
        <v>5</v>
      </c>
      <c r="D101" t="s">
        <v>12</v>
      </c>
      <c r="E101" t="s">
        <v>12</v>
      </c>
      <c r="F101" t="s">
        <v>12</v>
      </c>
      <c r="G101">
        <v>1</v>
      </c>
      <c r="H101">
        <v>0</v>
      </c>
      <c r="I101" t="s">
        <v>1059</v>
      </c>
    </row>
    <row r="102" spans="1:9" x14ac:dyDescent="0.2">
      <c r="A102" t="s">
        <v>1116</v>
      </c>
      <c r="B102" t="s">
        <v>4</v>
      </c>
      <c r="C102" t="s">
        <v>5</v>
      </c>
      <c r="D102" t="s">
        <v>12</v>
      </c>
      <c r="E102" t="s">
        <v>12</v>
      </c>
      <c r="F102" t="s">
        <v>12</v>
      </c>
      <c r="G102">
        <v>1</v>
      </c>
      <c r="H102">
        <v>1</v>
      </c>
      <c r="I102" t="s">
        <v>1039</v>
      </c>
    </row>
    <row r="103" spans="1:9" x14ac:dyDescent="0.2">
      <c r="A103" t="s">
        <v>1117</v>
      </c>
      <c r="B103" t="s">
        <v>4</v>
      </c>
      <c r="C103" t="s">
        <v>5</v>
      </c>
      <c r="D103" t="s">
        <v>12</v>
      </c>
      <c r="E103" t="s">
        <v>12</v>
      </c>
      <c r="F103" t="s">
        <v>12</v>
      </c>
      <c r="G103">
        <v>1</v>
      </c>
      <c r="H103">
        <v>2</v>
      </c>
      <c r="I103" t="s">
        <v>1044</v>
      </c>
    </row>
    <row r="104" spans="1:9" x14ac:dyDescent="0.2">
      <c r="A104" t="s">
        <v>1118</v>
      </c>
      <c r="B104" t="s">
        <v>4</v>
      </c>
      <c r="C104" t="s">
        <v>5</v>
      </c>
      <c r="D104" t="s">
        <v>12</v>
      </c>
      <c r="E104" t="s">
        <v>12</v>
      </c>
      <c r="F104" t="s">
        <v>12</v>
      </c>
      <c r="G104">
        <v>1</v>
      </c>
      <c r="H104">
        <v>3</v>
      </c>
      <c r="I104" t="s">
        <v>112</v>
      </c>
    </row>
    <row r="105" spans="1:9" x14ac:dyDescent="0.2">
      <c r="A105" t="s">
        <v>1119</v>
      </c>
      <c r="B105" t="s">
        <v>4</v>
      </c>
      <c r="C105" t="s">
        <v>5</v>
      </c>
      <c r="D105" t="s">
        <v>12</v>
      </c>
      <c r="E105" t="s">
        <v>12</v>
      </c>
      <c r="F105" t="s">
        <v>12</v>
      </c>
      <c r="G105">
        <v>1</v>
      </c>
      <c r="H105">
        <v>4</v>
      </c>
      <c r="I105" t="s">
        <v>112</v>
      </c>
    </row>
    <row r="106" spans="1:9" x14ac:dyDescent="0.2">
      <c r="A106" t="s">
        <v>1120</v>
      </c>
      <c r="B106" t="s">
        <v>4</v>
      </c>
      <c r="C106" t="s">
        <v>5</v>
      </c>
      <c r="D106" t="s">
        <v>12</v>
      </c>
      <c r="E106" t="s">
        <v>12</v>
      </c>
      <c r="F106" t="s">
        <v>12</v>
      </c>
      <c r="G106">
        <v>1</v>
      </c>
      <c r="H106">
        <v>5</v>
      </c>
      <c r="I106" t="s">
        <v>110</v>
      </c>
    </row>
    <row r="107" spans="1:9" x14ac:dyDescent="0.2">
      <c r="A107" t="s">
        <v>1121</v>
      </c>
      <c r="B107" t="s">
        <v>4</v>
      </c>
      <c r="C107" t="s">
        <v>5</v>
      </c>
      <c r="D107" t="s">
        <v>12</v>
      </c>
      <c r="E107" t="s">
        <v>12</v>
      </c>
      <c r="F107" t="s">
        <v>12</v>
      </c>
      <c r="G107">
        <v>1</v>
      </c>
      <c r="H107">
        <v>6</v>
      </c>
      <c r="I107" t="s">
        <v>110</v>
      </c>
    </row>
    <row r="108" spans="1:9" x14ac:dyDescent="0.2">
      <c r="A108" t="s">
        <v>1122</v>
      </c>
      <c r="B108" t="s">
        <v>4</v>
      </c>
      <c r="C108" t="s">
        <v>5</v>
      </c>
      <c r="D108" t="s">
        <v>12</v>
      </c>
      <c r="E108" t="s">
        <v>12</v>
      </c>
      <c r="F108" t="s">
        <v>12</v>
      </c>
      <c r="G108">
        <v>1</v>
      </c>
      <c r="H108">
        <v>7</v>
      </c>
      <c r="I108" t="s">
        <v>110</v>
      </c>
    </row>
    <row r="109" spans="1:9" x14ac:dyDescent="0.2">
      <c r="A109" t="s">
        <v>1123</v>
      </c>
      <c r="B109" t="s">
        <v>4</v>
      </c>
      <c r="C109" t="s">
        <v>5</v>
      </c>
      <c r="D109" t="s">
        <v>12</v>
      </c>
      <c r="E109" t="s">
        <v>12</v>
      </c>
      <c r="F109" t="s">
        <v>12</v>
      </c>
      <c r="G109">
        <v>1</v>
      </c>
      <c r="H109">
        <v>8</v>
      </c>
      <c r="I109" t="s">
        <v>112</v>
      </c>
    </row>
    <row r="110" spans="1:9" x14ac:dyDescent="0.2">
      <c r="A110" t="s">
        <v>1124</v>
      </c>
      <c r="B110" t="s">
        <v>4</v>
      </c>
      <c r="C110" t="s">
        <v>5</v>
      </c>
      <c r="D110" t="s">
        <v>12</v>
      </c>
      <c r="E110" t="s">
        <v>12</v>
      </c>
      <c r="F110" t="s">
        <v>12</v>
      </c>
      <c r="G110">
        <v>1</v>
      </c>
      <c r="H110">
        <v>9</v>
      </c>
      <c r="I110" t="s">
        <v>112</v>
      </c>
    </row>
    <row r="111" spans="1:9" x14ac:dyDescent="0.2">
      <c r="A111" t="s">
        <v>1125</v>
      </c>
      <c r="B111" t="s">
        <v>4</v>
      </c>
      <c r="C111" t="s">
        <v>5</v>
      </c>
      <c r="D111" t="s">
        <v>12</v>
      </c>
      <c r="E111" t="s">
        <v>12</v>
      </c>
      <c r="F111" t="s">
        <v>12</v>
      </c>
      <c r="G111">
        <v>2</v>
      </c>
      <c r="H111">
        <v>0</v>
      </c>
      <c r="I111" t="s">
        <v>72</v>
      </c>
    </row>
    <row r="112" spans="1:9" x14ac:dyDescent="0.2">
      <c r="A112" t="s">
        <v>1126</v>
      </c>
      <c r="B112" t="s">
        <v>4</v>
      </c>
      <c r="C112" t="s">
        <v>5</v>
      </c>
      <c r="D112" t="s">
        <v>12</v>
      </c>
      <c r="E112" t="s">
        <v>12</v>
      </c>
      <c r="F112" t="s">
        <v>12</v>
      </c>
      <c r="G112">
        <v>2</v>
      </c>
      <c r="H112">
        <v>1</v>
      </c>
      <c r="I112" t="s">
        <v>72</v>
      </c>
    </row>
    <row r="113" spans="1:9" x14ac:dyDescent="0.2">
      <c r="A113" t="s">
        <v>1127</v>
      </c>
      <c r="B113" t="s">
        <v>4</v>
      </c>
      <c r="C113" t="s">
        <v>5</v>
      </c>
      <c r="D113" t="s">
        <v>12</v>
      </c>
      <c r="E113" t="s">
        <v>12</v>
      </c>
      <c r="F113" t="s">
        <v>12</v>
      </c>
      <c r="G113">
        <v>2</v>
      </c>
      <c r="H113">
        <v>2</v>
      </c>
      <c r="I113" t="s">
        <v>72</v>
      </c>
    </row>
    <row r="114" spans="1:9" x14ac:dyDescent="0.2">
      <c r="A114" t="s">
        <v>1128</v>
      </c>
      <c r="B114" t="s">
        <v>4</v>
      </c>
      <c r="C114" t="s">
        <v>5</v>
      </c>
      <c r="D114" t="s">
        <v>12</v>
      </c>
      <c r="E114" t="s">
        <v>12</v>
      </c>
      <c r="F114" t="s">
        <v>12</v>
      </c>
      <c r="G114">
        <v>2</v>
      </c>
      <c r="H114">
        <v>3</v>
      </c>
      <c r="I114" t="s">
        <v>445</v>
      </c>
    </row>
    <row r="115" spans="1:9" x14ac:dyDescent="0.2">
      <c r="A115" t="s">
        <v>1129</v>
      </c>
      <c r="B115" t="s">
        <v>4</v>
      </c>
      <c r="C115" t="s">
        <v>5</v>
      </c>
      <c r="D115" t="s">
        <v>12</v>
      </c>
      <c r="E115" t="s">
        <v>12</v>
      </c>
      <c r="F115" t="s">
        <v>12</v>
      </c>
      <c r="G115">
        <v>2</v>
      </c>
      <c r="H115">
        <v>4</v>
      </c>
      <c r="I115" t="s">
        <v>445</v>
      </c>
    </row>
    <row r="116" spans="1:9" x14ac:dyDescent="0.2">
      <c r="A116" t="s">
        <v>1130</v>
      </c>
      <c r="B116" t="s">
        <v>4</v>
      </c>
      <c r="C116" t="s">
        <v>5</v>
      </c>
      <c r="D116" t="s">
        <v>12</v>
      </c>
      <c r="E116" t="s">
        <v>12</v>
      </c>
      <c r="F116" t="s">
        <v>12</v>
      </c>
      <c r="G116">
        <v>2</v>
      </c>
      <c r="H116">
        <v>5</v>
      </c>
      <c r="I116" t="s">
        <v>1041</v>
      </c>
    </row>
    <row r="117" spans="1:9" x14ac:dyDescent="0.2">
      <c r="A117" t="s">
        <v>1131</v>
      </c>
      <c r="B117" t="s">
        <v>4</v>
      </c>
      <c r="C117" t="s">
        <v>5</v>
      </c>
      <c r="D117" t="s">
        <v>12</v>
      </c>
      <c r="E117" t="s">
        <v>12</v>
      </c>
      <c r="F117" t="s">
        <v>12</v>
      </c>
      <c r="G117">
        <v>2</v>
      </c>
      <c r="H117">
        <v>6</v>
      </c>
      <c r="I117" t="s">
        <v>1041</v>
      </c>
    </row>
    <row r="118" spans="1:9" x14ac:dyDescent="0.2">
      <c r="A118" t="s">
        <v>1132</v>
      </c>
      <c r="B118" t="s">
        <v>4</v>
      </c>
      <c r="C118" t="s">
        <v>5</v>
      </c>
      <c r="D118" t="s">
        <v>12</v>
      </c>
      <c r="E118" t="s">
        <v>12</v>
      </c>
      <c r="F118" t="s">
        <v>12</v>
      </c>
      <c r="G118">
        <v>2</v>
      </c>
      <c r="H118">
        <v>7</v>
      </c>
      <c r="I118" t="s">
        <v>1041</v>
      </c>
    </row>
    <row r="119" spans="1:9" x14ac:dyDescent="0.2">
      <c r="A119" t="s">
        <v>1133</v>
      </c>
      <c r="B119" t="s">
        <v>4</v>
      </c>
      <c r="C119" t="s">
        <v>5</v>
      </c>
      <c r="D119" t="s">
        <v>12</v>
      </c>
      <c r="E119" t="s">
        <v>12</v>
      </c>
      <c r="F119" t="s">
        <v>12</v>
      </c>
      <c r="G119">
        <v>2</v>
      </c>
      <c r="H119">
        <v>8</v>
      </c>
      <c r="I119" t="s">
        <v>445</v>
      </c>
    </row>
    <row r="120" spans="1:9" x14ac:dyDescent="0.2">
      <c r="A120" t="s">
        <v>1134</v>
      </c>
      <c r="B120" t="s">
        <v>4</v>
      </c>
      <c r="C120" t="s">
        <v>5</v>
      </c>
      <c r="D120" t="s">
        <v>12</v>
      </c>
      <c r="E120" t="s">
        <v>12</v>
      </c>
      <c r="F120" t="s">
        <v>12</v>
      </c>
      <c r="G120">
        <v>2</v>
      </c>
      <c r="H120">
        <v>9</v>
      </c>
      <c r="I120" t="s">
        <v>445</v>
      </c>
    </row>
    <row r="121" spans="1:9" x14ac:dyDescent="0.2">
      <c r="A121" t="s">
        <v>1135</v>
      </c>
      <c r="B121" t="s">
        <v>102</v>
      </c>
      <c r="C121" t="s">
        <v>5</v>
      </c>
      <c r="D121" t="s">
        <v>12</v>
      </c>
      <c r="E121" t="s">
        <v>12</v>
      </c>
      <c r="F121" t="s">
        <v>12</v>
      </c>
      <c r="G121">
        <v>0</v>
      </c>
      <c r="H121">
        <v>0</v>
      </c>
      <c r="I121" t="s">
        <v>72</v>
      </c>
    </row>
    <row r="122" spans="1:9" x14ac:dyDescent="0.2">
      <c r="A122" t="s">
        <v>1136</v>
      </c>
      <c r="B122" t="s">
        <v>102</v>
      </c>
      <c r="C122" t="s">
        <v>5</v>
      </c>
      <c r="D122" t="s">
        <v>12</v>
      </c>
      <c r="E122" t="s">
        <v>12</v>
      </c>
      <c r="F122" t="s">
        <v>12</v>
      </c>
      <c r="G122">
        <v>0</v>
      </c>
      <c r="H122">
        <v>1</v>
      </c>
      <c r="I122" t="s">
        <v>72</v>
      </c>
    </row>
    <row r="123" spans="1:9" x14ac:dyDescent="0.2">
      <c r="A123" t="s">
        <v>1137</v>
      </c>
      <c r="B123" t="s">
        <v>102</v>
      </c>
      <c r="C123" t="s">
        <v>5</v>
      </c>
      <c r="D123" t="s">
        <v>12</v>
      </c>
      <c r="E123" t="s">
        <v>12</v>
      </c>
      <c r="F123" t="s">
        <v>12</v>
      </c>
      <c r="G123">
        <v>0</v>
      </c>
      <c r="H123">
        <v>2</v>
      </c>
      <c r="I123" t="s">
        <v>72</v>
      </c>
    </row>
    <row r="124" spans="1:9" x14ac:dyDescent="0.2">
      <c r="A124" t="s">
        <v>1138</v>
      </c>
      <c r="B124" t="s">
        <v>102</v>
      </c>
      <c r="C124" t="s">
        <v>5</v>
      </c>
      <c r="D124" t="s">
        <v>12</v>
      </c>
      <c r="E124" t="s">
        <v>12</v>
      </c>
      <c r="F124" t="s">
        <v>12</v>
      </c>
      <c r="G124">
        <v>0</v>
      </c>
      <c r="H124">
        <v>3</v>
      </c>
      <c r="I124" t="s">
        <v>72</v>
      </c>
    </row>
    <row r="125" spans="1:9" x14ac:dyDescent="0.2">
      <c r="A125" t="s">
        <v>1139</v>
      </c>
      <c r="B125" t="s">
        <v>102</v>
      </c>
      <c r="C125" t="s">
        <v>5</v>
      </c>
      <c r="D125" t="s">
        <v>12</v>
      </c>
      <c r="E125" t="s">
        <v>12</v>
      </c>
      <c r="F125" t="s">
        <v>12</v>
      </c>
      <c r="G125">
        <v>0</v>
      </c>
      <c r="H125">
        <v>4</v>
      </c>
      <c r="I125" t="s">
        <v>72</v>
      </c>
    </row>
    <row r="126" spans="1:9" x14ac:dyDescent="0.2">
      <c r="A126" t="s">
        <v>1140</v>
      </c>
      <c r="B126" t="s">
        <v>102</v>
      </c>
      <c r="C126" t="s">
        <v>5</v>
      </c>
      <c r="D126" t="s">
        <v>12</v>
      </c>
      <c r="E126" t="s">
        <v>12</v>
      </c>
      <c r="F126" t="s">
        <v>12</v>
      </c>
      <c r="G126">
        <v>0</v>
      </c>
      <c r="H126">
        <v>5</v>
      </c>
      <c r="I126" t="s">
        <v>72</v>
      </c>
    </row>
    <row r="127" spans="1:9" x14ac:dyDescent="0.2">
      <c r="A127" t="s">
        <v>1141</v>
      </c>
      <c r="B127" t="s">
        <v>102</v>
      </c>
      <c r="C127" t="s">
        <v>5</v>
      </c>
      <c r="D127" t="s">
        <v>12</v>
      </c>
      <c r="E127" t="s">
        <v>12</v>
      </c>
      <c r="F127" t="s">
        <v>12</v>
      </c>
      <c r="G127">
        <v>0</v>
      </c>
      <c r="H127">
        <v>6</v>
      </c>
      <c r="I127" t="s">
        <v>72</v>
      </c>
    </row>
    <row r="128" spans="1:9" x14ac:dyDescent="0.2">
      <c r="A128" t="s">
        <v>1142</v>
      </c>
      <c r="B128" t="s">
        <v>102</v>
      </c>
      <c r="C128" t="s">
        <v>5</v>
      </c>
      <c r="D128" t="s">
        <v>12</v>
      </c>
      <c r="E128" t="s">
        <v>12</v>
      </c>
      <c r="F128" t="s">
        <v>12</v>
      </c>
      <c r="G128">
        <v>0</v>
      </c>
      <c r="H128">
        <v>7</v>
      </c>
      <c r="I128" t="s">
        <v>72</v>
      </c>
    </row>
    <row r="129" spans="1:9" x14ac:dyDescent="0.2">
      <c r="A129" t="s">
        <v>1143</v>
      </c>
      <c r="B129" t="s">
        <v>102</v>
      </c>
      <c r="C129" t="s">
        <v>5</v>
      </c>
      <c r="D129" t="s">
        <v>12</v>
      </c>
      <c r="E129" t="s">
        <v>12</v>
      </c>
      <c r="F129" t="s">
        <v>12</v>
      </c>
      <c r="G129">
        <v>0</v>
      </c>
      <c r="H129">
        <v>8</v>
      </c>
      <c r="I129" t="s">
        <v>72</v>
      </c>
    </row>
    <row r="130" spans="1:9" x14ac:dyDescent="0.2">
      <c r="A130" t="s">
        <v>1144</v>
      </c>
      <c r="B130" t="s">
        <v>102</v>
      </c>
      <c r="C130" t="s">
        <v>5</v>
      </c>
      <c r="D130" t="s">
        <v>12</v>
      </c>
      <c r="E130" t="s">
        <v>12</v>
      </c>
      <c r="F130" t="s">
        <v>12</v>
      </c>
      <c r="G130">
        <v>0</v>
      </c>
      <c r="H130">
        <v>9</v>
      </c>
      <c r="I130" t="s">
        <v>72</v>
      </c>
    </row>
    <row r="131" spans="1:9" x14ac:dyDescent="0.2">
      <c r="A131" t="s">
        <v>1145</v>
      </c>
      <c r="B131" t="s">
        <v>102</v>
      </c>
      <c r="C131" t="s">
        <v>5</v>
      </c>
      <c r="D131" t="s">
        <v>12</v>
      </c>
      <c r="E131" t="s">
        <v>12</v>
      </c>
      <c r="F131" t="s">
        <v>12</v>
      </c>
      <c r="G131">
        <v>1</v>
      </c>
      <c r="H131">
        <v>0</v>
      </c>
      <c r="I131" t="s">
        <v>72</v>
      </c>
    </row>
    <row r="132" spans="1:9" x14ac:dyDescent="0.2">
      <c r="A132" t="s">
        <v>1146</v>
      </c>
      <c r="B132" t="s">
        <v>102</v>
      </c>
      <c r="C132" t="s">
        <v>5</v>
      </c>
      <c r="D132" t="s">
        <v>12</v>
      </c>
      <c r="E132" t="s">
        <v>12</v>
      </c>
      <c r="F132" t="s">
        <v>12</v>
      </c>
      <c r="G132">
        <v>1</v>
      </c>
      <c r="H132">
        <v>1</v>
      </c>
      <c r="I132" t="s">
        <v>72</v>
      </c>
    </row>
    <row r="133" spans="1:9" x14ac:dyDescent="0.2">
      <c r="A133" t="s">
        <v>1147</v>
      </c>
      <c r="B133" t="s">
        <v>102</v>
      </c>
      <c r="C133" t="s">
        <v>5</v>
      </c>
      <c r="D133" t="s">
        <v>12</v>
      </c>
      <c r="E133" t="s">
        <v>12</v>
      </c>
      <c r="F133" t="s">
        <v>12</v>
      </c>
      <c r="G133">
        <v>1</v>
      </c>
      <c r="H133">
        <v>2</v>
      </c>
      <c r="I133" t="s">
        <v>72</v>
      </c>
    </row>
    <row r="134" spans="1:9" x14ac:dyDescent="0.2">
      <c r="A134" t="s">
        <v>1148</v>
      </c>
      <c r="B134" t="s">
        <v>102</v>
      </c>
      <c r="C134" t="s">
        <v>5</v>
      </c>
      <c r="D134" t="s">
        <v>12</v>
      </c>
      <c r="E134" t="s">
        <v>12</v>
      </c>
      <c r="F134" t="s">
        <v>12</v>
      </c>
      <c r="G134">
        <v>1</v>
      </c>
      <c r="H134">
        <v>3</v>
      </c>
      <c r="I134" t="s">
        <v>72</v>
      </c>
    </row>
    <row r="135" spans="1:9" x14ac:dyDescent="0.2">
      <c r="A135" t="s">
        <v>1149</v>
      </c>
      <c r="B135" t="s">
        <v>102</v>
      </c>
      <c r="C135" t="s">
        <v>5</v>
      </c>
      <c r="D135" t="s">
        <v>12</v>
      </c>
      <c r="E135" t="s">
        <v>12</v>
      </c>
      <c r="F135" t="s">
        <v>12</v>
      </c>
      <c r="G135">
        <v>1</v>
      </c>
      <c r="H135">
        <v>4</v>
      </c>
      <c r="I135" t="s">
        <v>72</v>
      </c>
    </row>
    <row r="136" spans="1:9" x14ac:dyDescent="0.2">
      <c r="A136" t="s">
        <v>1150</v>
      </c>
      <c r="B136" t="s">
        <v>102</v>
      </c>
      <c r="C136" t="s">
        <v>5</v>
      </c>
      <c r="D136" t="s">
        <v>12</v>
      </c>
      <c r="E136" t="s">
        <v>12</v>
      </c>
      <c r="F136" t="s">
        <v>12</v>
      </c>
      <c r="G136">
        <v>1</v>
      </c>
      <c r="H136">
        <v>5</v>
      </c>
      <c r="I136" t="s">
        <v>72</v>
      </c>
    </row>
    <row r="137" spans="1:9" x14ac:dyDescent="0.2">
      <c r="A137" t="s">
        <v>1151</v>
      </c>
      <c r="B137" t="s">
        <v>102</v>
      </c>
      <c r="C137" t="s">
        <v>5</v>
      </c>
      <c r="D137" t="s">
        <v>12</v>
      </c>
      <c r="E137" t="s">
        <v>12</v>
      </c>
      <c r="F137" t="s">
        <v>12</v>
      </c>
      <c r="G137">
        <v>1</v>
      </c>
      <c r="H137">
        <v>6</v>
      </c>
      <c r="I137" t="s">
        <v>72</v>
      </c>
    </row>
    <row r="138" spans="1:9" x14ac:dyDescent="0.2">
      <c r="A138" t="s">
        <v>1152</v>
      </c>
      <c r="B138" t="s">
        <v>102</v>
      </c>
      <c r="C138" t="s">
        <v>5</v>
      </c>
      <c r="D138" t="s">
        <v>12</v>
      </c>
      <c r="E138" t="s">
        <v>12</v>
      </c>
      <c r="F138" t="s">
        <v>12</v>
      </c>
      <c r="G138">
        <v>1</v>
      </c>
      <c r="H138">
        <v>7</v>
      </c>
      <c r="I138" t="s">
        <v>72</v>
      </c>
    </row>
    <row r="139" spans="1:9" x14ac:dyDescent="0.2">
      <c r="A139" t="s">
        <v>1153</v>
      </c>
      <c r="B139" t="s">
        <v>102</v>
      </c>
      <c r="C139" t="s">
        <v>5</v>
      </c>
      <c r="D139" t="s">
        <v>12</v>
      </c>
      <c r="E139" t="s">
        <v>12</v>
      </c>
      <c r="F139" t="s">
        <v>12</v>
      </c>
      <c r="G139">
        <v>1</v>
      </c>
      <c r="H139">
        <v>8</v>
      </c>
      <c r="I139" t="s">
        <v>72</v>
      </c>
    </row>
    <row r="140" spans="1:9" x14ac:dyDescent="0.2">
      <c r="A140" t="s">
        <v>1154</v>
      </c>
      <c r="B140" t="s">
        <v>102</v>
      </c>
      <c r="C140" t="s">
        <v>5</v>
      </c>
      <c r="D140" t="s">
        <v>12</v>
      </c>
      <c r="E140" t="s">
        <v>12</v>
      </c>
      <c r="F140" t="s">
        <v>12</v>
      </c>
      <c r="G140">
        <v>1</v>
      </c>
      <c r="H140">
        <v>9</v>
      </c>
      <c r="I140" t="s">
        <v>72</v>
      </c>
    </row>
    <row r="141" spans="1:9" x14ac:dyDescent="0.2">
      <c r="A141" t="s">
        <v>1155</v>
      </c>
      <c r="B141" t="s">
        <v>102</v>
      </c>
      <c r="C141" t="s">
        <v>5</v>
      </c>
      <c r="D141" t="s">
        <v>12</v>
      </c>
      <c r="E141" t="s">
        <v>12</v>
      </c>
      <c r="F141" t="s">
        <v>12</v>
      </c>
      <c r="G141">
        <v>2</v>
      </c>
      <c r="H141">
        <v>0</v>
      </c>
      <c r="I141" t="s">
        <v>72</v>
      </c>
    </row>
    <row r="142" spans="1:9" x14ac:dyDescent="0.2">
      <c r="A142" t="s">
        <v>1156</v>
      </c>
      <c r="B142" t="s">
        <v>102</v>
      </c>
      <c r="C142" t="s">
        <v>5</v>
      </c>
      <c r="D142" t="s">
        <v>12</v>
      </c>
      <c r="E142" t="s">
        <v>12</v>
      </c>
      <c r="F142" t="s">
        <v>12</v>
      </c>
      <c r="G142">
        <v>2</v>
      </c>
      <c r="H142">
        <v>1</v>
      </c>
      <c r="I142" t="s">
        <v>72</v>
      </c>
    </row>
    <row r="143" spans="1:9" x14ac:dyDescent="0.2">
      <c r="A143" t="s">
        <v>1157</v>
      </c>
      <c r="B143" t="s">
        <v>102</v>
      </c>
      <c r="C143" t="s">
        <v>5</v>
      </c>
      <c r="D143" t="s">
        <v>12</v>
      </c>
      <c r="E143" t="s">
        <v>12</v>
      </c>
      <c r="F143" t="s">
        <v>12</v>
      </c>
      <c r="G143">
        <v>2</v>
      </c>
      <c r="H143">
        <v>2</v>
      </c>
      <c r="I143" t="s">
        <v>72</v>
      </c>
    </row>
    <row r="144" spans="1:9" x14ac:dyDescent="0.2">
      <c r="A144" t="s">
        <v>1158</v>
      </c>
      <c r="B144" t="s">
        <v>102</v>
      </c>
      <c r="C144" t="s">
        <v>5</v>
      </c>
      <c r="D144" t="s">
        <v>12</v>
      </c>
      <c r="E144" t="s">
        <v>12</v>
      </c>
      <c r="F144" t="s">
        <v>12</v>
      </c>
      <c r="G144">
        <v>2</v>
      </c>
      <c r="H144">
        <v>3</v>
      </c>
      <c r="I144" t="s">
        <v>72</v>
      </c>
    </row>
    <row r="145" spans="1:9" x14ac:dyDescent="0.2">
      <c r="A145" t="s">
        <v>1159</v>
      </c>
      <c r="B145" t="s">
        <v>102</v>
      </c>
      <c r="C145" t="s">
        <v>5</v>
      </c>
      <c r="D145" t="s">
        <v>12</v>
      </c>
      <c r="E145" t="s">
        <v>12</v>
      </c>
      <c r="F145" t="s">
        <v>12</v>
      </c>
      <c r="G145">
        <v>2</v>
      </c>
      <c r="H145">
        <v>4</v>
      </c>
      <c r="I145" t="s">
        <v>72</v>
      </c>
    </row>
    <row r="146" spans="1:9" x14ac:dyDescent="0.2">
      <c r="A146" t="s">
        <v>1160</v>
      </c>
      <c r="B146" t="s">
        <v>102</v>
      </c>
      <c r="C146" t="s">
        <v>5</v>
      </c>
      <c r="D146" t="s">
        <v>12</v>
      </c>
      <c r="E146" t="s">
        <v>12</v>
      </c>
      <c r="F146" t="s">
        <v>12</v>
      </c>
      <c r="G146">
        <v>2</v>
      </c>
      <c r="H146">
        <v>5</v>
      </c>
      <c r="I146" t="s">
        <v>72</v>
      </c>
    </row>
    <row r="147" spans="1:9" x14ac:dyDescent="0.2">
      <c r="A147" t="s">
        <v>1161</v>
      </c>
      <c r="B147" t="s">
        <v>102</v>
      </c>
      <c r="C147" t="s">
        <v>5</v>
      </c>
      <c r="D147" t="s">
        <v>12</v>
      </c>
      <c r="E147" t="s">
        <v>12</v>
      </c>
      <c r="F147" t="s">
        <v>12</v>
      </c>
      <c r="G147">
        <v>2</v>
      </c>
      <c r="H147">
        <v>6</v>
      </c>
      <c r="I147" t="s">
        <v>72</v>
      </c>
    </row>
    <row r="148" spans="1:9" x14ac:dyDescent="0.2">
      <c r="A148" t="s">
        <v>1162</v>
      </c>
      <c r="B148" t="s">
        <v>102</v>
      </c>
      <c r="C148" t="s">
        <v>5</v>
      </c>
      <c r="D148" t="s">
        <v>12</v>
      </c>
      <c r="E148" t="s">
        <v>12</v>
      </c>
      <c r="F148" t="s">
        <v>12</v>
      </c>
      <c r="G148">
        <v>2</v>
      </c>
      <c r="H148">
        <v>7</v>
      </c>
      <c r="I148" t="s">
        <v>72</v>
      </c>
    </row>
    <row r="149" spans="1:9" x14ac:dyDescent="0.2">
      <c r="A149" t="s">
        <v>1163</v>
      </c>
      <c r="B149" t="s">
        <v>102</v>
      </c>
      <c r="C149" t="s">
        <v>5</v>
      </c>
      <c r="D149" t="s">
        <v>12</v>
      </c>
      <c r="E149" t="s">
        <v>12</v>
      </c>
      <c r="F149" t="s">
        <v>12</v>
      </c>
      <c r="G149">
        <v>2</v>
      </c>
      <c r="H149">
        <v>8</v>
      </c>
      <c r="I149" t="s">
        <v>72</v>
      </c>
    </row>
    <row r="150" spans="1:9" x14ac:dyDescent="0.2">
      <c r="A150" t="s">
        <v>1164</v>
      </c>
      <c r="B150" t="s">
        <v>102</v>
      </c>
      <c r="C150" t="s">
        <v>5</v>
      </c>
      <c r="D150" t="s">
        <v>12</v>
      </c>
      <c r="E150" t="s">
        <v>12</v>
      </c>
      <c r="F150" t="s">
        <v>12</v>
      </c>
      <c r="G150">
        <v>2</v>
      </c>
      <c r="H150">
        <v>9</v>
      </c>
      <c r="I150" t="s">
        <v>72</v>
      </c>
    </row>
    <row r="151" spans="1:9" x14ac:dyDescent="0.2">
      <c r="A151" t="s">
        <v>1165</v>
      </c>
      <c r="B151" t="s">
        <v>6</v>
      </c>
      <c r="C151" t="s">
        <v>7</v>
      </c>
      <c r="D151" t="s">
        <v>12</v>
      </c>
      <c r="E151">
        <v>0</v>
      </c>
      <c r="F151">
        <v>0</v>
      </c>
      <c r="G151">
        <v>0</v>
      </c>
      <c r="H151">
        <v>0</v>
      </c>
      <c r="I151" t="s">
        <v>72</v>
      </c>
    </row>
    <row r="152" spans="1:9" x14ac:dyDescent="0.2">
      <c r="A152" t="s">
        <v>1166</v>
      </c>
      <c r="B152" t="s">
        <v>6</v>
      </c>
      <c r="C152" t="s">
        <v>7</v>
      </c>
      <c r="D152" t="s">
        <v>12</v>
      </c>
      <c r="E152">
        <v>0</v>
      </c>
      <c r="F152">
        <v>0</v>
      </c>
      <c r="G152">
        <v>0</v>
      </c>
      <c r="H152">
        <v>1</v>
      </c>
      <c r="I152" t="s">
        <v>72</v>
      </c>
    </row>
    <row r="153" spans="1:9" x14ac:dyDescent="0.2">
      <c r="A153" t="s">
        <v>1167</v>
      </c>
      <c r="B153" t="s">
        <v>6</v>
      </c>
      <c r="C153" t="s">
        <v>7</v>
      </c>
      <c r="D153" t="s">
        <v>12</v>
      </c>
      <c r="E153">
        <v>0</v>
      </c>
      <c r="F153">
        <v>0</v>
      </c>
      <c r="G153">
        <v>0</v>
      </c>
      <c r="H153">
        <v>2</v>
      </c>
      <c r="I153" t="s">
        <v>445</v>
      </c>
    </row>
    <row r="154" spans="1:9" x14ac:dyDescent="0.2">
      <c r="A154" t="s">
        <v>1168</v>
      </c>
      <c r="B154" t="s">
        <v>8</v>
      </c>
      <c r="C154" t="s">
        <v>9</v>
      </c>
      <c r="D154">
        <v>0</v>
      </c>
      <c r="E154">
        <v>0</v>
      </c>
      <c r="F154">
        <v>0</v>
      </c>
      <c r="G154">
        <v>0</v>
      </c>
      <c r="H154">
        <v>0</v>
      </c>
      <c r="I154" t="s">
        <v>72</v>
      </c>
    </row>
    <row r="155" spans="1:9" x14ac:dyDescent="0.2">
      <c r="A155" t="s">
        <v>1169</v>
      </c>
      <c r="B155" t="s">
        <v>7</v>
      </c>
      <c r="C155" t="s">
        <v>9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60</v>
      </c>
    </row>
    <row r="156" spans="1:9" x14ac:dyDescent="0.2">
      <c r="A156" t="s">
        <v>1170</v>
      </c>
      <c r="B156" t="s">
        <v>8</v>
      </c>
      <c r="C156" t="s">
        <v>9</v>
      </c>
      <c r="D156">
        <v>0</v>
      </c>
      <c r="E156">
        <v>0</v>
      </c>
      <c r="F156">
        <v>0</v>
      </c>
      <c r="G156">
        <v>0</v>
      </c>
      <c r="H156">
        <v>1</v>
      </c>
      <c r="I156" t="s">
        <v>72</v>
      </c>
    </row>
    <row r="157" spans="1:9" x14ac:dyDescent="0.2">
      <c r="A157" t="s">
        <v>1171</v>
      </c>
      <c r="B157" t="s">
        <v>7</v>
      </c>
      <c r="C157" t="s">
        <v>9</v>
      </c>
      <c r="D157">
        <v>0</v>
      </c>
      <c r="E157">
        <v>0</v>
      </c>
      <c r="F157">
        <v>0</v>
      </c>
      <c r="G157">
        <v>0</v>
      </c>
      <c r="H157">
        <v>1</v>
      </c>
      <c r="I157" t="s">
        <v>62</v>
      </c>
    </row>
    <row r="158" spans="1:9" x14ac:dyDescent="0.2">
      <c r="A158" t="s">
        <v>1172</v>
      </c>
      <c r="B158" t="s">
        <v>8</v>
      </c>
      <c r="C158" t="s">
        <v>9</v>
      </c>
      <c r="D158">
        <v>0</v>
      </c>
      <c r="E158">
        <v>0</v>
      </c>
      <c r="F158">
        <v>0</v>
      </c>
      <c r="G158">
        <v>0</v>
      </c>
      <c r="H158">
        <v>2</v>
      </c>
      <c r="I158" t="s">
        <v>72</v>
      </c>
    </row>
    <row r="159" spans="1:9" x14ac:dyDescent="0.2">
      <c r="A159" t="s">
        <v>1173</v>
      </c>
      <c r="B159" t="s">
        <v>7</v>
      </c>
      <c r="C159" t="s">
        <v>9</v>
      </c>
      <c r="D159">
        <v>0</v>
      </c>
      <c r="E159">
        <v>0</v>
      </c>
      <c r="F159">
        <v>0</v>
      </c>
      <c r="G159">
        <v>0</v>
      </c>
      <c r="H159">
        <v>2</v>
      </c>
      <c r="I159" t="s">
        <v>60</v>
      </c>
    </row>
    <row r="160" spans="1:9" x14ac:dyDescent="0.2">
      <c r="A160" t="s">
        <v>1174</v>
      </c>
      <c r="B160" t="s">
        <v>8</v>
      </c>
      <c r="C160" t="s">
        <v>9</v>
      </c>
      <c r="D160">
        <v>0</v>
      </c>
      <c r="E160">
        <v>0</v>
      </c>
      <c r="F160">
        <v>0</v>
      </c>
      <c r="G160">
        <v>1</v>
      </c>
      <c r="H160">
        <v>0</v>
      </c>
      <c r="I160" t="s">
        <v>72</v>
      </c>
    </row>
    <row r="161" spans="1:9" x14ac:dyDescent="0.2">
      <c r="A161" t="s">
        <v>1175</v>
      </c>
      <c r="B161" t="s">
        <v>7</v>
      </c>
      <c r="C161" t="s">
        <v>9</v>
      </c>
      <c r="D161">
        <v>0</v>
      </c>
      <c r="E161">
        <v>0</v>
      </c>
      <c r="F161">
        <v>0</v>
      </c>
      <c r="G161">
        <v>1</v>
      </c>
      <c r="H161">
        <v>0</v>
      </c>
      <c r="I161" t="s">
        <v>72</v>
      </c>
    </row>
    <row r="162" spans="1:9" x14ac:dyDescent="0.2">
      <c r="A162" t="s">
        <v>1176</v>
      </c>
      <c r="B162" t="s">
        <v>8</v>
      </c>
      <c r="C162" t="s">
        <v>9</v>
      </c>
      <c r="D162">
        <v>0</v>
      </c>
      <c r="E162">
        <v>0</v>
      </c>
      <c r="F162">
        <v>0</v>
      </c>
      <c r="G162">
        <v>1</v>
      </c>
      <c r="H162">
        <v>1</v>
      </c>
      <c r="I162" t="s">
        <v>72</v>
      </c>
    </row>
    <row r="163" spans="1:9" x14ac:dyDescent="0.2">
      <c r="A163" t="s">
        <v>1177</v>
      </c>
      <c r="B163" t="s">
        <v>7</v>
      </c>
      <c r="C163" t="s">
        <v>9</v>
      </c>
      <c r="D163">
        <v>0</v>
      </c>
      <c r="E163">
        <v>0</v>
      </c>
      <c r="F163">
        <v>0</v>
      </c>
      <c r="G163">
        <v>1</v>
      </c>
      <c r="H163">
        <v>1</v>
      </c>
      <c r="I163" t="s">
        <v>72</v>
      </c>
    </row>
    <row r="164" spans="1:9" x14ac:dyDescent="0.2">
      <c r="A164" t="s">
        <v>1178</v>
      </c>
      <c r="B164" t="s">
        <v>8</v>
      </c>
      <c r="C164" t="s">
        <v>9</v>
      </c>
      <c r="D164">
        <v>0</v>
      </c>
      <c r="E164">
        <v>0</v>
      </c>
      <c r="F164">
        <v>0</v>
      </c>
      <c r="G164">
        <v>1</v>
      </c>
      <c r="H164">
        <v>2</v>
      </c>
      <c r="I164" t="s">
        <v>72</v>
      </c>
    </row>
    <row r="165" spans="1:9" x14ac:dyDescent="0.2">
      <c r="A165" t="s">
        <v>1179</v>
      </c>
      <c r="B165" t="s">
        <v>7</v>
      </c>
      <c r="C165" t="s">
        <v>9</v>
      </c>
      <c r="D165">
        <v>0</v>
      </c>
      <c r="E165">
        <v>0</v>
      </c>
      <c r="F165">
        <v>0</v>
      </c>
      <c r="G165">
        <v>1</v>
      </c>
      <c r="H165">
        <v>2</v>
      </c>
      <c r="I165" t="s">
        <v>72</v>
      </c>
    </row>
    <row r="166" spans="1:9" x14ac:dyDescent="0.2">
      <c r="A166" t="s">
        <v>1180</v>
      </c>
      <c r="B166" t="s">
        <v>6</v>
      </c>
      <c r="C166" t="s">
        <v>7</v>
      </c>
      <c r="D166" t="s">
        <v>12</v>
      </c>
      <c r="E166">
        <v>0</v>
      </c>
      <c r="F166">
        <v>0</v>
      </c>
      <c r="G166">
        <v>1</v>
      </c>
      <c r="H166">
        <v>0</v>
      </c>
      <c r="I166" t="s">
        <v>72</v>
      </c>
    </row>
    <row r="167" spans="1:9" x14ac:dyDescent="0.2">
      <c r="A167" t="s">
        <v>1181</v>
      </c>
      <c r="B167" t="s">
        <v>6</v>
      </c>
      <c r="C167" t="s">
        <v>7</v>
      </c>
      <c r="D167" t="s">
        <v>12</v>
      </c>
      <c r="E167">
        <v>0</v>
      </c>
      <c r="F167">
        <v>0</v>
      </c>
      <c r="G167">
        <v>1</v>
      </c>
      <c r="H167">
        <v>1</v>
      </c>
      <c r="I167" t="s">
        <v>72</v>
      </c>
    </row>
    <row r="168" spans="1:9" x14ac:dyDescent="0.2">
      <c r="A168" t="s">
        <v>1182</v>
      </c>
      <c r="B168" t="s">
        <v>6</v>
      </c>
      <c r="C168" t="s">
        <v>7</v>
      </c>
      <c r="D168" t="s">
        <v>12</v>
      </c>
      <c r="E168">
        <v>0</v>
      </c>
      <c r="F168">
        <v>0</v>
      </c>
      <c r="G168">
        <v>1</v>
      </c>
      <c r="H168">
        <v>2</v>
      </c>
      <c r="I168" t="s">
        <v>75</v>
      </c>
    </row>
    <row r="169" spans="1:9" x14ac:dyDescent="0.2">
      <c r="A169" t="s">
        <v>1183</v>
      </c>
      <c r="B169" t="s">
        <v>8</v>
      </c>
      <c r="C169" t="s">
        <v>9</v>
      </c>
      <c r="D169">
        <v>0</v>
      </c>
      <c r="E169">
        <v>0</v>
      </c>
      <c r="F169">
        <v>1</v>
      </c>
      <c r="G169">
        <v>0</v>
      </c>
      <c r="H169">
        <v>0</v>
      </c>
      <c r="I169" t="s">
        <v>72</v>
      </c>
    </row>
    <row r="170" spans="1:9" x14ac:dyDescent="0.2">
      <c r="A170" t="s">
        <v>1184</v>
      </c>
      <c r="B170" t="s">
        <v>7</v>
      </c>
      <c r="C170" t="s">
        <v>9</v>
      </c>
      <c r="D170">
        <v>0</v>
      </c>
      <c r="E170">
        <v>0</v>
      </c>
      <c r="F170">
        <v>1</v>
      </c>
      <c r="G170">
        <v>0</v>
      </c>
      <c r="H170">
        <v>0</v>
      </c>
      <c r="I170" t="s">
        <v>72</v>
      </c>
    </row>
    <row r="171" spans="1:9" x14ac:dyDescent="0.2">
      <c r="A171" t="s">
        <v>1185</v>
      </c>
      <c r="B171" t="s">
        <v>8</v>
      </c>
      <c r="C171" t="s">
        <v>9</v>
      </c>
      <c r="D171">
        <v>0</v>
      </c>
      <c r="E171">
        <v>0</v>
      </c>
      <c r="F171">
        <v>1</v>
      </c>
      <c r="G171">
        <v>0</v>
      </c>
      <c r="H171">
        <v>1</v>
      </c>
      <c r="I171" t="s">
        <v>72</v>
      </c>
    </row>
    <row r="172" spans="1:9" x14ac:dyDescent="0.2">
      <c r="A172" t="s">
        <v>1186</v>
      </c>
      <c r="B172" t="s">
        <v>7</v>
      </c>
      <c r="C172" t="s">
        <v>9</v>
      </c>
      <c r="D172">
        <v>0</v>
      </c>
      <c r="E172">
        <v>0</v>
      </c>
      <c r="F172">
        <v>1</v>
      </c>
      <c r="G172">
        <v>0</v>
      </c>
      <c r="H172">
        <v>1</v>
      </c>
      <c r="I172" t="s">
        <v>72</v>
      </c>
    </row>
    <row r="173" spans="1:9" x14ac:dyDescent="0.2">
      <c r="A173" t="s">
        <v>1187</v>
      </c>
      <c r="B173" t="s">
        <v>8</v>
      </c>
      <c r="C173" t="s">
        <v>9</v>
      </c>
      <c r="D173">
        <v>0</v>
      </c>
      <c r="E173">
        <v>0</v>
      </c>
      <c r="F173">
        <v>1</v>
      </c>
      <c r="G173">
        <v>0</v>
      </c>
      <c r="H173">
        <v>2</v>
      </c>
      <c r="I173" t="s">
        <v>72</v>
      </c>
    </row>
    <row r="174" spans="1:9" x14ac:dyDescent="0.2">
      <c r="A174" t="s">
        <v>1188</v>
      </c>
      <c r="B174" t="s">
        <v>7</v>
      </c>
      <c r="C174" t="s">
        <v>9</v>
      </c>
      <c r="D174">
        <v>0</v>
      </c>
      <c r="E174">
        <v>0</v>
      </c>
      <c r="F174">
        <v>1</v>
      </c>
      <c r="G174">
        <v>0</v>
      </c>
      <c r="H174">
        <v>2</v>
      </c>
      <c r="I174" t="s">
        <v>72</v>
      </c>
    </row>
    <row r="175" spans="1:9" x14ac:dyDescent="0.2">
      <c r="A175" t="s">
        <v>1189</v>
      </c>
      <c r="B175" t="s">
        <v>8</v>
      </c>
      <c r="C175" t="s">
        <v>9</v>
      </c>
      <c r="D175">
        <v>0</v>
      </c>
      <c r="E175">
        <v>0</v>
      </c>
      <c r="F175">
        <v>1</v>
      </c>
      <c r="G175">
        <v>1</v>
      </c>
      <c r="H175">
        <v>0</v>
      </c>
      <c r="I175" t="s">
        <v>72</v>
      </c>
    </row>
    <row r="176" spans="1:9" x14ac:dyDescent="0.2">
      <c r="A176" t="s">
        <v>1190</v>
      </c>
      <c r="B176" t="s">
        <v>7</v>
      </c>
      <c r="C176" t="s">
        <v>9</v>
      </c>
      <c r="D176">
        <v>0</v>
      </c>
      <c r="E176">
        <v>0</v>
      </c>
      <c r="F176">
        <v>1</v>
      </c>
      <c r="G176">
        <v>1</v>
      </c>
      <c r="H176">
        <v>0</v>
      </c>
      <c r="I176" t="s">
        <v>444</v>
      </c>
    </row>
    <row r="177" spans="1:9" x14ac:dyDescent="0.2">
      <c r="A177" t="s">
        <v>1191</v>
      </c>
      <c r="B177" t="s">
        <v>8</v>
      </c>
      <c r="C177" t="s">
        <v>9</v>
      </c>
      <c r="D177">
        <v>0</v>
      </c>
      <c r="E177">
        <v>0</v>
      </c>
      <c r="F177">
        <v>1</v>
      </c>
      <c r="G177">
        <v>1</v>
      </c>
      <c r="H177">
        <v>1</v>
      </c>
      <c r="I177" t="s">
        <v>72</v>
      </c>
    </row>
    <row r="178" spans="1:9" x14ac:dyDescent="0.2">
      <c r="A178" t="s">
        <v>1192</v>
      </c>
      <c r="B178" t="s">
        <v>7</v>
      </c>
      <c r="C178" t="s">
        <v>9</v>
      </c>
      <c r="D178">
        <v>0</v>
      </c>
      <c r="E178">
        <v>0</v>
      </c>
      <c r="F178">
        <v>1</v>
      </c>
      <c r="G178">
        <v>1</v>
      </c>
      <c r="H178">
        <v>1</v>
      </c>
      <c r="I178" t="s">
        <v>62</v>
      </c>
    </row>
    <row r="179" spans="1:9" x14ac:dyDescent="0.2">
      <c r="A179" t="s">
        <v>1193</v>
      </c>
      <c r="B179" t="s">
        <v>8</v>
      </c>
      <c r="C179" t="s">
        <v>9</v>
      </c>
      <c r="D179">
        <v>0</v>
      </c>
      <c r="E179">
        <v>0</v>
      </c>
      <c r="F179">
        <v>1</v>
      </c>
      <c r="G179">
        <v>1</v>
      </c>
      <c r="H179">
        <v>2</v>
      </c>
      <c r="I179" t="s">
        <v>72</v>
      </c>
    </row>
    <row r="180" spans="1:9" x14ac:dyDescent="0.2">
      <c r="A180" t="s">
        <v>1194</v>
      </c>
      <c r="B180" t="s">
        <v>7</v>
      </c>
      <c r="C180" t="s">
        <v>9</v>
      </c>
      <c r="D180">
        <v>0</v>
      </c>
      <c r="E180">
        <v>0</v>
      </c>
      <c r="F180">
        <v>1</v>
      </c>
      <c r="G180">
        <v>1</v>
      </c>
      <c r="H180">
        <v>2</v>
      </c>
      <c r="I180" t="s">
        <v>60</v>
      </c>
    </row>
    <row r="181" spans="1:9" x14ac:dyDescent="0.2">
      <c r="A181" t="s">
        <v>1195</v>
      </c>
      <c r="B181" t="s">
        <v>6</v>
      </c>
      <c r="C181" t="s">
        <v>7</v>
      </c>
      <c r="D181" t="s">
        <v>12</v>
      </c>
      <c r="E181">
        <v>0</v>
      </c>
      <c r="F181">
        <v>1</v>
      </c>
      <c r="G181">
        <v>0</v>
      </c>
      <c r="H181">
        <v>0</v>
      </c>
      <c r="I181" t="s">
        <v>72</v>
      </c>
    </row>
    <row r="182" spans="1:9" x14ac:dyDescent="0.2">
      <c r="A182" t="s">
        <v>1196</v>
      </c>
      <c r="B182" t="s">
        <v>6</v>
      </c>
      <c r="C182" t="s">
        <v>7</v>
      </c>
      <c r="D182" t="s">
        <v>12</v>
      </c>
      <c r="E182">
        <v>0</v>
      </c>
      <c r="F182">
        <v>1</v>
      </c>
      <c r="G182">
        <v>0</v>
      </c>
      <c r="H182">
        <v>1</v>
      </c>
      <c r="I182" t="s">
        <v>72</v>
      </c>
    </row>
    <row r="183" spans="1:9" x14ac:dyDescent="0.2">
      <c r="A183" t="s">
        <v>1197</v>
      </c>
      <c r="B183" t="s">
        <v>6</v>
      </c>
      <c r="C183" t="s">
        <v>7</v>
      </c>
      <c r="D183" t="s">
        <v>12</v>
      </c>
      <c r="E183">
        <v>0</v>
      </c>
      <c r="F183">
        <v>1</v>
      </c>
      <c r="G183">
        <v>0</v>
      </c>
      <c r="H183">
        <v>2</v>
      </c>
      <c r="I183" t="s">
        <v>75</v>
      </c>
    </row>
    <row r="184" spans="1:9" x14ac:dyDescent="0.2">
      <c r="A184" t="s">
        <v>1198</v>
      </c>
      <c r="B184" t="s">
        <v>8</v>
      </c>
      <c r="C184" t="s">
        <v>9</v>
      </c>
      <c r="D184">
        <v>0</v>
      </c>
      <c r="E184">
        <v>1</v>
      </c>
      <c r="F184">
        <v>0</v>
      </c>
      <c r="G184">
        <v>0</v>
      </c>
      <c r="H184">
        <v>0</v>
      </c>
      <c r="I184" t="s">
        <v>72</v>
      </c>
    </row>
    <row r="185" spans="1:9" x14ac:dyDescent="0.2">
      <c r="A185" t="s">
        <v>1199</v>
      </c>
      <c r="B185" t="s">
        <v>7</v>
      </c>
      <c r="C185" t="s">
        <v>9</v>
      </c>
      <c r="D185">
        <v>0</v>
      </c>
      <c r="E185">
        <v>1</v>
      </c>
      <c r="F185">
        <v>0</v>
      </c>
      <c r="G185">
        <v>0</v>
      </c>
      <c r="H185">
        <v>0</v>
      </c>
      <c r="I185" t="s">
        <v>444</v>
      </c>
    </row>
    <row r="186" spans="1:9" x14ac:dyDescent="0.2">
      <c r="A186" t="s">
        <v>1200</v>
      </c>
      <c r="B186" t="s">
        <v>8</v>
      </c>
      <c r="C186" t="s">
        <v>9</v>
      </c>
      <c r="D186">
        <v>0</v>
      </c>
      <c r="E186">
        <v>1</v>
      </c>
      <c r="F186">
        <v>0</v>
      </c>
      <c r="G186">
        <v>0</v>
      </c>
      <c r="H186">
        <v>1</v>
      </c>
      <c r="I186" t="s">
        <v>72</v>
      </c>
    </row>
    <row r="187" spans="1:9" x14ac:dyDescent="0.2">
      <c r="A187" t="s">
        <v>1201</v>
      </c>
      <c r="B187" t="s">
        <v>7</v>
      </c>
      <c r="C187" t="s">
        <v>9</v>
      </c>
      <c r="D187">
        <v>0</v>
      </c>
      <c r="E187">
        <v>1</v>
      </c>
      <c r="F187">
        <v>0</v>
      </c>
      <c r="G187">
        <v>0</v>
      </c>
      <c r="H187">
        <v>1</v>
      </c>
      <c r="I187" t="s">
        <v>62</v>
      </c>
    </row>
    <row r="188" spans="1:9" x14ac:dyDescent="0.2">
      <c r="A188" t="s">
        <v>1202</v>
      </c>
      <c r="B188" t="s">
        <v>8</v>
      </c>
      <c r="C188" t="s">
        <v>9</v>
      </c>
      <c r="D188">
        <v>0</v>
      </c>
      <c r="E188">
        <v>1</v>
      </c>
      <c r="F188">
        <v>0</v>
      </c>
      <c r="G188">
        <v>0</v>
      </c>
      <c r="H188">
        <v>2</v>
      </c>
      <c r="I188" t="s">
        <v>72</v>
      </c>
    </row>
    <row r="189" spans="1:9" x14ac:dyDescent="0.2">
      <c r="A189" t="s">
        <v>1203</v>
      </c>
      <c r="B189" t="s">
        <v>7</v>
      </c>
      <c r="C189" t="s">
        <v>9</v>
      </c>
      <c r="D189">
        <v>0</v>
      </c>
      <c r="E189">
        <v>1</v>
      </c>
      <c r="F189">
        <v>0</v>
      </c>
      <c r="G189">
        <v>0</v>
      </c>
      <c r="H189">
        <v>2</v>
      </c>
      <c r="I189" t="s">
        <v>60</v>
      </c>
    </row>
    <row r="190" spans="1:9" x14ac:dyDescent="0.2">
      <c r="A190" t="s">
        <v>1204</v>
      </c>
      <c r="B190" t="s">
        <v>8</v>
      </c>
      <c r="C190" t="s">
        <v>9</v>
      </c>
      <c r="D190">
        <v>0</v>
      </c>
      <c r="E190">
        <v>1</v>
      </c>
      <c r="F190">
        <v>0</v>
      </c>
      <c r="G190">
        <v>1</v>
      </c>
      <c r="H190">
        <v>0</v>
      </c>
      <c r="I190" t="s">
        <v>72</v>
      </c>
    </row>
    <row r="191" spans="1:9" x14ac:dyDescent="0.2">
      <c r="A191" t="s">
        <v>1205</v>
      </c>
      <c r="B191" t="s">
        <v>7</v>
      </c>
      <c r="C191" t="s">
        <v>9</v>
      </c>
      <c r="D191">
        <v>0</v>
      </c>
      <c r="E191">
        <v>1</v>
      </c>
      <c r="F191">
        <v>0</v>
      </c>
      <c r="G191">
        <v>1</v>
      </c>
      <c r="H191">
        <v>0</v>
      </c>
      <c r="I191" t="s">
        <v>72</v>
      </c>
    </row>
    <row r="192" spans="1:9" x14ac:dyDescent="0.2">
      <c r="A192" t="s">
        <v>1206</v>
      </c>
      <c r="B192" t="s">
        <v>8</v>
      </c>
      <c r="C192" t="s">
        <v>9</v>
      </c>
      <c r="D192">
        <v>0</v>
      </c>
      <c r="E192">
        <v>1</v>
      </c>
      <c r="F192">
        <v>0</v>
      </c>
      <c r="G192">
        <v>1</v>
      </c>
      <c r="H192">
        <v>1</v>
      </c>
      <c r="I192" t="s">
        <v>72</v>
      </c>
    </row>
    <row r="193" spans="1:9" x14ac:dyDescent="0.2">
      <c r="A193" t="s">
        <v>1207</v>
      </c>
      <c r="B193" t="s">
        <v>7</v>
      </c>
      <c r="C193" t="s">
        <v>9</v>
      </c>
      <c r="D193">
        <v>0</v>
      </c>
      <c r="E193">
        <v>1</v>
      </c>
      <c r="F193">
        <v>0</v>
      </c>
      <c r="G193">
        <v>1</v>
      </c>
      <c r="H193">
        <v>1</v>
      </c>
      <c r="I193" t="s">
        <v>72</v>
      </c>
    </row>
    <row r="194" spans="1:9" x14ac:dyDescent="0.2">
      <c r="A194" t="s">
        <v>1208</v>
      </c>
      <c r="B194" t="s">
        <v>8</v>
      </c>
      <c r="C194" t="s">
        <v>9</v>
      </c>
      <c r="D194">
        <v>0</v>
      </c>
      <c r="E194">
        <v>1</v>
      </c>
      <c r="F194">
        <v>0</v>
      </c>
      <c r="G194">
        <v>1</v>
      </c>
      <c r="H194">
        <v>2</v>
      </c>
      <c r="I194" t="s">
        <v>72</v>
      </c>
    </row>
    <row r="195" spans="1:9" x14ac:dyDescent="0.2">
      <c r="A195" t="s">
        <v>1209</v>
      </c>
      <c r="B195" t="s">
        <v>7</v>
      </c>
      <c r="C195" t="s">
        <v>9</v>
      </c>
      <c r="D195">
        <v>0</v>
      </c>
      <c r="E195">
        <v>1</v>
      </c>
      <c r="F195">
        <v>0</v>
      </c>
      <c r="G195">
        <v>1</v>
      </c>
      <c r="H195">
        <v>2</v>
      </c>
      <c r="I195" t="s">
        <v>72</v>
      </c>
    </row>
    <row r="196" spans="1:9" x14ac:dyDescent="0.2">
      <c r="A196" t="s">
        <v>1210</v>
      </c>
      <c r="B196" t="s">
        <v>6</v>
      </c>
      <c r="C196" t="s">
        <v>7</v>
      </c>
      <c r="D196" t="s">
        <v>12</v>
      </c>
      <c r="E196">
        <v>0</v>
      </c>
      <c r="F196">
        <v>1</v>
      </c>
      <c r="G196">
        <v>1</v>
      </c>
      <c r="H196">
        <v>0</v>
      </c>
      <c r="I196" t="s">
        <v>72</v>
      </c>
    </row>
    <row r="197" spans="1:9" x14ac:dyDescent="0.2">
      <c r="A197" t="s">
        <v>1211</v>
      </c>
      <c r="B197" t="s">
        <v>6</v>
      </c>
      <c r="C197" t="s">
        <v>7</v>
      </c>
      <c r="D197" t="s">
        <v>12</v>
      </c>
      <c r="E197">
        <v>0</v>
      </c>
      <c r="F197">
        <v>1</v>
      </c>
      <c r="G197">
        <v>1</v>
      </c>
      <c r="H197">
        <v>1</v>
      </c>
      <c r="I197" t="s">
        <v>72</v>
      </c>
    </row>
    <row r="198" spans="1:9" x14ac:dyDescent="0.2">
      <c r="A198" t="s">
        <v>1212</v>
      </c>
      <c r="B198" t="s">
        <v>6</v>
      </c>
      <c r="C198" t="s">
        <v>7</v>
      </c>
      <c r="D198" t="s">
        <v>12</v>
      </c>
      <c r="E198">
        <v>0</v>
      </c>
      <c r="F198">
        <v>1</v>
      </c>
      <c r="G198">
        <v>1</v>
      </c>
      <c r="H198">
        <v>2</v>
      </c>
      <c r="I198" t="s">
        <v>75</v>
      </c>
    </row>
    <row r="199" spans="1:9" x14ac:dyDescent="0.2">
      <c r="A199" t="s">
        <v>1213</v>
      </c>
      <c r="B199" t="s">
        <v>8</v>
      </c>
      <c r="C199" t="s">
        <v>9</v>
      </c>
      <c r="D199">
        <v>0</v>
      </c>
      <c r="E199">
        <v>1</v>
      </c>
      <c r="F199">
        <v>1</v>
      </c>
      <c r="G199">
        <v>0</v>
      </c>
      <c r="H199">
        <v>0</v>
      </c>
      <c r="I199" t="s">
        <v>72</v>
      </c>
    </row>
    <row r="200" spans="1:9" x14ac:dyDescent="0.2">
      <c r="A200" t="s">
        <v>1214</v>
      </c>
      <c r="B200" t="s">
        <v>7</v>
      </c>
      <c r="C200" t="s">
        <v>9</v>
      </c>
      <c r="D200">
        <v>0</v>
      </c>
      <c r="E200">
        <v>1</v>
      </c>
      <c r="F200">
        <v>1</v>
      </c>
      <c r="G200">
        <v>0</v>
      </c>
      <c r="H200">
        <v>0</v>
      </c>
      <c r="I200" t="s">
        <v>72</v>
      </c>
    </row>
    <row r="201" spans="1:9" x14ac:dyDescent="0.2">
      <c r="A201" t="s">
        <v>1215</v>
      </c>
      <c r="B201" t="s">
        <v>8</v>
      </c>
      <c r="C201" t="s">
        <v>9</v>
      </c>
      <c r="D201">
        <v>0</v>
      </c>
      <c r="E201">
        <v>1</v>
      </c>
      <c r="F201">
        <v>1</v>
      </c>
      <c r="G201">
        <v>0</v>
      </c>
      <c r="H201">
        <v>1</v>
      </c>
      <c r="I201" t="s">
        <v>72</v>
      </c>
    </row>
    <row r="202" spans="1:9" x14ac:dyDescent="0.2">
      <c r="A202" t="s">
        <v>1216</v>
      </c>
      <c r="B202" t="s">
        <v>7</v>
      </c>
      <c r="C202" t="s">
        <v>9</v>
      </c>
      <c r="D202">
        <v>0</v>
      </c>
      <c r="E202">
        <v>1</v>
      </c>
      <c r="F202">
        <v>1</v>
      </c>
      <c r="G202">
        <v>0</v>
      </c>
      <c r="H202">
        <v>1</v>
      </c>
      <c r="I202" t="s">
        <v>72</v>
      </c>
    </row>
    <row r="203" spans="1:9" x14ac:dyDescent="0.2">
      <c r="A203" t="s">
        <v>1217</v>
      </c>
      <c r="B203" t="s">
        <v>8</v>
      </c>
      <c r="C203" t="s">
        <v>9</v>
      </c>
      <c r="D203">
        <v>0</v>
      </c>
      <c r="E203">
        <v>1</v>
      </c>
      <c r="F203">
        <v>1</v>
      </c>
      <c r="G203">
        <v>0</v>
      </c>
      <c r="H203">
        <v>2</v>
      </c>
      <c r="I203" t="s">
        <v>72</v>
      </c>
    </row>
    <row r="204" spans="1:9" x14ac:dyDescent="0.2">
      <c r="A204" t="s">
        <v>1218</v>
      </c>
      <c r="B204" t="s">
        <v>7</v>
      </c>
      <c r="C204" t="s">
        <v>9</v>
      </c>
      <c r="D204">
        <v>0</v>
      </c>
      <c r="E204">
        <v>1</v>
      </c>
      <c r="F204">
        <v>1</v>
      </c>
      <c r="G204">
        <v>0</v>
      </c>
      <c r="H204">
        <v>2</v>
      </c>
      <c r="I204" t="s">
        <v>72</v>
      </c>
    </row>
    <row r="205" spans="1:9" x14ac:dyDescent="0.2">
      <c r="A205" t="s">
        <v>1219</v>
      </c>
      <c r="B205" t="s">
        <v>8</v>
      </c>
      <c r="C205" t="s">
        <v>9</v>
      </c>
      <c r="D205">
        <v>0</v>
      </c>
      <c r="E205">
        <v>1</v>
      </c>
      <c r="F205">
        <v>1</v>
      </c>
      <c r="G205">
        <v>1</v>
      </c>
      <c r="H205">
        <v>0</v>
      </c>
      <c r="I205" t="s">
        <v>72</v>
      </c>
    </row>
    <row r="206" spans="1:9" x14ac:dyDescent="0.2">
      <c r="A206" t="s">
        <v>1220</v>
      </c>
      <c r="B206" t="s">
        <v>7</v>
      </c>
      <c r="C206" t="s">
        <v>9</v>
      </c>
      <c r="D206">
        <v>0</v>
      </c>
      <c r="E206">
        <v>1</v>
      </c>
      <c r="F206">
        <v>1</v>
      </c>
      <c r="G206">
        <v>1</v>
      </c>
      <c r="H206">
        <v>0</v>
      </c>
      <c r="I206" t="s">
        <v>444</v>
      </c>
    </row>
    <row r="207" spans="1:9" x14ac:dyDescent="0.2">
      <c r="A207" t="s">
        <v>1221</v>
      </c>
      <c r="B207" t="s">
        <v>8</v>
      </c>
      <c r="C207" t="s">
        <v>9</v>
      </c>
      <c r="D207">
        <v>0</v>
      </c>
      <c r="E207">
        <v>1</v>
      </c>
      <c r="F207">
        <v>1</v>
      </c>
      <c r="G207">
        <v>1</v>
      </c>
      <c r="H207">
        <v>1</v>
      </c>
      <c r="I207" t="s">
        <v>72</v>
      </c>
    </row>
    <row r="208" spans="1:9" x14ac:dyDescent="0.2">
      <c r="A208" t="s">
        <v>1222</v>
      </c>
      <c r="B208" t="s">
        <v>7</v>
      </c>
      <c r="C208" t="s">
        <v>9</v>
      </c>
      <c r="D208">
        <v>0</v>
      </c>
      <c r="E208">
        <v>1</v>
      </c>
      <c r="F208">
        <v>1</v>
      </c>
      <c r="G208">
        <v>1</v>
      </c>
      <c r="H208">
        <v>1</v>
      </c>
      <c r="I208" t="s">
        <v>62</v>
      </c>
    </row>
    <row r="209" spans="1:9" x14ac:dyDescent="0.2">
      <c r="A209" t="s">
        <v>1223</v>
      </c>
      <c r="B209" t="s">
        <v>8</v>
      </c>
      <c r="C209" t="s">
        <v>9</v>
      </c>
      <c r="D209">
        <v>0</v>
      </c>
      <c r="E209">
        <v>1</v>
      </c>
      <c r="F209">
        <v>1</v>
      </c>
      <c r="G209">
        <v>1</v>
      </c>
      <c r="H209">
        <v>2</v>
      </c>
      <c r="I209" t="s">
        <v>72</v>
      </c>
    </row>
    <row r="210" spans="1:9" x14ac:dyDescent="0.2">
      <c r="A210" t="s">
        <v>1224</v>
      </c>
      <c r="B210" t="s">
        <v>7</v>
      </c>
      <c r="C210" t="s">
        <v>9</v>
      </c>
      <c r="D210">
        <v>0</v>
      </c>
      <c r="E210">
        <v>1</v>
      </c>
      <c r="F210">
        <v>1</v>
      </c>
      <c r="G210">
        <v>1</v>
      </c>
      <c r="H210">
        <v>2</v>
      </c>
      <c r="I210" t="s">
        <v>60</v>
      </c>
    </row>
    <row r="211" spans="1:9" x14ac:dyDescent="0.2">
      <c r="A211" t="s">
        <v>1225</v>
      </c>
      <c r="B211" t="s">
        <v>6</v>
      </c>
      <c r="C211" t="s">
        <v>7</v>
      </c>
      <c r="D211" t="s">
        <v>12</v>
      </c>
      <c r="E211">
        <v>0</v>
      </c>
      <c r="F211">
        <v>2</v>
      </c>
      <c r="G211">
        <v>0</v>
      </c>
      <c r="H211">
        <v>0</v>
      </c>
      <c r="I211" t="s">
        <v>72</v>
      </c>
    </row>
    <row r="212" spans="1:9" x14ac:dyDescent="0.2">
      <c r="A212" t="s">
        <v>1226</v>
      </c>
      <c r="B212" t="s">
        <v>6</v>
      </c>
      <c r="C212" t="s">
        <v>7</v>
      </c>
      <c r="D212" t="s">
        <v>12</v>
      </c>
      <c r="E212">
        <v>0</v>
      </c>
      <c r="F212">
        <v>2</v>
      </c>
      <c r="G212">
        <v>0</v>
      </c>
      <c r="H212">
        <v>1</v>
      </c>
      <c r="I212" t="s">
        <v>72</v>
      </c>
    </row>
    <row r="213" spans="1:9" x14ac:dyDescent="0.2">
      <c r="A213" t="s">
        <v>1227</v>
      </c>
      <c r="B213" t="s">
        <v>6</v>
      </c>
      <c r="C213" t="s">
        <v>7</v>
      </c>
      <c r="D213" t="s">
        <v>12</v>
      </c>
      <c r="E213">
        <v>0</v>
      </c>
      <c r="F213">
        <v>2</v>
      </c>
      <c r="G213">
        <v>0</v>
      </c>
      <c r="H213">
        <v>2</v>
      </c>
      <c r="I213" t="s">
        <v>75</v>
      </c>
    </row>
    <row r="214" spans="1:9" x14ac:dyDescent="0.2">
      <c r="A214" t="s">
        <v>1228</v>
      </c>
      <c r="B214" t="s">
        <v>8</v>
      </c>
      <c r="C214" t="s">
        <v>9</v>
      </c>
      <c r="D214">
        <v>0</v>
      </c>
      <c r="E214">
        <v>2</v>
      </c>
      <c r="F214">
        <v>0</v>
      </c>
      <c r="G214">
        <v>0</v>
      </c>
      <c r="H214">
        <v>0</v>
      </c>
      <c r="I214" t="s">
        <v>72</v>
      </c>
    </row>
    <row r="215" spans="1:9" x14ac:dyDescent="0.2">
      <c r="A215" t="s">
        <v>1229</v>
      </c>
      <c r="B215" t="s">
        <v>7</v>
      </c>
      <c r="C215" t="s">
        <v>9</v>
      </c>
      <c r="D215">
        <v>0</v>
      </c>
      <c r="E215">
        <v>2</v>
      </c>
      <c r="F215">
        <v>0</v>
      </c>
      <c r="G215">
        <v>0</v>
      </c>
      <c r="H215">
        <v>0</v>
      </c>
      <c r="I215" t="s">
        <v>444</v>
      </c>
    </row>
    <row r="216" spans="1:9" x14ac:dyDescent="0.2">
      <c r="A216" t="s">
        <v>1230</v>
      </c>
      <c r="B216" t="s">
        <v>8</v>
      </c>
      <c r="C216" t="s">
        <v>9</v>
      </c>
      <c r="D216">
        <v>0</v>
      </c>
      <c r="E216">
        <v>2</v>
      </c>
      <c r="F216">
        <v>0</v>
      </c>
      <c r="G216">
        <v>0</v>
      </c>
      <c r="H216">
        <v>1</v>
      </c>
      <c r="I216" t="s">
        <v>72</v>
      </c>
    </row>
    <row r="217" spans="1:9" x14ac:dyDescent="0.2">
      <c r="A217" t="s">
        <v>1231</v>
      </c>
      <c r="B217" t="s">
        <v>7</v>
      </c>
      <c r="C217" t="s">
        <v>9</v>
      </c>
      <c r="D217">
        <v>0</v>
      </c>
      <c r="E217">
        <v>2</v>
      </c>
      <c r="F217">
        <v>0</v>
      </c>
      <c r="G217">
        <v>0</v>
      </c>
      <c r="H217">
        <v>1</v>
      </c>
      <c r="I217" t="s">
        <v>62</v>
      </c>
    </row>
    <row r="218" spans="1:9" x14ac:dyDescent="0.2">
      <c r="A218" t="s">
        <v>1232</v>
      </c>
      <c r="B218" t="s">
        <v>8</v>
      </c>
      <c r="C218" t="s">
        <v>9</v>
      </c>
      <c r="D218">
        <v>0</v>
      </c>
      <c r="E218">
        <v>2</v>
      </c>
      <c r="F218">
        <v>0</v>
      </c>
      <c r="G218">
        <v>0</v>
      </c>
      <c r="H218">
        <v>2</v>
      </c>
      <c r="I218" t="s">
        <v>72</v>
      </c>
    </row>
    <row r="219" spans="1:9" x14ac:dyDescent="0.2">
      <c r="A219" t="s">
        <v>1233</v>
      </c>
      <c r="B219" t="s">
        <v>7</v>
      </c>
      <c r="C219" t="s">
        <v>9</v>
      </c>
      <c r="D219">
        <v>0</v>
      </c>
      <c r="E219">
        <v>2</v>
      </c>
      <c r="F219">
        <v>0</v>
      </c>
      <c r="G219">
        <v>0</v>
      </c>
      <c r="H219">
        <v>2</v>
      </c>
      <c r="I219" t="s">
        <v>60</v>
      </c>
    </row>
    <row r="220" spans="1:9" x14ac:dyDescent="0.2">
      <c r="A220" t="s">
        <v>1234</v>
      </c>
      <c r="B220" t="s">
        <v>8</v>
      </c>
      <c r="C220" t="s">
        <v>9</v>
      </c>
      <c r="D220">
        <v>0</v>
      </c>
      <c r="E220">
        <v>2</v>
      </c>
      <c r="F220">
        <v>0</v>
      </c>
      <c r="G220">
        <v>1</v>
      </c>
      <c r="H220">
        <v>0</v>
      </c>
      <c r="I220" t="s">
        <v>72</v>
      </c>
    </row>
    <row r="221" spans="1:9" x14ac:dyDescent="0.2">
      <c r="A221" t="s">
        <v>1235</v>
      </c>
      <c r="B221" t="s">
        <v>7</v>
      </c>
      <c r="C221" t="s">
        <v>9</v>
      </c>
      <c r="D221">
        <v>0</v>
      </c>
      <c r="E221">
        <v>2</v>
      </c>
      <c r="F221">
        <v>0</v>
      </c>
      <c r="G221">
        <v>1</v>
      </c>
      <c r="H221">
        <v>0</v>
      </c>
      <c r="I221" t="s">
        <v>72</v>
      </c>
    </row>
    <row r="222" spans="1:9" x14ac:dyDescent="0.2">
      <c r="A222" t="s">
        <v>1236</v>
      </c>
      <c r="B222" t="s">
        <v>8</v>
      </c>
      <c r="C222" t="s">
        <v>9</v>
      </c>
      <c r="D222">
        <v>0</v>
      </c>
      <c r="E222">
        <v>2</v>
      </c>
      <c r="F222">
        <v>0</v>
      </c>
      <c r="G222">
        <v>1</v>
      </c>
      <c r="H222">
        <v>1</v>
      </c>
      <c r="I222" t="s">
        <v>72</v>
      </c>
    </row>
    <row r="223" spans="1:9" x14ac:dyDescent="0.2">
      <c r="A223" t="s">
        <v>1237</v>
      </c>
      <c r="B223" t="s">
        <v>7</v>
      </c>
      <c r="C223" t="s">
        <v>9</v>
      </c>
      <c r="D223">
        <v>0</v>
      </c>
      <c r="E223">
        <v>2</v>
      </c>
      <c r="F223">
        <v>0</v>
      </c>
      <c r="G223">
        <v>1</v>
      </c>
      <c r="H223">
        <v>1</v>
      </c>
      <c r="I223" t="s">
        <v>72</v>
      </c>
    </row>
    <row r="224" spans="1:9" x14ac:dyDescent="0.2">
      <c r="A224" t="s">
        <v>1238</v>
      </c>
      <c r="B224" t="s">
        <v>8</v>
      </c>
      <c r="C224" t="s">
        <v>9</v>
      </c>
      <c r="D224">
        <v>0</v>
      </c>
      <c r="E224">
        <v>2</v>
      </c>
      <c r="F224">
        <v>0</v>
      </c>
      <c r="G224">
        <v>1</v>
      </c>
      <c r="H224">
        <v>2</v>
      </c>
      <c r="I224" t="s">
        <v>72</v>
      </c>
    </row>
    <row r="225" spans="1:9" x14ac:dyDescent="0.2">
      <c r="A225" t="s">
        <v>1239</v>
      </c>
      <c r="B225" t="s">
        <v>7</v>
      </c>
      <c r="C225" t="s">
        <v>9</v>
      </c>
      <c r="D225">
        <v>0</v>
      </c>
      <c r="E225">
        <v>2</v>
      </c>
      <c r="F225">
        <v>0</v>
      </c>
      <c r="G225">
        <v>1</v>
      </c>
      <c r="H225">
        <v>2</v>
      </c>
      <c r="I225" t="s">
        <v>72</v>
      </c>
    </row>
    <row r="226" spans="1:9" x14ac:dyDescent="0.2">
      <c r="A226" t="s">
        <v>1240</v>
      </c>
      <c r="B226" t="s">
        <v>6</v>
      </c>
      <c r="C226" t="s">
        <v>7</v>
      </c>
      <c r="D226" t="s">
        <v>12</v>
      </c>
      <c r="E226">
        <v>0</v>
      </c>
      <c r="F226">
        <v>2</v>
      </c>
      <c r="G226">
        <v>1</v>
      </c>
      <c r="H226">
        <v>0</v>
      </c>
      <c r="I226" t="s">
        <v>72</v>
      </c>
    </row>
    <row r="227" spans="1:9" x14ac:dyDescent="0.2">
      <c r="A227" t="s">
        <v>1241</v>
      </c>
      <c r="B227" t="s">
        <v>6</v>
      </c>
      <c r="C227" t="s">
        <v>7</v>
      </c>
      <c r="D227" t="s">
        <v>12</v>
      </c>
      <c r="E227">
        <v>0</v>
      </c>
      <c r="F227">
        <v>2</v>
      </c>
      <c r="G227">
        <v>1</v>
      </c>
      <c r="H227">
        <v>1</v>
      </c>
      <c r="I227" t="s">
        <v>72</v>
      </c>
    </row>
    <row r="228" spans="1:9" x14ac:dyDescent="0.2">
      <c r="A228" t="s">
        <v>1242</v>
      </c>
      <c r="B228" t="s">
        <v>6</v>
      </c>
      <c r="C228" t="s">
        <v>7</v>
      </c>
      <c r="D228" t="s">
        <v>12</v>
      </c>
      <c r="E228">
        <v>0</v>
      </c>
      <c r="F228">
        <v>2</v>
      </c>
      <c r="G228">
        <v>1</v>
      </c>
      <c r="H228">
        <v>2</v>
      </c>
      <c r="I228" t="s">
        <v>75</v>
      </c>
    </row>
    <row r="229" spans="1:9" x14ac:dyDescent="0.2">
      <c r="A229" t="s">
        <v>1243</v>
      </c>
      <c r="B229" t="s">
        <v>8</v>
      </c>
      <c r="C229" t="s">
        <v>9</v>
      </c>
      <c r="D229">
        <v>0</v>
      </c>
      <c r="E229">
        <v>2</v>
      </c>
      <c r="F229">
        <v>1</v>
      </c>
      <c r="G229">
        <v>0</v>
      </c>
      <c r="H229">
        <v>0</v>
      </c>
      <c r="I229" t="s">
        <v>72</v>
      </c>
    </row>
    <row r="230" spans="1:9" x14ac:dyDescent="0.2">
      <c r="A230" t="s">
        <v>1244</v>
      </c>
      <c r="B230" t="s">
        <v>7</v>
      </c>
      <c r="C230" t="s">
        <v>9</v>
      </c>
      <c r="D230">
        <v>0</v>
      </c>
      <c r="E230">
        <v>2</v>
      </c>
      <c r="F230">
        <v>1</v>
      </c>
      <c r="G230">
        <v>0</v>
      </c>
      <c r="H230">
        <v>0</v>
      </c>
      <c r="I230" t="s">
        <v>72</v>
      </c>
    </row>
    <row r="231" spans="1:9" x14ac:dyDescent="0.2">
      <c r="A231" t="s">
        <v>1245</v>
      </c>
      <c r="B231" t="s">
        <v>8</v>
      </c>
      <c r="C231" t="s">
        <v>9</v>
      </c>
      <c r="D231">
        <v>0</v>
      </c>
      <c r="E231">
        <v>2</v>
      </c>
      <c r="F231">
        <v>1</v>
      </c>
      <c r="G231">
        <v>0</v>
      </c>
      <c r="H231">
        <v>1</v>
      </c>
      <c r="I231" t="s">
        <v>72</v>
      </c>
    </row>
    <row r="232" spans="1:9" x14ac:dyDescent="0.2">
      <c r="A232" t="s">
        <v>1246</v>
      </c>
      <c r="B232" t="s">
        <v>7</v>
      </c>
      <c r="C232" t="s">
        <v>9</v>
      </c>
      <c r="D232">
        <v>0</v>
      </c>
      <c r="E232">
        <v>2</v>
      </c>
      <c r="F232">
        <v>1</v>
      </c>
      <c r="G232">
        <v>0</v>
      </c>
      <c r="H232">
        <v>1</v>
      </c>
      <c r="I232" t="s">
        <v>72</v>
      </c>
    </row>
    <row r="233" spans="1:9" x14ac:dyDescent="0.2">
      <c r="A233" t="s">
        <v>1247</v>
      </c>
      <c r="B233" t="s">
        <v>8</v>
      </c>
      <c r="C233" t="s">
        <v>9</v>
      </c>
      <c r="D233">
        <v>0</v>
      </c>
      <c r="E233">
        <v>2</v>
      </c>
      <c r="F233">
        <v>1</v>
      </c>
      <c r="G233">
        <v>0</v>
      </c>
      <c r="H233">
        <v>2</v>
      </c>
      <c r="I233" t="s">
        <v>72</v>
      </c>
    </row>
    <row r="234" spans="1:9" x14ac:dyDescent="0.2">
      <c r="A234" t="s">
        <v>1248</v>
      </c>
      <c r="B234" t="s">
        <v>7</v>
      </c>
      <c r="C234" t="s">
        <v>9</v>
      </c>
      <c r="D234">
        <v>0</v>
      </c>
      <c r="E234">
        <v>2</v>
      </c>
      <c r="F234">
        <v>1</v>
      </c>
      <c r="G234">
        <v>0</v>
      </c>
      <c r="H234">
        <v>2</v>
      </c>
      <c r="I234" t="s">
        <v>72</v>
      </c>
    </row>
    <row r="235" spans="1:9" x14ac:dyDescent="0.2">
      <c r="A235" t="s">
        <v>1249</v>
      </c>
      <c r="B235" t="s">
        <v>8</v>
      </c>
      <c r="C235" t="s">
        <v>9</v>
      </c>
      <c r="D235">
        <v>0</v>
      </c>
      <c r="E235">
        <v>2</v>
      </c>
      <c r="F235">
        <v>1</v>
      </c>
      <c r="G235">
        <v>1</v>
      </c>
      <c r="H235">
        <v>0</v>
      </c>
      <c r="I235" t="s">
        <v>72</v>
      </c>
    </row>
    <row r="236" spans="1:9" x14ac:dyDescent="0.2">
      <c r="A236" t="s">
        <v>1250</v>
      </c>
      <c r="B236" t="s">
        <v>7</v>
      </c>
      <c r="C236" t="s">
        <v>9</v>
      </c>
      <c r="D236">
        <v>0</v>
      </c>
      <c r="E236">
        <v>2</v>
      </c>
      <c r="F236">
        <v>1</v>
      </c>
      <c r="G236">
        <v>1</v>
      </c>
      <c r="H236">
        <v>0</v>
      </c>
      <c r="I236" t="s">
        <v>444</v>
      </c>
    </row>
    <row r="237" spans="1:9" x14ac:dyDescent="0.2">
      <c r="A237" t="s">
        <v>1251</v>
      </c>
      <c r="B237" t="s">
        <v>8</v>
      </c>
      <c r="C237" t="s">
        <v>9</v>
      </c>
      <c r="D237">
        <v>0</v>
      </c>
      <c r="E237">
        <v>2</v>
      </c>
      <c r="F237">
        <v>1</v>
      </c>
      <c r="G237">
        <v>1</v>
      </c>
      <c r="H237">
        <v>1</v>
      </c>
      <c r="I237" t="s">
        <v>72</v>
      </c>
    </row>
    <row r="238" spans="1:9" x14ac:dyDescent="0.2">
      <c r="A238" t="s">
        <v>1252</v>
      </c>
      <c r="B238" t="s">
        <v>7</v>
      </c>
      <c r="C238" t="s">
        <v>9</v>
      </c>
      <c r="D238">
        <v>0</v>
      </c>
      <c r="E238">
        <v>2</v>
      </c>
      <c r="F238">
        <v>1</v>
      </c>
      <c r="G238">
        <v>1</v>
      </c>
      <c r="H238">
        <v>1</v>
      </c>
      <c r="I238" t="s">
        <v>62</v>
      </c>
    </row>
    <row r="239" spans="1:9" x14ac:dyDescent="0.2">
      <c r="A239" t="s">
        <v>1253</v>
      </c>
      <c r="B239" t="s">
        <v>8</v>
      </c>
      <c r="C239" t="s">
        <v>9</v>
      </c>
      <c r="D239">
        <v>0</v>
      </c>
      <c r="E239">
        <v>2</v>
      </c>
      <c r="F239">
        <v>1</v>
      </c>
      <c r="G239">
        <v>1</v>
      </c>
      <c r="H239">
        <v>2</v>
      </c>
      <c r="I239" t="s">
        <v>72</v>
      </c>
    </row>
    <row r="240" spans="1:9" x14ac:dyDescent="0.2">
      <c r="A240" t="s">
        <v>1254</v>
      </c>
      <c r="B240" t="s">
        <v>7</v>
      </c>
      <c r="C240" t="s">
        <v>9</v>
      </c>
      <c r="D240">
        <v>0</v>
      </c>
      <c r="E240">
        <v>2</v>
      </c>
      <c r="F240">
        <v>1</v>
      </c>
      <c r="G240">
        <v>1</v>
      </c>
      <c r="H240">
        <v>2</v>
      </c>
      <c r="I240" t="s">
        <v>60</v>
      </c>
    </row>
    <row r="241" spans="1:9" x14ac:dyDescent="0.2">
      <c r="A241" t="s">
        <v>1255</v>
      </c>
      <c r="B241" t="s">
        <v>6</v>
      </c>
      <c r="C241" t="s">
        <v>7</v>
      </c>
      <c r="D241" t="s">
        <v>12</v>
      </c>
      <c r="E241">
        <v>0</v>
      </c>
      <c r="F241">
        <v>3</v>
      </c>
      <c r="G241">
        <v>0</v>
      </c>
      <c r="H241">
        <v>0</v>
      </c>
      <c r="I241" t="s">
        <v>72</v>
      </c>
    </row>
    <row r="242" spans="1:9" x14ac:dyDescent="0.2">
      <c r="A242" t="s">
        <v>1256</v>
      </c>
      <c r="B242" t="s">
        <v>6</v>
      </c>
      <c r="C242" t="s">
        <v>7</v>
      </c>
      <c r="D242" t="s">
        <v>12</v>
      </c>
      <c r="E242">
        <v>0</v>
      </c>
      <c r="F242">
        <v>3</v>
      </c>
      <c r="G242">
        <v>0</v>
      </c>
      <c r="H242">
        <v>1</v>
      </c>
      <c r="I242" t="s">
        <v>72</v>
      </c>
    </row>
    <row r="243" spans="1:9" x14ac:dyDescent="0.2">
      <c r="A243" t="s">
        <v>1257</v>
      </c>
      <c r="B243" t="s">
        <v>6</v>
      </c>
      <c r="C243" t="s">
        <v>7</v>
      </c>
      <c r="D243" t="s">
        <v>12</v>
      </c>
      <c r="E243">
        <v>0</v>
      </c>
      <c r="F243">
        <v>3</v>
      </c>
      <c r="G243">
        <v>0</v>
      </c>
      <c r="H243">
        <v>2</v>
      </c>
      <c r="I243" t="s">
        <v>74</v>
      </c>
    </row>
    <row r="244" spans="1:9" x14ac:dyDescent="0.2">
      <c r="A244" t="s">
        <v>1258</v>
      </c>
      <c r="B244" t="s">
        <v>8</v>
      </c>
      <c r="C244" t="s">
        <v>9</v>
      </c>
      <c r="D244">
        <v>0</v>
      </c>
      <c r="E244">
        <v>3</v>
      </c>
      <c r="F244">
        <v>0</v>
      </c>
      <c r="G244">
        <v>0</v>
      </c>
      <c r="H244">
        <v>0</v>
      </c>
      <c r="I244" t="s">
        <v>72</v>
      </c>
    </row>
    <row r="245" spans="1:9" x14ac:dyDescent="0.2">
      <c r="A245" t="s">
        <v>1259</v>
      </c>
      <c r="B245" t="s">
        <v>7</v>
      </c>
      <c r="C245" t="s">
        <v>9</v>
      </c>
      <c r="D245">
        <v>0</v>
      </c>
      <c r="E245">
        <v>3</v>
      </c>
      <c r="F245">
        <v>0</v>
      </c>
      <c r="G245">
        <v>0</v>
      </c>
      <c r="H245">
        <v>0</v>
      </c>
      <c r="I245" t="s">
        <v>61</v>
      </c>
    </row>
    <row r="246" spans="1:9" x14ac:dyDescent="0.2">
      <c r="A246" t="s">
        <v>1260</v>
      </c>
      <c r="B246" t="s">
        <v>8</v>
      </c>
      <c r="C246" t="s">
        <v>9</v>
      </c>
      <c r="D246">
        <v>0</v>
      </c>
      <c r="E246">
        <v>3</v>
      </c>
      <c r="F246">
        <v>0</v>
      </c>
      <c r="G246">
        <v>0</v>
      </c>
      <c r="H246">
        <v>1</v>
      </c>
      <c r="I246" t="s">
        <v>72</v>
      </c>
    </row>
    <row r="247" spans="1:9" x14ac:dyDescent="0.2">
      <c r="A247" t="s">
        <v>1261</v>
      </c>
      <c r="B247" t="s">
        <v>7</v>
      </c>
      <c r="C247" t="s">
        <v>9</v>
      </c>
      <c r="D247">
        <v>0</v>
      </c>
      <c r="E247">
        <v>3</v>
      </c>
      <c r="F247">
        <v>0</v>
      </c>
      <c r="G247">
        <v>0</v>
      </c>
      <c r="H247">
        <v>1</v>
      </c>
      <c r="I247" t="s">
        <v>62</v>
      </c>
    </row>
    <row r="248" spans="1:9" x14ac:dyDescent="0.2">
      <c r="A248" t="s">
        <v>1262</v>
      </c>
      <c r="B248" t="s">
        <v>8</v>
      </c>
      <c r="C248" t="s">
        <v>9</v>
      </c>
      <c r="D248">
        <v>0</v>
      </c>
      <c r="E248">
        <v>3</v>
      </c>
      <c r="F248">
        <v>0</v>
      </c>
      <c r="G248">
        <v>0</v>
      </c>
      <c r="H248">
        <v>2</v>
      </c>
      <c r="I248" t="s">
        <v>72</v>
      </c>
    </row>
    <row r="249" spans="1:9" x14ac:dyDescent="0.2">
      <c r="A249" t="s">
        <v>1263</v>
      </c>
      <c r="B249" t="s">
        <v>7</v>
      </c>
      <c r="C249" t="s">
        <v>9</v>
      </c>
      <c r="D249">
        <v>0</v>
      </c>
      <c r="E249">
        <v>3</v>
      </c>
      <c r="F249">
        <v>0</v>
      </c>
      <c r="G249">
        <v>0</v>
      </c>
      <c r="H249">
        <v>2</v>
      </c>
      <c r="I249" t="s">
        <v>60</v>
      </c>
    </row>
    <row r="250" spans="1:9" x14ac:dyDescent="0.2">
      <c r="A250" t="s">
        <v>1264</v>
      </c>
      <c r="B250" t="s">
        <v>8</v>
      </c>
      <c r="C250" t="s">
        <v>9</v>
      </c>
      <c r="D250">
        <v>0</v>
      </c>
      <c r="E250">
        <v>3</v>
      </c>
      <c r="F250">
        <v>0</v>
      </c>
      <c r="G250">
        <v>1</v>
      </c>
      <c r="H250">
        <v>0</v>
      </c>
      <c r="I250" t="s">
        <v>72</v>
      </c>
    </row>
    <row r="251" spans="1:9" x14ac:dyDescent="0.2">
      <c r="A251" t="s">
        <v>1265</v>
      </c>
      <c r="B251" t="s">
        <v>7</v>
      </c>
      <c r="C251" t="s">
        <v>9</v>
      </c>
      <c r="D251">
        <v>0</v>
      </c>
      <c r="E251">
        <v>3</v>
      </c>
      <c r="F251">
        <v>0</v>
      </c>
      <c r="G251">
        <v>1</v>
      </c>
      <c r="H251">
        <v>0</v>
      </c>
      <c r="I251" t="s">
        <v>72</v>
      </c>
    </row>
    <row r="252" spans="1:9" x14ac:dyDescent="0.2">
      <c r="A252" t="s">
        <v>1266</v>
      </c>
      <c r="B252" t="s">
        <v>8</v>
      </c>
      <c r="C252" t="s">
        <v>9</v>
      </c>
      <c r="D252">
        <v>0</v>
      </c>
      <c r="E252">
        <v>3</v>
      </c>
      <c r="F252">
        <v>0</v>
      </c>
      <c r="G252">
        <v>1</v>
      </c>
      <c r="H252">
        <v>1</v>
      </c>
      <c r="I252" t="s">
        <v>72</v>
      </c>
    </row>
    <row r="253" spans="1:9" x14ac:dyDescent="0.2">
      <c r="A253" t="s">
        <v>1267</v>
      </c>
      <c r="B253" t="s">
        <v>7</v>
      </c>
      <c r="C253" t="s">
        <v>9</v>
      </c>
      <c r="D253">
        <v>0</v>
      </c>
      <c r="E253">
        <v>3</v>
      </c>
      <c r="F253">
        <v>0</v>
      </c>
      <c r="G253">
        <v>1</v>
      </c>
      <c r="H253">
        <v>1</v>
      </c>
      <c r="I253" t="s">
        <v>72</v>
      </c>
    </row>
    <row r="254" spans="1:9" x14ac:dyDescent="0.2">
      <c r="A254" t="s">
        <v>1268</v>
      </c>
      <c r="B254" t="s">
        <v>8</v>
      </c>
      <c r="C254" t="s">
        <v>9</v>
      </c>
      <c r="D254">
        <v>0</v>
      </c>
      <c r="E254">
        <v>3</v>
      </c>
      <c r="F254">
        <v>0</v>
      </c>
      <c r="G254">
        <v>1</v>
      </c>
      <c r="H254">
        <v>2</v>
      </c>
      <c r="I254" t="s">
        <v>72</v>
      </c>
    </row>
    <row r="255" spans="1:9" x14ac:dyDescent="0.2">
      <c r="A255" t="s">
        <v>1269</v>
      </c>
      <c r="B255" t="s">
        <v>7</v>
      </c>
      <c r="C255" t="s">
        <v>9</v>
      </c>
      <c r="D255">
        <v>0</v>
      </c>
      <c r="E255">
        <v>3</v>
      </c>
      <c r="F255">
        <v>0</v>
      </c>
      <c r="G255">
        <v>1</v>
      </c>
      <c r="H255">
        <v>2</v>
      </c>
      <c r="I255" t="s">
        <v>72</v>
      </c>
    </row>
    <row r="256" spans="1:9" x14ac:dyDescent="0.2">
      <c r="A256" t="s">
        <v>1270</v>
      </c>
      <c r="B256" t="s">
        <v>6</v>
      </c>
      <c r="C256" t="s">
        <v>7</v>
      </c>
      <c r="D256" t="s">
        <v>12</v>
      </c>
      <c r="E256">
        <v>0</v>
      </c>
      <c r="F256">
        <v>3</v>
      </c>
      <c r="G256">
        <v>1</v>
      </c>
      <c r="H256">
        <v>0</v>
      </c>
      <c r="I256" t="s">
        <v>72</v>
      </c>
    </row>
    <row r="257" spans="1:9" x14ac:dyDescent="0.2">
      <c r="A257" t="s">
        <v>1271</v>
      </c>
      <c r="B257" t="s">
        <v>6</v>
      </c>
      <c r="C257" t="s">
        <v>7</v>
      </c>
      <c r="D257" t="s">
        <v>12</v>
      </c>
      <c r="E257">
        <v>0</v>
      </c>
      <c r="F257">
        <v>3</v>
      </c>
      <c r="G257">
        <v>1</v>
      </c>
      <c r="H257">
        <v>1</v>
      </c>
      <c r="I257" t="s">
        <v>72</v>
      </c>
    </row>
    <row r="258" spans="1:9" x14ac:dyDescent="0.2">
      <c r="A258" t="s">
        <v>1272</v>
      </c>
      <c r="B258" t="s">
        <v>6</v>
      </c>
      <c r="C258" t="s">
        <v>7</v>
      </c>
      <c r="D258" t="s">
        <v>12</v>
      </c>
      <c r="E258">
        <v>0</v>
      </c>
      <c r="F258">
        <v>3</v>
      </c>
      <c r="G258">
        <v>1</v>
      </c>
      <c r="H258">
        <v>2</v>
      </c>
      <c r="I258" t="s">
        <v>75</v>
      </c>
    </row>
    <row r="259" spans="1:9" x14ac:dyDescent="0.2">
      <c r="A259" t="s">
        <v>1273</v>
      </c>
      <c r="B259" t="s">
        <v>8</v>
      </c>
      <c r="C259" t="s">
        <v>9</v>
      </c>
      <c r="D259">
        <v>0</v>
      </c>
      <c r="E259">
        <v>3</v>
      </c>
      <c r="F259">
        <v>1</v>
      </c>
      <c r="G259">
        <v>0</v>
      </c>
      <c r="H259">
        <v>0</v>
      </c>
      <c r="I259" t="s">
        <v>72</v>
      </c>
    </row>
    <row r="260" spans="1:9" x14ac:dyDescent="0.2">
      <c r="A260" t="s">
        <v>1274</v>
      </c>
      <c r="B260" t="s">
        <v>7</v>
      </c>
      <c r="C260" t="s">
        <v>9</v>
      </c>
      <c r="D260">
        <v>0</v>
      </c>
      <c r="E260">
        <v>3</v>
      </c>
      <c r="F260">
        <v>1</v>
      </c>
      <c r="G260">
        <v>0</v>
      </c>
      <c r="H260">
        <v>0</v>
      </c>
      <c r="I260" t="s">
        <v>72</v>
      </c>
    </row>
    <row r="261" spans="1:9" x14ac:dyDescent="0.2">
      <c r="A261" t="s">
        <v>1275</v>
      </c>
      <c r="B261" t="s">
        <v>8</v>
      </c>
      <c r="C261" t="s">
        <v>9</v>
      </c>
      <c r="D261">
        <v>0</v>
      </c>
      <c r="E261">
        <v>3</v>
      </c>
      <c r="F261">
        <v>1</v>
      </c>
      <c r="G261">
        <v>0</v>
      </c>
      <c r="H261">
        <v>1</v>
      </c>
      <c r="I261" t="s">
        <v>72</v>
      </c>
    </row>
    <row r="262" spans="1:9" x14ac:dyDescent="0.2">
      <c r="A262" t="s">
        <v>1276</v>
      </c>
      <c r="B262" t="s">
        <v>7</v>
      </c>
      <c r="C262" t="s">
        <v>9</v>
      </c>
      <c r="D262">
        <v>0</v>
      </c>
      <c r="E262">
        <v>3</v>
      </c>
      <c r="F262">
        <v>1</v>
      </c>
      <c r="G262">
        <v>0</v>
      </c>
      <c r="H262">
        <v>1</v>
      </c>
      <c r="I262" t="s">
        <v>72</v>
      </c>
    </row>
    <row r="263" spans="1:9" x14ac:dyDescent="0.2">
      <c r="A263" t="s">
        <v>1277</v>
      </c>
      <c r="B263" t="s">
        <v>8</v>
      </c>
      <c r="C263" t="s">
        <v>9</v>
      </c>
      <c r="D263">
        <v>0</v>
      </c>
      <c r="E263">
        <v>3</v>
      </c>
      <c r="F263">
        <v>1</v>
      </c>
      <c r="G263">
        <v>0</v>
      </c>
      <c r="H263">
        <v>2</v>
      </c>
      <c r="I263" t="s">
        <v>72</v>
      </c>
    </row>
    <row r="264" spans="1:9" x14ac:dyDescent="0.2">
      <c r="A264" t="s">
        <v>1278</v>
      </c>
      <c r="B264" t="s">
        <v>7</v>
      </c>
      <c r="C264" t="s">
        <v>9</v>
      </c>
      <c r="D264">
        <v>0</v>
      </c>
      <c r="E264">
        <v>3</v>
      </c>
      <c r="F264">
        <v>1</v>
      </c>
      <c r="G264">
        <v>0</v>
      </c>
      <c r="H264">
        <v>2</v>
      </c>
      <c r="I264" t="s">
        <v>72</v>
      </c>
    </row>
    <row r="265" spans="1:9" x14ac:dyDescent="0.2">
      <c r="A265" t="s">
        <v>1279</v>
      </c>
      <c r="B265" t="s">
        <v>8</v>
      </c>
      <c r="C265" t="s">
        <v>9</v>
      </c>
      <c r="D265">
        <v>0</v>
      </c>
      <c r="E265">
        <v>3</v>
      </c>
      <c r="F265">
        <v>1</v>
      </c>
      <c r="G265">
        <v>1</v>
      </c>
      <c r="H265">
        <v>0</v>
      </c>
      <c r="I265" t="s">
        <v>72</v>
      </c>
    </row>
    <row r="266" spans="1:9" x14ac:dyDescent="0.2">
      <c r="A266" t="s">
        <v>1280</v>
      </c>
      <c r="B266" t="s">
        <v>7</v>
      </c>
      <c r="C266" t="s">
        <v>9</v>
      </c>
      <c r="D266">
        <v>0</v>
      </c>
      <c r="E266">
        <v>3</v>
      </c>
      <c r="F266">
        <v>1</v>
      </c>
      <c r="G266">
        <v>1</v>
      </c>
      <c r="H266">
        <v>0</v>
      </c>
      <c r="I266" t="s">
        <v>444</v>
      </c>
    </row>
    <row r="267" spans="1:9" x14ac:dyDescent="0.2">
      <c r="A267" t="s">
        <v>1281</v>
      </c>
      <c r="B267" t="s">
        <v>8</v>
      </c>
      <c r="C267" t="s">
        <v>9</v>
      </c>
      <c r="D267">
        <v>0</v>
      </c>
      <c r="E267">
        <v>3</v>
      </c>
      <c r="F267">
        <v>1</v>
      </c>
      <c r="G267">
        <v>1</v>
      </c>
      <c r="H267">
        <v>1</v>
      </c>
      <c r="I267" t="s">
        <v>72</v>
      </c>
    </row>
    <row r="268" spans="1:9" x14ac:dyDescent="0.2">
      <c r="A268" t="s">
        <v>1282</v>
      </c>
      <c r="B268" t="s">
        <v>7</v>
      </c>
      <c r="C268" t="s">
        <v>9</v>
      </c>
      <c r="D268">
        <v>0</v>
      </c>
      <c r="E268">
        <v>3</v>
      </c>
      <c r="F268">
        <v>1</v>
      </c>
      <c r="G268">
        <v>1</v>
      </c>
      <c r="H268">
        <v>1</v>
      </c>
      <c r="I268" t="s">
        <v>62</v>
      </c>
    </row>
    <row r="269" spans="1:9" x14ac:dyDescent="0.2">
      <c r="A269" t="s">
        <v>1283</v>
      </c>
      <c r="B269" t="s">
        <v>8</v>
      </c>
      <c r="C269" t="s">
        <v>9</v>
      </c>
      <c r="D269">
        <v>0</v>
      </c>
      <c r="E269">
        <v>3</v>
      </c>
      <c r="F269">
        <v>1</v>
      </c>
      <c r="G269">
        <v>1</v>
      </c>
      <c r="H269">
        <v>2</v>
      </c>
      <c r="I269" t="s">
        <v>72</v>
      </c>
    </row>
    <row r="270" spans="1:9" x14ac:dyDescent="0.2">
      <c r="A270" t="s">
        <v>1284</v>
      </c>
      <c r="B270" t="s">
        <v>7</v>
      </c>
      <c r="C270" t="s">
        <v>9</v>
      </c>
      <c r="D270">
        <v>0</v>
      </c>
      <c r="E270">
        <v>3</v>
      </c>
      <c r="F270">
        <v>1</v>
      </c>
      <c r="G270">
        <v>1</v>
      </c>
      <c r="H270">
        <v>2</v>
      </c>
      <c r="I270" t="s">
        <v>60</v>
      </c>
    </row>
    <row r="271" spans="1:9" x14ac:dyDescent="0.2">
      <c r="A271" t="s">
        <v>1285</v>
      </c>
      <c r="B271" t="s">
        <v>6</v>
      </c>
      <c r="C271" t="s">
        <v>7</v>
      </c>
      <c r="D271" t="s">
        <v>12</v>
      </c>
      <c r="E271">
        <v>0</v>
      </c>
      <c r="F271">
        <v>4</v>
      </c>
      <c r="G271">
        <v>0</v>
      </c>
      <c r="H271">
        <v>0</v>
      </c>
      <c r="I271" t="s">
        <v>72</v>
      </c>
    </row>
    <row r="272" spans="1:9" x14ac:dyDescent="0.2">
      <c r="A272" t="s">
        <v>1286</v>
      </c>
      <c r="B272" t="s">
        <v>6</v>
      </c>
      <c r="C272" t="s">
        <v>7</v>
      </c>
      <c r="D272" t="s">
        <v>12</v>
      </c>
      <c r="E272">
        <v>0</v>
      </c>
      <c r="F272">
        <v>4</v>
      </c>
      <c r="G272">
        <v>0</v>
      </c>
      <c r="H272">
        <v>1</v>
      </c>
      <c r="I272" t="s">
        <v>72</v>
      </c>
    </row>
    <row r="273" spans="1:9" x14ac:dyDescent="0.2">
      <c r="A273" t="s">
        <v>1287</v>
      </c>
      <c r="B273" t="s">
        <v>6</v>
      </c>
      <c r="C273" t="s">
        <v>7</v>
      </c>
      <c r="D273" t="s">
        <v>12</v>
      </c>
      <c r="E273">
        <v>0</v>
      </c>
      <c r="F273">
        <v>4</v>
      </c>
      <c r="G273">
        <v>0</v>
      </c>
      <c r="H273">
        <v>2</v>
      </c>
      <c r="I273" t="s">
        <v>446</v>
      </c>
    </row>
    <row r="274" spans="1:9" x14ac:dyDescent="0.2">
      <c r="A274" t="s">
        <v>1288</v>
      </c>
      <c r="B274" t="s">
        <v>8</v>
      </c>
      <c r="C274" t="s">
        <v>9</v>
      </c>
      <c r="D274">
        <v>0</v>
      </c>
      <c r="E274">
        <v>4</v>
      </c>
      <c r="F274">
        <v>0</v>
      </c>
      <c r="G274">
        <v>0</v>
      </c>
      <c r="H274">
        <v>0</v>
      </c>
      <c r="I274" t="s">
        <v>72</v>
      </c>
    </row>
    <row r="275" spans="1:9" x14ac:dyDescent="0.2">
      <c r="A275" t="s">
        <v>1289</v>
      </c>
      <c r="B275" t="s">
        <v>7</v>
      </c>
      <c r="C275" t="s">
        <v>9</v>
      </c>
      <c r="D275">
        <v>0</v>
      </c>
      <c r="E275">
        <v>4</v>
      </c>
      <c r="F275">
        <v>0</v>
      </c>
      <c r="G275">
        <v>0</v>
      </c>
      <c r="H275">
        <v>0</v>
      </c>
      <c r="I275" t="s">
        <v>62</v>
      </c>
    </row>
    <row r="276" spans="1:9" x14ac:dyDescent="0.2">
      <c r="A276" t="s">
        <v>1290</v>
      </c>
      <c r="B276" t="s">
        <v>8</v>
      </c>
      <c r="C276" t="s">
        <v>9</v>
      </c>
      <c r="D276">
        <v>0</v>
      </c>
      <c r="E276">
        <v>4</v>
      </c>
      <c r="F276">
        <v>0</v>
      </c>
      <c r="G276">
        <v>0</v>
      </c>
      <c r="H276">
        <v>1</v>
      </c>
      <c r="I276" t="s">
        <v>72</v>
      </c>
    </row>
    <row r="277" spans="1:9" x14ac:dyDescent="0.2">
      <c r="A277" t="s">
        <v>1291</v>
      </c>
      <c r="B277" t="s">
        <v>7</v>
      </c>
      <c r="C277" t="s">
        <v>9</v>
      </c>
      <c r="D277">
        <v>0</v>
      </c>
      <c r="E277">
        <v>4</v>
      </c>
      <c r="F277">
        <v>0</v>
      </c>
      <c r="G277">
        <v>0</v>
      </c>
      <c r="H277">
        <v>1</v>
      </c>
      <c r="I277" t="s">
        <v>62</v>
      </c>
    </row>
    <row r="278" spans="1:9" x14ac:dyDescent="0.2">
      <c r="A278" t="s">
        <v>1292</v>
      </c>
      <c r="B278" t="s">
        <v>8</v>
      </c>
      <c r="C278" t="s">
        <v>9</v>
      </c>
      <c r="D278">
        <v>0</v>
      </c>
      <c r="E278">
        <v>4</v>
      </c>
      <c r="F278">
        <v>0</v>
      </c>
      <c r="G278">
        <v>0</v>
      </c>
      <c r="H278">
        <v>2</v>
      </c>
      <c r="I278" t="s">
        <v>72</v>
      </c>
    </row>
    <row r="279" spans="1:9" x14ac:dyDescent="0.2">
      <c r="A279" t="s">
        <v>1293</v>
      </c>
      <c r="B279" t="s">
        <v>7</v>
      </c>
      <c r="C279" t="s">
        <v>9</v>
      </c>
      <c r="D279">
        <v>0</v>
      </c>
      <c r="E279">
        <v>4</v>
      </c>
      <c r="F279">
        <v>0</v>
      </c>
      <c r="G279">
        <v>0</v>
      </c>
      <c r="H279">
        <v>2</v>
      </c>
      <c r="I279" t="s">
        <v>60</v>
      </c>
    </row>
    <row r="280" spans="1:9" x14ac:dyDescent="0.2">
      <c r="A280" t="s">
        <v>1294</v>
      </c>
      <c r="B280" t="s">
        <v>8</v>
      </c>
      <c r="C280" t="s">
        <v>9</v>
      </c>
      <c r="D280">
        <v>0</v>
      </c>
      <c r="E280">
        <v>4</v>
      </c>
      <c r="F280">
        <v>0</v>
      </c>
      <c r="G280">
        <v>1</v>
      </c>
      <c r="H280">
        <v>0</v>
      </c>
      <c r="I280" t="s">
        <v>72</v>
      </c>
    </row>
    <row r="281" spans="1:9" x14ac:dyDescent="0.2">
      <c r="A281" t="s">
        <v>1295</v>
      </c>
      <c r="B281" t="s">
        <v>7</v>
      </c>
      <c r="C281" t="s">
        <v>9</v>
      </c>
      <c r="D281">
        <v>0</v>
      </c>
      <c r="E281">
        <v>4</v>
      </c>
      <c r="F281">
        <v>0</v>
      </c>
      <c r="G281">
        <v>1</v>
      </c>
      <c r="H281">
        <v>0</v>
      </c>
      <c r="I281" t="s">
        <v>72</v>
      </c>
    </row>
    <row r="282" spans="1:9" x14ac:dyDescent="0.2">
      <c r="A282" t="s">
        <v>1296</v>
      </c>
      <c r="B282" t="s">
        <v>8</v>
      </c>
      <c r="C282" t="s">
        <v>9</v>
      </c>
      <c r="D282">
        <v>0</v>
      </c>
      <c r="E282">
        <v>4</v>
      </c>
      <c r="F282">
        <v>0</v>
      </c>
      <c r="G282">
        <v>1</v>
      </c>
      <c r="H282">
        <v>1</v>
      </c>
      <c r="I282" t="s">
        <v>72</v>
      </c>
    </row>
    <row r="283" spans="1:9" x14ac:dyDescent="0.2">
      <c r="A283" t="s">
        <v>1297</v>
      </c>
      <c r="B283" t="s">
        <v>7</v>
      </c>
      <c r="C283" t="s">
        <v>9</v>
      </c>
      <c r="D283">
        <v>0</v>
      </c>
      <c r="E283">
        <v>4</v>
      </c>
      <c r="F283">
        <v>0</v>
      </c>
      <c r="G283">
        <v>1</v>
      </c>
      <c r="H283">
        <v>1</v>
      </c>
      <c r="I283" t="s">
        <v>72</v>
      </c>
    </row>
    <row r="284" spans="1:9" x14ac:dyDescent="0.2">
      <c r="A284" t="s">
        <v>1298</v>
      </c>
      <c r="B284" t="s">
        <v>8</v>
      </c>
      <c r="C284" t="s">
        <v>9</v>
      </c>
      <c r="D284">
        <v>0</v>
      </c>
      <c r="E284">
        <v>4</v>
      </c>
      <c r="F284">
        <v>0</v>
      </c>
      <c r="G284">
        <v>1</v>
      </c>
      <c r="H284">
        <v>2</v>
      </c>
      <c r="I284" t="s">
        <v>72</v>
      </c>
    </row>
    <row r="285" spans="1:9" x14ac:dyDescent="0.2">
      <c r="A285" t="s">
        <v>1299</v>
      </c>
      <c r="B285" t="s">
        <v>7</v>
      </c>
      <c r="C285" t="s">
        <v>9</v>
      </c>
      <c r="D285">
        <v>0</v>
      </c>
      <c r="E285">
        <v>4</v>
      </c>
      <c r="F285">
        <v>0</v>
      </c>
      <c r="G285">
        <v>1</v>
      </c>
      <c r="H285">
        <v>2</v>
      </c>
      <c r="I285" t="s">
        <v>72</v>
      </c>
    </row>
    <row r="286" spans="1:9" x14ac:dyDescent="0.2">
      <c r="A286" t="s">
        <v>1300</v>
      </c>
      <c r="B286" t="s">
        <v>6</v>
      </c>
      <c r="C286" t="s">
        <v>7</v>
      </c>
      <c r="D286" t="s">
        <v>12</v>
      </c>
      <c r="E286">
        <v>0</v>
      </c>
      <c r="F286">
        <v>4</v>
      </c>
      <c r="G286">
        <v>1</v>
      </c>
      <c r="H286">
        <v>0</v>
      </c>
      <c r="I286" t="s">
        <v>72</v>
      </c>
    </row>
    <row r="287" spans="1:9" x14ac:dyDescent="0.2">
      <c r="A287" t="s">
        <v>1301</v>
      </c>
      <c r="B287" t="s">
        <v>6</v>
      </c>
      <c r="C287" t="s">
        <v>7</v>
      </c>
      <c r="D287" t="s">
        <v>12</v>
      </c>
      <c r="E287">
        <v>0</v>
      </c>
      <c r="F287">
        <v>4</v>
      </c>
      <c r="G287">
        <v>1</v>
      </c>
      <c r="H287">
        <v>1</v>
      </c>
      <c r="I287" t="s">
        <v>72</v>
      </c>
    </row>
    <row r="288" spans="1:9" x14ac:dyDescent="0.2">
      <c r="A288" t="s">
        <v>1302</v>
      </c>
      <c r="B288" t="s">
        <v>6</v>
      </c>
      <c r="C288" t="s">
        <v>7</v>
      </c>
      <c r="D288" t="s">
        <v>12</v>
      </c>
      <c r="E288">
        <v>0</v>
      </c>
      <c r="F288">
        <v>4</v>
      </c>
      <c r="G288">
        <v>1</v>
      </c>
      <c r="H288">
        <v>2</v>
      </c>
      <c r="I288" t="s">
        <v>75</v>
      </c>
    </row>
    <row r="289" spans="1:9" x14ac:dyDescent="0.2">
      <c r="A289" t="s">
        <v>1303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>
        <v>0</v>
      </c>
      <c r="I289" t="s">
        <v>72</v>
      </c>
    </row>
    <row r="290" spans="1:9" x14ac:dyDescent="0.2">
      <c r="A290" t="s">
        <v>1304</v>
      </c>
      <c r="B290" t="s">
        <v>7</v>
      </c>
      <c r="C290" t="s">
        <v>9</v>
      </c>
      <c r="D290">
        <v>0</v>
      </c>
      <c r="E290">
        <v>4</v>
      </c>
      <c r="F290">
        <v>1</v>
      </c>
      <c r="G290">
        <v>0</v>
      </c>
      <c r="H290">
        <v>0</v>
      </c>
      <c r="I290" t="s">
        <v>72</v>
      </c>
    </row>
    <row r="291" spans="1:9" x14ac:dyDescent="0.2">
      <c r="A291" t="s">
        <v>1305</v>
      </c>
      <c r="B291" t="s">
        <v>8</v>
      </c>
      <c r="C291" t="s">
        <v>9</v>
      </c>
      <c r="D291">
        <v>0</v>
      </c>
      <c r="E291">
        <v>4</v>
      </c>
      <c r="F291">
        <v>1</v>
      </c>
      <c r="G291">
        <v>0</v>
      </c>
      <c r="H291">
        <v>1</v>
      </c>
      <c r="I291" t="s">
        <v>72</v>
      </c>
    </row>
    <row r="292" spans="1:9" x14ac:dyDescent="0.2">
      <c r="A292" t="s">
        <v>1306</v>
      </c>
      <c r="B292" t="s">
        <v>7</v>
      </c>
      <c r="C292" t="s">
        <v>9</v>
      </c>
      <c r="D292">
        <v>0</v>
      </c>
      <c r="E292">
        <v>4</v>
      </c>
      <c r="F292">
        <v>1</v>
      </c>
      <c r="G292">
        <v>0</v>
      </c>
      <c r="H292">
        <v>1</v>
      </c>
      <c r="I292" t="s">
        <v>72</v>
      </c>
    </row>
    <row r="293" spans="1:9" x14ac:dyDescent="0.2">
      <c r="A293" t="s">
        <v>1307</v>
      </c>
      <c r="B293" t="s">
        <v>8</v>
      </c>
      <c r="C293" t="s">
        <v>9</v>
      </c>
      <c r="D293">
        <v>0</v>
      </c>
      <c r="E293">
        <v>4</v>
      </c>
      <c r="F293">
        <v>1</v>
      </c>
      <c r="G293">
        <v>0</v>
      </c>
      <c r="H293">
        <v>2</v>
      </c>
      <c r="I293" t="s">
        <v>72</v>
      </c>
    </row>
    <row r="294" spans="1:9" x14ac:dyDescent="0.2">
      <c r="A294" t="s">
        <v>1308</v>
      </c>
      <c r="B294" t="s">
        <v>7</v>
      </c>
      <c r="C294" t="s">
        <v>9</v>
      </c>
      <c r="D294">
        <v>0</v>
      </c>
      <c r="E294">
        <v>4</v>
      </c>
      <c r="F294">
        <v>1</v>
      </c>
      <c r="G294">
        <v>0</v>
      </c>
      <c r="H294">
        <v>2</v>
      </c>
      <c r="I294" t="s">
        <v>72</v>
      </c>
    </row>
    <row r="295" spans="1:9" x14ac:dyDescent="0.2">
      <c r="A295" t="s">
        <v>1309</v>
      </c>
      <c r="B295" t="s">
        <v>8</v>
      </c>
      <c r="C295" t="s">
        <v>9</v>
      </c>
      <c r="D295">
        <v>0</v>
      </c>
      <c r="E295">
        <v>4</v>
      </c>
      <c r="F295">
        <v>1</v>
      </c>
      <c r="G295">
        <v>1</v>
      </c>
      <c r="H295">
        <v>0</v>
      </c>
      <c r="I295" t="s">
        <v>72</v>
      </c>
    </row>
    <row r="296" spans="1:9" x14ac:dyDescent="0.2">
      <c r="A296" t="s">
        <v>1310</v>
      </c>
      <c r="B296" t="s">
        <v>7</v>
      </c>
      <c r="C296" t="s">
        <v>9</v>
      </c>
      <c r="D296">
        <v>0</v>
      </c>
      <c r="E296">
        <v>4</v>
      </c>
      <c r="F296">
        <v>1</v>
      </c>
      <c r="G296">
        <v>1</v>
      </c>
      <c r="H296">
        <v>0</v>
      </c>
      <c r="I296" t="s">
        <v>444</v>
      </c>
    </row>
    <row r="297" spans="1:9" x14ac:dyDescent="0.2">
      <c r="A297" t="s">
        <v>1311</v>
      </c>
      <c r="B297" t="s">
        <v>8</v>
      </c>
      <c r="C297" t="s">
        <v>9</v>
      </c>
      <c r="D297">
        <v>0</v>
      </c>
      <c r="E297">
        <v>4</v>
      </c>
      <c r="F297">
        <v>1</v>
      </c>
      <c r="G297">
        <v>1</v>
      </c>
      <c r="H297">
        <v>1</v>
      </c>
      <c r="I297" t="s">
        <v>72</v>
      </c>
    </row>
    <row r="298" spans="1:9" x14ac:dyDescent="0.2">
      <c r="A298" t="s">
        <v>1312</v>
      </c>
      <c r="B298" t="s">
        <v>7</v>
      </c>
      <c r="C298" t="s">
        <v>9</v>
      </c>
      <c r="D298">
        <v>0</v>
      </c>
      <c r="E298">
        <v>4</v>
      </c>
      <c r="F298">
        <v>1</v>
      </c>
      <c r="G298">
        <v>1</v>
      </c>
      <c r="H298">
        <v>1</v>
      </c>
      <c r="I298" t="s">
        <v>62</v>
      </c>
    </row>
    <row r="299" spans="1:9" x14ac:dyDescent="0.2">
      <c r="A299" t="s">
        <v>1313</v>
      </c>
      <c r="B299" t="s">
        <v>8</v>
      </c>
      <c r="C299" t="s">
        <v>9</v>
      </c>
      <c r="D299">
        <v>0</v>
      </c>
      <c r="E299">
        <v>4</v>
      </c>
      <c r="F299">
        <v>1</v>
      </c>
      <c r="G299">
        <v>1</v>
      </c>
      <c r="H299">
        <v>2</v>
      </c>
      <c r="I299" t="s">
        <v>72</v>
      </c>
    </row>
    <row r="300" spans="1:9" x14ac:dyDescent="0.2">
      <c r="A300" t="s">
        <v>1314</v>
      </c>
      <c r="B300" t="s">
        <v>7</v>
      </c>
      <c r="C300" t="s">
        <v>9</v>
      </c>
      <c r="D300">
        <v>0</v>
      </c>
      <c r="E300">
        <v>4</v>
      </c>
      <c r="F300">
        <v>1</v>
      </c>
      <c r="G300">
        <v>1</v>
      </c>
      <c r="H300">
        <v>2</v>
      </c>
      <c r="I300" t="s">
        <v>60</v>
      </c>
    </row>
    <row r="301" spans="1:9" x14ac:dyDescent="0.2">
      <c r="A301" t="s">
        <v>1315</v>
      </c>
      <c r="B301" t="s">
        <v>6</v>
      </c>
      <c r="C301" t="s">
        <v>7</v>
      </c>
      <c r="D301" t="s">
        <v>12</v>
      </c>
      <c r="E301">
        <v>0</v>
      </c>
      <c r="F301">
        <v>5</v>
      </c>
      <c r="G301">
        <v>0</v>
      </c>
      <c r="H301">
        <v>0</v>
      </c>
      <c r="I301" t="s">
        <v>72</v>
      </c>
    </row>
    <row r="302" spans="1:9" x14ac:dyDescent="0.2">
      <c r="A302" t="s">
        <v>1316</v>
      </c>
      <c r="B302" t="s">
        <v>6</v>
      </c>
      <c r="C302" t="s">
        <v>7</v>
      </c>
      <c r="D302" t="s">
        <v>12</v>
      </c>
      <c r="E302">
        <v>0</v>
      </c>
      <c r="F302">
        <v>5</v>
      </c>
      <c r="G302">
        <v>0</v>
      </c>
      <c r="H302">
        <v>1</v>
      </c>
      <c r="I302" t="s">
        <v>72</v>
      </c>
    </row>
    <row r="303" spans="1:9" x14ac:dyDescent="0.2">
      <c r="A303" t="s">
        <v>1317</v>
      </c>
      <c r="B303" t="s">
        <v>6</v>
      </c>
      <c r="C303" t="s">
        <v>7</v>
      </c>
      <c r="D303" t="s">
        <v>12</v>
      </c>
      <c r="E303">
        <v>0</v>
      </c>
      <c r="F303">
        <v>5</v>
      </c>
      <c r="G303">
        <v>0</v>
      </c>
      <c r="H303">
        <v>2</v>
      </c>
      <c r="I303" t="s">
        <v>1040</v>
      </c>
    </row>
    <row r="304" spans="1:9" x14ac:dyDescent="0.2">
      <c r="A304" t="s">
        <v>1318</v>
      </c>
      <c r="B304" t="s">
        <v>8</v>
      </c>
      <c r="C304" t="s">
        <v>9</v>
      </c>
      <c r="D304">
        <v>0</v>
      </c>
      <c r="E304">
        <v>5</v>
      </c>
      <c r="F304">
        <v>0</v>
      </c>
      <c r="G304">
        <v>0</v>
      </c>
      <c r="H304">
        <v>0</v>
      </c>
      <c r="I304" t="s">
        <v>72</v>
      </c>
    </row>
    <row r="305" spans="1:9" x14ac:dyDescent="0.2">
      <c r="A305" t="s">
        <v>1319</v>
      </c>
      <c r="B305" t="s">
        <v>7</v>
      </c>
      <c r="C305" t="s">
        <v>9</v>
      </c>
      <c r="D305">
        <v>0</v>
      </c>
      <c r="E305">
        <v>5</v>
      </c>
      <c r="F305">
        <v>0</v>
      </c>
      <c r="G305">
        <v>0</v>
      </c>
      <c r="H305">
        <v>0</v>
      </c>
      <c r="I305" t="s">
        <v>1041</v>
      </c>
    </row>
    <row r="306" spans="1:9" x14ac:dyDescent="0.2">
      <c r="A306" t="s">
        <v>1320</v>
      </c>
      <c r="B306" t="s">
        <v>8</v>
      </c>
      <c r="C306" t="s">
        <v>9</v>
      </c>
      <c r="D306">
        <v>0</v>
      </c>
      <c r="E306">
        <v>5</v>
      </c>
      <c r="F306">
        <v>0</v>
      </c>
      <c r="G306">
        <v>0</v>
      </c>
      <c r="H306">
        <v>1</v>
      </c>
      <c r="I306" t="s">
        <v>72</v>
      </c>
    </row>
    <row r="307" spans="1:9" x14ac:dyDescent="0.2">
      <c r="A307" t="s">
        <v>1321</v>
      </c>
      <c r="B307" t="s">
        <v>7</v>
      </c>
      <c r="C307" t="s">
        <v>9</v>
      </c>
      <c r="D307">
        <v>0</v>
      </c>
      <c r="E307">
        <v>5</v>
      </c>
      <c r="F307">
        <v>0</v>
      </c>
      <c r="G307">
        <v>0</v>
      </c>
      <c r="H307">
        <v>1</v>
      </c>
      <c r="I307" t="s">
        <v>62</v>
      </c>
    </row>
    <row r="308" spans="1:9" x14ac:dyDescent="0.2">
      <c r="A308" t="s">
        <v>1322</v>
      </c>
      <c r="B308" t="s">
        <v>8</v>
      </c>
      <c r="C308" t="s">
        <v>9</v>
      </c>
      <c r="D308">
        <v>0</v>
      </c>
      <c r="E308">
        <v>5</v>
      </c>
      <c r="F308">
        <v>0</v>
      </c>
      <c r="G308">
        <v>0</v>
      </c>
      <c r="H308">
        <v>2</v>
      </c>
      <c r="I308" t="s">
        <v>72</v>
      </c>
    </row>
    <row r="309" spans="1:9" x14ac:dyDescent="0.2">
      <c r="A309" t="s">
        <v>1323</v>
      </c>
      <c r="B309" t="s">
        <v>7</v>
      </c>
      <c r="C309" t="s">
        <v>9</v>
      </c>
      <c r="D309">
        <v>0</v>
      </c>
      <c r="E309">
        <v>5</v>
      </c>
      <c r="F309">
        <v>0</v>
      </c>
      <c r="G309">
        <v>0</v>
      </c>
      <c r="H309">
        <v>2</v>
      </c>
      <c r="I309" t="s">
        <v>60</v>
      </c>
    </row>
    <row r="310" spans="1:9" x14ac:dyDescent="0.2">
      <c r="A310" t="s">
        <v>1324</v>
      </c>
      <c r="B310" t="s">
        <v>8</v>
      </c>
      <c r="C310" t="s">
        <v>9</v>
      </c>
      <c r="D310">
        <v>0</v>
      </c>
      <c r="E310">
        <v>5</v>
      </c>
      <c r="F310">
        <v>0</v>
      </c>
      <c r="G310">
        <v>1</v>
      </c>
      <c r="H310">
        <v>0</v>
      </c>
      <c r="I310" t="s">
        <v>72</v>
      </c>
    </row>
    <row r="311" spans="1:9" x14ac:dyDescent="0.2">
      <c r="A311" t="s">
        <v>1325</v>
      </c>
      <c r="B311" t="s">
        <v>7</v>
      </c>
      <c r="C311" t="s">
        <v>9</v>
      </c>
      <c r="D311">
        <v>0</v>
      </c>
      <c r="E311">
        <v>5</v>
      </c>
      <c r="F311">
        <v>0</v>
      </c>
      <c r="G311">
        <v>1</v>
      </c>
      <c r="H311">
        <v>0</v>
      </c>
      <c r="I311" t="s">
        <v>72</v>
      </c>
    </row>
    <row r="312" spans="1:9" x14ac:dyDescent="0.2">
      <c r="A312" t="s">
        <v>1326</v>
      </c>
      <c r="B312" t="s">
        <v>8</v>
      </c>
      <c r="C312" t="s">
        <v>9</v>
      </c>
      <c r="D312">
        <v>0</v>
      </c>
      <c r="E312">
        <v>5</v>
      </c>
      <c r="F312">
        <v>0</v>
      </c>
      <c r="G312">
        <v>1</v>
      </c>
      <c r="H312">
        <v>1</v>
      </c>
      <c r="I312" t="s">
        <v>72</v>
      </c>
    </row>
    <row r="313" spans="1:9" x14ac:dyDescent="0.2">
      <c r="A313" t="s">
        <v>1327</v>
      </c>
      <c r="B313" t="s">
        <v>7</v>
      </c>
      <c r="C313" t="s">
        <v>9</v>
      </c>
      <c r="D313">
        <v>0</v>
      </c>
      <c r="E313">
        <v>5</v>
      </c>
      <c r="F313">
        <v>0</v>
      </c>
      <c r="G313">
        <v>1</v>
      </c>
      <c r="H313">
        <v>1</v>
      </c>
      <c r="I313" t="s">
        <v>72</v>
      </c>
    </row>
    <row r="314" spans="1:9" x14ac:dyDescent="0.2">
      <c r="A314" t="s">
        <v>1328</v>
      </c>
      <c r="B314" t="s">
        <v>8</v>
      </c>
      <c r="C314" t="s">
        <v>9</v>
      </c>
      <c r="D314">
        <v>0</v>
      </c>
      <c r="E314">
        <v>5</v>
      </c>
      <c r="F314">
        <v>0</v>
      </c>
      <c r="G314">
        <v>1</v>
      </c>
      <c r="H314">
        <v>2</v>
      </c>
      <c r="I314" t="s">
        <v>72</v>
      </c>
    </row>
    <row r="315" spans="1:9" x14ac:dyDescent="0.2">
      <c r="A315" t="s">
        <v>1329</v>
      </c>
      <c r="B315" t="s">
        <v>7</v>
      </c>
      <c r="C315" t="s">
        <v>9</v>
      </c>
      <c r="D315">
        <v>0</v>
      </c>
      <c r="E315">
        <v>5</v>
      </c>
      <c r="F315">
        <v>0</v>
      </c>
      <c r="G315">
        <v>1</v>
      </c>
      <c r="H315">
        <v>2</v>
      </c>
      <c r="I315" t="s">
        <v>72</v>
      </c>
    </row>
    <row r="316" spans="1:9" x14ac:dyDescent="0.2">
      <c r="A316" t="s">
        <v>1330</v>
      </c>
      <c r="B316" t="s">
        <v>6</v>
      </c>
      <c r="C316" t="s">
        <v>7</v>
      </c>
      <c r="D316" t="s">
        <v>12</v>
      </c>
      <c r="E316">
        <v>0</v>
      </c>
      <c r="F316">
        <v>5</v>
      </c>
      <c r="G316">
        <v>1</v>
      </c>
      <c r="H316">
        <v>0</v>
      </c>
      <c r="I316" t="s">
        <v>72</v>
      </c>
    </row>
    <row r="317" spans="1:9" x14ac:dyDescent="0.2">
      <c r="A317" t="s">
        <v>1331</v>
      </c>
      <c r="B317" t="s">
        <v>6</v>
      </c>
      <c r="C317" t="s">
        <v>7</v>
      </c>
      <c r="D317" t="s">
        <v>12</v>
      </c>
      <c r="E317">
        <v>0</v>
      </c>
      <c r="F317">
        <v>5</v>
      </c>
      <c r="G317">
        <v>1</v>
      </c>
      <c r="H317">
        <v>1</v>
      </c>
      <c r="I317" t="s">
        <v>72</v>
      </c>
    </row>
    <row r="318" spans="1:9" x14ac:dyDescent="0.2">
      <c r="A318" t="s">
        <v>1332</v>
      </c>
      <c r="B318" t="s">
        <v>6</v>
      </c>
      <c r="C318" t="s">
        <v>7</v>
      </c>
      <c r="D318" t="s">
        <v>12</v>
      </c>
      <c r="E318">
        <v>0</v>
      </c>
      <c r="F318">
        <v>5</v>
      </c>
      <c r="G318">
        <v>1</v>
      </c>
      <c r="H318">
        <v>2</v>
      </c>
      <c r="I318" t="s">
        <v>75</v>
      </c>
    </row>
    <row r="319" spans="1:9" x14ac:dyDescent="0.2">
      <c r="A319" t="s">
        <v>1333</v>
      </c>
      <c r="B319" t="s">
        <v>8</v>
      </c>
      <c r="C319" t="s">
        <v>9</v>
      </c>
      <c r="D319">
        <v>0</v>
      </c>
      <c r="E319">
        <v>5</v>
      </c>
      <c r="F319">
        <v>1</v>
      </c>
      <c r="G319">
        <v>0</v>
      </c>
      <c r="H319">
        <v>0</v>
      </c>
      <c r="I319" t="s">
        <v>72</v>
      </c>
    </row>
    <row r="320" spans="1:9" x14ac:dyDescent="0.2">
      <c r="A320" t="s">
        <v>1334</v>
      </c>
      <c r="B320" t="s">
        <v>7</v>
      </c>
      <c r="C320" t="s">
        <v>9</v>
      </c>
      <c r="D320">
        <v>0</v>
      </c>
      <c r="E320">
        <v>5</v>
      </c>
      <c r="F320">
        <v>1</v>
      </c>
      <c r="G320">
        <v>0</v>
      </c>
      <c r="H320">
        <v>0</v>
      </c>
      <c r="I320" t="s">
        <v>72</v>
      </c>
    </row>
    <row r="321" spans="1:9" x14ac:dyDescent="0.2">
      <c r="A321" t="s">
        <v>1335</v>
      </c>
      <c r="B321" t="s">
        <v>8</v>
      </c>
      <c r="C321" t="s">
        <v>9</v>
      </c>
      <c r="D321">
        <v>0</v>
      </c>
      <c r="E321">
        <v>5</v>
      </c>
      <c r="F321">
        <v>1</v>
      </c>
      <c r="G321">
        <v>0</v>
      </c>
      <c r="H321">
        <v>1</v>
      </c>
      <c r="I321" t="s">
        <v>72</v>
      </c>
    </row>
    <row r="322" spans="1:9" x14ac:dyDescent="0.2">
      <c r="A322" t="s">
        <v>1336</v>
      </c>
      <c r="B322" t="s">
        <v>7</v>
      </c>
      <c r="C322" t="s">
        <v>9</v>
      </c>
      <c r="D322">
        <v>0</v>
      </c>
      <c r="E322">
        <v>5</v>
      </c>
      <c r="F322">
        <v>1</v>
      </c>
      <c r="G322">
        <v>0</v>
      </c>
      <c r="H322">
        <v>1</v>
      </c>
      <c r="I322" t="s">
        <v>72</v>
      </c>
    </row>
    <row r="323" spans="1:9" x14ac:dyDescent="0.2">
      <c r="A323" t="s">
        <v>1337</v>
      </c>
      <c r="B323" t="s">
        <v>8</v>
      </c>
      <c r="C323" t="s">
        <v>9</v>
      </c>
      <c r="D323">
        <v>0</v>
      </c>
      <c r="E323">
        <v>5</v>
      </c>
      <c r="F323">
        <v>1</v>
      </c>
      <c r="G323">
        <v>0</v>
      </c>
      <c r="H323">
        <v>2</v>
      </c>
      <c r="I323" t="s">
        <v>72</v>
      </c>
    </row>
    <row r="324" spans="1:9" x14ac:dyDescent="0.2">
      <c r="A324" t="s">
        <v>1338</v>
      </c>
      <c r="B324" t="s">
        <v>7</v>
      </c>
      <c r="C324" t="s">
        <v>9</v>
      </c>
      <c r="D324">
        <v>0</v>
      </c>
      <c r="E324">
        <v>5</v>
      </c>
      <c r="F324">
        <v>1</v>
      </c>
      <c r="G324">
        <v>0</v>
      </c>
      <c r="H324">
        <v>2</v>
      </c>
      <c r="I324" t="s">
        <v>72</v>
      </c>
    </row>
    <row r="325" spans="1:9" x14ac:dyDescent="0.2">
      <c r="A325" t="s">
        <v>1339</v>
      </c>
      <c r="B325" t="s">
        <v>8</v>
      </c>
      <c r="C325" t="s">
        <v>9</v>
      </c>
      <c r="D325">
        <v>0</v>
      </c>
      <c r="E325">
        <v>5</v>
      </c>
      <c r="F325">
        <v>1</v>
      </c>
      <c r="G325">
        <v>1</v>
      </c>
      <c r="H325">
        <v>0</v>
      </c>
      <c r="I325" t="s">
        <v>72</v>
      </c>
    </row>
    <row r="326" spans="1:9" x14ac:dyDescent="0.2">
      <c r="A326" t="s">
        <v>1340</v>
      </c>
      <c r="B326" t="s">
        <v>7</v>
      </c>
      <c r="C326" t="s">
        <v>9</v>
      </c>
      <c r="D326">
        <v>0</v>
      </c>
      <c r="E326">
        <v>5</v>
      </c>
      <c r="F326">
        <v>1</v>
      </c>
      <c r="G326">
        <v>1</v>
      </c>
      <c r="H326">
        <v>0</v>
      </c>
      <c r="I326" t="s">
        <v>444</v>
      </c>
    </row>
    <row r="327" spans="1:9" x14ac:dyDescent="0.2">
      <c r="A327" t="s">
        <v>1341</v>
      </c>
      <c r="B327" t="s">
        <v>8</v>
      </c>
      <c r="C327" t="s">
        <v>9</v>
      </c>
      <c r="D327">
        <v>0</v>
      </c>
      <c r="E327">
        <v>5</v>
      </c>
      <c r="F327">
        <v>1</v>
      </c>
      <c r="G327">
        <v>1</v>
      </c>
      <c r="H327">
        <v>1</v>
      </c>
      <c r="I327" t="s">
        <v>72</v>
      </c>
    </row>
    <row r="328" spans="1:9" x14ac:dyDescent="0.2">
      <c r="A328" t="s">
        <v>1342</v>
      </c>
      <c r="B328" t="s">
        <v>7</v>
      </c>
      <c r="C328" t="s">
        <v>9</v>
      </c>
      <c r="D328">
        <v>0</v>
      </c>
      <c r="E328">
        <v>5</v>
      </c>
      <c r="F328">
        <v>1</v>
      </c>
      <c r="G328">
        <v>1</v>
      </c>
      <c r="H328">
        <v>1</v>
      </c>
      <c r="I328" t="s">
        <v>62</v>
      </c>
    </row>
    <row r="329" spans="1:9" x14ac:dyDescent="0.2">
      <c r="A329" t="s">
        <v>1343</v>
      </c>
      <c r="B329" t="s">
        <v>8</v>
      </c>
      <c r="C329" t="s">
        <v>9</v>
      </c>
      <c r="D329">
        <v>0</v>
      </c>
      <c r="E329">
        <v>5</v>
      </c>
      <c r="F329">
        <v>1</v>
      </c>
      <c r="G329">
        <v>1</v>
      </c>
      <c r="H329">
        <v>2</v>
      </c>
      <c r="I329" t="s">
        <v>72</v>
      </c>
    </row>
    <row r="330" spans="1:9" x14ac:dyDescent="0.2">
      <c r="A330" t="s">
        <v>1344</v>
      </c>
      <c r="B330" t="s">
        <v>7</v>
      </c>
      <c r="C330" t="s">
        <v>9</v>
      </c>
      <c r="D330">
        <v>0</v>
      </c>
      <c r="E330">
        <v>5</v>
      </c>
      <c r="F330">
        <v>1</v>
      </c>
      <c r="G330">
        <v>1</v>
      </c>
      <c r="H330">
        <v>2</v>
      </c>
      <c r="I330" t="s">
        <v>60</v>
      </c>
    </row>
    <row r="331" spans="1:9" x14ac:dyDescent="0.2">
      <c r="A331" t="s">
        <v>1345</v>
      </c>
      <c r="B331" t="s">
        <v>6</v>
      </c>
      <c r="C331" t="s">
        <v>7</v>
      </c>
      <c r="D331" t="s">
        <v>12</v>
      </c>
      <c r="E331">
        <v>0</v>
      </c>
      <c r="F331">
        <v>6</v>
      </c>
      <c r="G331">
        <v>0</v>
      </c>
      <c r="H331">
        <v>0</v>
      </c>
      <c r="I331" t="s">
        <v>72</v>
      </c>
    </row>
    <row r="332" spans="1:9" x14ac:dyDescent="0.2">
      <c r="A332" t="s">
        <v>1346</v>
      </c>
      <c r="B332" t="s">
        <v>6</v>
      </c>
      <c r="C332" t="s">
        <v>7</v>
      </c>
      <c r="D332" t="s">
        <v>12</v>
      </c>
      <c r="E332">
        <v>0</v>
      </c>
      <c r="F332">
        <v>6</v>
      </c>
      <c r="G332">
        <v>0</v>
      </c>
      <c r="H332">
        <v>1</v>
      </c>
      <c r="I332" t="s">
        <v>72</v>
      </c>
    </row>
    <row r="333" spans="1:9" x14ac:dyDescent="0.2">
      <c r="A333" t="s">
        <v>1347</v>
      </c>
      <c r="B333" t="s">
        <v>6</v>
      </c>
      <c r="C333" t="s">
        <v>7</v>
      </c>
      <c r="D333" t="s">
        <v>12</v>
      </c>
      <c r="E333">
        <v>0</v>
      </c>
      <c r="F333">
        <v>6</v>
      </c>
      <c r="G333">
        <v>0</v>
      </c>
      <c r="H333">
        <v>2</v>
      </c>
      <c r="I333" t="s">
        <v>75</v>
      </c>
    </row>
    <row r="334" spans="1:9" x14ac:dyDescent="0.2">
      <c r="A334" t="s">
        <v>1348</v>
      </c>
      <c r="B334" t="s">
        <v>8</v>
      </c>
      <c r="C334" t="s">
        <v>9</v>
      </c>
      <c r="D334">
        <v>0</v>
      </c>
      <c r="E334">
        <v>6</v>
      </c>
      <c r="F334">
        <v>0</v>
      </c>
      <c r="G334">
        <v>0</v>
      </c>
      <c r="H334">
        <v>0</v>
      </c>
      <c r="I334" t="s">
        <v>72</v>
      </c>
    </row>
    <row r="335" spans="1:9" x14ac:dyDescent="0.2">
      <c r="A335" t="s">
        <v>1349</v>
      </c>
      <c r="B335" t="s">
        <v>7</v>
      </c>
      <c r="C335" t="s">
        <v>9</v>
      </c>
      <c r="D335">
        <v>0</v>
      </c>
      <c r="E335">
        <v>6</v>
      </c>
      <c r="F335">
        <v>0</v>
      </c>
      <c r="G335">
        <v>0</v>
      </c>
      <c r="H335">
        <v>0</v>
      </c>
      <c r="I335" t="s">
        <v>444</v>
      </c>
    </row>
    <row r="336" spans="1:9" x14ac:dyDescent="0.2">
      <c r="A336" t="s">
        <v>1350</v>
      </c>
      <c r="B336" t="s">
        <v>8</v>
      </c>
      <c r="C336" t="s">
        <v>9</v>
      </c>
      <c r="D336">
        <v>0</v>
      </c>
      <c r="E336">
        <v>6</v>
      </c>
      <c r="F336">
        <v>0</v>
      </c>
      <c r="G336">
        <v>0</v>
      </c>
      <c r="H336">
        <v>1</v>
      </c>
      <c r="I336" t="s">
        <v>72</v>
      </c>
    </row>
    <row r="337" spans="1:9" x14ac:dyDescent="0.2">
      <c r="A337" t="s">
        <v>1351</v>
      </c>
      <c r="B337" t="s">
        <v>7</v>
      </c>
      <c r="C337" t="s">
        <v>9</v>
      </c>
      <c r="D337">
        <v>0</v>
      </c>
      <c r="E337">
        <v>6</v>
      </c>
      <c r="F337">
        <v>0</v>
      </c>
      <c r="G337">
        <v>0</v>
      </c>
      <c r="H337">
        <v>1</v>
      </c>
      <c r="I337" t="s">
        <v>62</v>
      </c>
    </row>
    <row r="338" spans="1:9" x14ac:dyDescent="0.2">
      <c r="A338" t="s">
        <v>1352</v>
      </c>
      <c r="B338" t="s">
        <v>8</v>
      </c>
      <c r="C338" t="s">
        <v>9</v>
      </c>
      <c r="D338">
        <v>0</v>
      </c>
      <c r="E338">
        <v>6</v>
      </c>
      <c r="F338">
        <v>0</v>
      </c>
      <c r="G338">
        <v>0</v>
      </c>
      <c r="H338">
        <v>2</v>
      </c>
      <c r="I338" t="s">
        <v>72</v>
      </c>
    </row>
    <row r="339" spans="1:9" x14ac:dyDescent="0.2">
      <c r="A339" t="s">
        <v>1353</v>
      </c>
      <c r="B339" t="s">
        <v>7</v>
      </c>
      <c r="C339" t="s">
        <v>9</v>
      </c>
      <c r="D339">
        <v>0</v>
      </c>
      <c r="E339">
        <v>6</v>
      </c>
      <c r="F339">
        <v>0</v>
      </c>
      <c r="G339">
        <v>0</v>
      </c>
      <c r="H339">
        <v>2</v>
      </c>
      <c r="I339" t="s">
        <v>60</v>
      </c>
    </row>
    <row r="340" spans="1:9" x14ac:dyDescent="0.2">
      <c r="A340" t="s">
        <v>1354</v>
      </c>
      <c r="B340" t="s">
        <v>8</v>
      </c>
      <c r="C340" t="s">
        <v>9</v>
      </c>
      <c r="D340">
        <v>0</v>
      </c>
      <c r="E340">
        <v>6</v>
      </c>
      <c r="F340">
        <v>0</v>
      </c>
      <c r="G340">
        <v>1</v>
      </c>
      <c r="H340">
        <v>0</v>
      </c>
      <c r="I340" t="s">
        <v>72</v>
      </c>
    </row>
    <row r="341" spans="1:9" x14ac:dyDescent="0.2">
      <c r="A341" t="s">
        <v>1355</v>
      </c>
      <c r="B341" t="s">
        <v>7</v>
      </c>
      <c r="C341" t="s">
        <v>9</v>
      </c>
      <c r="D341">
        <v>0</v>
      </c>
      <c r="E341">
        <v>6</v>
      </c>
      <c r="F341">
        <v>0</v>
      </c>
      <c r="G341">
        <v>1</v>
      </c>
      <c r="H341">
        <v>0</v>
      </c>
      <c r="I341" t="s">
        <v>72</v>
      </c>
    </row>
    <row r="342" spans="1:9" x14ac:dyDescent="0.2">
      <c r="A342" t="s">
        <v>1356</v>
      </c>
      <c r="B342" t="s">
        <v>8</v>
      </c>
      <c r="C342" t="s">
        <v>9</v>
      </c>
      <c r="D342">
        <v>0</v>
      </c>
      <c r="E342">
        <v>6</v>
      </c>
      <c r="F342">
        <v>0</v>
      </c>
      <c r="G342">
        <v>1</v>
      </c>
      <c r="H342">
        <v>1</v>
      </c>
      <c r="I342" t="s">
        <v>72</v>
      </c>
    </row>
    <row r="343" spans="1:9" x14ac:dyDescent="0.2">
      <c r="A343" t="s">
        <v>1357</v>
      </c>
      <c r="B343" t="s">
        <v>7</v>
      </c>
      <c r="C343" t="s">
        <v>9</v>
      </c>
      <c r="D343">
        <v>0</v>
      </c>
      <c r="E343">
        <v>6</v>
      </c>
      <c r="F343">
        <v>0</v>
      </c>
      <c r="G343">
        <v>1</v>
      </c>
      <c r="H343">
        <v>1</v>
      </c>
      <c r="I343" t="s">
        <v>72</v>
      </c>
    </row>
    <row r="344" spans="1:9" x14ac:dyDescent="0.2">
      <c r="A344" t="s">
        <v>1358</v>
      </c>
      <c r="B344" t="s">
        <v>8</v>
      </c>
      <c r="C344" t="s">
        <v>9</v>
      </c>
      <c r="D344">
        <v>0</v>
      </c>
      <c r="E344">
        <v>6</v>
      </c>
      <c r="F344">
        <v>0</v>
      </c>
      <c r="G344">
        <v>1</v>
      </c>
      <c r="H344">
        <v>2</v>
      </c>
      <c r="I344" t="s">
        <v>72</v>
      </c>
    </row>
    <row r="345" spans="1:9" x14ac:dyDescent="0.2">
      <c r="A345" t="s">
        <v>1359</v>
      </c>
      <c r="B345" t="s">
        <v>7</v>
      </c>
      <c r="C345" t="s">
        <v>9</v>
      </c>
      <c r="D345">
        <v>0</v>
      </c>
      <c r="E345">
        <v>6</v>
      </c>
      <c r="F345">
        <v>0</v>
      </c>
      <c r="G345">
        <v>1</v>
      </c>
      <c r="H345">
        <v>2</v>
      </c>
      <c r="I345" t="s">
        <v>72</v>
      </c>
    </row>
    <row r="346" spans="1:9" x14ac:dyDescent="0.2">
      <c r="A346" t="s">
        <v>1360</v>
      </c>
      <c r="B346" t="s">
        <v>6</v>
      </c>
      <c r="C346" t="s">
        <v>7</v>
      </c>
      <c r="D346" t="s">
        <v>12</v>
      </c>
      <c r="E346">
        <v>0</v>
      </c>
      <c r="F346">
        <v>6</v>
      </c>
      <c r="G346">
        <v>1</v>
      </c>
      <c r="H346">
        <v>0</v>
      </c>
      <c r="I346" t="s">
        <v>72</v>
      </c>
    </row>
    <row r="347" spans="1:9" x14ac:dyDescent="0.2">
      <c r="A347" t="s">
        <v>1361</v>
      </c>
      <c r="B347" t="s">
        <v>6</v>
      </c>
      <c r="C347" t="s">
        <v>7</v>
      </c>
      <c r="D347" t="s">
        <v>12</v>
      </c>
      <c r="E347">
        <v>0</v>
      </c>
      <c r="F347">
        <v>6</v>
      </c>
      <c r="G347">
        <v>1</v>
      </c>
      <c r="H347">
        <v>1</v>
      </c>
      <c r="I347" t="s">
        <v>72</v>
      </c>
    </row>
    <row r="348" spans="1:9" x14ac:dyDescent="0.2">
      <c r="A348" t="s">
        <v>1362</v>
      </c>
      <c r="B348" t="s">
        <v>6</v>
      </c>
      <c r="C348" t="s">
        <v>7</v>
      </c>
      <c r="D348" t="s">
        <v>12</v>
      </c>
      <c r="E348">
        <v>0</v>
      </c>
      <c r="F348">
        <v>6</v>
      </c>
      <c r="G348">
        <v>1</v>
      </c>
      <c r="H348">
        <v>2</v>
      </c>
      <c r="I348" t="s">
        <v>75</v>
      </c>
    </row>
    <row r="349" spans="1:9" x14ac:dyDescent="0.2">
      <c r="A349" t="s">
        <v>1363</v>
      </c>
      <c r="B349" t="s">
        <v>8</v>
      </c>
      <c r="C349" t="s">
        <v>9</v>
      </c>
      <c r="D349">
        <v>0</v>
      </c>
      <c r="E349">
        <v>6</v>
      </c>
      <c r="F349">
        <v>1</v>
      </c>
      <c r="G349">
        <v>0</v>
      </c>
      <c r="H349">
        <v>0</v>
      </c>
      <c r="I349" t="s">
        <v>72</v>
      </c>
    </row>
    <row r="350" spans="1:9" x14ac:dyDescent="0.2">
      <c r="A350" t="s">
        <v>1364</v>
      </c>
      <c r="B350" t="s">
        <v>7</v>
      </c>
      <c r="C350" t="s">
        <v>9</v>
      </c>
      <c r="D350">
        <v>0</v>
      </c>
      <c r="E350">
        <v>6</v>
      </c>
      <c r="F350">
        <v>1</v>
      </c>
      <c r="G350">
        <v>0</v>
      </c>
      <c r="H350">
        <v>0</v>
      </c>
      <c r="I350" t="s">
        <v>72</v>
      </c>
    </row>
    <row r="351" spans="1:9" x14ac:dyDescent="0.2">
      <c r="A351" t="s">
        <v>1365</v>
      </c>
      <c r="B351" t="s">
        <v>8</v>
      </c>
      <c r="C351" t="s">
        <v>9</v>
      </c>
      <c r="D351">
        <v>0</v>
      </c>
      <c r="E351">
        <v>6</v>
      </c>
      <c r="F351">
        <v>1</v>
      </c>
      <c r="G351">
        <v>0</v>
      </c>
      <c r="H351">
        <v>1</v>
      </c>
      <c r="I351" t="s">
        <v>72</v>
      </c>
    </row>
    <row r="352" spans="1:9" x14ac:dyDescent="0.2">
      <c r="A352" t="s">
        <v>1366</v>
      </c>
      <c r="B352" t="s">
        <v>7</v>
      </c>
      <c r="C352" t="s">
        <v>9</v>
      </c>
      <c r="D352">
        <v>0</v>
      </c>
      <c r="E352">
        <v>6</v>
      </c>
      <c r="F352">
        <v>1</v>
      </c>
      <c r="G352">
        <v>0</v>
      </c>
      <c r="H352">
        <v>1</v>
      </c>
      <c r="I352" t="s">
        <v>72</v>
      </c>
    </row>
    <row r="353" spans="1:9" x14ac:dyDescent="0.2">
      <c r="A353" t="s">
        <v>1367</v>
      </c>
      <c r="B353" t="s">
        <v>8</v>
      </c>
      <c r="C353" t="s">
        <v>9</v>
      </c>
      <c r="D353">
        <v>0</v>
      </c>
      <c r="E353">
        <v>6</v>
      </c>
      <c r="F353">
        <v>1</v>
      </c>
      <c r="G353">
        <v>0</v>
      </c>
      <c r="H353">
        <v>2</v>
      </c>
      <c r="I353" t="s">
        <v>72</v>
      </c>
    </row>
    <row r="354" spans="1:9" x14ac:dyDescent="0.2">
      <c r="A354" t="s">
        <v>1368</v>
      </c>
      <c r="B354" t="s">
        <v>7</v>
      </c>
      <c r="C354" t="s">
        <v>9</v>
      </c>
      <c r="D354">
        <v>0</v>
      </c>
      <c r="E354">
        <v>6</v>
      </c>
      <c r="F354">
        <v>1</v>
      </c>
      <c r="G354">
        <v>0</v>
      </c>
      <c r="H354">
        <v>2</v>
      </c>
      <c r="I354" t="s">
        <v>72</v>
      </c>
    </row>
    <row r="355" spans="1:9" x14ac:dyDescent="0.2">
      <c r="A355" t="s">
        <v>1369</v>
      </c>
      <c r="B355" t="s">
        <v>8</v>
      </c>
      <c r="C355" t="s">
        <v>9</v>
      </c>
      <c r="D355">
        <v>0</v>
      </c>
      <c r="E355">
        <v>6</v>
      </c>
      <c r="F355">
        <v>1</v>
      </c>
      <c r="G355">
        <v>1</v>
      </c>
      <c r="H355">
        <v>0</v>
      </c>
      <c r="I355" t="s">
        <v>72</v>
      </c>
    </row>
    <row r="356" spans="1:9" x14ac:dyDescent="0.2">
      <c r="A356" t="s">
        <v>1370</v>
      </c>
      <c r="B356" t="s">
        <v>7</v>
      </c>
      <c r="C356" t="s">
        <v>9</v>
      </c>
      <c r="D356">
        <v>0</v>
      </c>
      <c r="E356">
        <v>6</v>
      </c>
      <c r="F356">
        <v>1</v>
      </c>
      <c r="G356">
        <v>1</v>
      </c>
      <c r="H356">
        <v>0</v>
      </c>
      <c r="I356" t="s">
        <v>444</v>
      </c>
    </row>
    <row r="357" spans="1:9" x14ac:dyDescent="0.2">
      <c r="A357" t="s">
        <v>1371</v>
      </c>
      <c r="B357" t="s">
        <v>8</v>
      </c>
      <c r="C357" t="s">
        <v>9</v>
      </c>
      <c r="D357">
        <v>0</v>
      </c>
      <c r="E357">
        <v>6</v>
      </c>
      <c r="F357">
        <v>1</v>
      </c>
      <c r="G357">
        <v>1</v>
      </c>
      <c r="H357">
        <v>1</v>
      </c>
      <c r="I357" t="s">
        <v>72</v>
      </c>
    </row>
    <row r="358" spans="1:9" x14ac:dyDescent="0.2">
      <c r="A358" t="s">
        <v>1372</v>
      </c>
      <c r="B358" t="s">
        <v>7</v>
      </c>
      <c r="C358" t="s">
        <v>9</v>
      </c>
      <c r="D358">
        <v>0</v>
      </c>
      <c r="E358">
        <v>6</v>
      </c>
      <c r="F358">
        <v>1</v>
      </c>
      <c r="G358">
        <v>1</v>
      </c>
      <c r="H358">
        <v>1</v>
      </c>
      <c r="I358" t="s">
        <v>62</v>
      </c>
    </row>
    <row r="359" spans="1:9" x14ac:dyDescent="0.2">
      <c r="A359" t="s">
        <v>1373</v>
      </c>
      <c r="B359" t="s">
        <v>8</v>
      </c>
      <c r="C359" t="s">
        <v>9</v>
      </c>
      <c r="D359">
        <v>0</v>
      </c>
      <c r="E359">
        <v>6</v>
      </c>
      <c r="F359">
        <v>1</v>
      </c>
      <c r="G359">
        <v>1</v>
      </c>
      <c r="H359">
        <v>2</v>
      </c>
      <c r="I359" t="s">
        <v>72</v>
      </c>
    </row>
    <row r="360" spans="1:9" x14ac:dyDescent="0.2">
      <c r="A360" t="s">
        <v>1374</v>
      </c>
      <c r="B360" t="s">
        <v>7</v>
      </c>
      <c r="C360" t="s">
        <v>9</v>
      </c>
      <c r="D360">
        <v>0</v>
      </c>
      <c r="E360">
        <v>6</v>
      </c>
      <c r="F360">
        <v>1</v>
      </c>
      <c r="G360">
        <v>1</v>
      </c>
      <c r="H360">
        <v>2</v>
      </c>
      <c r="I360" t="s">
        <v>60</v>
      </c>
    </row>
    <row r="361" spans="1:9" x14ac:dyDescent="0.2">
      <c r="A361" t="s">
        <v>1375</v>
      </c>
      <c r="B361" t="s">
        <v>6</v>
      </c>
      <c r="C361" t="s">
        <v>7</v>
      </c>
      <c r="D361" t="s">
        <v>12</v>
      </c>
      <c r="E361">
        <v>0</v>
      </c>
      <c r="F361">
        <v>7</v>
      </c>
      <c r="G361">
        <v>0</v>
      </c>
      <c r="H361">
        <v>0</v>
      </c>
      <c r="I361" t="s">
        <v>72</v>
      </c>
    </row>
    <row r="362" spans="1:9" x14ac:dyDescent="0.2">
      <c r="A362" t="s">
        <v>173</v>
      </c>
      <c r="B362" t="s">
        <v>6</v>
      </c>
      <c r="C362" t="s">
        <v>7</v>
      </c>
      <c r="D362" t="s">
        <v>12</v>
      </c>
      <c r="E362">
        <v>0</v>
      </c>
      <c r="F362">
        <v>7</v>
      </c>
      <c r="G362">
        <v>0</v>
      </c>
      <c r="H362">
        <v>1</v>
      </c>
      <c r="I362" t="s">
        <v>72</v>
      </c>
    </row>
    <row r="363" spans="1:9" x14ac:dyDescent="0.2">
      <c r="A363" t="s">
        <v>174</v>
      </c>
      <c r="B363" t="s">
        <v>6</v>
      </c>
      <c r="C363" t="s">
        <v>7</v>
      </c>
      <c r="D363" t="s">
        <v>12</v>
      </c>
      <c r="E363">
        <v>0</v>
      </c>
      <c r="F363">
        <v>7</v>
      </c>
      <c r="G363">
        <v>0</v>
      </c>
      <c r="H363">
        <v>2</v>
      </c>
      <c r="I363" t="s">
        <v>75</v>
      </c>
    </row>
    <row r="364" spans="1:9" x14ac:dyDescent="0.2">
      <c r="A364" t="s">
        <v>1376</v>
      </c>
      <c r="B364" t="s">
        <v>8</v>
      </c>
      <c r="C364" t="s">
        <v>9</v>
      </c>
      <c r="D364">
        <v>0</v>
      </c>
      <c r="E364">
        <v>7</v>
      </c>
      <c r="F364">
        <v>0</v>
      </c>
      <c r="G364">
        <v>0</v>
      </c>
      <c r="H364">
        <v>0</v>
      </c>
      <c r="I364" t="s">
        <v>72</v>
      </c>
    </row>
    <row r="365" spans="1:9" x14ac:dyDescent="0.2">
      <c r="A365" t="s">
        <v>1377</v>
      </c>
      <c r="B365" t="s">
        <v>7</v>
      </c>
      <c r="C365" t="s">
        <v>9</v>
      </c>
      <c r="D365">
        <v>0</v>
      </c>
      <c r="E365">
        <v>7</v>
      </c>
      <c r="F365">
        <v>0</v>
      </c>
      <c r="G365">
        <v>0</v>
      </c>
      <c r="H365">
        <v>0</v>
      </c>
      <c r="I365" t="s">
        <v>444</v>
      </c>
    </row>
    <row r="366" spans="1:9" x14ac:dyDescent="0.2">
      <c r="A366" t="s">
        <v>175</v>
      </c>
      <c r="B366" t="s">
        <v>8</v>
      </c>
      <c r="C366" t="s">
        <v>9</v>
      </c>
      <c r="D366">
        <v>0</v>
      </c>
      <c r="E366">
        <v>7</v>
      </c>
      <c r="F366">
        <v>0</v>
      </c>
      <c r="G366">
        <v>0</v>
      </c>
      <c r="H366">
        <v>1</v>
      </c>
      <c r="I366" t="s">
        <v>72</v>
      </c>
    </row>
    <row r="367" spans="1:9" x14ac:dyDescent="0.2">
      <c r="A367" t="s">
        <v>176</v>
      </c>
      <c r="B367" t="s">
        <v>7</v>
      </c>
      <c r="C367" t="s">
        <v>9</v>
      </c>
      <c r="D367">
        <v>0</v>
      </c>
      <c r="E367">
        <v>7</v>
      </c>
      <c r="F367">
        <v>0</v>
      </c>
      <c r="G367">
        <v>0</v>
      </c>
      <c r="H367">
        <v>1</v>
      </c>
      <c r="I367" t="s">
        <v>62</v>
      </c>
    </row>
    <row r="368" spans="1:9" x14ac:dyDescent="0.2">
      <c r="A368" t="s">
        <v>1378</v>
      </c>
      <c r="B368" t="s">
        <v>8</v>
      </c>
      <c r="C368" t="s">
        <v>9</v>
      </c>
      <c r="D368">
        <v>0</v>
      </c>
      <c r="E368">
        <v>7</v>
      </c>
      <c r="F368">
        <v>0</v>
      </c>
      <c r="G368">
        <v>0</v>
      </c>
      <c r="H368">
        <v>2</v>
      </c>
      <c r="I368" t="s">
        <v>72</v>
      </c>
    </row>
    <row r="369" spans="1:9" x14ac:dyDescent="0.2">
      <c r="A369" t="s">
        <v>1379</v>
      </c>
      <c r="B369" t="s">
        <v>7</v>
      </c>
      <c r="C369" t="s">
        <v>9</v>
      </c>
      <c r="D369">
        <v>0</v>
      </c>
      <c r="E369">
        <v>7</v>
      </c>
      <c r="F369">
        <v>0</v>
      </c>
      <c r="G369">
        <v>0</v>
      </c>
      <c r="H369">
        <v>2</v>
      </c>
      <c r="I369" t="s">
        <v>60</v>
      </c>
    </row>
    <row r="370" spans="1:9" x14ac:dyDescent="0.2">
      <c r="A370" t="s">
        <v>177</v>
      </c>
      <c r="B370" t="s">
        <v>8</v>
      </c>
      <c r="C370" t="s">
        <v>9</v>
      </c>
      <c r="D370">
        <v>0</v>
      </c>
      <c r="E370">
        <v>7</v>
      </c>
      <c r="F370">
        <v>0</v>
      </c>
      <c r="G370">
        <v>1</v>
      </c>
      <c r="H370">
        <v>0</v>
      </c>
      <c r="I370" t="s">
        <v>72</v>
      </c>
    </row>
    <row r="371" spans="1:9" x14ac:dyDescent="0.2">
      <c r="A371" t="s">
        <v>178</v>
      </c>
      <c r="B371" t="s">
        <v>7</v>
      </c>
      <c r="C371" t="s">
        <v>9</v>
      </c>
      <c r="D371">
        <v>0</v>
      </c>
      <c r="E371">
        <v>7</v>
      </c>
      <c r="F371">
        <v>0</v>
      </c>
      <c r="G371">
        <v>1</v>
      </c>
      <c r="H371">
        <v>0</v>
      </c>
      <c r="I371" t="s">
        <v>72</v>
      </c>
    </row>
    <row r="372" spans="1:9" x14ac:dyDescent="0.2">
      <c r="A372" t="s">
        <v>1380</v>
      </c>
      <c r="B372" t="s">
        <v>8</v>
      </c>
      <c r="C372" t="s">
        <v>9</v>
      </c>
      <c r="D372">
        <v>0</v>
      </c>
      <c r="E372">
        <v>7</v>
      </c>
      <c r="F372">
        <v>0</v>
      </c>
      <c r="G372">
        <v>1</v>
      </c>
      <c r="H372">
        <v>1</v>
      </c>
      <c r="I372" t="s">
        <v>72</v>
      </c>
    </row>
    <row r="373" spans="1:9" x14ac:dyDescent="0.2">
      <c r="A373" t="s">
        <v>1381</v>
      </c>
      <c r="B373" t="s">
        <v>7</v>
      </c>
      <c r="C373" t="s">
        <v>9</v>
      </c>
      <c r="D373">
        <v>0</v>
      </c>
      <c r="E373">
        <v>7</v>
      </c>
      <c r="F373">
        <v>0</v>
      </c>
      <c r="G373">
        <v>1</v>
      </c>
      <c r="H373">
        <v>1</v>
      </c>
      <c r="I373" t="s">
        <v>72</v>
      </c>
    </row>
    <row r="374" spans="1:9" x14ac:dyDescent="0.2">
      <c r="A374" t="s">
        <v>179</v>
      </c>
      <c r="B374" t="s">
        <v>8</v>
      </c>
      <c r="C374" t="s">
        <v>9</v>
      </c>
      <c r="D374">
        <v>0</v>
      </c>
      <c r="E374">
        <v>7</v>
      </c>
      <c r="F374">
        <v>0</v>
      </c>
      <c r="G374">
        <v>1</v>
      </c>
      <c r="H374">
        <v>2</v>
      </c>
      <c r="I374" t="s">
        <v>72</v>
      </c>
    </row>
    <row r="375" spans="1:9" x14ac:dyDescent="0.2">
      <c r="A375" t="s">
        <v>180</v>
      </c>
      <c r="B375" t="s">
        <v>7</v>
      </c>
      <c r="C375" t="s">
        <v>9</v>
      </c>
      <c r="D375">
        <v>0</v>
      </c>
      <c r="E375">
        <v>7</v>
      </c>
      <c r="F375">
        <v>0</v>
      </c>
      <c r="G375">
        <v>1</v>
      </c>
      <c r="H375">
        <v>2</v>
      </c>
      <c r="I375" t="s">
        <v>72</v>
      </c>
    </row>
    <row r="376" spans="1:9" x14ac:dyDescent="0.2">
      <c r="A376" t="s">
        <v>1382</v>
      </c>
      <c r="B376" t="s">
        <v>6</v>
      </c>
      <c r="C376" t="s">
        <v>7</v>
      </c>
      <c r="D376" t="s">
        <v>12</v>
      </c>
      <c r="E376">
        <v>0</v>
      </c>
      <c r="F376">
        <v>7</v>
      </c>
      <c r="G376">
        <v>1</v>
      </c>
      <c r="H376">
        <v>0</v>
      </c>
      <c r="I376" t="s">
        <v>72</v>
      </c>
    </row>
    <row r="377" spans="1:9" x14ac:dyDescent="0.2">
      <c r="A377" t="s">
        <v>1383</v>
      </c>
      <c r="B377" t="s">
        <v>6</v>
      </c>
      <c r="C377" t="s">
        <v>7</v>
      </c>
      <c r="D377" t="s">
        <v>12</v>
      </c>
      <c r="E377">
        <v>0</v>
      </c>
      <c r="F377">
        <v>7</v>
      </c>
      <c r="G377">
        <v>1</v>
      </c>
      <c r="H377">
        <v>1</v>
      </c>
      <c r="I377" t="s">
        <v>72</v>
      </c>
    </row>
    <row r="378" spans="1:9" x14ac:dyDescent="0.2">
      <c r="A378" t="s">
        <v>181</v>
      </c>
      <c r="B378" t="s">
        <v>6</v>
      </c>
      <c r="C378" t="s">
        <v>7</v>
      </c>
      <c r="D378" t="s">
        <v>12</v>
      </c>
      <c r="E378">
        <v>0</v>
      </c>
      <c r="F378">
        <v>7</v>
      </c>
      <c r="G378">
        <v>1</v>
      </c>
      <c r="H378">
        <v>2</v>
      </c>
      <c r="I378" t="s">
        <v>75</v>
      </c>
    </row>
    <row r="379" spans="1:9" x14ac:dyDescent="0.2">
      <c r="A379" t="s">
        <v>182</v>
      </c>
      <c r="B379" t="s">
        <v>8</v>
      </c>
      <c r="C379" t="s">
        <v>9</v>
      </c>
      <c r="D379">
        <v>0</v>
      </c>
      <c r="E379">
        <v>7</v>
      </c>
      <c r="F379">
        <v>1</v>
      </c>
      <c r="G379">
        <v>0</v>
      </c>
      <c r="H379">
        <v>0</v>
      </c>
      <c r="I379" t="s">
        <v>72</v>
      </c>
    </row>
    <row r="380" spans="1:9" x14ac:dyDescent="0.2">
      <c r="A380" t="s">
        <v>1384</v>
      </c>
      <c r="B380" t="s">
        <v>7</v>
      </c>
      <c r="C380" t="s">
        <v>9</v>
      </c>
      <c r="D380">
        <v>0</v>
      </c>
      <c r="E380">
        <v>7</v>
      </c>
      <c r="F380">
        <v>1</v>
      </c>
      <c r="G380">
        <v>0</v>
      </c>
      <c r="H380">
        <v>0</v>
      </c>
      <c r="I380" t="s">
        <v>72</v>
      </c>
    </row>
    <row r="381" spans="1:9" x14ac:dyDescent="0.2">
      <c r="A381" t="s">
        <v>1385</v>
      </c>
      <c r="B381" t="s">
        <v>8</v>
      </c>
      <c r="C381" t="s">
        <v>9</v>
      </c>
      <c r="D381">
        <v>0</v>
      </c>
      <c r="E381">
        <v>7</v>
      </c>
      <c r="F381">
        <v>1</v>
      </c>
      <c r="G381">
        <v>0</v>
      </c>
      <c r="H381">
        <v>1</v>
      </c>
      <c r="I381" t="s">
        <v>72</v>
      </c>
    </row>
    <row r="382" spans="1:9" x14ac:dyDescent="0.2">
      <c r="A382" t="s">
        <v>183</v>
      </c>
      <c r="B382" t="s">
        <v>7</v>
      </c>
      <c r="C382" t="s">
        <v>9</v>
      </c>
      <c r="D382">
        <v>0</v>
      </c>
      <c r="E382">
        <v>7</v>
      </c>
      <c r="F382">
        <v>1</v>
      </c>
      <c r="G382">
        <v>0</v>
      </c>
      <c r="H382">
        <v>1</v>
      </c>
      <c r="I382" t="s">
        <v>72</v>
      </c>
    </row>
    <row r="383" spans="1:9" x14ac:dyDescent="0.2">
      <c r="A383" t="s">
        <v>184</v>
      </c>
      <c r="B383" t="s">
        <v>8</v>
      </c>
      <c r="C383" t="s">
        <v>9</v>
      </c>
      <c r="D383">
        <v>0</v>
      </c>
      <c r="E383">
        <v>7</v>
      </c>
      <c r="F383">
        <v>1</v>
      </c>
      <c r="G383">
        <v>0</v>
      </c>
      <c r="H383">
        <v>2</v>
      </c>
      <c r="I383" t="s">
        <v>72</v>
      </c>
    </row>
    <row r="384" spans="1:9" x14ac:dyDescent="0.2">
      <c r="A384" t="s">
        <v>1386</v>
      </c>
      <c r="B384" t="s">
        <v>7</v>
      </c>
      <c r="C384" t="s">
        <v>9</v>
      </c>
      <c r="D384">
        <v>0</v>
      </c>
      <c r="E384">
        <v>7</v>
      </c>
      <c r="F384">
        <v>1</v>
      </c>
      <c r="G384">
        <v>0</v>
      </c>
      <c r="H384">
        <v>2</v>
      </c>
      <c r="I384" t="s">
        <v>72</v>
      </c>
    </row>
    <row r="385" spans="1:9" x14ac:dyDescent="0.2">
      <c r="A385" t="s">
        <v>1387</v>
      </c>
      <c r="B385" t="s">
        <v>8</v>
      </c>
      <c r="C385" t="s">
        <v>9</v>
      </c>
      <c r="D385">
        <v>0</v>
      </c>
      <c r="E385">
        <v>7</v>
      </c>
      <c r="F385">
        <v>1</v>
      </c>
      <c r="G385">
        <v>1</v>
      </c>
      <c r="H385">
        <v>0</v>
      </c>
      <c r="I385" t="s">
        <v>72</v>
      </c>
    </row>
    <row r="386" spans="1:9" x14ac:dyDescent="0.2">
      <c r="A386" t="s">
        <v>185</v>
      </c>
      <c r="B386" t="s">
        <v>7</v>
      </c>
      <c r="C386" t="s">
        <v>9</v>
      </c>
      <c r="D386">
        <v>0</v>
      </c>
      <c r="E386">
        <v>7</v>
      </c>
      <c r="F386">
        <v>1</v>
      </c>
      <c r="G386">
        <v>1</v>
      </c>
      <c r="H386">
        <v>0</v>
      </c>
      <c r="I386" t="s">
        <v>444</v>
      </c>
    </row>
    <row r="387" spans="1:9" x14ac:dyDescent="0.2">
      <c r="A387" t="s">
        <v>186</v>
      </c>
      <c r="B387" t="s">
        <v>8</v>
      </c>
      <c r="C387" t="s">
        <v>9</v>
      </c>
      <c r="D387">
        <v>0</v>
      </c>
      <c r="E387">
        <v>7</v>
      </c>
      <c r="F387">
        <v>1</v>
      </c>
      <c r="G387">
        <v>1</v>
      </c>
      <c r="H387">
        <v>1</v>
      </c>
      <c r="I387" t="s">
        <v>72</v>
      </c>
    </row>
    <row r="388" spans="1:9" x14ac:dyDescent="0.2">
      <c r="A388" t="s">
        <v>1388</v>
      </c>
      <c r="B388" t="s">
        <v>7</v>
      </c>
      <c r="C388" t="s">
        <v>9</v>
      </c>
      <c r="D388">
        <v>0</v>
      </c>
      <c r="E388">
        <v>7</v>
      </c>
      <c r="F388">
        <v>1</v>
      </c>
      <c r="G388">
        <v>1</v>
      </c>
      <c r="H388">
        <v>1</v>
      </c>
      <c r="I388" t="s">
        <v>62</v>
      </c>
    </row>
    <row r="389" spans="1:9" x14ac:dyDescent="0.2">
      <c r="A389" t="s">
        <v>1389</v>
      </c>
      <c r="B389" t="s">
        <v>8</v>
      </c>
      <c r="C389" t="s">
        <v>9</v>
      </c>
      <c r="D389">
        <v>0</v>
      </c>
      <c r="E389">
        <v>7</v>
      </c>
      <c r="F389">
        <v>1</v>
      </c>
      <c r="G389">
        <v>1</v>
      </c>
      <c r="H389">
        <v>2</v>
      </c>
      <c r="I389" t="s">
        <v>72</v>
      </c>
    </row>
    <row r="390" spans="1:9" x14ac:dyDescent="0.2">
      <c r="A390" t="s">
        <v>187</v>
      </c>
      <c r="B390" t="s">
        <v>7</v>
      </c>
      <c r="C390" t="s">
        <v>9</v>
      </c>
      <c r="D390">
        <v>0</v>
      </c>
      <c r="E390">
        <v>7</v>
      </c>
      <c r="F390">
        <v>1</v>
      </c>
      <c r="G390">
        <v>1</v>
      </c>
      <c r="H390">
        <v>2</v>
      </c>
      <c r="I390" t="s">
        <v>60</v>
      </c>
    </row>
    <row r="391" spans="1:9" x14ac:dyDescent="0.2">
      <c r="A391" t="s">
        <v>188</v>
      </c>
      <c r="B391" t="s">
        <v>6</v>
      </c>
      <c r="C391" t="s">
        <v>7</v>
      </c>
      <c r="D391" t="s">
        <v>12</v>
      </c>
      <c r="E391">
        <v>0</v>
      </c>
      <c r="F391">
        <v>8</v>
      </c>
      <c r="G391">
        <v>0</v>
      </c>
      <c r="H391">
        <v>0</v>
      </c>
      <c r="I391" t="s">
        <v>72</v>
      </c>
    </row>
    <row r="392" spans="1:9" x14ac:dyDescent="0.2">
      <c r="A392" t="s">
        <v>1390</v>
      </c>
      <c r="B392" t="s">
        <v>6</v>
      </c>
      <c r="C392" t="s">
        <v>7</v>
      </c>
      <c r="D392" t="s">
        <v>12</v>
      </c>
      <c r="E392">
        <v>0</v>
      </c>
      <c r="F392">
        <v>8</v>
      </c>
      <c r="G392">
        <v>0</v>
      </c>
      <c r="H392">
        <v>1</v>
      </c>
      <c r="I392" t="s">
        <v>72</v>
      </c>
    </row>
    <row r="393" spans="1:9" x14ac:dyDescent="0.2">
      <c r="A393" t="s">
        <v>1391</v>
      </c>
      <c r="B393" t="s">
        <v>6</v>
      </c>
      <c r="C393" t="s">
        <v>7</v>
      </c>
      <c r="D393" t="s">
        <v>12</v>
      </c>
      <c r="E393">
        <v>0</v>
      </c>
      <c r="F393">
        <v>8</v>
      </c>
      <c r="G393">
        <v>0</v>
      </c>
      <c r="H393">
        <v>2</v>
      </c>
      <c r="I393" t="s">
        <v>75</v>
      </c>
    </row>
    <row r="394" spans="1:9" x14ac:dyDescent="0.2">
      <c r="A394" t="s">
        <v>189</v>
      </c>
      <c r="B394" t="s">
        <v>8</v>
      </c>
      <c r="C394" t="s">
        <v>9</v>
      </c>
      <c r="D394">
        <v>0</v>
      </c>
      <c r="E394">
        <v>8</v>
      </c>
      <c r="F394">
        <v>0</v>
      </c>
      <c r="G394">
        <v>0</v>
      </c>
      <c r="H394">
        <v>0</v>
      </c>
      <c r="I394" t="s">
        <v>72</v>
      </c>
    </row>
    <row r="395" spans="1:9" x14ac:dyDescent="0.2">
      <c r="A395" t="s">
        <v>190</v>
      </c>
      <c r="B395" t="s">
        <v>7</v>
      </c>
      <c r="C395" t="s">
        <v>9</v>
      </c>
      <c r="D395">
        <v>0</v>
      </c>
      <c r="E395">
        <v>8</v>
      </c>
      <c r="F395">
        <v>0</v>
      </c>
      <c r="G395">
        <v>0</v>
      </c>
      <c r="H395">
        <v>0</v>
      </c>
      <c r="I395" t="s">
        <v>444</v>
      </c>
    </row>
    <row r="396" spans="1:9" x14ac:dyDescent="0.2">
      <c r="A396" t="s">
        <v>1392</v>
      </c>
      <c r="B396" t="s">
        <v>8</v>
      </c>
      <c r="C396" t="s">
        <v>9</v>
      </c>
      <c r="D396">
        <v>0</v>
      </c>
      <c r="E396">
        <v>8</v>
      </c>
      <c r="F396">
        <v>0</v>
      </c>
      <c r="G396">
        <v>0</v>
      </c>
      <c r="H396">
        <v>1</v>
      </c>
      <c r="I396" t="s">
        <v>72</v>
      </c>
    </row>
    <row r="397" spans="1:9" x14ac:dyDescent="0.2">
      <c r="A397" t="s">
        <v>1393</v>
      </c>
      <c r="B397" t="s">
        <v>7</v>
      </c>
      <c r="C397" t="s">
        <v>9</v>
      </c>
      <c r="D397">
        <v>0</v>
      </c>
      <c r="E397">
        <v>8</v>
      </c>
      <c r="F397">
        <v>0</v>
      </c>
      <c r="G397">
        <v>0</v>
      </c>
      <c r="H397">
        <v>1</v>
      </c>
      <c r="I397" t="s">
        <v>62</v>
      </c>
    </row>
    <row r="398" spans="1:9" x14ac:dyDescent="0.2">
      <c r="A398" t="s">
        <v>191</v>
      </c>
      <c r="B398" t="s">
        <v>8</v>
      </c>
      <c r="C398" t="s">
        <v>9</v>
      </c>
      <c r="D398">
        <v>0</v>
      </c>
      <c r="E398">
        <v>8</v>
      </c>
      <c r="F398">
        <v>0</v>
      </c>
      <c r="G398">
        <v>0</v>
      </c>
      <c r="H398">
        <v>2</v>
      </c>
      <c r="I398" t="s">
        <v>72</v>
      </c>
    </row>
    <row r="399" spans="1:9" x14ac:dyDescent="0.2">
      <c r="A399" t="s">
        <v>192</v>
      </c>
      <c r="B399" t="s">
        <v>7</v>
      </c>
      <c r="C399" t="s">
        <v>9</v>
      </c>
      <c r="D399">
        <v>0</v>
      </c>
      <c r="E399">
        <v>8</v>
      </c>
      <c r="F399">
        <v>0</v>
      </c>
      <c r="G399">
        <v>0</v>
      </c>
      <c r="H399">
        <v>2</v>
      </c>
      <c r="I399" t="s">
        <v>60</v>
      </c>
    </row>
    <row r="400" spans="1:9" x14ac:dyDescent="0.2">
      <c r="A400" t="s">
        <v>1394</v>
      </c>
      <c r="B400" t="s">
        <v>8</v>
      </c>
      <c r="C400" t="s">
        <v>9</v>
      </c>
      <c r="D400">
        <v>0</v>
      </c>
      <c r="E400">
        <v>8</v>
      </c>
      <c r="F400">
        <v>0</v>
      </c>
      <c r="G400">
        <v>1</v>
      </c>
      <c r="H400">
        <v>0</v>
      </c>
      <c r="I400" t="s">
        <v>72</v>
      </c>
    </row>
    <row r="401" spans="1:9" x14ac:dyDescent="0.2">
      <c r="A401" t="s">
        <v>1395</v>
      </c>
      <c r="B401" t="s">
        <v>7</v>
      </c>
      <c r="C401" t="s">
        <v>9</v>
      </c>
      <c r="D401">
        <v>0</v>
      </c>
      <c r="E401">
        <v>8</v>
      </c>
      <c r="F401">
        <v>0</v>
      </c>
      <c r="G401">
        <v>1</v>
      </c>
      <c r="H401">
        <v>0</v>
      </c>
      <c r="I401" t="s">
        <v>72</v>
      </c>
    </row>
    <row r="402" spans="1:9" x14ac:dyDescent="0.2">
      <c r="A402" t="s">
        <v>193</v>
      </c>
      <c r="B402" t="s">
        <v>8</v>
      </c>
      <c r="C402" t="s">
        <v>9</v>
      </c>
      <c r="D402">
        <v>0</v>
      </c>
      <c r="E402">
        <v>8</v>
      </c>
      <c r="F402">
        <v>0</v>
      </c>
      <c r="G402">
        <v>1</v>
      </c>
      <c r="H402">
        <v>1</v>
      </c>
      <c r="I402" t="s">
        <v>72</v>
      </c>
    </row>
    <row r="403" spans="1:9" x14ac:dyDescent="0.2">
      <c r="A403" t="s">
        <v>194</v>
      </c>
      <c r="B403" t="s">
        <v>7</v>
      </c>
      <c r="C403" t="s">
        <v>9</v>
      </c>
      <c r="D403">
        <v>0</v>
      </c>
      <c r="E403">
        <v>8</v>
      </c>
      <c r="F403">
        <v>0</v>
      </c>
      <c r="G403">
        <v>1</v>
      </c>
      <c r="H403">
        <v>1</v>
      </c>
      <c r="I403" t="s">
        <v>72</v>
      </c>
    </row>
    <row r="404" spans="1:9" x14ac:dyDescent="0.2">
      <c r="A404" t="s">
        <v>1396</v>
      </c>
      <c r="B404" t="s">
        <v>8</v>
      </c>
      <c r="C404" t="s">
        <v>9</v>
      </c>
      <c r="D404">
        <v>0</v>
      </c>
      <c r="E404">
        <v>8</v>
      </c>
      <c r="F404">
        <v>0</v>
      </c>
      <c r="G404">
        <v>1</v>
      </c>
      <c r="H404">
        <v>2</v>
      </c>
      <c r="I404" t="s">
        <v>72</v>
      </c>
    </row>
    <row r="405" spans="1:9" x14ac:dyDescent="0.2">
      <c r="A405" t="s">
        <v>1397</v>
      </c>
      <c r="B405" t="s">
        <v>7</v>
      </c>
      <c r="C405" t="s">
        <v>9</v>
      </c>
      <c r="D405">
        <v>0</v>
      </c>
      <c r="E405">
        <v>8</v>
      </c>
      <c r="F405">
        <v>0</v>
      </c>
      <c r="G405">
        <v>1</v>
      </c>
      <c r="H405">
        <v>2</v>
      </c>
      <c r="I405" t="s">
        <v>72</v>
      </c>
    </row>
    <row r="406" spans="1:9" x14ac:dyDescent="0.2">
      <c r="A406" t="s">
        <v>195</v>
      </c>
      <c r="B406" t="s">
        <v>6</v>
      </c>
      <c r="C406" t="s">
        <v>7</v>
      </c>
      <c r="D406" t="s">
        <v>12</v>
      </c>
      <c r="E406">
        <v>0</v>
      </c>
      <c r="F406">
        <v>8</v>
      </c>
      <c r="G406">
        <v>1</v>
      </c>
      <c r="H406">
        <v>0</v>
      </c>
      <c r="I406" t="s">
        <v>72</v>
      </c>
    </row>
    <row r="407" spans="1:9" x14ac:dyDescent="0.2">
      <c r="A407" t="s">
        <v>196</v>
      </c>
      <c r="B407" t="s">
        <v>6</v>
      </c>
      <c r="C407" t="s">
        <v>7</v>
      </c>
      <c r="D407" t="s">
        <v>12</v>
      </c>
      <c r="E407">
        <v>0</v>
      </c>
      <c r="F407">
        <v>8</v>
      </c>
      <c r="G407">
        <v>1</v>
      </c>
      <c r="H407">
        <v>1</v>
      </c>
      <c r="I407" t="s">
        <v>72</v>
      </c>
    </row>
    <row r="408" spans="1:9" x14ac:dyDescent="0.2">
      <c r="A408" t="s">
        <v>1398</v>
      </c>
      <c r="B408" t="s">
        <v>6</v>
      </c>
      <c r="C408" t="s">
        <v>7</v>
      </c>
      <c r="D408" t="s">
        <v>12</v>
      </c>
      <c r="E408">
        <v>0</v>
      </c>
      <c r="F408">
        <v>8</v>
      </c>
      <c r="G408">
        <v>1</v>
      </c>
      <c r="H408">
        <v>2</v>
      </c>
      <c r="I408" t="s">
        <v>75</v>
      </c>
    </row>
    <row r="409" spans="1:9" x14ac:dyDescent="0.2">
      <c r="A409" t="s">
        <v>1399</v>
      </c>
      <c r="B409" t="s">
        <v>8</v>
      </c>
      <c r="C409" t="s">
        <v>9</v>
      </c>
      <c r="D409">
        <v>0</v>
      </c>
      <c r="E409">
        <v>8</v>
      </c>
      <c r="F409">
        <v>1</v>
      </c>
      <c r="G409">
        <v>0</v>
      </c>
      <c r="H409">
        <v>0</v>
      </c>
      <c r="I409" t="s">
        <v>72</v>
      </c>
    </row>
    <row r="410" spans="1:9" x14ac:dyDescent="0.2">
      <c r="A410" t="s">
        <v>197</v>
      </c>
      <c r="B410" t="s">
        <v>7</v>
      </c>
      <c r="C410" t="s">
        <v>9</v>
      </c>
      <c r="D410">
        <v>0</v>
      </c>
      <c r="E410">
        <v>8</v>
      </c>
      <c r="F410">
        <v>1</v>
      </c>
      <c r="G410">
        <v>0</v>
      </c>
      <c r="H410">
        <v>0</v>
      </c>
      <c r="I410" t="s">
        <v>72</v>
      </c>
    </row>
    <row r="411" spans="1:9" x14ac:dyDescent="0.2">
      <c r="A411" t="s">
        <v>198</v>
      </c>
      <c r="B411" t="s">
        <v>8</v>
      </c>
      <c r="C411" t="s">
        <v>9</v>
      </c>
      <c r="D411">
        <v>0</v>
      </c>
      <c r="E411">
        <v>8</v>
      </c>
      <c r="F411">
        <v>1</v>
      </c>
      <c r="G411">
        <v>0</v>
      </c>
      <c r="H411">
        <v>1</v>
      </c>
      <c r="I411" t="s">
        <v>72</v>
      </c>
    </row>
    <row r="412" spans="1:9" x14ac:dyDescent="0.2">
      <c r="A412" t="s">
        <v>1400</v>
      </c>
      <c r="B412" t="s">
        <v>7</v>
      </c>
      <c r="C412" t="s">
        <v>9</v>
      </c>
      <c r="D412">
        <v>0</v>
      </c>
      <c r="E412">
        <v>8</v>
      </c>
      <c r="F412">
        <v>1</v>
      </c>
      <c r="G412">
        <v>0</v>
      </c>
      <c r="H412">
        <v>1</v>
      </c>
      <c r="I412" t="s">
        <v>72</v>
      </c>
    </row>
    <row r="413" spans="1:9" x14ac:dyDescent="0.2">
      <c r="A413" t="s">
        <v>1401</v>
      </c>
      <c r="B413" t="s">
        <v>8</v>
      </c>
      <c r="C413" t="s">
        <v>9</v>
      </c>
      <c r="D413">
        <v>0</v>
      </c>
      <c r="E413">
        <v>8</v>
      </c>
      <c r="F413">
        <v>1</v>
      </c>
      <c r="G413">
        <v>0</v>
      </c>
      <c r="H413">
        <v>2</v>
      </c>
      <c r="I413" t="s">
        <v>72</v>
      </c>
    </row>
    <row r="414" spans="1:9" x14ac:dyDescent="0.2">
      <c r="A414" t="s">
        <v>199</v>
      </c>
      <c r="B414" t="s">
        <v>7</v>
      </c>
      <c r="C414" t="s">
        <v>9</v>
      </c>
      <c r="D414">
        <v>0</v>
      </c>
      <c r="E414">
        <v>8</v>
      </c>
      <c r="F414">
        <v>1</v>
      </c>
      <c r="G414">
        <v>0</v>
      </c>
      <c r="H414">
        <v>2</v>
      </c>
      <c r="I414" t="s">
        <v>72</v>
      </c>
    </row>
    <row r="415" spans="1:9" x14ac:dyDescent="0.2">
      <c r="A415" t="s">
        <v>200</v>
      </c>
      <c r="B415" t="s">
        <v>8</v>
      </c>
      <c r="C415" t="s">
        <v>9</v>
      </c>
      <c r="D415">
        <v>0</v>
      </c>
      <c r="E415">
        <v>8</v>
      </c>
      <c r="F415">
        <v>1</v>
      </c>
      <c r="G415">
        <v>1</v>
      </c>
      <c r="H415">
        <v>0</v>
      </c>
      <c r="I415" t="s">
        <v>72</v>
      </c>
    </row>
    <row r="416" spans="1:9" x14ac:dyDescent="0.2">
      <c r="A416" t="s">
        <v>1402</v>
      </c>
      <c r="B416" t="s">
        <v>7</v>
      </c>
      <c r="C416" t="s">
        <v>9</v>
      </c>
      <c r="D416">
        <v>0</v>
      </c>
      <c r="E416">
        <v>8</v>
      </c>
      <c r="F416">
        <v>1</v>
      </c>
      <c r="G416">
        <v>1</v>
      </c>
      <c r="H416">
        <v>0</v>
      </c>
      <c r="I416" t="s">
        <v>444</v>
      </c>
    </row>
    <row r="417" spans="1:9" x14ac:dyDescent="0.2">
      <c r="A417" t="s">
        <v>1403</v>
      </c>
      <c r="B417" t="s">
        <v>8</v>
      </c>
      <c r="C417" t="s">
        <v>9</v>
      </c>
      <c r="D417">
        <v>0</v>
      </c>
      <c r="E417">
        <v>8</v>
      </c>
      <c r="F417">
        <v>1</v>
      </c>
      <c r="G417">
        <v>1</v>
      </c>
      <c r="H417">
        <v>1</v>
      </c>
      <c r="I417" t="s">
        <v>72</v>
      </c>
    </row>
    <row r="418" spans="1:9" x14ac:dyDescent="0.2">
      <c r="A418" t="s">
        <v>201</v>
      </c>
      <c r="B418" t="s">
        <v>7</v>
      </c>
      <c r="C418" t="s">
        <v>9</v>
      </c>
      <c r="D418">
        <v>0</v>
      </c>
      <c r="E418">
        <v>8</v>
      </c>
      <c r="F418">
        <v>1</v>
      </c>
      <c r="G418">
        <v>1</v>
      </c>
      <c r="H418">
        <v>1</v>
      </c>
      <c r="I418" t="s">
        <v>62</v>
      </c>
    </row>
    <row r="419" spans="1:9" x14ac:dyDescent="0.2">
      <c r="A419" t="s">
        <v>202</v>
      </c>
      <c r="B419" t="s">
        <v>8</v>
      </c>
      <c r="C419" t="s">
        <v>9</v>
      </c>
      <c r="D419">
        <v>0</v>
      </c>
      <c r="E419">
        <v>8</v>
      </c>
      <c r="F419">
        <v>1</v>
      </c>
      <c r="G419">
        <v>1</v>
      </c>
      <c r="H419">
        <v>2</v>
      </c>
      <c r="I419" t="s">
        <v>72</v>
      </c>
    </row>
    <row r="420" spans="1:9" x14ac:dyDescent="0.2">
      <c r="A420" t="s">
        <v>1404</v>
      </c>
      <c r="B420" t="s">
        <v>7</v>
      </c>
      <c r="C420" t="s">
        <v>9</v>
      </c>
      <c r="D420">
        <v>0</v>
      </c>
      <c r="E420">
        <v>8</v>
      </c>
      <c r="F420">
        <v>1</v>
      </c>
      <c r="G420">
        <v>1</v>
      </c>
      <c r="H420">
        <v>2</v>
      </c>
      <c r="I420" t="s">
        <v>60</v>
      </c>
    </row>
    <row r="421" spans="1:9" x14ac:dyDescent="0.2">
      <c r="A421" t="s">
        <v>1405</v>
      </c>
      <c r="B421" t="s">
        <v>6</v>
      </c>
      <c r="C421" t="s">
        <v>7</v>
      </c>
      <c r="D421" t="s">
        <v>12</v>
      </c>
      <c r="E421">
        <v>0</v>
      </c>
      <c r="F421">
        <v>9</v>
      </c>
      <c r="G421">
        <v>0</v>
      </c>
      <c r="H421">
        <v>0</v>
      </c>
      <c r="I421" t="s">
        <v>72</v>
      </c>
    </row>
    <row r="422" spans="1:9" x14ac:dyDescent="0.2">
      <c r="A422" t="s">
        <v>203</v>
      </c>
      <c r="B422" t="s">
        <v>6</v>
      </c>
      <c r="C422" t="s">
        <v>7</v>
      </c>
      <c r="D422" t="s">
        <v>12</v>
      </c>
      <c r="E422">
        <v>0</v>
      </c>
      <c r="F422">
        <v>9</v>
      </c>
      <c r="G422">
        <v>0</v>
      </c>
      <c r="H422">
        <v>1</v>
      </c>
      <c r="I422" t="s">
        <v>72</v>
      </c>
    </row>
    <row r="423" spans="1:9" x14ac:dyDescent="0.2">
      <c r="A423" t="s">
        <v>204</v>
      </c>
      <c r="B423" t="s">
        <v>6</v>
      </c>
      <c r="C423" t="s">
        <v>7</v>
      </c>
      <c r="D423" t="s">
        <v>12</v>
      </c>
      <c r="E423">
        <v>0</v>
      </c>
      <c r="F423">
        <v>9</v>
      </c>
      <c r="G423">
        <v>0</v>
      </c>
      <c r="H423">
        <v>2</v>
      </c>
      <c r="I423" t="s">
        <v>75</v>
      </c>
    </row>
    <row r="424" spans="1:9" x14ac:dyDescent="0.2">
      <c r="A424" t="s">
        <v>1406</v>
      </c>
      <c r="B424" t="s">
        <v>8</v>
      </c>
      <c r="C424" t="s">
        <v>9</v>
      </c>
      <c r="D424">
        <v>0</v>
      </c>
      <c r="E424">
        <v>9</v>
      </c>
      <c r="F424">
        <v>0</v>
      </c>
      <c r="G424">
        <v>0</v>
      </c>
      <c r="H424">
        <v>0</v>
      </c>
      <c r="I424" t="s">
        <v>72</v>
      </c>
    </row>
    <row r="425" spans="1:9" x14ac:dyDescent="0.2">
      <c r="A425" t="s">
        <v>1407</v>
      </c>
      <c r="B425" t="s">
        <v>7</v>
      </c>
      <c r="C425" t="s">
        <v>9</v>
      </c>
      <c r="D425">
        <v>0</v>
      </c>
      <c r="E425">
        <v>9</v>
      </c>
      <c r="F425">
        <v>0</v>
      </c>
      <c r="G425">
        <v>0</v>
      </c>
      <c r="H425">
        <v>0</v>
      </c>
      <c r="I425" t="s">
        <v>444</v>
      </c>
    </row>
    <row r="426" spans="1:9" x14ac:dyDescent="0.2">
      <c r="A426" t="s">
        <v>205</v>
      </c>
      <c r="B426" t="s">
        <v>8</v>
      </c>
      <c r="C426" t="s">
        <v>9</v>
      </c>
      <c r="D426">
        <v>0</v>
      </c>
      <c r="E426">
        <v>9</v>
      </c>
      <c r="F426">
        <v>0</v>
      </c>
      <c r="G426">
        <v>0</v>
      </c>
      <c r="H426">
        <v>1</v>
      </c>
      <c r="I426" t="s">
        <v>72</v>
      </c>
    </row>
    <row r="427" spans="1:9" x14ac:dyDescent="0.2">
      <c r="A427" t="s">
        <v>206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>
        <v>1</v>
      </c>
      <c r="I427" t="s">
        <v>62</v>
      </c>
    </row>
    <row r="428" spans="1:9" x14ac:dyDescent="0.2">
      <c r="A428" t="s">
        <v>1408</v>
      </c>
      <c r="B428" t="s">
        <v>8</v>
      </c>
      <c r="C428" t="s">
        <v>9</v>
      </c>
      <c r="D428">
        <v>0</v>
      </c>
      <c r="E428">
        <v>9</v>
      </c>
      <c r="F428">
        <v>0</v>
      </c>
      <c r="G428">
        <v>0</v>
      </c>
      <c r="H428">
        <v>2</v>
      </c>
      <c r="I428" t="s">
        <v>72</v>
      </c>
    </row>
    <row r="429" spans="1:9" x14ac:dyDescent="0.2">
      <c r="A429" t="s">
        <v>1409</v>
      </c>
      <c r="B429" t="s">
        <v>7</v>
      </c>
      <c r="C429" t="s">
        <v>9</v>
      </c>
      <c r="D429">
        <v>0</v>
      </c>
      <c r="E429">
        <v>9</v>
      </c>
      <c r="F429">
        <v>0</v>
      </c>
      <c r="G429">
        <v>0</v>
      </c>
      <c r="H429">
        <v>2</v>
      </c>
      <c r="I429" t="s">
        <v>60</v>
      </c>
    </row>
    <row r="430" spans="1:9" x14ac:dyDescent="0.2">
      <c r="A430" t="s">
        <v>207</v>
      </c>
      <c r="B430" t="s">
        <v>8</v>
      </c>
      <c r="C430" t="s">
        <v>9</v>
      </c>
      <c r="D430">
        <v>0</v>
      </c>
      <c r="E430">
        <v>9</v>
      </c>
      <c r="F430">
        <v>0</v>
      </c>
      <c r="G430">
        <v>1</v>
      </c>
      <c r="H430">
        <v>0</v>
      </c>
      <c r="I430" t="s">
        <v>72</v>
      </c>
    </row>
    <row r="431" spans="1:9" x14ac:dyDescent="0.2">
      <c r="A431" t="s">
        <v>208</v>
      </c>
      <c r="B431" t="s">
        <v>7</v>
      </c>
      <c r="C431" t="s">
        <v>9</v>
      </c>
      <c r="D431">
        <v>0</v>
      </c>
      <c r="E431">
        <v>9</v>
      </c>
      <c r="F431">
        <v>0</v>
      </c>
      <c r="G431">
        <v>1</v>
      </c>
      <c r="H431">
        <v>0</v>
      </c>
      <c r="I431" t="s">
        <v>72</v>
      </c>
    </row>
    <row r="432" spans="1:9" x14ac:dyDescent="0.2">
      <c r="A432" t="s">
        <v>1410</v>
      </c>
      <c r="B432" t="s">
        <v>8</v>
      </c>
      <c r="C432" t="s">
        <v>9</v>
      </c>
      <c r="D432">
        <v>0</v>
      </c>
      <c r="E432">
        <v>9</v>
      </c>
      <c r="F432">
        <v>0</v>
      </c>
      <c r="G432">
        <v>1</v>
      </c>
      <c r="H432">
        <v>1</v>
      </c>
      <c r="I432" t="s">
        <v>72</v>
      </c>
    </row>
    <row r="433" spans="1:9" x14ac:dyDescent="0.2">
      <c r="A433" t="s">
        <v>1411</v>
      </c>
      <c r="B433" t="s">
        <v>7</v>
      </c>
      <c r="C433" t="s">
        <v>9</v>
      </c>
      <c r="D433">
        <v>0</v>
      </c>
      <c r="E433">
        <v>9</v>
      </c>
      <c r="F433">
        <v>0</v>
      </c>
      <c r="G433">
        <v>1</v>
      </c>
      <c r="H433">
        <v>1</v>
      </c>
      <c r="I433" t="s">
        <v>72</v>
      </c>
    </row>
    <row r="434" spans="1:9" x14ac:dyDescent="0.2">
      <c r="A434" t="s">
        <v>209</v>
      </c>
      <c r="B434" t="s">
        <v>8</v>
      </c>
      <c r="C434" t="s">
        <v>9</v>
      </c>
      <c r="D434">
        <v>0</v>
      </c>
      <c r="E434">
        <v>9</v>
      </c>
      <c r="F434">
        <v>0</v>
      </c>
      <c r="G434">
        <v>1</v>
      </c>
      <c r="H434">
        <v>2</v>
      </c>
      <c r="I434" t="s">
        <v>72</v>
      </c>
    </row>
    <row r="435" spans="1:9" x14ac:dyDescent="0.2">
      <c r="A435" t="s">
        <v>210</v>
      </c>
      <c r="B435" t="s">
        <v>7</v>
      </c>
      <c r="C435" t="s">
        <v>9</v>
      </c>
      <c r="D435">
        <v>0</v>
      </c>
      <c r="E435">
        <v>9</v>
      </c>
      <c r="F435">
        <v>0</v>
      </c>
      <c r="G435">
        <v>1</v>
      </c>
      <c r="H435">
        <v>2</v>
      </c>
      <c r="I435" t="s">
        <v>72</v>
      </c>
    </row>
    <row r="436" spans="1:9" x14ac:dyDescent="0.2">
      <c r="A436" t="s">
        <v>1412</v>
      </c>
      <c r="B436" t="s">
        <v>6</v>
      </c>
      <c r="C436" t="s">
        <v>7</v>
      </c>
      <c r="D436" t="s">
        <v>12</v>
      </c>
      <c r="E436">
        <v>0</v>
      </c>
      <c r="F436">
        <v>9</v>
      </c>
      <c r="G436">
        <v>1</v>
      </c>
      <c r="H436">
        <v>0</v>
      </c>
      <c r="I436" t="s">
        <v>72</v>
      </c>
    </row>
    <row r="437" spans="1:9" x14ac:dyDescent="0.2">
      <c r="A437" t="s">
        <v>1413</v>
      </c>
      <c r="B437" t="s">
        <v>6</v>
      </c>
      <c r="C437" t="s">
        <v>7</v>
      </c>
      <c r="D437" t="s">
        <v>12</v>
      </c>
      <c r="E437">
        <v>0</v>
      </c>
      <c r="F437">
        <v>9</v>
      </c>
      <c r="G437">
        <v>1</v>
      </c>
      <c r="H437">
        <v>1</v>
      </c>
      <c r="I437" t="s">
        <v>72</v>
      </c>
    </row>
    <row r="438" spans="1:9" x14ac:dyDescent="0.2">
      <c r="A438" t="s">
        <v>211</v>
      </c>
      <c r="B438" t="s">
        <v>6</v>
      </c>
      <c r="C438" t="s">
        <v>7</v>
      </c>
      <c r="D438" t="s">
        <v>12</v>
      </c>
      <c r="E438">
        <v>0</v>
      </c>
      <c r="F438">
        <v>9</v>
      </c>
      <c r="G438">
        <v>1</v>
      </c>
      <c r="H438">
        <v>2</v>
      </c>
      <c r="I438" t="s">
        <v>75</v>
      </c>
    </row>
    <row r="439" spans="1:9" x14ac:dyDescent="0.2">
      <c r="A439" t="s">
        <v>212</v>
      </c>
      <c r="B439" t="s">
        <v>8</v>
      </c>
      <c r="C439" t="s">
        <v>9</v>
      </c>
      <c r="D439">
        <v>0</v>
      </c>
      <c r="E439">
        <v>9</v>
      </c>
      <c r="F439">
        <v>1</v>
      </c>
      <c r="G439">
        <v>0</v>
      </c>
      <c r="H439">
        <v>0</v>
      </c>
      <c r="I439" t="s">
        <v>72</v>
      </c>
    </row>
    <row r="440" spans="1:9" x14ac:dyDescent="0.2">
      <c r="A440" t="s">
        <v>1414</v>
      </c>
      <c r="B440" t="s">
        <v>7</v>
      </c>
      <c r="C440" t="s">
        <v>9</v>
      </c>
      <c r="D440">
        <v>0</v>
      </c>
      <c r="E440">
        <v>9</v>
      </c>
      <c r="F440">
        <v>1</v>
      </c>
      <c r="G440">
        <v>0</v>
      </c>
      <c r="H440">
        <v>0</v>
      </c>
      <c r="I440" t="s">
        <v>72</v>
      </c>
    </row>
    <row r="441" spans="1:9" x14ac:dyDescent="0.2">
      <c r="A441" t="s">
        <v>1415</v>
      </c>
      <c r="B441" t="s">
        <v>8</v>
      </c>
      <c r="C441" t="s">
        <v>9</v>
      </c>
      <c r="D441">
        <v>0</v>
      </c>
      <c r="E441">
        <v>9</v>
      </c>
      <c r="F441">
        <v>1</v>
      </c>
      <c r="G441">
        <v>0</v>
      </c>
      <c r="H441">
        <v>1</v>
      </c>
      <c r="I441" t="s">
        <v>72</v>
      </c>
    </row>
    <row r="442" spans="1:9" x14ac:dyDescent="0.2">
      <c r="A442" t="s">
        <v>213</v>
      </c>
      <c r="B442" t="s">
        <v>7</v>
      </c>
      <c r="C442" t="s">
        <v>9</v>
      </c>
      <c r="D442">
        <v>0</v>
      </c>
      <c r="E442">
        <v>9</v>
      </c>
      <c r="F442">
        <v>1</v>
      </c>
      <c r="G442">
        <v>0</v>
      </c>
      <c r="H442">
        <v>1</v>
      </c>
      <c r="I442" t="s">
        <v>72</v>
      </c>
    </row>
    <row r="443" spans="1:9" x14ac:dyDescent="0.2">
      <c r="A443" t="s">
        <v>214</v>
      </c>
      <c r="B443" t="s">
        <v>8</v>
      </c>
      <c r="C443" t="s">
        <v>9</v>
      </c>
      <c r="D443">
        <v>0</v>
      </c>
      <c r="E443">
        <v>9</v>
      </c>
      <c r="F443">
        <v>1</v>
      </c>
      <c r="G443">
        <v>0</v>
      </c>
      <c r="H443">
        <v>2</v>
      </c>
      <c r="I443" t="s">
        <v>72</v>
      </c>
    </row>
    <row r="444" spans="1:9" x14ac:dyDescent="0.2">
      <c r="A444" t="s">
        <v>1416</v>
      </c>
      <c r="B444" t="s">
        <v>7</v>
      </c>
      <c r="C444" t="s">
        <v>9</v>
      </c>
      <c r="D444">
        <v>0</v>
      </c>
      <c r="E444">
        <v>9</v>
      </c>
      <c r="F444">
        <v>1</v>
      </c>
      <c r="G444">
        <v>0</v>
      </c>
      <c r="H444">
        <v>2</v>
      </c>
      <c r="I444" t="s">
        <v>72</v>
      </c>
    </row>
    <row r="445" spans="1:9" x14ac:dyDescent="0.2">
      <c r="A445" t="s">
        <v>1417</v>
      </c>
      <c r="B445" t="s">
        <v>8</v>
      </c>
      <c r="C445" t="s">
        <v>9</v>
      </c>
      <c r="D445">
        <v>0</v>
      </c>
      <c r="E445">
        <v>9</v>
      </c>
      <c r="F445">
        <v>1</v>
      </c>
      <c r="G445">
        <v>1</v>
      </c>
      <c r="H445">
        <v>0</v>
      </c>
      <c r="I445" t="s">
        <v>72</v>
      </c>
    </row>
    <row r="446" spans="1:9" x14ac:dyDescent="0.2">
      <c r="A446" t="s">
        <v>215</v>
      </c>
      <c r="B446" t="s">
        <v>7</v>
      </c>
      <c r="C446" t="s">
        <v>9</v>
      </c>
      <c r="D446">
        <v>0</v>
      </c>
      <c r="E446">
        <v>9</v>
      </c>
      <c r="F446">
        <v>1</v>
      </c>
      <c r="G446">
        <v>1</v>
      </c>
      <c r="H446">
        <v>0</v>
      </c>
      <c r="I446" t="s">
        <v>444</v>
      </c>
    </row>
    <row r="447" spans="1:9" x14ac:dyDescent="0.2">
      <c r="A447" t="s">
        <v>216</v>
      </c>
      <c r="B447" t="s">
        <v>8</v>
      </c>
      <c r="C447" t="s">
        <v>9</v>
      </c>
      <c r="D447">
        <v>0</v>
      </c>
      <c r="E447">
        <v>9</v>
      </c>
      <c r="F447">
        <v>1</v>
      </c>
      <c r="G447">
        <v>1</v>
      </c>
      <c r="H447">
        <v>1</v>
      </c>
      <c r="I447" t="s">
        <v>72</v>
      </c>
    </row>
    <row r="448" spans="1:9" x14ac:dyDescent="0.2">
      <c r="A448" t="s">
        <v>1418</v>
      </c>
      <c r="B448" t="s">
        <v>7</v>
      </c>
      <c r="C448" t="s">
        <v>9</v>
      </c>
      <c r="D448">
        <v>0</v>
      </c>
      <c r="E448">
        <v>9</v>
      </c>
      <c r="F448">
        <v>1</v>
      </c>
      <c r="G448">
        <v>1</v>
      </c>
      <c r="H448">
        <v>1</v>
      </c>
      <c r="I448" t="s">
        <v>62</v>
      </c>
    </row>
    <row r="449" spans="1:9" x14ac:dyDescent="0.2">
      <c r="A449" t="s">
        <v>1419</v>
      </c>
      <c r="B449" t="s">
        <v>8</v>
      </c>
      <c r="C449" t="s">
        <v>9</v>
      </c>
      <c r="D449">
        <v>0</v>
      </c>
      <c r="E449">
        <v>9</v>
      </c>
      <c r="F449">
        <v>1</v>
      </c>
      <c r="G449">
        <v>1</v>
      </c>
      <c r="H449">
        <v>2</v>
      </c>
      <c r="I449" t="s">
        <v>72</v>
      </c>
    </row>
    <row r="450" spans="1:9" x14ac:dyDescent="0.2">
      <c r="A450" t="s">
        <v>217</v>
      </c>
      <c r="B450" t="s">
        <v>7</v>
      </c>
      <c r="C450" t="s">
        <v>9</v>
      </c>
      <c r="D450">
        <v>0</v>
      </c>
      <c r="E450">
        <v>9</v>
      </c>
      <c r="F450">
        <v>1</v>
      </c>
      <c r="G450">
        <v>1</v>
      </c>
      <c r="H450">
        <v>2</v>
      </c>
      <c r="I450" t="s">
        <v>60</v>
      </c>
    </row>
    <row r="451" spans="1:9" x14ac:dyDescent="0.2">
      <c r="A451" t="s">
        <v>218</v>
      </c>
      <c r="B451" t="s">
        <v>6</v>
      </c>
      <c r="C451" t="s">
        <v>7</v>
      </c>
      <c r="D451" t="s">
        <v>12</v>
      </c>
      <c r="E451">
        <v>1</v>
      </c>
      <c r="F451">
        <v>0</v>
      </c>
      <c r="G451">
        <v>0</v>
      </c>
      <c r="H451">
        <v>0</v>
      </c>
      <c r="I451" t="s">
        <v>72</v>
      </c>
    </row>
    <row r="452" spans="1:9" x14ac:dyDescent="0.2">
      <c r="A452" t="s">
        <v>1420</v>
      </c>
      <c r="B452" t="s">
        <v>6</v>
      </c>
      <c r="C452" t="s">
        <v>7</v>
      </c>
      <c r="D452" t="s">
        <v>12</v>
      </c>
      <c r="E452">
        <v>1</v>
      </c>
      <c r="F452">
        <v>0</v>
      </c>
      <c r="G452">
        <v>0</v>
      </c>
      <c r="H452">
        <v>1</v>
      </c>
      <c r="I452" t="s">
        <v>72</v>
      </c>
    </row>
    <row r="453" spans="1:9" x14ac:dyDescent="0.2">
      <c r="A453" t="s">
        <v>1421</v>
      </c>
      <c r="B453" t="s">
        <v>6</v>
      </c>
      <c r="C453" t="s">
        <v>7</v>
      </c>
      <c r="D453" t="s">
        <v>12</v>
      </c>
      <c r="E453">
        <v>1</v>
      </c>
      <c r="F453">
        <v>0</v>
      </c>
      <c r="G453">
        <v>0</v>
      </c>
      <c r="H453">
        <v>2</v>
      </c>
      <c r="I453" t="s">
        <v>75</v>
      </c>
    </row>
    <row r="454" spans="1:9" x14ac:dyDescent="0.2">
      <c r="A454" t="s">
        <v>219</v>
      </c>
      <c r="B454" t="s">
        <v>8</v>
      </c>
      <c r="C454" t="s">
        <v>9</v>
      </c>
      <c r="D454">
        <v>1</v>
      </c>
      <c r="E454">
        <v>0</v>
      </c>
      <c r="F454">
        <v>0</v>
      </c>
      <c r="G454">
        <v>0</v>
      </c>
      <c r="H454">
        <v>0</v>
      </c>
      <c r="I454" t="s">
        <v>72</v>
      </c>
    </row>
    <row r="455" spans="1:9" x14ac:dyDescent="0.2">
      <c r="A455" t="s">
        <v>220</v>
      </c>
      <c r="B455" t="s">
        <v>7</v>
      </c>
      <c r="C455" t="s">
        <v>9</v>
      </c>
      <c r="D455">
        <v>1</v>
      </c>
      <c r="E455">
        <v>0</v>
      </c>
      <c r="F455">
        <v>0</v>
      </c>
      <c r="G455">
        <v>0</v>
      </c>
      <c r="H455">
        <v>0</v>
      </c>
      <c r="I455" t="s">
        <v>60</v>
      </c>
    </row>
    <row r="456" spans="1:9" x14ac:dyDescent="0.2">
      <c r="A456" t="s">
        <v>1422</v>
      </c>
      <c r="B456" t="s">
        <v>8</v>
      </c>
      <c r="C456" t="s">
        <v>9</v>
      </c>
      <c r="D456">
        <v>1</v>
      </c>
      <c r="E456">
        <v>0</v>
      </c>
      <c r="F456">
        <v>0</v>
      </c>
      <c r="G456">
        <v>0</v>
      </c>
      <c r="H456">
        <v>1</v>
      </c>
      <c r="I456" t="s">
        <v>72</v>
      </c>
    </row>
    <row r="457" spans="1:9" x14ac:dyDescent="0.2">
      <c r="A457" t="s">
        <v>1423</v>
      </c>
      <c r="B457" t="s">
        <v>7</v>
      </c>
      <c r="C457" t="s">
        <v>9</v>
      </c>
      <c r="D457">
        <v>1</v>
      </c>
      <c r="E457">
        <v>0</v>
      </c>
      <c r="F457">
        <v>0</v>
      </c>
      <c r="G457">
        <v>0</v>
      </c>
      <c r="H457">
        <v>1</v>
      </c>
      <c r="I457" t="s">
        <v>444</v>
      </c>
    </row>
    <row r="458" spans="1:9" x14ac:dyDescent="0.2">
      <c r="A458" t="s">
        <v>221</v>
      </c>
      <c r="B458" t="s">
        <v>8</v>
      </c>
      <c r="C458" t="s">
        <v>9</v>
      </c>
      <c r="D458">
        <v>1</v>
      </c>
      <c r="E458">
        <v>0</v>
      </c>
      <c r="F458">
        <v>0</v>
      </c>
      <c r="G458">
        <v>0</v>
      </c>
      <c r="H458">
        <v>2</v>
      </c>
      <c r="I458" t="s">
        <v>72</v>
      </c>
    </row>
    <row r="459" spans="1:9" x14ac:dyDescent="0.2">
      <c r="A459" t="s">
        <v>222</v>
      </c>
      <c r="B459" t="s">
        <v>7</v>
      </c>
      <c r="C459" t="s">
        <v>9</v>
      </c>
      <c r="D459">
        <v>1</v>
      </c>
      <c r="E459">
        <v>0</v>
      </c>
      <c r="F459">
        <v>0</v>
      </c>
      <c r="G459">
        <v>0</v>
      </c>
      <c r="H459">
        <v>2</v>
      </c>
      <c r="I459" t="s">
        <v>62</v>
      </c>
    </row>
    <row r="460" spans="1:9" x14ac:dyDescent="0.2">
      <c r="A460" t="s">
        <v>1424</v>
      </c>
      <c r="B460" t="s">
        <v>8</v>
      </c>
      <c r="C460" t="s">
        <v>9</v>
      </c>
      <c r="D460">
        <v>1</v>
      </c>
      <c r="E460">
        <v>0</v>
      </c>
      <c r="F460">
        <v>0</v>
      </c>
      <c r="G460">
        <v>1</v>
      </c>
      <c r="H460">
        <v>0</v>
      </c>
      <c r="I460" t="s">
        <v>72</v>
      </c>
    </row>
    <row r="461" spans="1:9" x14ac:dyDescent="0.2">
      <c r="A461" t="s">
        <v>1425</v>
      </c>
      <c r="B461" t="s">
        <v>7</v>
      </c>
      <c r="C461" t="s">
        <v>9</v>
      </c>
      <c r="D461">
        <v>1</v>
      </c>
      <c r="E461">
        <v>0</v>
      </c>
      <c r="F461">
        <v>0</v>
      </c>
      <c r="G461">
        <v>1</v>
      </c>
      <c r="H461">
        <v>0</v>
      </c>
      <c r="I461" t="s">
        <v>72</v>
      </c>
    </row>
    <row r="462" spans="1:9" x14ac:dyDescent="0.2">
      <c r="A462" t="s">
        <v>223</v>
      </c>
      <c r="B462" t="s">
        <v>8</v>
      </c>
      <c r="C462" t="s">
        <v>9</v>
      </c>
      <c r="D462">
        <v>1</v>
      </c>
      <c r="E462">
        <v>0</v>
      </c>
      <c r="F462">
        <v>0</v>
      </c>
      <c r="G462">
        <v>1</v>
      </c>
      <c r="H462">
        <v>1</v>
      </c>
      <c r="I462" t="s">
        <v>72</v>
      </c>
    </row>
    <row r="463" spans="1:9" x14ac:dyDescent="0.2">
      <c r="A463" t="s">
        <v>224</v>
      </c>
      <c r="B463" t="s">
        <v>7</v>
      </c>
      <c r="C463" t="s">
        <v>9</v>
      </c>
      <c r="D463">
        <v>1</v>
      </c>
      <c r="E463">
        <v>0</v>
      </c>
      <c r="F463">
        <v>0</v>
      </c>
      <c r="G463">
        <v>1</v>
      </c>
      <c r="H463">
        <v>1</v>
      </c>
      <c r="I463" t="s">
        <v>72</v>
      </c>
    </row>
    <row r="464" spans="1:9" x14ac:dyDescent="0.2">
      <c r="A464" t="s">
        <v>1426</v>
      </c>
      <c r="B464" t="s">
        <v>8</v>
      </c>
      <c r="C464" t="s">
        <v>9</v>
      </c>
      <c r="D464">
        <v>1</v>
      </c>
      <c r="E464">
        <v>0</v>
      </c>
      <c r="F464">
        <v>0</v>
      </c>
      <c r="G464">
        <v>1</v>
      </c>
      <c r="H464">
        <v>2</v>
      </c>
      <c r="I464" t="s">
        <v>72</v>
      </c>
    </row>
    <row r="465" spans="1:9" x14ac:dyDescent="0.2">
      <c r="A465" t="s">
        <v>1427</v>
      </c>
      <c r="B465" t="s">
        <v>7</v>
      </c>
      <c r="C465" t="s">
        <v>9</v>
      </c>
      <c r="D465">
        <v>1</v>
      </c>
      <c r="E465">
        <v>0</v>
      </c>
      <c r="F465">
        <v>0</v>
      </c>
      <c r="G465">
        <v>1</v>
      </c>
      <c r="H465">
        <v>2</v>
      </c>
      <c r="I465" t="s">
        <v>72</v>
      </c>
    </row>
    <row r="466" spans="1:9" x14ac:dyDescent="0.2">
      <c r="A466" t="s">
        <v>225</v>
      </c>
      <c r="B466" t="s">
        <v>6</v>
      </c>
      <c r="C466" t="s">
        <v>7</v>
      </c>
      <c r="D466" t="s">
        <v>12</v>
      </c>
      <c r="E466">
        <v>1</v>
      </c>
      <c r="F466">
        <v>0</v>
      </c>
      <c r="G466">
        <v>1</v>
      </c>
      <c r="H466">
        <v>0</v>
      </c>
      <c r="I466" t="s">
        <v>72</v>
      </c>
    </row>
    <row r="467" spans="1:9" x14ac:dyDescent="0.2">
      <c r="A467" t="s">
        <v>226</v>
      </c>
      <c r="B467" t="s">
        <v>6</v>
      </c>
      <c r="C467" t="s">
        <v>7</v>
      </c>
      <c r="D467" t="s">
        <v>12</v>
      </c>
      <c r="E467">
        <v>1</v>
      </c>
      <c r="F467">
        <v>0</v>
      </c>
      <c r="G467">
        <v>1</v>
      </c>
      <c r="H467">
        <v>1</v>
      </c>
      <c r="I467" t="s">
        <v>72</v>
      </c>
    </row>
    <row r="468" spans="1:9" x14ac:dyDescent="0.2">
      <c r="A468" t="s">
        <v>1428</v>
      </c>
      <c r="B468" t="s">
        <v>6</v>
      </c>
      <c r="C468" t="s">
        <v>7</v>
      </c>
      <c r="D468" t="s">
        <v>12</v>
      </c>
      <c r="E468">
        <v>1</v>
      </c>
      <c r="F468">
        <v>0</v>
      </c>
      <c r="G468">
        <v>1</v>
      </c>
      <c r="H468">
        <v>2</v>
      </c>
      <c r="I468" t="s">
        <v>75</v>
      </c>
    </row>
    <row r="469" spans="1:9" x14ac:dyDescent="0.2">
      <c r="A469" t="s">
        <v>1429</v>
      </c>
      <c r="B469" t="s">
        <v>8</v>
      </c>
      <c r="C469" t="s">
        <v>9</v>
      </c>
      <c r="D469">
        <v>1</v>
      </c>
      <c r="E469">
        <v>0</v>
      </c>
      <c r="F469">
        <v>1</v>
      </c>
      <c r="G469">
        <v>0</v>
      </c>
      <c r="H469">
        <v>0</v>
      </c>
      <c r="I469" t="s">
        <v>72</v>
      </c>
    </row>
    <row r="470" spans="1:9" x14ac:dyDescent="0.2">
      <c r="A470" t="s">
        <v>227</v>
      </c>
      <c r="B470" t="s">
        <v>7</v>
      </c>
      <c r="C470" t="s">
        <v>9</v>
      </c>
      <c r="D470">
        <v>1</v>
      </c>
      <c r="E470">
        <v>0</v>
      </c>
      <c r="F470">
        <v>1</v>
      </c>
      <c r="G470">
        <v>0</v>
      </c>
      <c r="H470">
        <v>0</v>
      </c>
      <c r="I470" t="s">
        <v>72</v>
      </c>
    </row>
    <row r="471" spans="1:9" x14ac:dyDescent="0.2">
      <c r="A471" t="s">
        <v>228</v>
      </c>
      <c r="B471" t="s">
        <v>8</v>
      </c>
      <c r="C471" t="s">
        <v>9</v>
      </c>
      <c r="D471">
        <v>1</v>
      </c>
      <c r="E471">
        <v>0</v>
      </c>
      <c r="F471">
        <v>1</v>
      </c>
      <c r="G471">
        <v>0</v>
      </c>
      <c r="H471">
        <v>1</v>
      </c>
      <c r="I471" t="s">
        <v>72</v>
      </c>
    </row>
    <row r="472" spans="1:9" x14ac:dyDescent="0.2">
      <c r="A472" t="s">
        <v>1430</v>
      </c>
      <c r="B472" t="s">
        <v>7</v>
      </c>
      <c r="C472" t="s">
        <v>9</v>
      </c>
      <c r="D472">
        <v>1</v>
      </c>
      <c r="E472">
        <v>0</v>
      </c>
      <c r="F472">
        <v>1</v>
      </c>
      <c r="G472">
        <v>0</v>
      </c>
      <c r="H472">
        <v>1</v>
      </c>
      <c r="I472" t="s">
        <v>72</v>
      </c>
    </row>
    <row r="473" spans="1:9" x14ac:dyDescent="0.2">
      <c r="A473" t="s">
        <v>1431</v>
      </c>
      <c r="B473" t="s">
        <v>8</v>
      </c>
      <c r="C473" t="s">
        <v>9</v>
      </c>
      <c r="D473">
        <v>1</v>
      </c>
      <c r="E473">
        <v>0</v>
      </c>
      <c r="F473">
        <v>1</v>
      </c>
      <c r="G473">
        <v>0</v>
      </c>
      <c r="H473">
        <v>2</v>
      </c>
      <c r="I473" t="s">
        <v>72</v>
      </c>
    </row>
    <row r="474" spans="1:9" x14ac:dyDescent="0.2">
      <c r="A474" t="s">
        <v>229</v>
      </c>
      <c r="B474" t="s">
        <v>7</v>
      </c>
      <c r="C474" t="s">
        <v>9</v>
      </c>
      <c r="D474">
        <v>1</v>
      </c>
      <c r="E474">
        <v>0</v>
      </c>
      <c r="F474">
        <v>1</v>
      </c>
      <c r="G474">
        <v>0</v>
      </c>
      <c r="H474">
        <v>2</v>
      </c>
      <c r="I474" t="s">
        <v>72</v>
      </c>
    </row>
    <row r="475" spans="1:9" x14ac:dyDescent="0.2">
      <c r="A475" t="s">
        <v>230</v>
      </c>
      <c r="B475" t="s">
        <v>8</v>
      </c>
      <c r="C475" t="s">
        <v>9</v>
      </c>
      <c r="D475">
        <v>1</v>
      </c>
      <c r="E475">
        <v>0</v>
      </c>
      <c r="F475">
        <v>1</v>
      </c>
      <c r="G475">
        <v>1</v>
      </c>
      <c r="H475">
        <v>0</v>
      </c>
      <c r="I475" t="s">
        <v>72</v>
      </c>
    </row>
    <row r="476" spans="1:9" x14ac:dyDescent="0.2">
      <c r="A476" t="s">
        <v>1432</v>
      </c>
      <c r="B476" t="s">
        <v>7</v>
      </c>
      <c r="C476" t="s">
        <v>9</v>
      </c>
      <c r="D476">
        <v>1</v>
      </c>
      <c r="E476">
        <v>0</v>
      </c>
      <c r="F476">
        <v>1</v>
      </c>
      <c r="G476">
        <v>1</v>
      </c>
      <c r="H476">
        <v>0</v>
      </c>
      <c r="I476" t="s">
        <v>60</v>
      </c>
    </row>
    <row r="477" spans="1:9" x14ac:dyDescent="0.2">
      <c r="A477" t="s">
        <v>1433</v>
      </c>
      <c r="B477" t="s">
        <v>8</v>
      </c>
      <c r="C477" t="s">
        <v>9</v>
      </c>
      <c r="D477">
        <v>1</v>
      </c>
      <c r="E477">
        <v>0</v>
      </c>
      <c r="F477">
        <v>1</v>
      </c>
      <c r="G477">
        <v>1</v>
      </c>
      <c r="H477">
        <v>1</v>
      </c>
      <c r="I477" t="s">
        <v>72</v>
      </c>
    </row>
    <row r="478" spans="1:9" x14ac:dyDescent="0.2">
      <c r="A478" t="s">
        <v>231</v>
      </c>
      <c r="B478" t="s">
        <v>7</v>
      </c>
      <c r="C478" t="s">
        <v>9</v>
      </c>
      <c r="D478">
        <v>1</v>
      </c>
      <c r="E478">
        <v>0</v>
      </c>
      <c r="F478">
        <v>1</v>
      </c>
      <c r="G478">
        <v>1</v>
      </c>
      <c r="H478">
        <v>1</v>
      </c>
      <c r="I478" t="s">
        <v>444</v>
      </c>
    </row>
    <row r="479" spans="1:9" x14ac:dyDescent="0.2">
      <c r="A479" t="s">
        <v>232</v>
      </c>
      <c r="B479" t="s">
        <v>8</v>
      </c>
      <c r="C479" t="s">
        <v>9</v>
      </c>
      <c r="D479">
        <v>1</v>
      </c>
      <c r="E479">
        <v>0</v>
      </c>
      <c r="F479">
        <v>1</v>
      </c>
      <c r="G479">
        <v>1</v>
      </c>
      <c r="H479">
        <v>2</v>
      </c>
      <c r="I479" t="s">
        <v>72</v>
      </c>
    </row>
    <row r="480" spans="1:9" x14ac:dyDescent="0.2">
      <c r="A480" t="s">
        <v>1434</v>
      </c>
      <c r="B480" t="s">
        <v>7</v>
      </c>
      <c r="C480" t="s">
        <v>9</v>
      </c>
      <c r="D480">
        <v>1</v>
      </c>
      <c r="E480">
        <v>0</v>
      </c>
      <c r="F480">
        <v>1</v>
      </c>
      <c r="G480">
        <v>1</v>
      </c>
      <c r="H480">
        <v>2</v>
      </c>
      <c r="I480" t="s">
        <v>62</v>
      </c>
    </row>
    <row r="481" spans="1:9" x14ac:dyDescent="0.2">
      <c r="A481" t="s">
        <v>1435</v>
      </c>
      <c r="B481" t="s">
        <v>6</v>
      </c>
      <c r="C481" t="s">
        <v>7</v>
      </c>
      <c r="D481" t="s">
        <v>12</v>
      </c>
      <c r="E481">
        <v>1</v>
      </c>
      <c r="F481">
        <v>1</v>
      </c>
      <c r="G481">
        <v>0</v>
      </c>
      <c r="H481">
        <v>0</v>
      </c>
      <c r="I481" t="s">
        <v>72</v>
      </c>
    </row>
    <row r="482" spans="1:9" x14ac:dyDescent="0.2">
      <c r="A482" t="s">
        <v>233</v>
      </c>
      <c r="B482" t="s">
        <v>6</v>
      </c>
      <c r="C482" t="s">
        <v>7</v>
      </c>
      <c r="D482" t="s">
        <v>12</v>
      </c>
      <c r="E482">
        <v>1</v>
      </c>
      <c r="F482">
        <v>1</v>
      </c>
      <c r="G482">
        <v>0</v>
      </c>
      <c r="H482">
        <v>1</v>
      </c>
      <c r="I482" t="s">
        <v>72</v>
      </c>
    </row>
    <row r="483" spans="1:9" x14ac:dyDescent="0.2">
      <c r="A483" t="s">
        <v>234</v>
      </c>
      <c r="B483" t="s">
        <v>6</v>
      </c>
      <c r="C483" t="s">
        <v>7</v>
      </c>
      <c r="D483" t="s">
        <v>12</v>
      </c>
      <c r="E483">
        <v>1</v>
      </c>
      <c r="F483">
        <v>1</v>
      </c>
      <c r="G483">
        <v>0</v>
      </c>
      <c r="H483">
        <v>2</v>
      </c>
      <c r="I483" t="s">
        <v>75</v>
      </c>
    </row>
    <row r="484" spans="1:9" x14ac:dyDescent="0.2">
      <c r="A484" t="s">
        <v>1436</v>
      </c>
      <c r="B484" t="s">
        <v>8</v>
      </c>
      <c r="C484" t="s">
        <v>9</v>
      </c>
      <c r="D484">
        <v>1</v>
      </c>
      <c r="E484">
        <v>1</v>
      </c>
      <c r="F484">
        <v>0</v>
      </c>
      <c r="G484">
        <v>0</v>
      </c>
      <c r="H484">
        <v>0</v>
      </c>
      <c r="I484" t="s">
        <v>72</v>
      </c>
    </row>
    <row r="485" spans="1:9" x14ac:dyDescent="0.2">
      <c r="A485" t="s">
        <v>1437</v>
      </c>
      <c r="B485" t="s">
        <v>7</v>
      </c>
      <c r="C485" t="s">
        <v>9</v>
      </c>
      <c r="D485">
        <v>1</v>
      </c>
      <c r="E485">
        <v>1</v>
      </c>
      <c r="F485">
        <v>0</v>
      </c>
      <c r="G485">
        <v>0</v>
      </c>
      <c r="H485">
        <v>0</v>
      </c>
      <c r="I485" t="s">
        <v>60</v>
      </c>
    </row>
    <row r="486" spans="1:9" x14ac:dyDescent="0.2">
      <c r="A486" t="s">
        <v>235</v>
      </c>
      <c r="B486" t="s">
        <v>8</v>
      </c>
      <c r="C486" t="s">
        <v>9</v>
      </c>
      <c r="D486">
        <v>1</v>
      </c>
      <c r="E486">
        <v>1</v>
      </c>
      <c r="F486">
        <v>0</v>
      </c>
      <c r="G486">
        <v>0</v>
      </c>
      <c r="H486">
        <v>1</v>
      </c>
      <c r="I486" t="s">
        <v>72</v>
      </c>
    </row>
    <row r="487" spans="1:9" x14ac:dyDescent="0.2">
      <c r="A487" t="s">
        <v>236</v>
      </c>
      <c r="B487" t="s">
        <v>7</v>
      </c>
      <c r="C487" t="s">
        <v>9</v>
      </c>
      <c r="D487">
        <v>1</v>
      </c>
      <c r="E487">
        <v>1</v>
      </c>
      <c r="F487">
        <v>0</v>
      </c>
      <c r="G487">
        <v>0</v>
      </c>
      <c r="H487">
        <v>1</v>
      </c>
      <c r="I487" t="s">
        <v>444</v>
      </c>
    </row>
    <row r="488" spans="1:9" x14ac:dyDescent="0.2">
      <c r="A488" t="s">
        <v>1438</v>
      </c>
      <c r="B488" t="s">
        <v>8</v>
      </c>
      <c r="C488" t="s">
        <v>9</v>
      </c>
      <c r="D488">
        <v>1</v>
      </c>
      <c r="E488">
        <v>1</v>
      </c>
      <c r="F488">
        <v>0</v>
      </c>
      <c r="G488">
        <v>0</v>
      </c>
      <c r="H488">
        <v>2</v>
      </c>
      <c r="I488" t="s">
        <v>72</v>
      </c>
    </row>
    <row r="489" spans="1:9" x14ac:dyDescent="0.2">
      <c r="A489" t="s">
        <v>1439</v>
      </c>
      <c r="B489" t="s">
        <v>7</v>
      </c>
      <c r="C489" t="s">
        <v>9</v>
      </c>
      <c r="D489">
        <v>1</v>
      </c>
      <c r="E489">
        <v>1</v>
      </c>
      <c r="F489">
        <v>0</v>
      </c>
      <c r="G489">
        <v>0</v>
      </c>
      <c r="H489">
        <v>2</v>
      </c>
      <c r="I489" t="s">
        <v>62</v>
      </c>
    </row>
    <row r="490" spans="1:9" x14ac:dyDescent="0.2">
      <c r="A490" t="s">
        <v>237</v>
      </c>
      <c r="B490" t="s">
        <v>8</v>
      </c>
      <c r="C490" t="s">
        <v>9</v>
      </c>
      <c r="D490">
        <v>1</v>
      </c>
      <c r="E490">
        <v>1</v>
      </c>
      <c r="F490">
        <v>0</v>
      </c>
      <c r="G490">
        <v>1</v>
      </c>
      <c r="H490">
        <v>0</v>
      </c>
      <c r="I490" t="s">
        <v>72</v>
      </c>
    </row>
    <row r="491" spans="1:9" x14ac:dyDescent="0.2">
      <c r="A491" t="s">
        <v>238</v>
      </c>
      <c r="B491" t="s">
        <v>7</v>
      </c>
      <c r="C491" t="s">
        <v>9</v>
      </c>
      <c r="D491">
        <v>1</v>
      </c>
      <c r="E491">
        <v>1</v>
      </c>
      <c r="F491">
        <v>0</v>
      </c>
      <c r="G491">
        <v>1</v>
      </c>
      <c r="H491">
        <v>0</v>
      </c>
      <c r="I491" t="s">
        <v>72</v>
      </c>
    </row>
    <row r="492" spans="1:9" x14ac:dyDescent="0.2">
      <c r="A492" t="s">
        <v>1440</v>
      </c>
      <c r="B492" t="s">
        <v>8</v>
      </c>
      <c r="C492" t="s">
        <v>9</v>
      </c>
      <c r="D492">
        <v>1</v>
      </c>
      <c r="E492">
        <v>1</v>
      </c>
      <c r="F492">
        <v>0</v>
      </c>
      <c r="G492">
        <v>1</v>
      </c>
      <c r="H492">
        <v>1</v>
      </c>
      <c r="I492" t="s">
        <v>72</v>
      </c>
    </row>
    <row r="493" spans="1:9" x14ac:dyDescent="0.2">
      <c r="A493" t="s">
        <v>1441</v>
      </c>
      <c r="B493" t="s">
        <v>7</v>
      </c>
      <c r="C493" t="s">
        <v>9</v>
      </c>
      <c r="D493">
        <v>1</v>
      </c>
      <c r="E493">
        <v>1</v>
      </c>
      <c r="F493">
        <v>0</v>
      </c>
      <c r="G493">
        <v>1</v>
      </c>
      <c r="H493">
        <v>1</v>
      </c>
      <c r="I493" t="s">
        <v>72</v>
      </c>
    </row>
    <row r="494" spans="1:9" x14ac:dyDescent="0.2">
      <c r="A494" t="s">
        <v>239</v>
      </c>
      <c r="B494" t="s">
        <v>8</v>
      </c>
      <c r="C494" t="s">
        <v>9</v>
      </c>
      <c r="D494">
        <v>1</v>
      </c>
      <c r="E494">
        <v>1</v>
      </c>
      <c r="F494">
        <v>0</v>
      </c>
      <c r="G494">
        <v>1</v>
      </c>
      <c r="H494">
        <v>2</v>
      </c>
      <c r="I494" t="s">
        <v>72</v>
      </c>
    </row>
    <row r="495" spans="1:9" x14ac:dyDescent="0.2">
      <c r="A495" t="s">
        <v>240</v>
      </c>
      <c r="B495" t="s">
        <v>7</v>
      </c>
      <c r="C495" t="s">
        <v>9</v>
      </c>
      <c r="D495">
        <v>1</v>
      </c>
      <c r="E495">
        <v>1</v>
      </c>
      <c r="F495">
        <v>0</v>
      </c>
      <c r="G495">
        <v>1</v>
      </c>
      <c r="H495">
        <v>2</v>
      </c>
      <c r="I495" t="s">
        <v>72</v>
      </c>
    </row>
    <row r="496" spans="1:9" x14ac:dyDescent="0.2">
      <c r="A496" t="s">
        <v>1442</v>
      </c>
      <c r="B496" t="s">
        <v>6</v>
      </c>
      <c r="C496" t="s">
        <v>7</v>
      </c>
      <c r="D496" t="s">
        <v>12</v>
      </c>
      <c r="E496">
        <v>1</v>
      </c>
      <c r="F496">
        <v>1</v>
      </c>
      <c r="G496">
        <v>1</v>
      </c>
      <c r="H496">
        <v>0</v>
      </c>
      <c r="I496" t="s">
        <v>72</v>
      </c>
    </row>
    <row r="497" spans="1:9" x14ac:dyDescent="0.2">
      <c r="A497" t="s">
        <v>1443</v>
      </c>
      <c r="B497" t="s">
        <v>6</v>
      </c>
      <c r="C497" t="s">
        <v>7</v>
      </c>
      <c r="D497" t="s">
        <v>12</v>
      </c>
      <c r="E497">
        <v>1</v>
      </c>
      <c r="F497">
        <v>1</v>
      </c>
      <c r="G497">
        <v>1</v>
      </c>
      <c r="H497">
        <v>1</v>
      </c>
      <c r="I497" t="s">
        <v>72</v>
      </c>
    </row>
    <row r="498" spans="1:9" x14ac:dyDescent="0.2">
      <c r="A498" t="s">
        <v>241</v>
      </c>
      <c r="B498" t="s">
        <v>6</v>
      </c>
      <c r="C498" t="s">
        <v>7</v>
      </c>
      <c r="D498" t="s">
        <v>12</v>
      </c>
      <c r="E498">
        <v>1</v>
      </c>
      <c r="F498">
        <v>1</v>
      </c>
      <c r="G498">
        <v>1</v>
      </c>
      <c r="H498">
        <v>2</v>
      </c>
      <c r="I498" t="s">
        <v>75</v>
      </c>
    </row>
    <row r="499" spans="1:9" x14ac:dyDescent="0.2">
      <c r="A499" t="s">
        <v>242</v>
      </c>
      <c r="B499" t="s">
        <v>8</v>
      </c>
      <c r="C499" t="s">
        <v>9</v>
      </c>
      <c r="D499">
        <v>1</v>
      </c>
      <c r="E499">
        <v>1</v>
      </c>
      <c r="F499">
        <v>1</v>
      </c>
      <c r="G499">
        <v>0</v>
      </c>
      <c r="H499">
        <v>0</v>
      </c>
      <c r="I499" t="s">
        <v>72</v>
      </c>
    </row>
    <row r="500" spans="1:9" x14ac:dyDescent="0.2">
      <c r="A500" t="s">
        <v>1444</v>
      </c>
      <c r="B500" t="s">
        <v>7</v>
      </c>
      <c r="C500" t="s">
        <v>9</v>
      </c>
      <c r="D500">
        <v>1</v>
      </c>
      <c r="E500">
        <v>1</v>
      </c>
      <c r="F500">
        <v>1</v>
      </c>
      <c r="G500">
        <v>0</v>
      </c>
      <c r="H500">
        <v>0</v>
      </c>
      <c r="I500" t="s">
        <v>72</v>
      </c>
    </row>
    <row r="501" spans="1:9" x14ac:dyDescent="0.2">
      <c r="A501" t="s">
        <v>1445</v>
      </c>
      <c r="B501" t="s">
        <v>8</v>
      </c>
      <c r="C501" t="s">
        <v>9</v>
      </c>
      <c r="D501">
        <v>1</v>
      </c>
      <c r="E501">
        <v>1</v>
      </c>
      <c r="F501">
        <v>1</v>
      </c>
      <c r="G501">
        <v>0</v>
      </c>
      <c r="H501">
        <v>1</v>
      </c>
      <c r="I501" t="s">
        <v>72</v>
      </c>
    </row>
    <row r="502" spans="1:9" x14ac:dyDescent="0.2">
      <c r="A502" t="s">
        <v>243</v>
      </c>
      <c r="B502" t="s">
        <v>7</v>
      </c>
      <c r="C502" t="s">
        <v>9</v>
      </c>
      <c r="D502">
        <v>1</v>
      </c>
      <c r="E502">
        <v>1</v>
      </c>
      <c r="F502">
        <v>1</v>
      </c>
      <c r="G502">
        <v>0</v>
      </c>
      <c r="H502">
        <v>1</v>
      </c>
      <c r="I502" t="s">
        <v>72</v>
      </c>
    </row>
    <row r="503" spans="1:9" x14ac:dyDescent="0.2">
      <c r="A503" t="s">
        <v>244</v>
      </c>
      <c r="B503" t="s">
        <v>8</v>
      </c>
      <c r="C503" t="s">
        <v>9</v>
      </c>
      <c r="D503">
        <v>1</v>
      </c>
      <c r="E503">
        <v>1</v>
      </c>
      <c r="F503">
        <v>1</v>
      </c>
      <c r="G503">
        <v>0</v>
      </c>
      <c r="H503">
        <v>2</v>
      </c>
      <c r="I503" t="s">
        <v>72</v>
      </c>
    </row>
    <row r="504" spans="1:9" x14ac:dyDescent="0.2">
      <c r="A504" t="s">
        <v>1446</v>
      </c>
      <c r="B504" t="s">
        <v>7</v>
      </c>
      <c r="C504" t="s">
        <v>9</v>
      </c>
      <c r="D504">
        <v>1</v>
      </c>
      <c r="E504">
        <v>1</v>
      </c>
      <c r="F504">
        <v>1</v>
      </c>
      <c r="G504">
        <v>0</v>
      </c>
      <c r="H504">
        <v>2</v>
      </c>
      <c r="I504" t="s">
        <v>72</v>
      </c>
    </row>
    <row r="505" spans="1:9" x14ac:dyDescent="0.2">
      <c r="A505" t="s">
        <v>1447</v>
      </c>
      <c r="B505" t="s">
        <v>8</v>
      </c>
      <c r="C505" t="s">
        <v>9</v>
      </c>
      <c r="D505">
        <v>1</v>
      </c>
      <c r="E505">
        <v>1</v>
      </c>
      <c r="F505">
        <v>1</v>
      </c>
      <c r="G505">
        <v>1</v>
      </c>
      <c r="H505">
        <v>0</v>
      </c>
      <c r="I505" t="s">
        <v>72</v>
      </c>
    </row>
    <row r="506" spans="1:9" x14ac:dyDescent="0.2">
      <c r="A506" t="s">
        <v>245</v>
      </c>
      <c r="B506" t="s">
        <v>7</v>
      </c>
      <c r="C506" t="s">
        <v>9</v>
      </c>
      <c r="D506">
        <v>1</v>
      </c>
      <c r="E506">
        <v>1</v>
      </c>
      <c r="F506">
        <v>1</v>
      </c>
      <c r="G506">
        <v>1</v>
      </c>
      <c r="H506">
        <v>0</v>
      </c>
      <c r="I506" t="s">
        <v>60</v>
      </c>
    </row>
    <row r="507" spans="1:9" x14ac:dyDescent="0.2">
      <c r="A507" t="s">
        <v>246</v>
      </c>
      <c r="B507" t="s">
        <v>8</v>
      </c>
      <c r="C507" t="s">
        <v>9</v>
      </c>
      <c r="D507">
        <v>1</v>
      </c>
      <c r="E507">
        <v>1</v>
      </c>
      <c r="F507">
        <v>1</v>
      </c>
      <c r="G507">
        <v>1</v>
      </c>
      <c r="H507">
        <v>1</v>
      </c>
      <c r="I507" t="s">
        <v>72</v>
      </c>
    </row>
    <row r="508" spans="1:9" x14ac:dyDescent="0.2">
      <c r="A508" t="s">
        <v>1448</v>
      </c>
      <c r="B508" t="s">
        <v>7</v>
      </c>
      <c r="C508" t="s">
        <v>9</v>
      </c>
      <c r="D508">
        <v>1</v>
      </c>
      <c r="E508">
        <v>1</v>
      </c>
      <c r="F508">
        <v>1</v>
      </c>
      <c r="G508">
        <v>1</v>
      </c>
      <c r="H508">
        <v>1</v>
      </c>
      <c r="I508" t="s">
        <v>444</v>
      </c>
    </row>
    <row r="509" spans="1:9" x14ac:dyDescent="0.2">
      <c r="A509" t="s">
        <v>1449</v>
      </c>
      <c r="B509" t="s">
        <v>8</v>
      </c>
      <c r="C509" t="s">
        <v>9</v>
      </c>
      <c r="D509">
        <v>1</v>
      </c>
      <c r="E509">
        <v>1</v>
      </c>
      <c r="F509">
        <v>1</v>
      </c>
      <c r="G509">
        <v>1</v>
      </c>
      <c r="H509">
        <v>2</v>
      </c>
      <c r="I509" t="s">
        <v>72</v>
      </c>
    </row>
    <row r="510" spans="1:9" x14ac:dyDescent="0.2">
      <c r="A510" t="s">
        <v>247</v>
      </c>
      <c r="B510" t="s">
        <v>7</v>
      </c>
      <c r="C510" t="s">
        <v>9</v>
      </c>
      <c r="D510">
        <v>1</v>
      </c>
      <c r="E510">
        <v>1</v>
      </c>
      <c r="F510">
        <v>1</v>
      </c>
      <c r="G510">
        <v>1</v>
      </c>
      <c r="H510">
        <v>2</v>
      </c>
      <c r="I510" t="s">
        <v>62</v>
      </c>
    </row>
    <row r="511" spans="1:9" x14ac:dyDescent="0.2">
      <c r="A511" t="s">
        <v>248</v>
      </c>
      <c r="B511" t="s">
        <v>6</v>
      </c>
      <c r="C511" t="s">
        <v>7</v>
      </c>
      <c r="D511" t="s">
        <v>12</v>
      </c>
      <c r="E511">
        <v>1</v>
      </c>
      <c r="F511">
        <v>2</v>
      </c>
      <c r="G511">
        <v>0</v>
      </c>
      <c r="H511">
        <v>0</v>
      </c>
      <c r="I511" t="s">
        <v>72</v>
      </c>
    </row>
    <row r="512" spans="1:9" x14ac:dyDescent="0.2">
      <c r="A512" t="s">
        <v>1450</v>
      </c>
      <c r="B512" t="s">
        <v>6</v>
      </c>
      <c r="C512" t="s">
        <v>7</v>
      </c>
      <c r="D512" t="s">
        <v>12</v>
      </c>
      <c r="E512">
        <v>1</v>
      </c>
      <c r="F512">
        <v>2</v>
      </c>
      <c r="G512">
        <v>0</v>
      </c>
      <c r="H512">
        <v>1</v>
      </c>
      <c r="I512" t="s">
        <v>72</v>
      </c>
    </row>
    <row r="513" spans="1:9" x14ac:dyDescent="0.2">
      <c r="A513" t="s">
        <v>1451</v>
      </c>
      <c r="B513" t="s">
        <v>6</v>
      </c>
      <c r="C513" t="s">
        <v>7</v>
      </c>
      <c r="D513" t="s">
        <v>12</v>
      </c>
      <c r="E513">
        <v>1</v>
      </c>
      <c r="F513">
        <v>2</v>
      </c>
      <c r="G513">
        <v>0</v>
      </c>
      <c r="H513">
        <v>2</v>
      </c>
      <c r="I513" t="s">
        <v>75</v>
      </c>
    </row>
    <row r="514" spans="1:9" x14ac:dyDescent="0.2">
      <c r="A514" t="s">
        <v>249</v>
      </c>
      <c r="B514" t="s">
        <v>8</v>
      </c>
      <c r="C514" t="s">
        <v>9</v>
      </c>
      <c r="D514">
        <v>1</v>
      </c>
      <c r="E514">
        <v>2</v>
      </c>
      <c r="F514">
        <v>0</v>
      </c>
      <c r="G514">
        <v>0</v>
      </c>
      <c r="H514">
        <v>0</v>
      </c>
      <c r="I514" t="s">
        <v>72</v>
      </c>
    </row>
    <row r="515" spans="1:9" x14ac:dyDescent="0.2">
      <c r="A515" t="s">
        <v>250</v>
      </c>
      <c r="B515" t="s">
        <v>7</v>
      </c>
      <c r="C515" t="s">
        <v>9</v>
      </c>
      <c r="D515">
        <v>1</v>
      </c>
      <c r="E515">
        <v>2</v>
      </c>
      <c r="F515">
        <v>0</v>
      </c>
      <c r="G515">
        <v>0</v>
      </c>
      <c r="H515">
        <v>0</v>
      </c>
      <c r="I515" t="s">
        <v>60</v>
      </c>
    </row>
    <row r="516" spans="1:9" x14ac:dyDescent="0.2">
      <c r="A516" t="s">
        <v>1452</v>
      </c>
      <c r="B516" t="s">
        <v>8</v>
      </c>
      <c r="C516" t="s">
        <v>9</v>
      </c>
      <c r="D516">
        <v>1</v>
      </c>
      <c r="E516">
        <v>2</v>
      </c>
      <c r="F516">
        <v>0</v>
      </c>
      <c r="G516">
        <v>0</v>
      </c>
      <c r="H516">
        <v>1</v>
      </c>
      <c r="I516" t="s">
        <v>72</v>
      </c>
    </row>
    <row r="517" spans="1:9" x14ac:dyDescent="0.2">
      <c r="A517" t="s">
        <v>1453</v>
      </c>
      <c r="B517" t="s">
        <v>7</v>
      </c>
      <c r="C517" t="s">
        <v>9</v>
      </c>
      <c r="D517">
        <v>1</v>
      </c>
      <c r="E517">
        <v>2</v>
      </c>
      <c r="F517">
        <v>0</v>
      </c>
      <c r="G517">
        <v>0</v>
      </c>
      <c r="H517">
        <v>1</v>
      </c>
      <c r="I517" t="s">
        <v>444</v>
      </c>
    </row>
    <row r="518" spans="1:9" x14ac:dyDescent="0.2">
      <c r="A518" t="s">
        <v>251</v>
      </c>
      <c r="B518" t="s">
        <v>8</v>
      </c>
      <c r="C518" t="s">
        <v>9</v>
      </c>
      <c r="D518">
        <v>1</v>
      </c>
      <c r="E518">
        <v>2</v>
      </c>
      <c r="F518">
        <v>0</v>
      </c>
      <c r="G518">
        <v>0</v>
      </c>
      <c r="H518">
        <v>2</v>
      </c>
      <c r="I518" t="s">
        <v>72</v>
      </c>
    </row>
    <row r="519" spans="1:9" x14ac:dyDescent="0.2">
      <c r="A519" t="s">
        <v>252</v>
      </c>
      <c r="B519" t="s">
        <v>7</v>
      </c>
      <c r="C519" t="s">
        <v>9</v>
      </c>
      <c r="D519">
        <v>1</v>
      </c>
      <c r="E519">
        <v>2</v>
      </c>
      <c r="F519">
        <v>0</v>
      </c>
      <c r="G519">
        <v>0</v>
      </c>
      <c r="H519">
        <v>2</v>
      </c>
      <c r="I519" t="s">
        <v>62</v>
      </c>
    </row>
    <row r="520" spans="1:9" x14ac:dyDescent="0.2">
      <c r="A520" t="s">
        <v>1454</v>
      </c>
      <c r="B520" t="s">
        <v>8</v>
      </c>
      <c r="C520" t="s">
        <v>9</v>
      </c>
      <c r="D520">
        <v>1</v>
      </c>
      <c r="E520">
        <v>2</v>
      </c>
      <c r="F520">
        <v>0</v>
      </c>
      <c r="G520">
        <v>1</v>
      </c>
      <c r="H520">
        <v>0</v>
      </c>
      <c r="I520" t="s">
        <v>72</v>
      </c>
    </row>
    <row r="521" spans="1:9" x14ac:dyDescent="0.2">
      <c r="A521" t="s">
        <v>1455</v>
      </c>
      <c r="B521" t="s">
        <v>7</v>
      </c>
      <c r="C521" t="s">
        <v>9</v>
      </c>
      <c r="D521">
        <v>1</v>
      </c>
      <c r="E521">
        <v>2</v>
      </c>
      <c r="F521">
        <v>0</v>
      </c>
      <c r="G521">
        <v>1</v>
      </c>
      <c r="H521">
        <v>0</v>
      </c>
      <c r="I521" t="s">
        <v>72</v>
      </c>
    </row>
    <row r="522" spans="1:9" x14ac:dyDescent="0.2">
      <c r="A522" t="s">
        <v>253</v>
      </c>
      <c r="B522" t="s">
        <v>8</v>
      </c>
      <c r="C522" t="s">
        <v>9</v>
      </c>
      <c r="D522">
        <v>1</v>
      </c>
      <c r="E522">
        <v>2</v>
      </c>
      <c r="F522">
        <v>0</v>
      </c>
      <c r="G522">
        <v>1</v>
      </c>
      <c r="H522">
        <v>1</v>
      </c>
      <c r="I522" t="s">
        <v>72</v>
      </c>
    </row>
    <row r="523" spans="1:9" x14ac:dyDescent="0.2">
      <c r="A523" t="s">
        <v>254</v>
      </c>
      <c r="B523" t="s">
        <v>7</v>
      </c>
      <c r="C523" t="s">
        <v>9</v>
      </c>
      <c r="D523">
        <v>1</v>
      </c>
      <c r="E523">
        <v>2</v>
      </c>
      <c r="F523">
        <v>0</v>
      </c>
      <c r="G523">
        <v>1</v>
      </c>
      <c r="H523">
        <v>1</v>
      </c>
      <c r="I523" t="s">
        <v>72</v>
      </c>
    </row>
    <row r="524" spans="1:9" x14ac:dyDescent="0.2">
      <c r="A524" t="s">
        <v>1456</v>
      </c>
      <c r="B524" t="s">
        <v>8</v>
      </c>
      <c r="C524" t="s">
        <v>9</v>
      </c>
      <c r="D524">
        <v>1</v>
      </c>
      <c r="E524">
        <v>2</v>
      </c>
      <c r="F524">
        <v>0</v>
      </c>
      <c r="G524">
        <v>1</v>
      </c>
      <c r="H524">
        <v>2</v>
      </c>
      <c r="I524" t="s">
        <v>72</v>
      </c>
    </row>
    <row r="525" spans="1:9" x14ac:dyDescent="0.2">
      <c r="A525" t="s">
        <v>1457</v>
      </c>
      <c r="B525" t="s">
        <v>7</v>
      </c>
      <c r="C525" t="s">
        <v>9</v>
      </c>
      <c r="D525">
        <v>1</v>
      </c>
      <c r="E525">
        <v>2</v>
      </c>
      <c r="F525">
        <v>0</v>
      </c>
      <c r="G525">
        <v>1</v>
      </c>
      <c r="H525">
        <v>2</v>
      </c>
      <c r="I525" t="s">
        <v>72</v>
      </c>
    </row>
    <row r="526" spans="1:9" x14ac:dyDescent="0.2">
      <c r="A526" t="s">
        <v>255</v>
      </c>
      <c r="B526" t="s">
        <v>6</v>
      </c>
      <c r="C526" t="s">
        <v>7</v>
      </c>
      <c r="D526" t="s">
        <v>12</v>
      </c>
      <c r="E526">
        <v>1</v>
      </c>
      <c r="F526">
        <v>2</v>
      </c>
      <c r="G526">
        <v>1</v>
      </c>
      <c r="H526">
        <v>0</v>
      </c>
      <c r="I526" t="s">
        <v>72</v>
      </c>
    </row>
    <row r="527" spans="1:9" x14ac:dyDescent="0.2">
      <c r="A527" t="s">
        <v>256</v>
      </c>
      <c r="B527" t="s">
        <v>6</v>
      </c>
      <c r="C527" t="s">
        <v>7</v>
      </c>
      <c r="D527" t="s">
        <v>12</v>
      </c>
      <c r="E527">
        <v>1</v>
      </c>
      <c r="F527">
        <v>2</v>
      </c>
      <c r="G527">
        <v>1</v>
      </c>
      <c r="H527">
        <v>1</v>
      </c>
      <c r="I527" t="s">
        <v>72</v>
      </c>
    </row>
    <row r="528" spans="1:9" x14ac:dyDescent="0.2">
      <c r="A528" t="s">
        <v>1458</v>
      </c>
      <c r="B528" t="s">
        <v>6</v>
      </c>
      <c r="C528" t="s">
        <v>7</v>
      </c>
      <c r="D528" t="s">
        <v>12</v>
      </c>
      <c r="E528">
        <v>1</v>
      </c>
      <c r="F528">
        <v>2</v>
      </c>
      <c r="G528">
        <v>1</v>
      </c>
      <c r="H528">
        <v>2</v>
      </c>
      <c r="I528" t="s">
        <v>75</v>
      </c>
    </row>
    <row r="529" spans="1:9" x14ac:dyDescent="0.2">
      <c r="A529" t="s">
        <v>1459</v>
      </c>
      <c r="B529" t="s">
        <v>8</v>
      </c>
      <c r="C529" t="s">
        <v>9</v>
      </c>
      <c r="D529">
        <v>1</v>
      </c>
      <c r="E529">
        <v>2</v>
      </c>
      <c r="F529">
        <v>1</v>
      </c>
      <c r="G529">
        <v>0</v>
      </c>
      <c r="H529">
        <v>0</v>
      </c>
      <c r="I529" t="s">
        <v>72</v>
      </c>
    </row>
    <row r="530" spans="1:9" x14ac:dyDescent="0.2">
      <c r="A530" t="s">
        <v>257</v>
      </c>
      <c r="B530" t="s">
        <v>7</v>
      </c>
      <c r="C530" t="s">
        <v>9</v>
      </c>
      <c r="D530">
        <v>1</v>
      </c>
      <c r="E530">
        <v>2</v>
      </c>
      <c r="F530">
        <v>1</v>
      </c>
      <c r="G530">
        <v>0</v>
      </c>
      <c r="H530">
        <v>0</v>
      </c>
      <c r="I530" t="s">
        <v>72</v>
      </c>
    </row>
    <row r="531" spans="1:9" x14ac:dyDescent="0.2">
      <c r="A531" t="s">
        <v>258</v>
      </c>
      <c r="B531" t="s">
        <v>8</v>
      </c>
      <c r="C531" t="s">
        <v>9</v>
      </c>
      <c r="D531">
        <v>1</v>
      </c>
      <c r="E531">
        <v>2</v>
      </c>
      <c r="F531">
        <v>1</v>
      </c>
      <c r="G531">
        <v>0</v>
      </c>
      <c r="H531">
        <v>1</v>
      </c>
      <c r="I531" t="s">
        <v>72</v>
      </c>
    </row>
    <row r="532" spans="1:9" x14ac:dyDescent="0.2">
      <c r="A532" t="s">
        <v>1460</v>
      </c>
      <c r="B532" t="s">
        <v>7</v>
      </c>
      <c r="C532" t="s">
        <v>9</v>
      </c>
      <c r="D532">
        <v>1</v>
      </c>
      <c r="E532">
        <v>2</v>
      </c>
      <c r="F532">
        <v>1</v>
      </c>
      <c r="G532">
        <v>0</v>
      </c>
      <c r="H532">
        <v>1</v>
      </c>
      <c r="I532" t="s">
        <v>72</v>
      </c>
    </row>
    <row r="533" spans="1:9" x14ac:dyDescent="0.2">
      <c r="A533" t="s">
        <v>1461</v>
      </c>
      <c r="B533" t="s">
        <v>8</v>
      </c>
      <c r="C533" t="s">
        <v>9</v>
      </c>
      <c r="D533">
        <v>1</v>
      </c>
      <c r="E533">
        <v>2</v>
      </c>
      <c r="F533">
        <v>1</v>
      </c>
      <c r="G533">
        <v>0</v>
      </c>
      <c r="H533">
        <v>2</v>
      </c>
      <c r="I533" t="s">
        <v>72</v>
      </c>
    </row>
    <row r="534" spans="1:9" x14ac:dyDescent="0.2">
      <c r="A534" t="s">
        <v>259</v>
      </c>
      <c r="B534" t="s">
        <v>7</v>
      </c>
      <c r="C534" t="s">
        <v>9</v>
      </c>
      <c r="D534">
        <v>1</v>
      </c>
      <c r="E534">
        <v>2</v>
      </c>
      <c r="F534">
        <v>1</v>
      </c>
      <c r="G534">
        <v>0</v>
      </c>
      <c r="H534">
        <v>2</v>
      </c>
      <c r="I534" t="s">
        <v>72</v>
      </c>
    </row>
    <row r="535" spans="1:9" x14ac:dyDescent="0.2">
      <c r="A535" t="s">
        <v>260</v>
      </c>
      <c r="B535" t="s">
        <v>8</v>
      </c>
      <c r="C535" t="s">
        <v>9</v>
      </c>
      <c r="D535">
        <v>1</v>
      </c>
      <c r="E535">
        <v>2</v>
      </c>
      <c r="F535">
        <v>1</v>
      </c>
      <c r="G535">
        <v>1</v>
      </c>
      <c r="H535">
        <v>0</v>
      </c>
      <c r="I535" t="s">
        <v>72</v>
      </c>
    </row>
    <row r="536" spans="1:9" x14ac:dyDescent="0.2">
      <c r="A536" t="s">
        <v>1462</v>
      </c>
      <c r="B536" t="s">
        <v>7</v>
      </c>
      <c r="C536" t="s">
        <v>9</v>
      </c>
      <c r="D536">
        <v>1</v>
      </c>
      <c r="E536">
        <v>2</v>
      </c>
      <c r="F536">
        <v>1</v>
      </c>
      <c r="G536">
        <v>1</v>
      </c>
      <c r="H536">
        <v>0</v>
      </c>
      <c r="I536" t="s">
        <v>60</v>
      </c>
    </row>
    <row r="537" spans="1:9" x14ac:dyDescent="0.2">
      <c r="A537" t="s">
        <v>1463</v>
      </c>
      <c r="B537" t="s">
        <v>8</v>
      </c>
      <c r="C537" t="s">
        <v>9</v>
      </c>
      <c r="D537">
        <v>1</v>
      </c>
      <c r="E537">
        <v>2</v>
      </c>
      <c r="F537">
        <v>1</v>
      </c>
      <c r="G537">
        <v>1</v>
      </c>
      <c r="H537">
        <v>1</v>
      </c>
      <c r="I537" t="s">
        <v>72</v>
      </c>
    </row>
    <row r="538" spans="1:9" x14ac:dyDescent="0.2">
      <c r="A538" t="s">
        <v>261</v>
      </c>
      <c r="B538" t="s">
        <v>7</v>
      </c>
      <c r="C538" t="s">
        <v>9</v>
      </c>
      <c r="D538">
        <v>1</v>
      </c>
      <c r="E538">
        <v>2</v>
      </c>
      <c r="F538">
        <v>1</v>
      </c>
      <c r="G538">
        <v>1</v>
      </c>
      <c r="H538">
        <v>1</v>
      </c>
      <c r="I538" t="s">
        <v>444</v>
      </c>
    </row>
    <row r="539" spans="1:9" x14ac:dyDescent="0.2">
      <c r="A539" t="s">
        <v>262</v>
      </c>
      <c r="B539" t="s">
        <v>8</v>
      </c>
      <c r="C539" t="s">
        <v>9</v>
      </c>
      <c r="D539">
        <v>1</v>
      </c>
      <c r="E539">
        <v>2</v>
      </c>
      <c r="F539">
        <v>1</v>
      </c>
      <c r="G539">
        <v>1</v>
      </c>
      <c r="H539">
        <v>2</v>
      </c>
      <c r="I539" t="s">
        <v>72</v>
      </c>
    </row>
    <row r="540" spans="1:9" x14ac:dyDescent="0.2">
      <c r="A540" t="s">
        <v>1464</v>
      </c>
      <c r="B540" t="s">
        <v>7</v>
      </c>
      <c r="C540" t="s">
        <v>9</v>
      </c>
      <c r="D540">
        <v>1</v>
      </c>
      <c r="E540">
        <v>2</v>
      </c>
      <c r="F540">
        <v>1</v>
      </c>
      <c r="G540">
        <v>1</v>
      </c>
      <c r="H540">
        <v>2</v>
      </c>
      <c r="I540" t="s">
        <v>62</v>
      </c>
    </row>
    <row r="541" spans="1:9" x14ac:dyDescent="0.2">
      <c r="A541" t="s">
        <v>1465</v>
      </c>
      <c r="B541" t="s">
        <v>6</v>
      </c>
      <c r="C541" t="s">
        <v>7</v>
      </c>
      <c r="D541" t="s">
        <v>12</v>
      </c>
      <c r="E541">
        <v>1</v>
      </c>
      <c r="F541">
        <v>3</v>
      </c>
      <c r="G541">
        <v>0</v>
      </c>
      <c r="H541">
        <v>0</v>
      </c>
      <c r="I541" t="s">
        <v>72</v>
      </c>
    </row>
    <row r="542" spans="1:9" x14ac:dyDescent="0.2">
      <c r="A542" t="s">
        <v>263</v>
      </c>
      <c r="B542" t="s">
        <v>6</v>
      </c>
      <c r="C542" t="s">
        <v>7</v>
      </c>
      <c r="D542" t="s">
        <v>12</v>
      </c>
      <c r="E542">
        <v>1</v>
      </c>
      <c r="F542">
        <v>3</v>
      </c>
      <c r="G542">
        <v>0</v>
      </c>
      <c r="H542">
        <v>1</v>
      </c>
      <c r="I542" t="s">
        <v>72</v>
      </c>
    </row>
    <row r="543" spans="1:9" x14ac:dyDescent="0.2">
      <c r="A543" t="s">
        <v>264</v>
      </c>
      <c r="B543" t="s">
        <v>6</v>
      </c>
      <c r="C543" t="s">
        <v>7</v>
      </c>
      <c r="D543" t="s">
        <v>12</v>
      </c>
      <c r="E543">
        <v>1</v>
      </c>
      <c r="F543">
        <v>3</v>
      </c>
      <c r="G543">
        <v>0</v>
      </c>
      <c r="H543">
        <v>2</v>
      </c>
      <c r="I543" t="s">
        <v>75</v>
      </c>
    </row>
    <row r="544" spans="1:9" x14ac:dyDescent="0.2">
      <c r="A544" t="s">
        <v>1466</v>
      </c>
      <c r="B544" t="s">
        <v>8</v>
      </c>
      <c r="C544" t="s">
        <v>9</v>
      </c>
      <c r="D544">
        <v>1</v>
      </c>
      <c r="E544">
        <v>3</v>
      </c>
      <c r="F544">
        <v>0</v>
      </c>
      <c r="G544">
        <v>0</v>
      </c>
      <c r="H544">
        <v>0</v>
      </c>
      <c r="I544" t="s">
        <v>72</v>
      </c>
    </row>
    <row r="545" spans="1:9" x14ac:dyDescent="0.2">
      <c r="A545" t="s">
        <v>1467</v>
      </c>
      <c r="B545" t="s">
        <v>7</v>
      </c>
      <c r="C545" t="s">
        <v>9</v>
      </c>
      <c r="D545">
        <v>1</v>
      </c>
      <c r="E545">
        <v>3</v>
      </c>
      <c r="F545">
        <v>0</v>
      </c>
      <c r="G545">
        <v>0</v>
      </c>
      <c r="H545">
        <v>0</v>
      </c>
      <c r="I545" t="s">
        <v>60</v>
      </c>
    </row>
    <row r="546" spans="1:9" x14ac:dyDescent="0.2">
      <c r="A546" t="s">
        <v>265</v>
      </c>
      <c r="B546" t="s">
        <v>8</v>
      </c>
      <c r="C546" t="s">
        <v>9</v>
      </c>
      <c r="D546">
        <v>1</v>
      </c>
      <c r="E546">
        <v>3</v>
      </c>
      <c r="F546">
        <v>0</v>
      </c>
      <c r="G546">
        <v>0</v>
      </c>
      <c r="H546">
        <v>1</v>
      </c>
      <c r="I546" t="s">
        <v>72</v>
      </c>
    </row>
    <row r="547" spans="1:9" x14ac:dyDescent="0.2">
      <c r="A547" t="s">
        <v>266</v>
      </c>
      <c r="B547" t="s">
        <v>7</v>
      </c>
      <c r="C547" t="s">
        <v>9</v>
      </c>
      <c r="D547">
        <v>1</v>
      </c>
      <c r="E547">
        <v>3</v>
      </c>
      <c r="F547">
        <v>0</v>
      </c>
      <c r="G547">
        <v>0</v>
      </c>
      <c r="H547">
        <v>1</v>
      </c>
      <c r="I547" t="s">
        <v>444</v>
      </c>
    </row>
    <row r="548" spans="1:9" x14ac:dyDescent="0.2">
      <c r="A548" t="s">
        <v>1468</v>
      </c>
      <c r="B548" t="s">
        <v>8</v>
      </c>
      <c r="C548" t="s">
        <v>9</v>
      </c>
      <c r="D548">
        <v>1</v>
      </c>
      <c r="E548">
        <v>3</v>
      </c>
      <c r="F548">
        <v>0</v>
      </c>
      <c r="G548">
        <v>0</v>
      </c>
      <c r="H548">
        <v>2</v>
      </c>
      <c r="I548" t="s">
        <v>72</v>
      </c>
    </row>
    <row r="549" spans="1:9" x14ac:dyDescent="0.2">
      <c r="A549" t="s">
        <v>1469</v>
      </c>
      <c r="B549" t="s">
        <v>7</v>
      </c>
      <c r="C549" t="s">
        <v>9</v>
      </c>
      <c r="D549">
        <v>1</v>
      </c>
      <c r="E549">
        <v>3</v>
      </c>
      <c r="F549">
        <v>0</v>
      </c>
      <c r="G549">
        <v>0</v>
      </c>
      <c r="H549">
        <v>2</v>
      </c>
      <c r="I549" t="s">
        <v>62</v>
      </c>
    </row>
    <row r="550" spans="1:9" x14ac:dyDescent="0.2">
      <c r="A550" t="s">
        <v>267</v>
      </c>
      <c r="B550" t="s">
        <v>8</v>
      </c>
      <c r="C550" t="s">
        <v>9</v>
      </c>
      <c r="D550">
        <v>1</v>
      </c>
      <c r="E550">
        <v>3</v>
      </c>
      <c r="F550">
        <v>0</v>
      </c>
      <c r="G550">
        <v>1</v>
      </c>
      <c r="H550">
        <v>0</v>
      </c>
      <c r="I550" t="s">
        <v>72</v>
      </c>
    </row>
    <row r="551" spans="1:9" x14ac:dyDescent="0.2">
      <c r="A551" t="s">
        <v>268</v>
      </c>
      <c r="B551" t="s">
        <v>7</v>
      </c>
      <c r="C551" t="s">
        <v>9</v>
      </c>
      <c r="D551">
        <v>1</v>
      </c>
      <c r="E551">
        <v>3</v>
      </c>
      <c r="F551">
        <v>0</v>
      </c>
      <c r="G551">
        <v>1</v>
      </c>
      <c r="H551">
        <v>0</v>
      </c>
      <c r="I551" t="s">
        <v>72</v>
      </c>
    </row>
    <row r="552" spans="1:9" x14ac:dyDescent="0.2">
      <c r="A552" t="s">
        <v>1470</v>
      </c>
      <c r="B552" t="s">
        <v>8</v>
      </c>
      <c r="C552" t="s">
        <v>9</v>
      </c>
      <c r="D552">
        <v>1</v>
      </c>
      <c r="E552">
        <v>3</v>
      </c>
      <c r="F552">
        <v>0</v>
      </c>
      <c r="G552">
        <v>1</v>
      </c>
      <c r="H552">
        <v>1</v>
      </c>
      <c r="I552" t="s">
        <v>72</v>
      </c>
    </row>
    <row r="553" spans="1:9" x14ac:dyDescent="0.2">
      <c r="A553" t="s">
        <v>1471</v>
      </c>
      <c r="B553" t="s">
        <v>7</v>
      </c>
      <c r="C553" t="s">
        <v>9</v>
      </c>
      <c r="D553">
        <v>1</v>
      </c>
      <c r="E553">
        <v>3</v>
      </c>
      <c r="F553">
        <v>0</v>
      </c>
      <c r="G553">
        <v>1</v>
      </c>
      <c r="H553">
        <v>1</v>
      </c>
      <c r="I553" t="s">
        <v>72</v>
      </c>
    </row>
    <row r="554" spans="1:9" x14ac:dyDescent="0.2">
      <c r="A554" t="s">
        <v>269</v>
      </c>
      <c r="B554" t="s">
        <v>8</v>
      </c>
      <c r="C554" t="s">
        <v>9</v>
      </c>
      <c r="D554">
        <v>1</v>
      </c>
      <c r="E554">
        <v>3</v>
      </c>
      <c r="F554">
        <v>0</v>
      </c>
      <c r="G554">
        <v>1</v>
      </c>
      <c r="H554">
        <v>2</v>
      </c>
      <c r="I554" t="s">
        <v>72</v>
      </c>
    </row>
    <row r="555" spans="1:9" x14ac:dyDescent="0.2">
      <c r="A555" t="s">
        <v>270</v>
      </c>
      <c r="B555" t="s">
        <v>7</v>
      </c>
      <c r="C555" t="s">
        <v>9</v>
      </c>
      <c r="D555">
        <v>1</v>
      </c>
      <c r="E555">
        <v>3</v>
      </c>
      <c r="F555">
        <v>0</v>
      </c>
      <c r="G555">
        <v>1</v>
      </c>
      <c r="H555">
        <v>2</v>
      </c>
      <c r="I555" t="s">
        <v>72</v>
      </c>
    </row>
    <row r="556" spans="1:9" x14ac:dyDescent="0.2">
      <c r="A556" t="s">
        <v>1472</v>
      </c>
      <c r="B556" t="s">
        <v>6</v>
      </c>
      <c r="C556" t="s">
        <v>7</v>
      </c>
      <c r="D556" t="s">
        <v>12</v>
      </c>
      <c r="E556">
        <v>1</v>
      </c>
      <c r="F556">
        <v>3</v>
      </c>
      <c r="G556">
        <v>1</v>
      </c>
      <c r="H556">
        <v>0</v>
      </c>
      <c r="I556" t="s">
        <v>72</v>
      </c>
    </row>
    <row r="557" spans="1:9" x14ac:dyDescent="0.2">
      <c r="A557" t="s">
        <v>1473</v>
      </c>
      <c r="B557" t="s">
        <v>6</v>
      </c>
      <c r="C557" t="s">
        <v>7</v>
      </c>
      <c r="D557" t="s">
        <v>12</v>
      </c>
      <c r="E557">
        <v>1</v>
      </c>
      <c r="F557">
        <v>3</v>
      </c>
      <c r="G557">
        <v>1</v>
      </c>
      <c r="H557">
        <v>1</v>
      </c>
      <c r="I557" t="s">
        <v>72</v>
      </c>
    </row>
    <row r="558" spans="1:9" x14ac:dyDescent="0.2">
      <c r="A558" t="s">
        <v>271</v>
      </c>
      <c r="B558" t="s">
        <v>6</v>
      </c>
      <c r="C558" t="s">
        <v>7</v>
      </c>
      <c r="D558" t="s">
        <v>12</v>
      </c>
      <c r="E558">
        <v>1</v>
      </c>
      <c r="F558">
        <v>3</v>
      </c>
      <c r="G558">
        <v>1</v>
      </c>
      <c r="H558">
        <v>2</v>
      </c>
      <c r="I558" t="s">
        <v>74</v>
      </c>
    </row>
    <row r="559" spans="1:9" x14ac:dyDescent="0.2">
      <c r="A559" t="s">
        <v>272</v>
      </c>
      <c r="B559" t="s">
        <v>8</v>
      </c>
      <c r="C559" t="s">
        <v>9</v>
      </c>
      <c r="D559">
        <v>1</v>
      </c>
      <c r="E559">
        <v>3</v>
      </c>
      <c r="F559">
        <v>1</v>
      </c>
      <c r="G559">
        <v>0</v>
      </c>
      <c r="H559">
        <v>0</v>
      </c>
      <c r="I559" t="s">
        <v>72</v>
      </c>
    </row>
    <row r="560" spans="1:9" x14ac:dyDescent="0.2">
      <c r="A560" t="s">
        <v>1474</v>
      </c>
      <c r="B560" t="s">
        <v>7</v>
      </c>
      <c r="C560" t="s">
        <v>9</v>
      </c>
      <c r="D560">
        <v>1</v>
      </c>
      <c r="E560">
        <v>3</v>
      </c>
      <c r="F560">
        <v>1</v>
      </c>
      <c r="G560">
        <v>0</v>
      </c>
      <c r="H560">
        <v>0</v>
      </c>
      <c r="I560" t="s">
        <v>72</v>
      </c>
    </row>
    <row r="561" spans="1:9" x14ac:dyDescent="0.2">
      <c r="A561" t="s">
        <v>1475</v>
      </c>
      <c r="B561" t="s">
        <v>8</v>
      </c>
      <c r="C561" t="s">
        <v>9</v>
      </c>
      <c r="D561">
        <v>1</v>
      </c>
      <c r="E561">
        <v>3</v>
      </c>
      <c r="F561">
        <v>1</v>
      </c>
      <c r="G561">
        <v>0</v>
      </c>
      <c r="H561">
        <v>1</v>
      </c>
      <c r="I561" t="s">
        <v>72</v>
      </c>
    </row>
    <row r="562" spans="1:9" x14ac:dyDescent="0.2">
      <c r="A562" t="s">
        <v>273</v>
      </c>
      <c r="B562" t="s">
        <v>7</v>
      </c>
      <c r="C562" t="s">
        <v>9</v>
      </c>
      <c r="D562">
        <v>1</v>
      </c>
      <c r="E562">
        <v>3</v>
      </c>
      <c r="F562">
        <v>1</v>
      </c>
      <c r="G562">
        <v>0</v>
      </c>
      <c r="H562">
        <v>1</v>
      </c>
      <c r="I562" t="s">
        <v>72</v>
      </c>
    </row>
    <row r="563" spans="1:9" x14ac:dyDescent="0.2">
      <c r="A563" t="s">
        <v>274</v>
      </c>
      <c r="B563" t="s">
        <v>8</v>
      </c>
      <c r="C563" t="s">
        <v>9</v>
      </c>
      <c r="D563">
        <v>1</v>
      </c>
      <c r="E563">
        <v>3</v>
      </c>
      <c r="F563">
        <v>1</v>
      </c>
      <c r="G563">
        <v>0</v>
      </c>
      <c r="H563">
        <v>2</v>
      </c>
      <c r="I563" t="s">
        <v>72</v>
      </c>
    </row>
    <row r="564" spans="1:9" x14ac:dyDescent="0.2">
      <c r="A564" t="s">
        <v>1476</v>
      </c>
      <c r="B564" t="s">
        <v>7</v>
      </c>
      <c r="C564" t="s">
        <v>9</v>
      </c>
      <c r="D564">
        <v>1</v>
      </c>
      <c r="E564">
        <v>3</v>
      </c>
      <c r="F564">
        <v>1</v>
      </c>
      <c r="G564">
        <v>0</v>
      </c>
      <c r="H564">
        <v>2</v>
      </c>
      <c r="I564" t="s">
        <v>72</v>
      </c>
    </row>
    <row r="565" spans="1:9" x14ac:dyDescent="0.2">
      <c r="A565" t="s">
        <v>1477</v>
      </c>
      <c r="B565" t="s">
        <v>8</v>
      </c>
      <c r="C565" t="s">
        <v>9</v>
      </c>
      <c r="D565">
        <v>1</v>
      </c>
      <c r="E565">
        <v>3</v>
      </c>
      <c r="F565">
        <v>1</v>
      </c>
      <c r="G565">
        <v>1</v>
      </c>
      <c r="H565">
        <v>0</v>
      </c>
      <c r="I565" t="s">
        <v>72</v>
      </c>
    </row>
    <row r="566" spans="1:9" x14ac:dyDescent="0.2">
      <c r="A566" t="s">
        <v>275</v>
      </c>
      <c r="B566" t="s">
        <v>7</v>
      </c>
      <c r="C566" t="s">
        <v>9</v>
      </c>
      <c r="D566">
        <v>1</v>
      </c>
      <c r="E566">
        <v>3</v>
      </c>
      <c r="F566">
        <v>1</v>
      </c>
      <c r="G566">
        <v>1</v>
      </c>
      <c r="H566">
        <v>0</v>
      </c>
      <c r="I566" t="s">
        <v>60</v>
      </c>
    </row>
    <row r="567" spans="1:9" x14ac:dyDescent="0.2">
      <c r="A567" t="s">
        <v>276</v>
      </c>
      <c r="B567" t="s">
        <v>8</v>
      </c>
      <c r="C567" t="s">
        <v>9</v>
      </c>
      <c r="D567">
        <v>1</v>
      </c>
      <c r="E567">
        <v>3</v>
      </c>
      <c r="F567">
        <v>1</v>
      </c>
      <c r="G567">
        <v>1</v>
      </c>
      <c r="H567">
        <v>1</v>
      </c>
      <c r="I567" t="s">
        <v>72</v>
      </c>
    </row>
    <row r="568" spans="1:9" x14ac:dyDescent="0.2">
      <c r="A568" t="s">
        <v>1478</v>
      </c>
      <c r="B568" t="s">
        <v>7</v>
      </c>
      <c r="C568" t="s">
        <v>9</v>
      </c>
      <c r="D568">
        <v>1</v>
      </c>
      <c r="E568">
        <v>3</v>
      </c>
      <c r="F568">
        <v>1</v>
      </c>
      <c r="G568">
        <v>1</v>
      </c>
      <c r="H568">
        <v>1</v>
      </c>
      <c r="I568" t="s">
        <v>61</v>
      </c>
    </row>
    <row r="569" spans="1:9" x14ac:dyDescent="0.2">
      <c r="A569" t="s">
        <v>1479</v>
      </c>
      <c r="B569" t="s">
        <v>8</v>
      </c>
      <c r="C569" t="s">
        <v>9</v>
      </c>
      <c r="D569">
        <v>1</v>
      </c>
      <c r="E569">
        <v>3</v>
      </c>
      <c r="F569">
        <v>1</v>
      </c>
      <c r="G569">
        <v>1</v>
      </c>
      <c r="H569">
        <v>2</v>
      </c>
      <c r="I569" t="s">
        <v>72</v>
      </c>
    </row>
    <row r="570" spans="1:9" x14ac:dyDescent="0.2">
      <c r="A570" t="s">
        <v>277</v>
      </c>
      <c r="B570" t="s">
        <v>7</v>
      </c>
      <c r="C570" t="s">
        <v>9</v>
      </c>
      <c r="D570">
        <v>1</v>
      </c>
      <c r="E570">
        <v>3</v>
      </c>
      <c r="F570">
        <v>1</v>
      </c>
      <c r="G570">
        <v>1</v>
      </c>
      <c r="H570">
        <v>2</v>
      </c>
      <c r="I570" t="s">
        <v>62</v>
      </c>
    </row>
    <row r="571" spans="1:9" x14ac:dyDescent="0.2">
      <c r="A571" t="s">
        <v>278</v>
      </c>
      <c r="B571" t="s">
        <v>6</v>
      </c>
      <c r="C571" t="s">
        <v>7</v>
      </c>
      <c r="D571" t="s">
        <v>12</v>
      </c>
      <c r="E571">
        <v>1</v>
      </c>
      <c r="F571">
        <v>4</v>
      </c>
      <c r="G571">
        <v>0</v>
      </c>
      <c r="H571">
        <v>0</v>
      </c>
      <c r="I571" t="s">
        <v>72</v>
      </c>
    </row>
    <row r="572" spans="1:9" x14ac:dyDescent="0.2">
      <c r="A572" t="s">
        <v>1480</v>
      </c>
      <c r="B572" t="s">
        <v>6</v>
      </c>
      <c r="C572" t="s">
        <v>7</v>
      </c>
      <c r="D572" t="s">
        <v>12</v>
      </c>
      <c r="E572">
        <v>1</v>
      </c>
      <c r="F572">
        <v>4</v>
      </c>
      <c r="G572">
        <v>0</v>
      </c>
      <c r="H572">
        <v>1</v>
      </c>
      <c r="I572" t="s">
        <v>72</v>
      </c>
    </row>
    <row r="573" spans="1:9" x14ac:dyDescent="0.2">
      <c r="A573" t="s">
        <v>1481</v>
      </c>
      <c r="B573" t="s">
        <v>6</v>
      </c>
      <c r="C573" t="s">
        <v>7</v>
      </c>
      <c r="D573" t="s">
        <v>12</v>
      </c>
      <c r="E573">
        <v>1</v>
      </c>
      <c r="F573">
        <v>4</v>
      </c>
      <c r="G573">
        <v>0</v>
      </c>
      <c r="H573">
        <v>2</v>
      </c>
      <c r="I573" t="s">
        <v>446</v>
      </c>
    </row>
    <row r="574" spans="1:9" x14ac:dyDescent="0.2">
      <c r="A574" t="s">
        <v>279</v>
      </c>
      <c r="B574" t="s">
        <v>8</v>
      </c>
      <c r="C574" t="s">
        <v>9</v>
      </c>
      <c r="D574">
        <v>1</v>
      </c>
      <c r="E574">
        <v>4</v>
      </c>
      <c r="F574">
        <v>0</v>
      </c>
      <c r="G574">
        <v>0</v>
      </c>
      <c r="H574">
        <v>0</v>
      </c>
      <c r="I574" t="s">
        <v>72</v>
      </c>
    </row>
    <row r="575" spans="1:9" x14ac:dyDescent="0.2">
      <c r="A575" t="s">
        <v>280</v>
      </c>
      <c r="B575" t="s">
        <v>7</v>
      </c>
      <c r="C575" t="s">
        <v>9</v>
      </c>
      <c r="D575">
        <v>1</v>
      </c>
      <c r="E575">
        <v>4</v>
      </c>
      <c r="F575">
        <v>0</v>
      </c>
      <c r="G575">
        <v>0</v>
      </c>
      <c r="H575">
        <v>0</v>
      </c>
      <c r="I575" t="s">
        <v>60</v>
      </c>
    </row>
    <row r="576" spans="1:9" x14ac:dyDescent="0.2">
      <c r="A576" t="s">
        <v>1482</v>
      </c>
      <c r="B576" t="s">
        <v>8</v>
      </c>
      <c r="C576" t="s">
        <v>9</v>
      </c>
      <c r="D576">
        <v>1</v>
      </c>
      <c r="E576">
        <v>4</v>
      </c>
      <c r="F576">
        <v>0</v>
      </c>
      <c r="G576">
        <v>0</v>
      </c>
      <c r="H576">
        <v>1</v>
      </c>
      <c r="I576" t="s">
        <v>72</v>
      </c>
    </row>
    <row r="577" spans="1:9" x14ac:dyDescent="0.2">
      <c r="A577" t="s">
        <v>1483</v>
      </c>
      <c r="B577" t="s">
        <v>7</v>
      </c>
      <c r="C577" t="s">
        <v>9</v>
      </c>
      <c r="D577">
        <v>1</v>
      </c>
      <c r="E577">
        <v>4</v>
      </c>
      <c r="F577">
        <v>0</v>
      </c>
      <c r="G577">
        <v>0</v>
      </c>
      <c r="H577">
        <v>1</v>
      </c>
      <c r="I577" t="s">
        <v>62</v>
      </c>
    </row>
    <row r="578" spans="1:9" x14ac:dyDescent="0.2">
      <c r="A578" t="s">
        <v>281</v>
      </c>
      <c r="B578" t="s">
        <v>8</v>
      </c>
      <c r="C578" t="s">
        <v>9</v>
      </c>
      <c r="D578">
        <v>1</v>
      </c>
      <c r="E578">
        <v>4</v>
      </c>
      <c r="F578">
        <v>0</v>
      </c>
      <c r="G578">
        <v>0</v>
      </c>
      <c r="H578">
        <v>2</v>
      </c>
      <c r="I578" t="s">
        <v>72</v>
      </c>
    </row>
    <row r="579" spans="1:9" x14ac:dyDescent="0.2">
      <c r="A579" t="s">
        <v>282</v>
      </c>
      <c r="B579" t="s">
        <v>7</v>
      </c>
      <c r="C579" t="s">
        <v>9</v>
      </c>
      <c r="D579">
        <v>1</v>
      </c>
      <c r="E579">
        <v>4</v>
      </c>
      <c r="F579">
        <v>0</v>
      </c>
      <c r="G579">
        <v>0</v>
      </c>
      <c r="H579">
        <v>2</v>
      </c>
      <c r="I579" t="s">
        <v>62</v>
      </c>
    </row>
    <row r="580" spans="1:9" x14ac:dyDescent="0.2">
      <c r="A580" t="s">
        <v>1484</v>
      </c>
      <c r="B580" t="s">
        <v>8</v>
      </c>
      <c r="C580" t="s">
        <v>9</v>
      </c>
      <c r="D580">
        <v>1</v>
      </c>
      <c r="E580">
        <v>4</v>
      </c>
      <c r="F580">
        <v>0</v>
      </c>
      <c r="G580">
        <v>1</v>
      </c>
      <c r="H580">
        <v>0</v>
      </c>
      <c r="I580" t="s">
        <v>72</v>
      </c>
    </row>
    <row r="581" spans="1:9" x14ac:dyDescent="0.2">
      <c r="A581" t="s">
        <v>1485</v>
      </c>
      <c r="B581" t="s">
        <v>7</v>
      </c>
      <c r="C581" t="s">
        <v>9</v>
      </c>
      <c r="D581">
        <v>1</v>
      </c>
      <c r="E581">
        <v>4</v>
      </c>
      <c r="F581">
        <v>0</v>
      </c>
      <c r="G581">
        <v>1</v>
      </c>
      <c r="H581">
        <v>0</v>
      </c>
      <c r="I581" t="s">
        <v>72</v>
      </c>
    </row>
    <row r="582" spans="1:9" x14ac:dyDescent="0.2">
      <c r="A582" t="s">
        <v>283</v>
      </c>
      <c r="B582" t="s">
        <v>8</v>
      </c>
      <c r="C582" t="s">
        <v>9</v>
      </c>
      <c r="D582">
        <v>1</v>
      </c>
      <c r="E582">
        <v>4</v>
      </c>
      <c r="F582">
        <v>0</v>
      </c>
      <c r="G582">
        <v>1</v>
      </c>
      <c r="H582">
        <v>1</v>
      </c>
      <c r="I582" t="s">
        <v>72</v>
      </c>
    </row>
    <row r="583" spans="1:9" x14ac:dyDescent="0.2">
      <c r="A583" t="s">
        <v>284</v>
      </c>
      <c r="B583" t="s">
        <v>7</v>
      </c>
      <c r="C583" t="s">
        <v>9</v>
      </c>
      <c r="D583">
        <v>1</v>
      </c>
      <c r="E583">
        <v>4</v>
      </c>
      <c r="F583">
        <v>0</v>
      </c>
      <c r="G583">
        <v>1</v>
      </c>
      <c r="H583">
        <v>1</v>
      </c>
      <c r="I583" t="s">
        <v>72</v>
      </c>
    </row>
    <row r="584" spans="1:9" x14ac:dyDescent="0.2">
      <c r="A584" t="s">
        <v>1486</v>
      </c>
      <c r="B584" t="s">
        <v>8</v>
      </c>
      <c r="C584" t="s">
        <v>9</v>
      </c>
      <c r="D584">
        <v>1</v>
      </c>
      <c r="E584">
        <v>4</v>
      </c>
      <c r="F584">
        <v>0</v>
      </c>
      <c r="G584">
        <v>1</v>
      </c>
      <c r="H584">
        <v>2</v>
      </c>
      <c r="I584" t="s">
        <v>72</v>
      </c>
    </row>
    <row r="585" spans="1:9" x14ac:dyDescent="0.2">
      <c r="A585" t="s">
        <v>1487</v>
      </c>
      <c r="B585" t="s">
        <v>7</v>
      </c>
      <c r="C585" t="s">
        <v>9</v>
      </c>
      <c r="D585">
        <v>1</v>
      </c>
      <c r="E585">
        <v>4</v>
      </c>
      <c r="F585">
        <v>0</v>
      </c>
      <c r="G585">
        <v>1</v>
      </c>
      <c r="H585">
        <v>2</v>
      </c>
      <c r="I585" t="s">
        <v>72</v>
      </c>
    </row>
    <row r="586" spans="1:9" x14ac:dyDescent="0.2">
      <c r="A586" t="s">
        <v>285</v>
      </c>
      <c r="B586" t="s">
        <v>6</v>
      </c>
      <c r="C586" t="s">
        <v>7</v>
      </c>
      <c r="D586" t="s">
        <v>12</v>
      </c>
      <c r="E586">
        <v>1</v>
      </c>
      <c r="F586">
        <v>4</v>
      </c>
      <c r="G586">
        <v>1</v>
      </c>
      <c r="H586">
        <v>0</v>
      </c>
      <c r="I586" t="s">
        <v>72</v>
      </c>
    </row>
    <row r="587" spans="1:9" x14ac:dyDescent="0.2">
      <c r="A587" t="s">
        <v>286</v>
      </c>
      <c r="B587" t="s">
        <v>6</v>
      </c>
      <c r="C587" t="s">
        <v>7</v>
      </c>
      <c r="D587" t="s">
        <v>12</v>
      </c>
      <c r="E587">
        <v>1</v>
      </c>
      <c r="F587">
        <v>4</v>
      </c>
      <c r="G587">
        <v>1</v>
      </c>
      <c r="H587">
        <v>1</v>
      </c>
      <c r="I587" t="s">
        <v>72</v>
      </c>
    </row>
    <row r="588" spans="1:9" x14ac:dyDescent="0.2">
      <c r="A588" t="s">
        <v>1488</v>
      </c>
      <c r="B588" t="s">
        <v>6</v>
      </c>
      <c r="C588" t="s">
        <v>7</v>
      </c>
      <c r="D588" t="s">
        <v>12</v>
      </c>
      <c r="E588">
        <v>1</v>
      </c>
      <c r="F588">
        <v>4</v>
      </c>
      <c r="G588">
        <v>1</v>
      </c>
      <c r="H588">
        <v>2</v>
      </c>
      <c r="I588" t="s">
        <v>75</v>
      </c>
    </row>
    <row r="589" spans="1:9" x14ac:dyDescent="0.2">
      <c r="A589" t="s">
        <v>1489</v>
      </c>
      <c r="B589" t="s">
        <v>8</v>
      </c>
      <c r="C589" t="s">
        <v>9</v>
      </c>
      <c r="D589">
        <v>1</v>
      </c>
      <c r="E589">
        <v>4</v>
      </c>
      <c r="F589">
        <v>1</v>
      </c>
      <c r="G589">
        <v>0</v>
      </c>
      <c r="H589">
        <v>0</v>
      </c>
      <c r="I589" t="s">
        <v>72</v>
      </c>
    </row>
    <row r="590" spans="1:9" x14ac:dyDescent="0.2">
      <c r="A590" t="s">
        <v>287</v>
      </c>
      <c r="B590" t="s">
        <v>7</v>
      </c>
      <c r="C590" t="s">
        <v>9</v>
      </c>
      <c r="D590">
        <v>1</v>
      </c>
      <c r="E590">
        <v>4</v>
      </c>
      <c r="F590">
        <v>1</v>
      </c>
      <c r="G590">
        <v>0</v>
      </c>
      <c r="H590">
        <v>0</v>
      </c>
      <c r="I590" t="s">
        <v>72</v>
      </c>
    </row>
    <row r="591" spans="1:9" x14ac:dyDescent="0.2">
      <c r="A591" t="s">
        <v>288</v>
      </c>
      <c r="B591" t="s">
        <v>8</v>
      </c>
      <c r="C591" t="s">
        <v>9</v>
      </c>
      <c r="D591">
        <v>1</v>
      </c>
      <c r="E591">
        <v>4</v>
      </c>
      <c r="F591">
        <v>1</v>
      </c>
      <c r="G591">
        <v>0</v>
      </c>
      <c r="H591">
        <v>1</v>
      </c>
      <c r="I591" t="s">
        <v>72</v>
      </c>
    </row>
    <row r="592" spans="1:9" x14ac:dyDescent="0.2">
      <c r="A592" t="s">
        <v>1490</v>
      </c>
      <c r="B592" t="s">
        <v>7</v>
      </c>
      <c r="C592" t="s">
        <v>9</v>
      </c>
      <c r="D592">
        <v>1</v>
      </c>
      <c r="E592">
        <v>4</v>
      </c>
      <c r="F592">
        <v>1</v>
      </c>
      <c r="G592">
        <v>0</v>
      </c>
      <c r="H592">
        <v>1</v>
      </c>
      <c r="I592" t="s">
        <v>72</v>
      </c>
    </row>
    <row r="593" spans="1:9" x14ac:dyDescent="0.2">
      <c r="A593" t="s">
        <v>1491</v>
      </c>
      <c r="B593" t="s">
        <v>8</v>
      </c>
      <c r="C593" t="s">
        <v>9</v>
      </c>
      <c r="D593">
        <v>1</v>
      </c>
      <c r="E593">
        <v>4</v>
      </c>
      <c r="F593">
        <v>1</v>
      </c>
      <c r="G593">
        <v>0</v>
      </c>
      <c r="H593">
        <v>2</v>
      </c>
      <c r="I593" t="s">
        <v>72</v>
      </c>
    </row>
    <row r="594" spans="1:9" x14ac:dyDescent="0.2">
      <c r="A594" t="s">
        <v>289</v>
      </c>
      <c r="B594" t="s">
        <v>7</v>
      </c>
      <c r="C594" t="s">
        <v>9</v>
      </c>
      <c r="D594">
        <v>1</v>
      </c>
      <c r="E594">
        <v>4</v>
      </c>
      <c r="F594">
        <v>1</v>
      </c>
      <c r="G594">
        <v>0</v>
      </c>
      <c r="H594">
        <v>2</v>
      </c>
      <c r="I594" t="s">
        <v>72</v>
      </c>
    </row>
    <row r="595" spans="1:9" x14ac:dyDescent="0.2">
      <c r="A595" t="s">
        <v>290</v>
      </c>
      <c r="B595" t="s">
        <v>8</v>
      </c>
      <c r="C595" t="s">
        <v>9</v>
      </c>
      <c r="D595">
        <v>1</v>
      </c>
      <c r="E595">
        <v>4</v>
      </c>
      <c r="F595">
        <v>1</v>
      </c>
      <c r="G595">
        <v>1</v>
      </c>
      <c r="H595">
        <v>0</v>
      </c>
      <c r="I595" t="s">
        <v>72</v>
      </c>
    </row>
    <row r="596" spans="1:9" x14ac:dyDescent="0.2">
      <c r="A596" t="s">
        <v>1492</v>
      </c>
      <c r="B596" t="s">
        <v>7</v>
      </c>
      <c r="C596" t="s">
        <v>9</v>
      </c>
      <c r="D596">
        <v>1</v>
      </c>
      <c r="E596">
        <v>4</v>
      </c>
      <c r="F596">
        <v>1</v>
      </c>
      <c r="G596">
        <v>1</v>
      </c>
      <c r="H596">
        <v>0</v>
      </c>
      <c r="I596" t="s">
        <v>60</v>
      </c>
    </row>
    <row r="597" spans="1:9" x14ac:dyDescent="0.2">
      <c r="A597" t="s">
        <v>1493</v>
      </c>
      <c r="B597" t="s">
        <v>8</v>
      </c>
      <c r="C597" t="s">
        <v>9</v>
      </c>
      <c r="D597">
        <v>1</v>
      </c>
      <c r="E597">
        <v>4</v>
      </c>
      <c r="F597">
        <v>1</v>
      </c>
      <c r="G597">
        <v>1</v>
      </c>
      <c r="H597">
        <v>1</v>
      </c>
      <c r="I597" t="s">
        <v>72</v>
      </c>
    </row>
    <row r="598" spans="1:9" x14ac:dyDescent="0.2">
      <c r="A598" t="s">
        <v>291</v>
      </c>
      <c r="B598" t="s">
        <v>7</v>
      </c>
      <c r="C598" t="s">
        <v>9</v>
      </c>
      <c r="D598">
        <v>1</v>
      </c>
      <c r="E598">
        <v>4</v>
      </c>
      <c r="F598">
        <v>1</v>
      </c>
      <c r="G598">
        <v>1</v>
      </c>
      <c r="H598">
        <v>1</v>
      </c>
      <c r="I598" t="s">
        <v>444</v>
      </c>
    </row>
    <row r="599" spans="1:9" x14ac:dyDescent="0.2">
      <c r="A599" t="s">
        <v>292</v>
      </c>
      <c r="B599" t="s">
        <v>8</v>
      </c>
      <c r="C599" t="s">
        <v>9</v>
      </c>
      <c r="D599">
        <v>1</v>
      </c>
      <c r="E599">
        <v>4</v>
      </c>
      <c r="F599">
        <v>1</v>
      </c>
      <c r="G599">
        <v>1</v>
      </c>
      <c r="H599">
        <v>2</v>
      </c>
      <c r="I599" t="s">
        <v>72</v>
      </c>
    </row>
    <row r="600" spans="1:9" x14ac:dyDescent="0.2">
      <c r="A600" t="s">
        <v>1494</v>
      </c>
      <c r="B600" t="s">
        <v>7</v>
      </c>
      <c r="C600" t="s">
        <v>9</v>
      </c>
      <c r="D600">
        <v>1</v>
      </c>
      <c r="E600">
        <v>4</v>
      </c>
      <c r="F600">
        <v>1</v>
      </c>
      <c r="G600">
        <v>1</v>
      </c>
      <c r="H600">
        <v>2</v>
      </c>
      <c r="I600" t="s">
        <v>62</v>
      </c>
    </row>
    <row r="601" spans="1:9" x14ac:dyDescent="0.2">
      <c r="A601" t="s">
        <v>1495</v>
      </c>
      <c r="B601" t="s">
        <v>6</v>
      </c>
      <c r="C601" t="s">
        <v>7</v>
      </c>
      <c r="D601" t="s">
        <v>12</v>
      </c>
      <c r="E601">
        <v>1</v>
      </c>
      <c r="F601">
        <v>5</v>
      </c>
      <c r="G601">
        <v>0</v>
      </c>
      <c r="H601">
        <v>0</v>
      </c>
      <c r="I601" t="s">
        <v>72</v>
      </c>
    </row>
    <row r="602" spans="1:9" x14ac:dyDescent="0.2">
      <c r="A602" t="s">
        <v>1496</v>
      </c>
      <c r="B602" t="s">
        <v>6</v>
      </c>
      <c r="C602" t="s">
        <v>7</v>
      </c>
      <c r="D602" t="s">
        <v>12</v>
      </c>
      <c r="E602">
        <v>1</v>
      </c>
      <c r="F602">
        <v>5</v>
      </c>
      <c r="G602">
        <v>0</v>
      </c>
      <c r="H602">
        <v>1</v>
      </c>
      <c r="I602" t="s">
        <v>72</v>
      </c>
    </row>
    <row r="603" spans="1:9" x14ac:dyDescent="0.2">
      <c r="A603" t="s">
        <v>1497</v>
      </c>
      <c r="B603" t="s">
        <v>6</v>
      </c>
      <c r="C603" t="s">
        <v>7</v>
      </c>
      <c r="D603" t="s">
        <v>12</v>
      </c>
      <c r="E603">
        <v>1</v>
      </c>
      <c r="F603">
        <v>5</v>
      </c>
      <c r="G603">
        <v>0</v>
      </c>
      <c r="H603">
        <v>2</v>
      </c>
      <c r="I603" t="s">
        <v>75</v>
      </c>
    </row>
    <row r="604" spans="1:9" x14ac:dyDescent="0.2">
      <c r="A604" t="s">
        <v>1498</v>
      </c>
      <c r="B604" t="s">
        <v>8</v>
      </c>
      <c r="C604" t="s">
        <v>9</v>
      </c>
      <c r="D604">
        <v>1</v>
      </c>
      <c r="E604">
        <v>5</v>
      </c>
      <c r="F604">
        <v>0</v>
      </c>
      <c r="G604">
        <v>0</v>
      </c>
      <c r="H604">
        <v>0</v>
      </c>
      <c r="I604" t="s">
        <v>72</v>
      </c>
    </row>
    <row r="605" spans="1:9" x14ac:dyDescent="0.2">
      <c r="A605" t="s">
        <v>1499</v>
      </c>
      <c r="B605" t="s">
        <v>7</v>
      </c>
      <c r="C605" t="s">
        <v>9</v>
      </c>
      <c r="D605">
        <v>1</v>
      </c>
      <c r="E605">
        <v>5</v>
      </c>
      <c r="F605">
        <v>0</v>
      </c>
      <c r="G605">
        <v>0</v>
      </c>
      <c r="H605">
        <v>0</v>
      </c>
      <c r="I605" t="s">
        <v>60</v>
      </c>
    </row>
    <row r="606" spans="1:9" x14ac:dyDescent="0.2">
      <c r="A606" t="s">
        <v>1500</v>
      </c>
      <c r="B606" t="s">
        <v>8</v>
      </c>
      <c r="C606" t="s">
        <v>9</v>
      </c>
      <c r="D606">
        <v>1</v>
      </c>
      <c r="E606">
        <v>5</v>
      </c>
      <c r="F606">
        <v>0</v>
      </c>
      <c r="G606">
        <v>0</v>
      </c>
      <c r="H606">
        <v>1</v>
      </c>
      <c r="I606" t="s">
        <v>72</v>
      </c>
    </row>
    <row r="607" spans="1:9" x14ac:dyDescent="0.2">
      <c r="A607" t="s">
        <v>1501</v>
      </c>
      <c r="B607" t="s">
        <v>7</v>
      </c>
      <c r="C607" t="s">
        <v>9</v>
      </c>
      <c r="D607">
        <v>1</v>
      </c>
      <c r="E607">
        <v>5</v>
      </c>
      <c r="F607">
        <v>0</v>
      </c>
      <c r="G607">
        <v>0</v>
      </c>
      <c r="H607">
        <v>1</v>
      </c>
      <c r="I607" t="s">
        <v>444</v>
      </c>
    </row>
    <row r="608" spans="1:9" x14ac:dyDescent="0.2">
      <c r="A608" t="s">
        <v>1502</v>
      </c>
      <c r="B608" t="s">
        <v>8</v>
      </c>
      <c r="C608" t="s">
        <v>9</v>
      </c>
      <c r="D608">
        <v>1</v>
      </c>
      <c r="E608">
        <v>5</v>
      </c>
      <c r="F608">
        <v>0</v>
      </c>
      <c r="G608">
        <v>0</v>
      </c>
      <c r="H608">
        <v>2</v>
      </c>
      <c r="I608" t="s">
        <v>72</v>
      </c>
    </row>
    <row r="609" spans="1:9" x14ac:dyDescent="0.2">
      <c r="A609" t="s">
        <v>1503</v>
      </c>
      <c r="B609" t="s">
        <v>7</v>
      </c>
      <c r="C609" t="s">
        <v>9</v>
      </c>
      <c r="D609">
        <v>1</v>
      </c>
      <c r="E609">
        <v>5</v>
      </c>
      <c r="F609">
        <v>0</v>
      </c>
      <c r="G609">
        <v>0</v>
      </c>
      <c r="H609">
        <v>2</v>
      </c>
      <c r="I609" t="s">
        <v>62</v>
      </c>
    </row>
    <row r="610" spans="1:9" x14ac:dyDescent="0.2">
      <c r="A610" t="s">
        <v>1504</v>
      </c>
      <c r="B610" t="s">
        <v>8</v>
      </c>
      <c r="C610" t="s">
        <v>9</v>
      </c>
      <c r="D610">
        <v>1</v>
      </c>
      <c r="E610">
        <v>5</v>
      </c>
      <c r="F610">
        <v>0</v>
      </c>
      <c r="G610">
        <v>1</v>
      </c>
      <c r="H610">
        <v>0</v>
      </c>
      <c r="I610" t="s">
        <v>72</v>
      </c>
    </row>
    <row r="611" spans="1:9" x14ac:dyDescent="0.2">
      <c r="A611" t="s">
        <v>1505</v>
      </c>
      <c r="B611" t="s">
        <v>7</v>
      </c>
      <c r="C611" t="s">
        <v>9</v>
      </c>
      <c r="D611">
        <v>1</v>
      </c>
      <c r="E611">
        <v>5</v>
      </c>
      <c r="F611">
        <v>0</v>
      </c>
      <c r="G611">
        <v>1</v>
      </c>
      <c r="H611">
        <v>0</v>
      </c>
      <c r="I611" t="s">
        <v>72</v>
      </c>
    </row>
    <row r="612" spans="1:9" x14ac:dyDescent="0.2">
      <c r="A612" t="s">
        <v>1506</v>
      </c>
      <c r="B612" t="s">
        <v>8</v>
      </c>
      <c r="C612" t="s">
        <v>9</v>
      </c>
      <c r="D612">
        <v>1</v>
      </c>
      <c r="E612">
        <v>5</v>
      </c>
      <c r="F612">
        <v>0</v>
      </c>
      <c r="G612">
        <v>1</v>
      </c>
      <c r="H612">
        <v>1</v>
      </c>
      <c r="I612" t="s">
        <v>72</v>
      </c>
    </row>
    <row r="613" spans="1:9" x14ac:dyDescent="0.2">
      <c r="A613" t="s">
        <v>1507</v>
      </c>
      <c r="B613" t="s">
        <v>7</v>
      </c>
      <c r="C613" t="s">
        <v>9</v>
      </c>
      <c r="D613">
        <v>1</v>
      </c>
      <c r="E613">
        <v>5</v>
      </c>
      <c r="F613">
        <v>0</v>
      </c>
      <c r="G613">
        <v>1</v>
      </c>
      <c r="H613">
        <v>1</v>
      </c>
      <c r="I613" t="s">
        <v>72</v>
      </c>
    </row>
    <row r="614" spans="1:9" x14ac:dyDescent="0.2">
      <c r="A614" t="s">
        <v>1508</v>
      </c>
      <c r="B614" t="s">
        <v>8</v>
      </c>
      <c r="C614" t="s">
        <v>9</v>
      </c>
      <c r="D614">
        <v>1</v>
      </c>
      <c r="E614">
        <v>5</v>
      </c>
      <c r="F614">
        <v>0</v>
      </c>
      <c r="G614">
        <v>1</v>
      </c>
      <c r="H614">
        <v>2</v>
      </c>
      <c r="I614" t="s">
        <v>72</v>
      </c>
    </row>
    <row r="615" spans="1:9" x14ac:dyDescent="0.2">
      <c r="A615" t="s">
        <v>1509</v>
      </c>
      <c r="B615" t="s">
        <v>7</v>
      </c>
      <c r="C615" t="s">
        <v>9</v>
      </c>
      <c r="D615">
        <v>1</v>
      </c>
      <c r="E615">
        <v>5</v>
      </c>
      <c r="F615">
        <v>0</v>
      </c>
      <c r="G615">
        <v>1</v>
      </c>
      <c r="H615">
        <v>2</v>
      </c>
      <c r="I615" t="s">
        <v>72</v>
      </c>
    </row>
    <row r="616" spans="1:9" x14ac:dyDescent="0.2">
      <c r="A616" t="s">
        <v>1510</v>
      </c>
      <c r="B616" t="s">
        <v>6</v>
      </c>
      <c r="C616" t="s">
        <v>7</v>
      </c>
      <c r="D616" t="s">
        <v>12</v>
      </c>
      <c r="E616">
        <v>1</v>
      </c>
      <c r="F616">
        <v>5</v>
      </c>
      <c r="G616">
        <v>1</v>
      </c>
      <c r="H616">
        <v>0</v>
      </c>
      <c r="I616" t="s">
        <v>72</v>
      </c>
    </row>
    <row r="617" spans="1:9" x14ac:dyDescent="0.2">
      <c r="A617" t="s">
        <v>1511</v>
      </c>
      <c r="B617" t="s">
        <v>6</v>
      </c>
      <c r="C617" t="s">
        <v>7</v>
      </c>
      <c r="D617" t="s">
        <v>12</v>
      </c>
      <c r="E617">
        <v>1</v>
      </c>
      <c r="F617">
        <v>5</v>
      </c>
      <c r="G617">
        <v>1</v>
      </c>
      <c r="H617">
        <v>1</v>
      </c>
      <c r="I617" t="s">
        <v>72</v>
      </c>
    </row>
    <row r="618" spans="1:9" x14ac:dyDescent="0.2">
      <c r="A618" t="s">
        <v>1512</v>
      </c>
      <c r="B618" t="s">
        <v>6</v>
      </c>
      <c r="C618" t="s">
        <v>7</v>
      </c>
      <c r="D618" t="s">
        <v>12</v>
      </c>
      <c r="E618">
        <v>1</v>
      </c>
      <c r="F618">
        <v>5</v>
      </c>
      <c r="G618">
        <v>1</v>
      </c>
      <c r="H618">
        <v>2</v>
      </c>
      <c r="I618" t="s">
        <v>1040</v>
      </c>
    </row>
    <row r="619" spans="1:9" x14ac:dyDescent="0.2">
      <c r="B619" t="s">
        <v>8</v>
      </c>
      <c r="C619" t="s">
        <v>9</v>
      </c>
      <c r="D619">
        <v>1</v>
      </c>
      <c r="E619">
        <v>5</v>
      </c>
      <c r="F619">
        <v>1</v>
      </c>
      <c r="G619">
        <v>0</v>
      </c>
      <c r="H619">
        <v>0</v>
      </c>
      <c r="I619" t="s">
        <v>72</v>
      </c>
    </row>
    <row r="620" spans="1:9" x14ac:dyDescent="0.2">
      <c r="B620" t="s">
        <v>7</v>
      </c>
      <c r="C620" t="s">
        <v>9</v>
      </c>
      <c r="D620">
        <v>1</v>
      </c>
      <c r="E620">
        <v>5</v>
      </c>
      <c r="F620">
        <v>1</v>
      </c>
      <c r="G620">
        <v>0</v>
      </c>
      <c r="H620">
        <v>0</v>
      </c>
      <c r="I620" t="s">
        <v>72</v>
      </c>
    </row>
    <row r="621" spans="1:9" x14ac:dyDescent="0.2">
      <c r="B621" t="s">
        <v>8</v>
      </c>
      <c r="C621" t="s">
        <v>9</v>
      </c>
      <c r="D621">
        <v>1</v>
      </c>
      <c r="E621">
        <v>5</v>
      </c>
      <c r="F621">
        <v>1</v>
      </c>
      <c r="G621">
        <v>0</v>
      </c>
      <c r="H621">
        <v>1</v>
      </c>
      <c r="I621" t="s">
        <v>72</v>
      </c>
    </row>
    <row r="622" spans="1:9" x14ac:dyDescent="0.2">
      <c r="B622" t="s">
        <v>7</v>
      </c>
      <c r="C622" t="s">
        <v>9</v>
      </c>
      <c r="D622">
        <v>1</v>
      </c>
      <c r="E622">
        <v>5</v>
      </c>
      <c r="F622">
        <v>1</v>
      </c>
      <c r="G622">
        <v>0</v>
      </c>
      <c r="H622">
        <v>1</v>
      </c>
      <c r="I622" t="s">
        <v>72</v>
      </c>
    </row>
    <row r="623" spans="1:9" x14ac:dyDescent="0.2">
      <c r="B623" t="s">
        <v>8</v>
      </c>
      <c r="C623" t="s">
        <v>9</v>
      </c>
      <c r="D623">
        <v>1</v>
      </c>
      <c r="E623">
        <v>5</v>
      </c>
      <c r="F623">
        <v>1</v>
      </c>
      <c r="G623">
        <v>0</v>
      </c>
      <c r="H623">
        <v>2</v>
      </c>
      <c r="I623" t="s">
        <v>72</v>
      </c>
    </row>
    <row r="624" spans="1:9" x14ac:dyDescent="0.2">
      <c r="B624" t="s">
        <v>7</v>
      </c>
      <c r="C624" t="s">
        <v>9</v>
      </c>
      <c r="D624">
        <v>1</v>
      </c>
      <c r="E624">
        <v>5</v>
      </c>
      <c r="F624">
        <v>1</v>
      </c>
      <c r="G624">
        <v>0</v>
      </c>
      <c r="H624">
        <v>2</v>
      </c>
      <c r="I624" t="s">
        <v>72</v>
      </c>
    </row>
    <row r="625" spans="2:9" x14ac:dyDescent="0.2">
      <c r="B625" t="s">
        <v>8</v>
      </c>
      <c r="C625" t="s">
        <v>9</v>
      </c>
      <c r="D625">
        <v>1</v>
      </c>
      <c r="E625">
        <v>5</v>
      </c>
      <c r="F625">
        <v>1</v>
      </c>
      <c r="G625">
        <v>1</v>
      </c>
      <c r="H625">
        <v>0</v>
      </c>
      <c r="I625" t="s">
        <v>72</v>
      </c>
    </row>
    <row r="626" spans="2:9" x14ac:dyDescent="0.2">
      <c r="B626" t="s">
        <v>7</v>
      </c>
      <c r="C626" t="s">
        <v>9</v>
      </c>
      <c r="D626">
        <v>1</v>
      </c>
      <c r="E626">
        <v>5</v>
      </c>
      <c r="F626">
        <v>1</v>
      </c>
      <c r="G626">
        <v>1</v>
      </c>
      <c r="H626">
        <v>0</v>
      </c>
      <c r="I626" t="s">
        <v>60</v>
      </c>
    </row>
    <row r="627" spans="2:9" x14ac:dyDescent="0.2">
      <c r="B627" t="s">
        <v>8</v>
      </c>
      <c r="C627" t="s">
        <v>9</v>
      </c>
      <c r="D627">
        <v>1</v>
      </c>
      <c r="E627">
        <v>5</v>
      </c>
      <c r="F627">
        <v>1</v>
      </c>
      <c r="G627">
        <v>1</v>
      </c>
      <c r="H627">
        <v>1</v>
      </c>
      <c r="I627" t="s">
        <v>72</v>
      </c>
    </row>
    <row r="628" spans="2:9" x14ac:dyDescent="0.2">
      <c r="B628" t="s">
        <v>7</v>
      </c>
      <c r="C628" t="s">
        <v>9</v>
      </c>
      <c r="D628">
        <v>1</v>
      </c>
      <c r="E628">
        <v>5</v>
      </c>
      <c r="F628">
        <v>1</v>
      </c>
      <c r="G628">
        <v>1</v>
      </c>
      <c r="H628">
        <v>1</v>
      </c>
      <c r="I628" t="s">
        <v>1041</v>
      </c>
    </row>
    <row r="629" spans="2:9" x14ac:dyDescent="0.2">
      <c r="B629" t="s">
        <v>8</v>
      </c>
      <c r="C629" t="s">
        <v>9</v>
      </c>
      <c r="D629">
        <v>1</v>
      </c>
      <c r="E629">
        <v>5</v>
      </c>
      <c r="F629">
        <v>1</v>
      </c>
      <c r="G629">
        <v>1</v>
      </c>
      <c r="H629">
        <v>2</v>
      </c>
      <c r="I629" t="s">
        <v>72</v>
      </c>
    </row>
    <row r="630" spans="2:9" x14ac:dyDescent="0.2">
      <c r="B630" t="s">
        <v>7</v>
      </c>
      <c r="C630" t="s">
        <v>9</v>
      </c>
      <c r="D630">
        <v>1</v>
      </c>
      <c r="E630">
        <v>5</v>
      </c>
      <c r="F630">
        <v>1</v>
      </c>
      <c r="G630">
        <v>1</v>
      </c>
      <c r="H630">
        <v>2</v>
      </c>
      <c r="I630" t="s">
        <v>62</v>
      </c>
    </row>
    <row r="631" spans="2:9" x14ac:dyDescent="0.2">
      <c r="B631" t="s">
        <v>6</v>
      </c>
      <c r="C631" t="s">
        <v>7</v>
      </c>
      <c r="D631" t="s">
        <v>12</v>
      </c>
      <c r="E631">
        <v>1</v>
      </c>
      <c r="F631">
        <v>6</v>
      </c>
      <c r="G631">
        <v>0</v>
      </c>
      <c r="H631">
        <v>0</v>
      </c>
      <c r="I631" t="s">
        <v>72</v>
      </c>
    </row>
    <row r="632" spans="2:9" x14ac:dyDescent="0.2">
      <c r="B632" t="s">
        <v>6</v>
      </c>
      <c r="C632" t="s">
        <v>7</v>
      </c>
      <c r="D632" t="s">
        <v>12</v>
      </c>
      <c r="E632">
        <v>1</v>
      </c>
      <c r="F632">
        <v>6</v>
      </c>
      <c r="G632">
        <v>0</v>
      </c>
      <c r="H632">
        <v>1</v>
      </c>
      <c r="I632" t="s">
        <v>72</v>
      </c>
    </row>
    <row r="633" spans="2:9" x14ac:dyDescent="0.2">
      <c r="B633" t="s">
        <v>6</v>
      </c>
      <c r="C633" t="s">
        <v>7</v>
      </c>
      <c r="D633" t="s">
        <v>12</v>
      </c>
      <c r="E633">
        <v>1</v>
      </c>
      <c r="F633">
        <v>6</v>
      </c>
      <c r="G633">
        <v>0</v>
      </c>
      <c r="H633">
        <v>2</v>
      </c>
      <c r="I633" t="s">
        <v>75</v>
      </c>
    </row>
    <row r="634" spans="2:9" x14ac:dyDescent="0.2">
      <c r="B634" t="s">
        <v>8</v>
      </c>
      <c r="C634" t="s">
        <v>9</v>
      </c>
      <c r="D634">
        <v>1</v>
      </c>
      <c r="E634">
        <v>6</v>
      </c>
      <c r="F634">
        <v>0</v>
      </c>
      <c r="G634">
        <v>0</v>
      </c>
      <c r="H634">
        <v>0</v>
      </c>
      <c r="I634" t="s">
        <v>72</v>
      </c>
    </row>
    <row r="635" spans="2:9" x14ac:dyDescent="0.2">
      <c r="B635" t="s">
        <v>7</v>
      </c>
      <c r="C635" t="s">
        <v>9</v>
      </c>
      <c r="D635">
        <v>1</v>
      </c>
      <c r="E635">
        <v>6</v>
      </c>
      <c r="F635">
        <v>0</v>
      </c>
      <c r="G635">
        <v>0</v>
      </c>
      <c r="H635">
        <v>0</v>
      </c>
      <c r="I635" t="s">
        <v>60</v>
      </c>
    </row>
    <row r="636" spans="2:9" x14ac:dyDescent="0.2">
      <c r="B636" t="s">
        <v>8</v>
      </c>
      <c r="C636" t="s">
        <v>9</v>
      </c>
      <c r="D636">
        <v>1</v>
      </c>
      <c r="E636">
        <v>6</v>
      </c>
      <c r="F636">
        <v>0</v>
      </c>
      <c r="G636">
        <v>0</v>
      </c>
      <c r="H636">
        <v>1</v>
      </c>
      <c r="I636" t="s">
        <v>72</v>
      </c>
    </row>
    <row r="637" spans="2:9" x14ac:dyDescent="0.2">
      <c r="B637" t="s">
        <v>7</v>
      </c>
      <c r="C637" t="s">
        <v>9</v>
      </c>
      <c r="D637">
        <v>1</v>
      </c>
      <c r="E637">
        <v>6</v>
      </c>
      <c r="F637">
        <v>0</v>
      </c>
      <c r="G637">
        <v>0</v>
      </c>
      <c r="H637">
        <v>1</v>
      </c>
      <c r="I637" t="s">
        <v>444</v>
      </c>
    </row>
    <row r="638" spans="2:9" x14ac:dyDescent="0.2">
      <c r="B638" t="s">
        <v>8</v>
      </c>
      <c r="C638" t="s">
        <v>9</v>
      </c>
      <c r="D638">
        <v>1</v>
      </c>
      <c r="E638">
        <v>6</v>
      </c>
      <c r="F638">
        <v>0</v>
      </c>
      <c r="G638">
        <v>0</v>
      </c>
      <c r="H638">
        <v>2</v>
      </c>
      <c r="I638" t="s">
        <v>72</v>
      </c>
    </row>
    <row r="639" spans="2:9" x14ac:dyDescent="0.2">
      <c r="B639" t="s">
        <v>7</v>
      </c>
      <c r="C639" t="s">
        <v>9</v>
      </c>
      <c r="D639">
        <v>1</v>
      </c>
      <c r="E639">
        <v>6</v>
      </c>
      <c r="F639">
        <v>0</v>
      </c>
      <c r="G639">
        <v>0</v>
      </c>
      <c r="H639">
        <v>2</v>
      </c>
      <c r="I639" t="s">
        <v>62</v>
      </c>
    </row>
    <row r="640" spans="2:9" x14ac:dyDescent="0.2">
      <c r="B640" t="s">
        <v>8</v>
      </c>
      <c r="C640" t="s">
        <v>9</v>
      </c>
      <c r="D640">
        <v>1</v>
      </c>
      <c r="E640">
        <v>6</v>
      </c>
      <c r="F640">
        <v>0</v>
      </c>
      <c r="G640">
        <v>1</v>
      </c>
      <c r="H640">
        <v>0</v>
      </c>
      <c r="I640" t="s">
        <v>72</v>
      </c>
    </row>
    <row r="641" spans="2:9" x14ac:dyDescent="0.2">
      <c r="B641" t="s">
        <v>7</v>
      </c>
      <c r="C641" t="s">
        <v>9</v>
      </c>
      <c r="D641">
        <v>1</v>
      </c>
      <c r="E641">
        <v>6</v>
      </c>
      <c r="F641">
        <v>0</v>
      </c>
      <c r="G641">
        <v>1</v>
      </c>
      <c r="H641">
        <v>0</v>
      </c>
      <c r="I641" t="s">
        <v>72</v>
      </c>
    </row>
    <row r="642" spans="2:9" x14ac:dyDescent="0.2">
      <c r="B642" t="s">
        <v>8</v>
      </c>
      <c r="C642" t="s">
        <v>9</v>
      </c>
      <c r="D642">
        <v>1</v>
      </c>
      <c r="E642">
        <v>6</v>
      </c>
      <c r="F642">
        <v>0</v>
      </c>
      <c r="G642">
        <v>1</v>
      </c>
      <c r="H642">
        <v>1</v>
      </c>
      <c r="I642" t="s">
        <v>72</v>
      </c>
    </row>
    <row r="643" spans="2:9" x14ac:dyDescent="0.2">
      <c r="B643" t="s">
        <v>7</v>
      </c>
      <c r="C643" t="s">
        <v>9</v>
      </c>
      <c r="D643">
        <v>1</v>
      </c>
      <c r="E643">
        <v>6</v>
      </c>
      <c r="F643">
        <v>0</v>
      </c>
      <c r="G643">
        <v>1</v>
      </c>
      <c r="H643">
        <v>1</v>
      </c>
      <c r="I643" t="s">
        <v>72</v>
      </c>
    </row>
    <row r="644" spans="2:9" x14ac:dyDescent="0.2">
      <c r="B644" t="s">
        <v>8</v>
      </c>
      <c r="C644" t="s">
        <v>9</v>
      </c>
      <c r="D644">
        <v>1</v>
      </c>
      <c r="E644">
        <v>6</v>
      </c>
      <c r="F644">
        <v>0</v>
      </c>
      <c r="G644">
        <v>1</v>
      </c>
      <c r="H644">
        <v>2</v>
      </c>
      <c r="I644" t="s">
        <v>72</v>
      </c>
    </row>
    <row r="645" spans="2:9" x14ac:dyDescent="0.2">
      <c r="B645" t="s">
        <v>7</v>
      </c>
      <c r="C645" t="s">
        <v>9</v>
      </c>
      <c r="D645">
        <v>1</v>
      </c>
      <c r="E645">
        <v>6</v>
      </c>
      <c r="F645">
        <v>0</v>
      </c>
      <c r="G645">
        <v>1</v>
      </c>
      <c r="H645">
        <v>2</v>
      </c>
      <c r="I645" t="s">
        <v>72</v>
      </c>
    </row>
    <row r="646" spans="2:9" x14ac:dyDescent="0.2">
      <c r="B646" t="s">
        <v>6</v>
      </c>
      <c r="C646" t="s">
        <v>7</v>
      </c>
      <c r="D646" t="s">
        <v>12</v>
      </c>
      <c r="E646">
        <v>1</v>
      </c>
      <c r="F646">
        <v>6</v>
      </c>
      <c r="G646">
        <v>1</v>
      </c>
      <c r="H646">
        <v>0</v>
      </c>
      <c r="I646" t="s">
        <v>72</v>
      </c>
    </row>
    <row r="647" spans="2:9" x14ac:dyDescent="0.2">
      <c r="B647" t="s">
        <v>6</v>
      </c>
      <c r="C647" t="s">
        <v>7</v>
      </c>
      <c r="D647" t="s">
        <v>12</v>
      </c>
      <c r="E647">
        <v>1</v>
      </c>
      <c r="F647">
        <v>6</v>
      </c>
      <c r="G647">
        <v>1</v>
      </c>
      <c r="H647">
        <v>1</v>
      </c>
      <c r="I647" t="s">
        <v>72</v>
      </c>
    </row>
    <row r="648" spans="2:9" x14ac:dyDescent="0.2">
      <c r="B648" t="s">
        <v>6</v>
      </c>
      <c r="C648" t="s">
        <v>7</v>
      </c>
      <c r="D648" t="s">
        <v>12</v>
      </c>
      <c r="E648">
        <v>1</v>
      </c>
      <c r="F648">
        <v>6</v>
      </c>
      <c r="G648">
        <v>1</v>
      </c>
      <c r="H648">
        <v>2</v>
      </c>
      <c r="I648" t="s">
        <v>75</v>
      </c>
    </row>
    <row r="649" spans="2:9" x14ac:dyDescent="0.2">
      <c r="B649" t="s">
        <v>8</v>
      </c>
      <c r="C649" t="s">
        <v>9</v>
      </c>
      <c r="D649">
        <v>1</v>
      </c>
      <c r="E649">
        <v>6</v>
      </c>
      <c r="F649">
        <v>1</v>
      </c>
      <c r="G649">
        <v>0</v>
      </c>
      <c r="H649">
        <v>0</v>
      </c>
      <c r="I649" t="s">
        <v>72</v>
      </c>
    </row>
    <row r="650" spans="2:9" x14ac:dyDescent="0.2">
      <c r="B650" t="s">
        <v>7</v>
      </c>
      <c r="C650" t="s">
        <v>9</v>
      </c>
      <c r="D650">
        <v>1</v>
      </c>
      <c r="E650">
        <v>6</v>
      </c>
      <c r="F650">
        <v>1</v>
      </c>
      <c r="G650">
        <v>0</v>
      </c>
      <c r="H650">
        <v>0</v>
      </c>
      <c r="I650" t="s">
        <v>72</v>
      </c>
    </row>
    <row r="651" spans="2:9" x14ac:dyDescent="0.2">
      <c r="B651" t="s">
        <v>8</v>
      </c>
      <c r="C651" t="s">
        <v>9</v>
      </c>
      <c r="D651">
        <v>1</v>
      </c>
      <c r="E651">
        <v>6</v>
      </c>
      <c r="F651">
        <v>1</v>
      </c>
      <c r="G651">
        <v>0</v>
      </c>
      <c r="H651">
        <v>1</v>
      </c>
      <c r="I651" t="s">
        <v>72</v>
      </c>
    </row>
    <row r="652" spans="2:9" x14ac:dyDescent="0.2">
      <c r="B652" t="s">
        <v>7</v>
      </c>
      <c r="C652" t="s">
        <v>9</v>
      </c>
      <c r="D652">
        <v>1</v>
      </c>
      <c r="E652">
        <v>6</v>
      </c>
      <c r="F652">
        <v>1</v>
      </c>
      <c r="G652">
        <v>0</v>
      </c>
      <c r="H652">
        <v>1</v>
      </c>
      <c r="I652" t="s">
        <v>72</v>
      </c>
    </row>
    <row r="653" spans="2:9" x14ac:dyDescent="0.2">
      <c r="B653" t="s">
        <v>8</v>
      </c>
      <c r="C653" t="s">
        <v>9</v>
      </c>
      <c r="D653">
        <v>1</v>
      </c>
      <c r="E653">
        <v>6</v>
      </c>
      <c r="F653">
        <v>1</v>
      </c>
      <c r="G653">
        <v>0</v>
      </c>
      <c r="H653">
        <v>2</v>
      </c>
      <c r="I653" t="s">
        <v>72</v>
      </c>
    </row>
    <row r="654" spans="2:9" x14ac:dyDescent="0.2">
      <c r="B654" t="s">
        <v>7</v>
      </c>
      <c r="C654" t="s">
        <v>9</v>
      </c>
      <c r="D654">
        <v>1</v>
      </c>
      <c r="E654">
        <v>6</v>
      </c>
      <c r="F654">
        <v>1</v>
      </c>
      <c r="G654">
        <v>0</v>
      </c>
      <c r="H654">
        <v>2</v>
      </c>
      <c r="I654" t="s">
        <v>72</v>
      </c>
    </row>
    <row r="655" spans="2:9" x14ac:dyDescent="0.2">
      <c r="B655" t="s">
        <v>8</v>
      </c>
      <c r="C655" t="s">
        <v>9</v>
      </c>
      <c r="D655">
        <v>1</v>
      </c>
      <c r="E655">
        <v>6</v>
      </c>
      <c r="F655">
        <v>1</v>
      </c>
      <c r="G655">
        <v>1</v>
      </c>
      <c r="H655">
        <v>0</v>
      </c>
      <c r="I655" t="s">
        <v>72</v>
      </c>
    </row>
    <row r="656" spans="2:9" x14ac:dyDescent="0.2">
      <c r="B656" t="s">
        <v>7</v>
      </c>
      <c r="C656" t="s">
        <v>9</v>
      </c>
      <c r="D656">
        <v>1</v>
      </c>
      <c r="E656">
        <v>6</v>
      </c>
      <c r="F656">
        <v>1</v>
      </c>
      <c r="G656">
        <v>1</v>
      </c>
      <c r="H656">
        <v>0</v>
      </c>
      <c r="I656" t="s">
        <v>60</v>
      </c>
    </row>
    <row r="657" spans="2:9" x14ac:dyDescent="0.2">
      <c r="B657" t="s">
        <v>8</v>
      </c>
      <c r="C657" t="s">
        <v>9</v>
      </c>
      <c r="D657">
        <v>1</v>
      </c>
      <c r="E657">
        <v>6</v>
      </c>
      <c r="F657">
        <v>1</v>
      </c>
      <c r="G657">
        <v>1</v>
      </c>
      <c r="H657">
        <v>1</v>
      </c>
      <c r="I657" t="s">
        <v>72</v>
      </c>
    </row>
    <row r="658" spans="2:9" x14ac:dyDescent="0.2">
      <c r="B658" t="s">
        <v>7</v>
      </c>
      <c r="C658" t="s">
        <v>9</v>
      </c>
      <c r="D658">
        <v>1</v>
      </c>
      <c r="E658">
        <v>6</v>
      </c>
      <c r="F658">
        <v>1</v>
      </c>
      <c r="G658">
        <v>1</v>
      </c>
      <c r="H658">
        <v>1</v>
      </c>
      <c r="I658" t="s">
        <v>444</v>
      </c>
    </row>
    <row r="659" spans="2:9" x14ac:dyDescent="0.2">
      <c r="B659" t="s">
        <v>8</v>
      </c>
      <c r="C659" t="s">
        <v>9</v>
      </c>
      <c r="D659">
        <v>1</v>
      </c>
      <c r="E659">
        <v>6</v>
      </c>
      <c r="F659">
        <v>1</v>
      </c>
      <c r="G659">
        <v>1</v>
      </c>
      <c r="H659">
        <v>2</v>
      </c>
      <c r="I659" t="s">
        <v>72</v>
      </c>
    </row>
    <row r="660" spans="2:9" x14ac:dyDescent="0.2">
      <c r="B660" t="s">
        <v>7</v>
      </c>
      <c r="C660" t="s">
        <v>9</v>
      </c>
      <c r="D660">
        <v>1</v>
      </c>
      <c r="E660">
        <v>6</v>
      </c>
      <c r="F660">
        <v>1</v>
      </c>
      <c r="G660">
        <v>1</v>
      </c>
      <c r="H660">
        <v>2</v>
      </c>
      <c r="I660" t="s">
        <v>62</v>
      </c>
    </row>
    <row r="661" spans="2:9" x14ac:dyDescent="0.2">
      <c r="B661" t="s">
        <v>6</v>
      </c>
      <c r="C661" t="s">
        <v>7</v>
      </c>
      <c r="D661" t="s">
        <v>12</v>
      </c>
      <c r="E661">
        <v>1</v>
      </c>
      <c r="F661">
        <v>7</v>
      </c>
      <c r="G661">
        <v>0</v>
      </c>
      <c r="H661">
        <v>0</v>
      </c>
      <c r="I661" t="s">
        <v>72</v>
      </c>
    </row>
    <row r="662" spans="2:9" x14ac:dyDescent="0.2">
      <c r="B662" t="s">
        <v>6</v>
      </c>
      <c r="C662" t="s">
        <v>7</v>
      </c>
      <c r="D662" t="s">
        <v>12</v>
      </c>
      <c r="E662">
        <v>1</v>
      </c>
      <c r="F662">
        <v>7</v>
      </c>
      <c r="G662">
        <v>0</v>
      </c>
      <c r="H662">
        <v>1</v>
      </c>
      <c r="I662" t="s">
        <v>72</v>
      </c>
    </row>
    <row r="663" spans="2:9" x14ac:dyDescent="0.2">
      <c r="B663" t="s">
        <v>6</v>
      </c>
      <c r="C663" t="s">
        <v>7</v>
      </c>
      <c r="D663" t="s">
        <v>12</v>
      </c>
      <c r="E663">
        <v>1</v>
      </c>
      <c r="F663">
        <v>7</v>
      </c>
      <c r="G663">
        <v>0</v>
      </c>
      <c r="H663">
        <v>2</v>
      </c>
      <c r="I663" t="s">
        <v>75</v>
      </c>
    </row>
    <row r="664" spans="2:9" x14ac:dyDescent="0.2">
      <c r="B664" t="s">
        <v>8</v>
      </c>
      <c r="C664" t="s">
        <v>9</v>
      </c>
      <c r="D664">
        <v>1</v>
      </c>
      <c r="E664">
        <v>7</v>
      </c>
      <c r="F664">
        <v>0</v>
      </c>
      <c r="G664">
        <v>0</v>
      </c>
      <c r="H664">
        <v>0</v>
      </c>
      <c r="I664" t="s">
        <v>72</v>
      </c>
    </row>
    <row r="665" spans="2:9" x14ac:dyDescent="0.2">
      <c r="B665" t="s">
        <v>7</v>
      </c>
      <c r="C665" t="s">
        <v>9</v>
      </c>
      <c r="D665">
        <v>1</v>
      </c>
      <c r="E665">
        <v>7</v>
      </c>
      <c r="F665">
        <v>0</v>
      </c>
      <c r="G665">
        <v>0</v>
      </c>
      <c r="H665">
        <v>0</v>
      </c>
      <c r="I665" t="s">
        <v>60</v>
      </c>
    </row>
    <row r="666" spans="2:9" x14ac:dyDescent="0.2">
      <c r="B666" t="s">
        <v>8</v>
      </c>
      <c r="C666" t="s">
        <v>9</v>
      </c>
      <c r="D666">
        <v>1</v>
      </c>
      <c r="E666">
        <v>7</v>
      </c>
      <c r="F666">
        <v>0</v>
      </c>
      <c r="G666">
        <v>0</v>
      </c>
      <c r="H666">
        <v>1</v>
      </c>
      <c r="I666" t="s">
        <v>72</v>
      </c>
    </row>
    <row r="667" spans="2:9" x14ac:dyDescent="0.2">
      <c r="B667" t="s">
        <v>7</v>
      </c>
      <c r="C667" t="s">
        <v>9</v>
      </c>
      <c r="D667">
        <v>1</v>
      </c>
      <c r="E667">
        <v>7</v>
      </c>
      <c r="F667">
        <v>0</v>
      </c>
      <c r="G667">
        <v>0</v>
      </c>
      <c r="H667">
        <v>1</v>
      </c>
      <c r="I667" t="s">
        <v>444</v>
      </c>
    </row>
    <row r="668" spans="2:9" x14ac:dyDescent="0.2">
      <c r="B668" t="s">
        <v>8</v>
      </c>
      <c r="C668" t="s">
        <v>9</v>
      </c>
      <c r="D668">
        <v>1</v>
      </c>
      <c r="E668">
        <v>7</v>
      </c>
      <c r="F668">
        <v>0</v>
      </c>
      <c r="G668">
        <v>0</v>
      </c>
      <c r="H668">
        <v>2</v>
      </c>
      <c r="I668" t="s">
        <v>72</v>
      </c>
    </row>
    <row r="669" spans="2:9" x14ac:dyDescent="0.2">
      <c r="B669" t="s">
        <v>7</v>
      </c>
      <c r="C669" t="s">
        <v>9</v>
      </c>
      <c r="D669">
        <v>1</v>
      </c>
      <c r="E669">
        <v>7</v>
      </c>
      <c r="F669">
        <v>0</v>
      </c>
      <c r="G669">
        <v>0</v>
      </c>
      <c r="H669">
        <v>2</v>
      </c>
      <c r="I669" t="s">
        <v>62</v>
      </c>
    </row>
    <row r="670" spans="2:9" x14ac:dyDescent="0.2">
      <c r="B670" t="s">
        <v>8</v>
      </c>
      <c r="C670" t="s">
        <v>9</v>
      </c>
      <c r="D670">
        <v>1</v>
      </c>
      <c r="E670">
        <v>7</v>
      </c>
      <c r="F670">
        <v>0</v>
      </c>
      <c r="G670">
        <v>1</v>
      </c>
      <c r="H670">
        <v>0</v>
      </c>
      <c r="I670" t="s">
        <v>72</v>
      </c>
    </row>
    <row r="671" spans="2:9" x14ac:dyDescent="0.2">
      <c r="B671" t="s">
        <v>7</v>
      </c>
      <c r="C671" t="s">
        <v>9</v>
      </c>
      <c r="D671">
        <v>1</v>
      </c>
      <c r="E671">
        <v>7</v>
      </c>
      <c r="F671">
        <v>0</v>
      </c>
      <c r="G671">
        <v>1</v>
      </c>
      <c r="H671">
        <v>0</v>
      </c>
      <c r="I671" t="s">
        <v>72</v>
      </c>
    </row>
    <row r="672" spans="2:9" x14ac:dyDescent="0.2">
      <c r="B672" t="s">
        <v>8</v>
      </c>
      <c r="C672" t="s">
        <v>9</v>
      </c>
      <c r="D672">
        <v>1</v>
      </c>
      <c r="E672">
        <v>7</v>
      </c>
      <c r="F672">
        <v>0</v>
      </c>
      <c r="G672">
        <v>1</v>
      </c>
      <c r="H672">
        <v>1</v>
      </c>
      <c r="I672" t="s">
        <v>72</v>
      </c>
    </row>
    <row r="673" spans="2:9" x14ac:dyDescent="0.2">
      <c r="B673" t="s">
        <v>7</v>
      </c>
      <c r="C673" t="s">
        <v>9</v>
      </c>
      <c r="D673">
        <v>1</v>
      </c>
      <c r="E673">
        <v>7</v>
      </c>
      <c r="F673">
        <v>0</v>
      </c>
      <c r="G673">
        <v>1</v>
      </c>
      <c r="H673">
        <v>1</v>
      </c>
      <c r="I673" t="s">
        <v>72</v>
      </c>
    </row>
    <row r="674" spans="2:9" x14ac:dyDescent="0.2">
      <c r="B674" t="s">
        <v>8</v>
      </c>
      <c r="C674" t="s">
        <v>9</v>
      </c>
      <c r="D674">
        <v>1</v>
      </c>
      <c r="E674">
        <v>7</v>
      </c>
      <c r="F674">
        <v>0</v>
      </c>
      <c r="G674">
        <v>1</v>
      </c>
      <c r="H674">
        <v>2</v>
      </c>
      <c r="I674" t="s">
        <v>72</v>
      </c>
    </row>
    <row r="675" spans="2:9" x14ac:dyDescent="0.2">
      <c r="B675" t="s">
        <v>7</v>
      </c>
      <c r="C675" t="s">
        <v>9</v>
      </c>
      <c r="D675">
        <v>1</v>
      </c>
      <c r="E675">
        <v>7</v>
      </c>
      <c r="F675">
        <v>0</v>
      </c>
      <c r="G675">
        <v>1</v>
      </c>
      <c r="H675">
        <v>2</v>
      </c>
      <c r="I675" t="s">
        <v>72</v>
      </c>
    </row>
    <row r="676" spans="2:9" x14ac:dyDescent="0.2">
      <c r="B676" t="s">
        <v>6</v>
      </c>
      <c r="C676" t="s">
        <v>7</v>
      </c>
      <c r="D676" t="s">
        <v>12</v>
      </c>
      <c r="E676">
        <v>1</v>
      </c>
      <c r="F676">
        <v>7</v>
      </c>
      <c r="G676">
        <v>1</v>
      </c>
      <c r="H676">
        <v>0</v>
      </c>
      <c r="I676" t="s">
        <v>72</v>
      </c>
    </row>
    <row r="677" spans="2:9" x14ac:dyDescent="0.2">
      <c r="B677" t="s">
        <v>6</v>
      </c>
      <c r="C677" t="s">
        <v>7</v>
      </c>
      <c r="D677" t="s">
        <v>12</v>
      </c>
      <c r="E677">
        <v>1</v>
      </c>
      <c r="F677">
        <v>7</v>
      </c>
      <c r="G677">
        <v>1</v>
      </c>
      <c r="H677">
        <v>1</v>
      </c>
      <c r="I677" t="s">
        <v>72</v>
      </c>
    </row>
    <row r="678" spans="2:9" x14ac:dyDescent="0.2">
      <c r="B678" t="s">
        <v>6</v>
      </c>
      <c r="C678" t="s">
        <v>7</v>
      </c>
      <c r="D678" t="s">
        <v>12</v>
      </c>
      <c r="E678">
        <v>1</v>
      </c>
      <c r="F678">
        <v>7</v>
      </c>
      <c r="G678">
        <v>1</v>
      </c>
      <c r="H678">
        <v>2</v>
      </c>
      <c r="I678" t="s">
        <v>75</v>
      </c>
    </row>
    <row r="679" spans="2:9" x14ac:dyDescent="0.2">
      <c r="B679" t="s">
        <v>8</v>
      </c>
      <c r="C679" t="s">
        <v>9</v>
      </c>
      <c r="D679">
        <v>1</v>
      </c>
      <c r="E679">
        <v>7</v>
      </c>
      <c r="F679">
        <v>1</v>
      </c>
      <c r="G679">
        <v>0</v>
      </c>
      <c r="H679">
        <v>0</v>
      </c>
      <c r="I679" t="s">
        <v>72</v>
      </c>
    </row>
    <row r="680" spans="2:9" x14ac:dyDescent="0.2">
      <c r="B680" t="s">
        <v>7</v>
      </c>
      <c r="C680" t="s">
        <v>9</v>
      </c>
      <c r="D680">
        <v>1</v>
      </c>
      <c r="E680">
        <v>7</v>
      </c>
      <c r="F680">
        <v>1</v>
      </c>
      <c r="G680">
        <v>0</v>
      </c>
      <c r="H680">
        <v>0</v>
      </c>
      <c r="I680" t="s">
        <v>72</v>
      </c>
    </row>
    <row r="681" spans="2:9" x14ac:dyDescent="0.2">
      <c r="B681" t="s">
        <v>8</v>
      </c>
      <c r="C681" t="s">
        <v>9</v>
      </c>
      <c r="D681">
        <v>1</v>
      </c>
      <c r="E681">
        <v>7</v>
      </c>
      <c r="F681">
        <v>1</v>
      </c>
      <c r="G681">
        <v>0</v>
      </c>
      <c r="H681">
        <v>1</v>
      </c>
      <c r="I681" t="s">
        <v>72</v>
      </c>
    </row>
    <row r="682" spans="2:9" x14ac:dyDescent="0.2">
      <c r="B682" t="s">
        <v>7</v>
      </c>
      <c r="C682" t="s">
        <v>9</v>
      </c>
      <c r="D682">
        <v>1</v>
      </c>
      <c r="E682">
        <v>7</v>
      </c>
      <c r="F682">
        <v>1</v>
      </c>
      <c r="G682">
        <v>0</v>
      </c>
      <c r="H682">
        <v>1</v>
      </c>
      <c r="I682" t="s">
        <v>72</v>
      </c>
    </row>
    <row r="683" spans="2:9" x14ac:dyDescent="0.2">
      <c r="B683" t="s">
        <v>8</v>
      </c>
      <c r="C683" t="s">
        <v>9</v>
      </c>
      <c r="D683">
        <v>1</v>
      </c>
      <c r="E683">
        <v>7</v>
      </c>
      <c r="F683">
        <v>1</v>
      </c>
      <c r="G683">
        <v>0</v>
      </c>
      <c r="H683">
        <v>2</v>
      </c>
      <c r="I683" t="s">
        <v>72</v>
      </c>
    </row>
    <row r="684" spans="2:9" x14ac:dyDescent="0.2">
      <c r="B684" t="s">
        <v>7</v>
      </c>
      <c r="C684" t="s">
        <v>9</v>
      </c>
      <c r="D684">
        <v>1</v>
      </c>
      <c r="E684">
        <v>7</v>
      </c>
      <c r="F684">
        <v>1</v>
      </c>
      <c r="G684">
        <v>0</v>
      </c>
      <c r="H684">
        <v>2</v>
      </c>
      <c r="I684" t="s">
        <v>72</v>
      </c>
    </row>
    <row r="685" spans="2:9" x14ac:dyDescent="0.2">
      <c r="B685" t="s">
        <v>8</v>
      </c>
      <c r="C685" t="s">
        <v>9</v>
      </c>
      <c r="D685">
        <v>1</v>
      </c>
      <c r="E685">
        <v>7</v>
      </c>
      <c r="F685">
        <v>1</v>
      </c>
      <c r="G685">
        <v>1</v>
      </c>
      <c r="H685">
        <v>0</v>
      </c>
      <c r="I685" t="s">
        <v>72</v>
      </c>
    </row>
    <row r="686" spans="2:9" x14ac:dyDescent="0.2">
      <c r="B686" t="s">
        <v>7</v>
      </c>
      <c r="C686" t="s">
        <v>9</v>
      </c>
      <c r="D686">
        <v>1</v>
      </c>
      <c r="E686">
        <v>7</v>
      </c>
      <c r="F686">
        <v>1</v>
      </c>
      <c r="G686">
        <v>1</v>
      </c>
      <c r="H686">
        <v>0</v>
      </c>
      <c r="I686" t="s">
        <v>60</v>
      </c>
    </row>
    <row r="687" spans="2:9" x14ac:dyDescent="0.2">
      <c r="B687" t="s">
        <v>8</v>
      </c>
      <c r="C687" t="s">
        <v>9</v>
      </c>
      <c r="D687">
        <v>1</v>
      </c>
      <c r="E687">
        <v>7</v>
      </c>
      <c r="F687">
        <v>1</v>
      </c>
      <c r="G687">
        <v>1</v>
      </c>
      <c r="H687">
        <v>1</v>
      </c>
      <c r="I687" t="s">
        <v>72</v>
      </c>
    </row>
    <row r="688" spans="2:9" x14ac:dyDescent="0.2">
      <c r="B688" t="s">
        <v>7</v>
      </c>
      <c r="C688" t="s">
        <v>9</v>
      </c>
      <c r="D688">
        <v>1</v>
      </c>
      <c r="E688">
        <v>7</v>
      </c>
      <c r="F688">
        <v>1</v>
      </c>
      <c r="G688">
        <v>1</v>
      </c>
      <c r="H688">
        <v>1</v>
      </c>
      <c r="I688" t="s">
        <v>444</v>
      </c>
    </row>
    <row r="689" spans="2:9" x14ac:dyDescent="0.2">
      <c r="B689" t="s">
        <v>8</v>
      </c>
      <c r="C689" t="s">
        <v>9</v>
      </c>
      <c r="D689">
        <v>1</v>
      </c>
      <c r="E689">
        <v>7</v>
      </c>
      <c r="F689">
        <v>1</v>
      </c>
      <c r="G689">
        <v>1</v>
      </c>
      <c r="H689">
        <v>2</v>
      </c>
      <c r="I689" t="s">
        <v>72</v>
      </c>
    </row>
    <row r="690" spans="2:9" x14ac:dyDescent="0.2">
      <c r="B690" t="s">
        <v>7</v>
      </c>
      <c r="C690" t="s">
        <v>9</v>
      </c>
      <c r="D690">
        <v>1</v>
      </c>
      <c r="E690">
        <v>7</v>
      </c>
      <c r="F690">
        <v>1</v>
      </c>
      <c r="G690">
        <v>1</v>
      </c>
      <c r="H690">
        <v>2</v>
      </c>
      <c r="I690" t="s">
        <v>62</v>
      </c>
    </row>
    <row r="691" spans="2:9" x14ac:dyDescent="0.2">
      <c r="B691" t="s">
        <v>6</v>
      </c>
      <c r="C691" t="s">
        <v>7</v>
      </c>
      <c r="D691" t="s">
        <v>12</v>
      </c>
      <c r="E691">
        <v>1</v>
      </c>
      <c r="F691">
        <v>8</v>
      </c>
      <c r="G691">
        <v>0</v>
      </c>
      <c r="H691">
        <v>0</v>
      </c>
      <c r="I691" t="s">
        <v>72</v>
      </c>
    </row>
    <row r="692" spans="2:9" x14ac:dyDescent="0.2">
      <c r="B692" t="s">
        <v>6</v>
      </c>
      <c r="C692" t="s">
        <v>7</v>
      </c>
      <c r="D692" t="s">
        <v>12</v>
      </c>
      <c r="E692">
        <v>1</v>
      </c>
      <c r="F692">
        <v>8</v>
      </c>
      <c r="G692">
        <v>0</v>
      </c>
      <c r="H692">
        <v>1</v>
      </c>
      <c r="I692" t="s">
        <v>72</v>
      </c>
    </row>
    <row r="693" spans="2:9" x14ac:dyDescent="0.2">
      <c r="B693" t="s">
        <v>6</v>
      </c>
      <c r="C693" t="s">
        <v>7</v>
      </c>
      <c r="D693" t="s">
        <v>12</v>
      </c>
      <c r="E693">
        <v>1</v>
      </c>
      <c r="F693">
        <v>8</v>
      </c>
      <c r="G693">
        <v>0</v>
      </c>
      <c r="H693">
        <v>2</v>
      </c>
      <c r="I693" t="s">
        <v>75</v>
      </c>
    </row>
    <row r="694" spans="2:9" x14ac:dyDescent="0.2">
      <c r="B694" t="s">
        <v>8</v>
      </c>
      <c r="C694" t="s">
        <v>9</v>
      </c>
      <c r="D694">
        <v>1</v>
      </c>
      <c r="E694">
        <v>8</v>
      </c>
      <c r="F694">
        <v>0</v>
      </c>
      <c r="G694">
        <v>0</v>
      </c>
      <c r="H694">
        <v>0</v>
      </c>
      <c r="I694" t="s">
        <v>72</v>
      </c>
    </row>
    <row r="695" spans="2:9" x14ac:dyDescent="0.2">
      <c r="B695" t="s">
        <v>7</v>
      </c>
      <c r="C695" t="s">
        <v>9</v>
      </c>
      <c r="D695">
        <v>1</v>
      </c>
      <c r="E695">
        <v>8</v>
      </c>
      <c r="F695">
        <v>0</v>
      </c>
      <c r="G695">
        <v>0</v>
      </c>
      <c r="H695">
        <v>0</v>
      </c>
      <c r="I695" t="s">
        <v>60</v>
      </c>
    </row>
    <row r="696" spans="2:9" x14ac:dyDescent="0.2">
      <c r="B696" t="s">
        <v>8</v>
      </c>
      <c r="C696" t="s">
        <v>9</v>
      </c>
      <c r="D696">
        <v>1</v>
      </c>
      <c r="E696">
        <v>8</v>
      </c>
      <c r="F696">
        <v>0</v>
      </c>
      <c r="G696">
        <v>0</v>
      </c>
      <c r="H696">
        <v>1</v>
      </c>
      <c r="I696" t="s">
        <v>72</v>
      </c>
    </row>
    <row r="697" spans="2:9" x14ac:dyDescent="0.2">
      <c r="B697" t="s">
        <v>7</v>
      </c>
      <c r="C697" t="s">
        <v>9</v>
      </c>
      <c r="D697">
        <v>1</v>
      </c>
      <c r="E697">
        <v>8</v>
      </c>
      <c r="F697">
        <v>0</v>
      </c>
      <c r="G697">
        <v>0</v>
      </c>
      <c r="H697">
        <v>1</v>
      </c>
      <c r="I697" t="s">
        <v>444</v>
      </c>
    </row>
    <row r="698" spans="2:9" x14ac:dyDescent="0.2">
      <c r="B698" t="s">
        <v>8</v>
      </c>
      <c r="C698" t="s">
        <v>9</v>
      </c>
      <c r="D698">
        <v>1</v>
      </c>
      <c r="E698">
        <v>8</v>
      </c>
      <c r="F698">
        <v>0</v>
      </c>
      <c r="G698">
        <v>0</v>
      </c>
      <c r="H698">
        <v>2</v>
      </c>
      <c r="I698" t="s">
        <v>72</v>
      </c>
    </row>
    <row r="699" spans="2:9" x14ac:dyDescent="0.2">
      <c r="B699" t="s">
        <v>7</v>
      </c>
      <c r="C699" t="s">
        <v>9</v>
      </c>
      <c r="D699">
        <v>1</v>
      </c>
      <c r="E699">
        <v>8</v>
      </c>
      <c r="F699">
        <v>0</v>
      </c>
      <c r="G699">
        <v>0</v>
      </c>
      <c r="H699">
        <v>2</v>
      </c>
      <c r="I699" t="s">
        <v>62</v>
      </c>
    </row>
    <row r="700" spans="2:9" x14ac:dyDescent="0.2">
      <c r="B700" t="s">
        <v>8</v>
      </c>
      <c r="C700" t="s">
        <v>9</v>
      </c>
      <c r="D700">
        <v>1</v>
      </c>
      <c r="E700">
        <v>8</v>
      </c>
      <c r="F700">
        <v>0</v>
      </c>
      <c r="G700">
        <v>1</v>
      </c>
      <c r="H700">
        <v>0</v>
      </c>
      <c r="I700" t="s">
        <v>72</v>
      </c>
    </row>
    <row r="701" spans="2:9" x14ac:dyDescent="0.2">
      <c r="B701" t="s">
        <v>7</v>
      </c>
      <c r="C701" t="s">
        <v>9</v>
      </c>
      <c r="D701">
        <v>1</v>
      </c>
      <c r="E701">
        <v>8</v>
      </c>
      <c r="F701">
        <v>0</v>
      </c>
      <c r="G701">
        <v>1</v>
      </c>
      <c r="H701">
        <v>0</v>
      </c>
      <c r="I701" t="s">
        <v>72</v>
      </c>
    </row>
    <row r="702" spans="2:9" x14ac:dyDescent="0.2">
      <c r="B702" t="s">
        <v>8</v>
      </c>
      <c r="C702" t="s">
        <v>9</v>
      </c>
      <c r="D702">
        <v>1</v>
      </c>
      <c r="E702">
        <v>8</v>
      </c>
      <c r="F702">
        <v>0</v>
      </c>
      <c r="G702">
        <v>1</v>
      </c>
      <c r="H702">
        <v>1</v>
      </c>
      <c r="I702" t="s">
        <v>72</v>
      </c>
    </row>
    <row r="703" spans="2:9" x14ac:dyDescent="0.2">
      <c r="B703" t="s">
        <v>7</v>
      </c>
      <c r="C703" t="s">
        <v>9</v>
      </c>
      <c r="D703">
        <v>1</v>
      </c>
      <c r="E703">
        <v>8</v>
      </c>
      <c r="F703">
        <v>0</v>
      </c>
      <c r="G703">
        <v>1</v>
      </c>
      <c r="H703">
        <v>1</v>
      </c>
      <c r="I703" t="s">
        <v>72</v>
      </c>
    </row>
    <row r="704" spans="2:9" x14ac:dyDescent="0.2">
      <c r="B704" t="s">
        <v>8</v>
      </c>
      <c r="C704" t="s">
        <v>9</v>
      </c>
      <c r="D704">
        <v>1</v>
      </c>
      <c r="E704">
        <v>8</v>
      </c>
      <c r="F704">
        <v>0</v>
      </c>
      <c r="G704">
        <v>1</v>
      </c>
      <c r="H704">
        <v>2</v>
      </c>
      <c r="I704" t="s">
        <v>72</v>
      </c>
    </row>
    <row r="705" spans="2:9" x14ac:dyDescent="0.2">
      <c r="B705" t="s">
        <v>7</v>
      </c>
      <c r="C705" t="s">
        <v>9</v>
      </c>
      <c r="D705">
        <v>1</v>
      </c>
      <c r="E705">
        <v>8</v>
      </c>
      <c r="F705">
        <v>0</v>
      </c>
      <c r="G705">
        <v>1</v>
      </c>
      <c r="H705">
        <v>2</v>
      </c>
      <c r="I705" t="s">
        <v>72</v>
      </c>
    </row>
    <row r="706" spans="2:9" x14ac:dyDescent="0.2">
      <c r="B706" t="s">
        <v>6</v>
      </c>
      <c r="C706" t="s">
        <v>7</v>
      </c>
      <c r="D706" t="s">
        <v>12</v>
      </c>
      <c r="E706">
        <v>1</v>
      </c>
      <c r="F706">
        <v>8</v>
      </c>
      <c r="G706">
        <v>1</v>
      </c>
      <c r="H706">
        <v>0</v>
      </c>
      <c r="I706" t="s">
        <v>72</v>
      </c>
    </row>
    <row r="707" spans="2:9" x14ac:dyDescent="0.2">
      <c r="B707" t="s">
        <v>6</v>
      </c>
      <c r="C707" t="s">
        <v>7</v>
      </c>
      <c r="D707" t="s">
        <v>12</v>
      </c>
      <c r="E707">
        <v>1</v>
      </c>
      <c r="F707">
        <v>8</v>
      </c>
      <c r="G707">
        <v>1</v>
      </c>
      <c r="H707">
        <v>1</v>
      </c>
      <c r="I707" t="s">
        <v>72</v>
      </c>
    </row>
    <row r="708" spans="2:9" x14ac:dyDescent="0.2">
      <c r="B708" t="s">
        <v>6</v>
      </c>
      <c r="C708" t="s">
        <v>7</v>
      </c>
      <c r="D708" t="s">
        <v>12</v>
      </c>
      <c r="E708">
        <v>1</v>
      </c>
      <c r="F708">
        <v>8</v>
      </c>
      <c r="G708">
        <v>1</v>
      </c>
      <c r="H708">
        <v>2</v>
      </c>
      <c r="I708" t="s">
        <v>75</v>
      </c>
    </row>
    <row r="709" spans="2:9" x14ac:dyDescent="0.2">
      <c r="B709" t="s">
        <v>8</v>
      </c>
      <c r="C709" t="s">
        <v>9</v>
      </c>
      <c r="D709">
        <v>1</v>
      </c>
      <c r="E709">
        <v>8</v>
      </c>
      <c r="F709">
        <v>1</v>
      </c>
      <c r="G709">
        <v>0</v>
      </c>
      <c r="H709">
        <v>0</v>
      </c>
      <c r="I709" t="s">
        <v>72</v>
      </c>
    </row>
    <row r="710" spans="2:9" x14ac:dyDescent="0.2">
      <c r="B710" t="s">
        <v>7</v>
      </c>
      <c r="C710" t="s">
        <v>9</v>
      </c>
      <c r="D710">
        <v>1</v>
      </c>
      <c r="E710">
        <v>8</v>
      </c>
      <c r="F710">
        <v>1</v>
      </c>
      <c r="G710">
        <v>0</v>
      </c>
      <c r="H710">
        <v>0</v>
      </c>
      <c r="I710" t="s">
        <v>72</v>
      </c>
    </row>
    <row r="711" spans="2:9" x14ac:dyDescent="0.2">
      <c r="B711" t="s">
        <v>8</v>
      </c>
      <c r="C711" t="s">
        <v>9</v>
      </c>
      <c r="D711">
        <v>1</v>
      </c>
      <c r="E711">
        <v>8</v>
      </c>
      <c r="F711">
        <v>1</v>
      </c>
      <c r="G711">
        <v>0</v>
      </c>
      <c r="H711">
        <v>1</v>
      </c>
      <c r="I711" t="s">
        <v>72</v>
      </c>
    </row>
    <row r="712" spans="2:9" x14ac:dyDescent="0.2">
      <c r="B712" t="s">
        <v>7</v>
      </c>
      <c r="C712" t="s">
        <v>9</v>
      </c>
      <c r="D712">
        <v>1</v>
      </c>
      <c r="E712">
        <v>8</v>
      </c>
      <c r="F712">
        <v>1</v>
      </c>
      <c r="G712">
        <v>0</v>
      </c>
      <c r="H712">
        <v>1</v>
      </c>
      <c r="I712" t="s">
        <v>72</v>
      </c>
    </row>
    <row r="713" spans="2:9" x14ac:dyDescent="0.2">
      <c r="B713" t="s">
        <v>8</v>
      </c>
      <c r="C713" t="s">
        <v>9</v>
      </c>
      <c r="D713">
        <v>1</v>
      </c>
      <c r="E713">
        <v>8</v>
      </c>
      <c r="F713">
        <v>1</v>
      </c>
      <c r="G713">
        <v>0</v>
      </c>
      <c r="H713">
        <v>2</v>
      </c>
      <c r="I713" t="s">
        <v>72</v>
      </c>
    </row>
    <row r="714" spans="2:9" x14ac:dyDescent="0.2">
      <c r="B714" t="s">
        <v>7</v>
      </c>
      <c r="C714" t="s">
        <v>9</v>
      </c>
      <c r="D714">
        <v>1</v>
      </c>
      <c r="E714">
        <v>8</v>
      </c>
      <c r="F714">
        <v>1</v>
      </c>
      <c r="G714">
        <v>0</v>
      </c>
      <c r="H714">
        <v>2</v>
      </c>
      <c r="I714" t="s">
        <v>72</v>
      </c>
    </row>
    <row r="715" spans="2:9" x14ac:dyDescent="0.2">
      <c r="B715" t="s">
        <v>8</v>
      </c>
      <c r="C715" t="s">
        <v>9</v>
      </c>
      <c r="D715">
        <v>1</v>
      </c>
      <c r="E715">
        <v>8</v>
      </c>
      <c r="F715">
        <v>1</v>
      </c>
      <c r="G715">
        <v>1</v>
      </c>
      <c r="H715">
        <v>0</v>
      </c>
      <c r="I715" t="s">
        <v>72</v>
      </c>
    </row>
    <row r="716" spans="2:9" x14ac:dyDescent="0.2">
      <c r="B716" t="s">
        <v>7</v>
      </c>
      <c r="C716" t="s">
        <v>9</v>
      </c>
      <c r="D716">
        <v>1</v>
      </c>
      <c r="E716">
        <v>8</v>
      </c>
      <c r="F716">
        <v>1</v>
      </c>
      <c r="G716">
        <v>1</v>
      </c>
      <c r="H716">
        <v>0</v>
      </c>
      <c r="I716" t="s">
        <v>60</v>
      </c>
    </row>
    <row r="717" spans="2:9" x14ac:dyDescent="0.2">
      <c r="B717" t="s">
        <v>8</v>
      </c>
      <c r="C717" t="s">
        <v>9</v>
      </c>
      <c r="D717">
        <v>1</v>
      </c>
      <c r="E717">
        <v>8</v>
      </c>
      <c r="F717">
        <v>1</v>
      </c>
      <c r="G717">
        <v>1</v>
      </c>
      <c r="H717">
        <v>1</v>
      </c>
      <c r="I717" t="s">
        <v>72</v>
      </c>
    </row>
    <row r="718" spans="2:9" x14ac:dyDescent="0.2">
      <c r="B718" t="s">
        <v>7</v>
      </c>
      <c r="C718" t="s">
        <v>9</v>
      </c>
      <c r="D718">
        <v>1</v>
      </c>
      <c r="E718">
        <v>8</v>
      </c>
      <c r="F718">
        <v>1</v>
      </c>
      <c r="G718">
        <v>1</v>
      </c>
      <c r="H718">
        <v>1</v>
      </c>
      <c r="I718" t="s">
        <v>444</v>
      </c>
    </row>
    <row r="719" spans="2:9" x14ac:dyDescent="0.2">
      <c r="B719" t="s">
        <v>8</v>
      </c>
      <c r="C719" t="s">
        <v>9</v>
      </c>
      <c r="D719">
        <v>1</v>
      </c>
      <c r="E719">
        <v>8</v>
      </c>
      <c r="F719">
        <v>1</v>
      </c>
      <c r="G719">
        <v>1</v>
      </c>
      <c r="H719">
        <v>2</v>
      </c>
      <c r="I719" t="s">
        <v>72</v>
      </c>
    </row>
    <row r="720" spans="2:9" x14ac:dyDescent="0.2">
      <c r="B720" t="s">
        <v>7</v>
      </c>
      <c r="C720" t="s">
        <v>9</v>
      </c>
      <c r="D720">
        <v>1</v>
      </c>
      <c r="E720">
        <v>8</v>
      </c>
      <c r="F720">
        <v>1</v>
      </c>
      <c r="G720">
        <v>1</v>
      </c>
      <c r="H720">
        <v>2</v>
      </c>
      <c r="I720" t="s">
        <v>62</v>
      </c>
    </row>
    <row r="721" spans="2:9" x14ac:dyDescent="0.2">
      <c r="B721" t="s">
        <v>6</v>
      </c>
      <c r="C721" t="s">
        <v>7</v>
      </c>
      <c r="D721" t="s">
        <v>12</v>
      </c>
      <c r="E721">
        <v>1</v>
      </c>
      <c r="F721">
        <v>9</v>
      </c>
      <c r="G721">
        <v>0</v>
      </c>
      <c r="H721">
        <v>0</v>
      </c>
      <c r="I721" t="s">
        <v>72</v>
      </c>
    </row>
    <row r="722" spans="2:9" x14ac:dyDescent="0.2">
      <c r="B722" t="s">
        <v>6</v>
      </c>
      <c r="C722" t="s">
        <v>7</v>
      </c>
      <c r="D722" t="s">
        <v>12</v>
      </c>
      <c r="E722">
        <v>1</v>
      </c>
      <c r="F722">
        <v>9</v>
      </c>
      <c r="G722">
        <v>0</v>
      </c>
      <c r="H722">
        <v>1</v>
      </c>
      <c r="I722" t="s">
        <v>72</v>
      </c>
    </row>
    <row r="723" spans="2:9" x14ac:dyDescent="0.2">
      <c r="B723" t="s">
        <v>6</v>
      </c>
      <c r="C723" t="s">
        <v>7</v>
      </c>
      <c r="D723" t="s">
        <v>12</v>
      </c>
      <c r="E723">
        <v>1</v>
      </c>
      <c r="F723">
        <v>9</v>
      </c>
      <c r="G723">
        <v>0</v>
      </c>
      <c r="H723">
        <v>2</v>
      </c>
      <c r="I723" t="s">
        <v>75</v>
      </c>
    </row>
    <row r="724" spans="2:9" x14ac:dyDescent="0.2">
      <c r="B724" t="s">
        <v>8</v>
      </c>
      <c r="C724" t="s">
        <v>9</v>
      </c>
      <c r="D724">
        <v>1</v>
      </c>
      <c r="E724">
        <v>9</v>
      </c>
      <c r="F724">
        <v>0</v>
      </c>
      <c r="G724">
        <v>0</v>
      </c>
      <c r="H724">
        <v>0</v>
      </c>
      <c r="I724" t="s">
        <v>72</v>
      </c>
    </row>
    <row r="725" spans="2:9" x14ac:dyDescent="0.2">
      <c r="B725" t="s">
        <v>7</v>
      </c>
      <c r="C725" t="s">
        <v>9</v>
      </c>
      <c r="D725">
        <v>1</v>
      </c>
      <c r="E725">
        <v>9</v>
      </c>
      <c r="F725">
        <v>0</v>
      </c>
      <c r="G725">
        <v>0</v>
      </c>
      <c r="H725">
        <v>0</v>
      </c>
      <c r="I725" t="s">
        <v>60</v>
      </c>
    </row>
    <row r="726" spans="2:9" x14ac:dyDescent="0.2">
      <c r="B726" t="s">
        <v>8</v>
      </c>
      <c r="C726" t="s">
        <v>9</v>
      </c>
      <c r="D726">
        <v>1</v>
      </c>
      <c r="E726">
        <v>9</v>
      </c>
      <c r="F726">
        <v>0</v>
      </c>
      <c r="G726">
        <v>0</v>
      </c>
      <c r="H726">
        <v>1</v>
      </c>
      <c r="I726" t="s">
        <v>72</v>
      </c>
    </row>
    <row r="727" spans="2:9" x14ac:dyDescent="0.2">
      <c r="B727" t="s">
        <v>7</v>
      </c>
      <c r="C727" t="s">
        <v>9</v>
      </c>
      <c r="D727">
        <v>1</v>
      </c>
      <c r="E727">
        <v>9</v>
      </c>
      <c r="F727">
        <v>0</v>
      </c>
      <c r="G727">
        <v>0</v>
      </c>
      <c r="H727">
        <v>1</v>
      </c>
      <c r="I727" t="s">
        <v>444</v>
      </c>
    </row>
    <row r="728" spans="2:9" x14ac:dyDescent="0.2">
      <c r="B728" t="s">
        <v>8</v>
      </c>
      <c r="C728" t="s">
        <v>9</v>
      </c>
      <c r="D728">
        <v>1</v>
      </c>
      <c r="E728">
        <v>9</v>
      </c>
      <c r="F728">
        <v>0</v>
      </c>
      <c r="G728">
        <v>0</v>
      </c>
      <c r="H728">
        <v>2</v>
      </c>
      <c r="I728" t="s">
        <v>72</v>
      </c>
    </row>
    <row r="729" spans="2:9" x14ac:dyDescent="0.2">
      <c r="B729" t="s">
        <v>7</v>
      </c>
      <c r="C729" t="s">
        <v>9</v>
      </c>
      <c r="D729">
        <v>1</v>
      </c>
      <c r="E729">
        <v>9</v>
      </c>
      <c r="F729">
        <v>0</v>
      </c>
      <c r="G729">
        <v>0</v>
      </c>
      <c r="H729">
        <v>2</v>
      </c>
      <c r="I729" t="s">
        <v>62</v>
      </c>
    </row>
    <row r="730" spans="2:9" x14ac:dyDescent="0.2">
      <c r="B730" t="s">
        <v>8</v>
      </c>
      <c r="C730" t="s">
        <v>9</v>
      </c>
      <c r="D730">
        <v>1</v>
      </c>
      <c r="E730">
        <v>9</v>
      </c>
      <c r="F730">
        <v>0</v>
      </c>
      <c r="G730">
        <v>1</v>
      </c>
      <c r="H730">
        <v>0</v>
      </c>
      <c r="I730" t="s">
        <v>72</v>
      </c>
    </row>
    <row r="731" spans="2:9" x14ac:dyDescent="0.2">
      <c r="B731" t="s">
        <v>7</v>
      </c>
      <c r="C731" t="s">
        <v>9</v>
      </c>
      <c r="D731">
        <v>1</v>
      </c>
      <c r="E731">
        <v>9</v>
      </c>
      <c r="F731">
        <v>0</v>
      </c>
      <c r="G731">
        <v>1</v>
      </c>
      <c r="H731">
        <v>0</v>
      </c>
      <c r="I731" t="s">
        <v>72</v>
      </c>
    </row>
    <row r="732" spans="2:9" x14ac:dyDescent="0.2">
      <c r="B732" t="s">
        <v>8</v>
      </c>
      <c r="C732" t="s">
        <v>9</v>
      </c>
      <c r="D732">
        <v>1</v>
      </c>
      <c r="E732">
        <v>9</v>
      </c>
      <c r="F732">
        <v>0</v>
      </c>
      <c r="G732">
        <v>1</v>
      </c>
      <c r="H732">
        <v>1</v>
      </c>
      <c r="I732" t="s">
        <v>72</v>
      </c>
    </row>
    <row r="733" spans="2:9" x14ac:dyDescent="0.2">
      <c r="B733" t="s">
        <v>7</v>
      </c>
      <c r="C733" t="s">
        <v>9</v>
      </c>
      <c r="D733">
        <v>1</v>
      </c>
      <c r="E733">
        <v>9</v>
      </c>
      <c r="F733">
        <v>0</v>
      </c>
      <c r="G733">
        <v>1</v>
      </c>
      <c r="H733">
        <v>1</v>
      </c>
      <c r="I733" t="s">
        <v>72</v>
      </c>
    </row>
    <row r="734" spans="2:9" x14ac:dyDescent="0.2">
      <c r="B734" t="s">
        <v>8</v>
      </c>
      <c r="C734" t="s">
        <v>9</v>
      </c>
      <c r="D734">
        <v>1</v>
      </c>
      <c r="E734">
        <v>9</v>
      </c>
      <c r="F734">
        <v>0</v>
      </c>
      <c r="G734">
        <v>1</v>
      </c>
      <c r="H734">
        <v>2</v>
      </c>
      <c r="I734" t="s">
        <v>72</v>
      </c>
    </row>
    <row r="735" spans="2:9" x14ac:dyDescent="0.2">
      <c r="B735" t="s">
        <v>7</v>
      </c>
      <c r="C735" t="s">
        <v>9</v>
      </c>
      <c r="D735">
        <v>1</v>
      </c>
      <c r="E735">
        <v>9</v>
      </c>
      <c r="F735">
        <v>0</v>
      </c>
      <c r="G735">
        <v>1</v>
      </c>
      <c r="H735">
        <v>2</v>
      </c>
      <c r="I735" t="s">
        <v>72</v>
      </c>
    </row>
    <row r="736" spans="2:9" x14ac:dyDescent="0.2">
      <c r="B736" t="s">
        <v>6</v>
      </c>
      <c r="C736" t="s">
        <v>7</v>
      </c>
      <c r="D736" t="s">
        <v>12</v>
      </c>
      <c r="E736">
        <v>1</v>
      </c>
      <c r="F736">
        <v>9</v>
      </c>
      <c r="G736">
        <v>1</v>
      </c>
      <c r="H736">
        <v>0</v>
      </c>
      <c r="I736" t="s">
        <v>72</v>
      </c>
    </row>
    <row r="737" spans="2:9" x14ac:dyDescent="0.2">
      <c r="B737" t="s">
        <v>6</v>
      </c>
      <c r="C737" t="s">
        <v>7</v>
      </c>
      <c r="D737" t="s">
        <v>12</v>
      </c>
      <c r="E737">
        <v>1</v>
      </c>
      <c r="F737">
        <v>9</v>
      </c>
      <c r="G737">
        <v>1</v>
      </c>
      <c r="H737">
        <v>1</v>
      </c>
      <c r="I737" t="s">
        <v>72</v>
      </c>
    </row>
    <row r="738" spans="2:9" x14ac:dyDescent="0.2">
      <c r="B738" t="s">
        <v>6</v>
      </c>
      <c r="C738" t="s">
        <v>7</v>
      </c>
      <c r="D738" t="s">
        <v>12</v>
      </c>
      <c r="E738">
        <v>1</v>
      </c>
      <c r="F738">
        <v>9</v>
      </c>
      <c r="G738">
        <v>1</v>
      </c>
      <c r="H738">
        <v>2</v>
      </c>
      <c r="I738" t="s">
        <v>75</v>
      </c>
    </row>
    <row r="739" spans="2:9" x14ac:dyDescent="0.2">
      <c r="B739" t="s">
        <v>8</v>
      </c>
      <c r="C739" t="s">
        <v>9</v>
      </c>
      <c r="D739">
        <v>1</v>
      </c>
      <c r="E739">
        <v>9</v>
      </c>
      <c r="F739">
        <v>1</v>
      </c>
      <c r="G739">
        <v>0</v>
      </c>
      <c r="H739">
        <v>0</v>
      </c>
      <c r="I739" t="s">
        <v>72</v>
      </c>
    </row>
    <row r="740" spans="2:9" x14ac:dyDescent="0.2">
      <c r="B740" t="s">
        <v>7</v>
      </c>
      <c r="C740" t="s">
        <v>9</v>
      </c>
      <c r="D740">
        <v>1</v>
      </c>
      <c r="E740">
        <v>9</v>
      </c>
      <c r="F740">
        <v>1</v>
      </c>
      <c r="G740">
        <v>0</v>
      </c>
      <c r="H740">
        <v>0</v>
      </c>
      <c r="I740" t="s">
        <v>72</v>
      </c>
    </row>
    <row r="741" spans="2:9" x14ac:dyDescent="0.2">
      <c r="B741" t="s">
        <v>8</v>
      </c>
      <c r="C741" t="s">
        <v>9</v>
      </c>
      <c r="D741">
        <v>1</v>
      </c>
      <c r="E741">
        <v>9</v>
      </c>
      <c r="F741">
        <v>1</v>
      </c>
      <c r="G741">
        <v>0</v>
      </c>
      <c r="H741">
        <v>1</v>
      </c>
      <c r="I741" t="s">
        <v>72</v>
      </c>
    </row>
    <row r="742" spans="2:9" x14ac:dyDescent="0.2">
      <c r="B742" t="s">
        <v>7</v>
      </c>
      <c r="C742" t="s">
        <v>9</v>
      </c>
      <c r="D742">
        <v>1</v>
      </c>
      <c r="E742">
        <v>9</v>
      </c>
      <c r="F742">
        <v>1</v>
      </c>
      <c r="G742">
        <v>0</v>
      </c>
      <c r="H742">
        <v>1</v>
      </c>
      <c r="I742" t="s">
        <v>72</v>
      </c>
    </row>
    <row r="743" spans="2:9" x14ac:dyDescent="0.2">
      <c r="B743" t="s">
        <v>8</v>
      </c>
      <c r="C743" t="s">
        <v>9</v>
      </c>
      <c r="D743">
        <v>1</v>
      </c>
      <c r="E743">
        <v>9</v>
      </c>
      <c r="F743">
        <v>1</v>
      </c>
      <c r="G743">
        <v>0</v>
      </c>
      <c r="H743">
        <v>2</v>
      </c>
      <c r="I743" t="s">
        <v>72</v>
      </c>
    </row>
    <row r="744" spans="2:9" x14ac:dyDescent="0.2">
      <c r="B744" t="s">
        <v>7</v>
      </c>
      <c r="C744" t="s">
        <v>9</v>
      </c>
      <c r="D744">
        <v>1</v>
      </c>
      <c r="E744">
        <v>9</v>
      </c>
      <c r="F744">
        <v>1</v>
      </c>
      <c r="G744">
        <v>0</v>
      </c>
      <c r="H744">
        <v>2</v>
      </c>
      <c r="I744" t="s">
        <v>72</v>
      </c>
    </row>
    <row r="745" spans="2:9" x14ac:dyDescent="0.2">
      <c r="B745" t="s">
        <v>8</v>
      </c>
      <c r="C745" t="s">
        <v>9</v>
      </c>
      <c r="D745">
        <v>1</v>
      </c>
      <c r="E745">
        <v>9</v>
      </c>
      <c r="F745">
        <v>1</v>
      </c>
      <c r="G745">
        <v>1</v>
      </c>
      <c r="H745">
        <v>0</v>
      </c>
      <c r="I745" t="s">
        <v>72</v>
      </c>
    </row>
    <row r="746" spans="2:9" x14ac:dyDescent="0.2">
      <c r="B746" t="s">
        <v>7</v>
      </c>
      <c r="C746" t="s">
        <v>9</v>
      </c>
      <c r="D746">
        <v>1</v>
      </c>
      <c r="E746">
        <v>9</v>
      </c>
      <c r="F746">
        <v>1</v>
      </c>
      <c r="G746">
        <v>1</v>
      </c>
      <c r="H746">
        <v>0</v>
      </c>
      <c r="I746" t="s">
        <v>60</v>
      </c>
    </row>
    <row r="747" spans="2:9" x14ac:dyDescent="0.2">
      <c r="B747" t="s">
        <v>8</v>
      </c>
      <c r="C747" t="s">
        <v>9</v>
      </c>
      <c r="D747">
        <v>1</v>
      </c>
      <c r="E747">
        <v>9</v>
      </c>
      <c r="F747">
        <v>1</v>
      </c>
      <c r="G747">
        <v>1</v>
      </c>
      <c r="H747">
        <v>1</v>
      </c>
      <c r="I747" t="s">
        <v>72</v>
      </c>
    </row>
    <row r="748" spans="2:9" x14ac:dyDescent="0.2">
      <c r="B748" t="s">
        <v>7</v>
      </c>
      <c r="C748" t="s">
        <v>9</v>
      </c>
      <c r="D748">
        <v>1</v>
      </c>
      <c r="E748">
        <v>9</v>
      </c>
      <c r="F748">
        <v>1</v>
      </c>
      <c r="G748">
        <v>1</v>
      </c>
      <c r="H748">
        <v>1</v>
      </c>
      <c r="I748" t="s">
        <v>444</v>
      </c>
    </row>
    <row r="749" spans="2:9" x14ac:dyDescent="0.2">
      <c r="B749" t="s">
        <v>8</v>
      </c>
      <c r="C749" t="s">
        <v>9</v>
      </c>
      <c r="D749">
        <v>1</v>
      </c>
      <c r="E749">
        <v>9</v>
      </c>
      <c r="F749">
        <v>1</v>
      </c>
      <c r="G749">
        <v>1</v>
      </c>
      <c r="H749">
        <v>2</v>
      </c>
      <c r="I749" t="s">
        <v>72</v>
      </c>
    </row>
    <row r="750" spans="2:9" x14ac:dyDescent="0.2">
      <c r="B750" t="s">
        <v>7</v>
      </c>
      <c r="C750" t="s">
        <v>9</v>
      </c>
      <c r="D750">
        <v>1</v>
      </c>
      <c r="E750">
        <v>9</v>
      </c>
      <c r="F750">
        <v>1</v>
      </c>
      <c r="G750">
        <v>1</v>
      </c>
      <c r="H750">
        <v>2</v>
      </c>
      <c r="I750" t="s">
        <v>62</v>
      </c>
    </row>
    <row r="751" spans="2:9" x14ac:dyDescent="0.2">
      <c r="B751" t="s">
        <v>6</v>
      </c>
      <c r="C751" t="s">
        <v>7</v>
      </c>
      <c r="D751" t="s">
        <v>12</v>
      </c>
      <c r="E751">
        <v>2</v>
      </c>
      <c r="F751">
        <v>0</v>
      </c>
      <c r="G751">
        <v>0</v>
      </c>
      <c r="H751">
        <v>0</v>
      </c>
      <c r="I751" t="s">
        <v>72</v>
      </c>
    </row>
    <row r="752" spans="2:9" x14ac:dyDescent="0.2">
      <c r="B752" t="s">
        <v>6</v>
      </c>
      <c r="C752" t="s">
        <v>7</v>
      </c>
      <c r="D752" t="s">
        <v>12</v>
      </c>
      <c r="E752">
        <v>2</v>
      </c>
      <c r="F752">
        <v>0</v>
      </c>
      <c r="G752">
        <v>0</v>
      </c>
      <c r="H752">
        <v>1</v>
      </c>
      <c r="I752" t="s">
        <v>72</v>
      </c>
    </row>
    <row r="753" spans="2:9" x14ac:dyDescent="0.2">
      <c r="B753" t="s">
        <v>6</v>
      </c>
      <c r="C753" t="s">
        <v>7</v>
      </c>
      <c r="D753" t="s">
        <v>12</v>
      </c>
      <c r="E753">
        <v>2</v>
      </c>
      <c r="F753">
        <v>0</v>
      </c>
      <c r="G753">
        <v>0</v>
      </c>
      <c r="H753">
        <v>2</v>
      </c>
      <c r="I753" t="s">
        <v>75</v>
      </c>
    </row>
    <row r="754" spans="2:9" x14ac:dyDescent="0.2">
      <c r="B754" t="s">
        <v>8</v>
      </c>
      <c r="C754" t="s">
        <v>9</v>
      </c>
      <c r="D754">
        <v>2</v>
      </c>
      <c r="E754">
        <v>0</v>
      </c>
      <c r="F754">
        <v>0</v>
      </c>
      <c r="G754">
        <v>0</v>
      </c>
      <c r="H754">
        <v>0</v>
      </c>
      <c r="I754" t="s">
        <v>72</v>
      </c>
    </row>
    <row r="755" spans="2:9" x14ac:dyDescent="0.2">
      <c r="B755" t="s">
        <v>7</v>
      </c>
      <c r="C755" t="s">
        <v>9</v>
      </c>
      <c r="D755">
        <v>2</v>
      </c>
      <c r="E755">
        <v>0</v>
      </c>
      <c r="F755">
        <v>0</v>
      </c>
      <c r="G755">
        <v>0</v>
      </c>
      <c r="H755">
        <v>0</v>
      </c>
      <c r="I755" t="s">
        <v>62</v>
      </c>
    </row>
    <row r="756" spans="2:9" x14ac:dyDescent="0.2">
      <c r="B756" t="s">
        <v>8</v>
      </c>
      <c r="C756" t="s">
        <v>9</v>
      </c>
      <c r="D756">
        <v>2</v>
      </c>
      <c r="E756">
        <v>0</v>
      </c>
      <c r="F756">
        <v>0</v>
      </c>
      <c r="G756">
        <v>0</v>
      </c>
      <c r="H756">
        <v>1</v>
      </c>
      <c r="I756" t="s">
        <v>72</v>
      </c>
    </row>
    <row r="757" spans="2:9" x14ac:dyDescent="0.2">
      <c r="B757" t="s">
        <v>7</v>
      </c>
      <c r="C757" t="s">
        <v>9</v>
      </c>
      <c r="D757">
        <v>2</v>
      </c>
      <c r="E757">
        <v>0</v>
      </c>
      <c r="F757">
        <v>0</v>
      </c>
      <c r="G757">
        <v>0</v>
      </c>
      <c r="H757">
        <v>1</v>
      </c>
      <c r="I757" t="s">
        <v>60</v>
      </c>
    </row>
    <row r="758" spans="2:9" x14ac:dyDescent="0.2">
      <c r="B758" t="s">
        <v>8</v>
      </c>
      <c r="C758" t="s">
        <v>9</v>
      </c>
      <c r="D758">
        <v>2</v>
      </c>
      <c r="E758">
        <v>0</v>
      </c>
      <c r="F758">
        <v>0</v>
      </c>
      <c r="G758">
        <v>0</v>
      </c>
      <c r="H758">
        <v>2</v>
      </c>
      <c r="I758" t="s">
        <v>72</v>
      </c>
    </row>
    <row r="759" spans="2:9" x14ac:dyDescent="0.2">
      <c r="B759" t="s">
        <v>7</v>
      </c>
      <c r="C759" t="s">
        <v>9</v>
      </c>
      <c r="D759">
        <v>2</v>
      </c>
      <c r="E759">
        <v>0</v>
      </c>
      <c r="F759">
        <v>0</v>
      </c>
      <c r="G759">
        <v>0</v>
      </c>
      <c r="H759">
        <v>2</v>
      </c>
      <c r="I759" t="s">
        <v>444</v>
      </c>
    </row>
    <row r="760" spans="2:9" x14ac:dyDescent="0.2">
      <c r="B760" t="s">
        <v>8</v>
      </c>
      <c r="C760" t="s">
        <v>9</v>
      </c>
      <c r="D760">
        <v>2</v>
      </c>
      <c r="E760">
        <v>0</v>
      </c>
      <c r="F760">
        <v>0</v>
      </c>
      <c r="G760">
        <v>1</v>
      </c>
      <c r="H760">
        <v>0</v>
      </c>
      <c r="I760" t="s">
        <v>72</v>
      </c>
    </row>
    <row r="761" spans="2:9" x14ac:dyDescent="0.2">
      <c r="B761" t="s">
        <v>7</v>
      </c>
      <c r="C761" t="s">
        <v>9</v>
      </c>
      <c r="D761">
        <v>2</v>
      </c>
      <c r="E761">
        <v>0</v>
      </c>
      <c r="F761">
        <v>0</v>
      </c>
      <c r="G761">
        <v>1</v>
      </c>
      <c r="H761">
        <v>0</v>
      </c>
      <c r="I761" t="s">
        <v>72</v>
      </c>
    </row>
    <row r="762" spans="2:9" x14ac:dyDescent="0.2">
      <c r="B762" t="s">
        <v>8</v>
      </c>
      <c r="C762" t="s">
        <v>9</v>
      </c>
      <c r="D762">
        <v>2</v>
      </c>
      <c r="E762">
        <v>0</v>
      </c>
      <c r="F762">
        <v>0</v>
      </c>
      <c r="G762">
        <v>1</v>
      </c>
      <c r="H762">
        <v>1</v>
      </c>
      <c r="I762" t="s">
        <v>72</v>
      </c>
    </row>
    <row r="763" spans="2:9" x14ac:dyDescent="0.2">
      <c r="B763" t="s">
        <v>7</v>
      </c>
      <c r="C763" t="s">
        <v>9</v>
      </c>
      <c r="D763">
        <v>2</v>
      </c>
      <c r="E763">
        <v>0</v>
      </c>
      <c r="F763">
        <v>0</v>
      </c>
      <c r="G763">
        <v>1</v>
      </c>
      <c r="H763">
        <v>1</v>
      </c>
      <c r="I763" t="s">
        <v>72</v>
      </c>
    </row>
    <row r="764" spans="2:9" x14ac:dyDescent="0.2">
      <c r="B764" t="s">
        <v>8</v>
      </c>
      <c r="C764" t="s">
        <v>9</v>
      </c>
      <c r="D764">
        <v>2</v>
      </c>
      <c r="E764">
        <v>0</v>
      </c>
      <c r="F764">
        <v>0</v>
      </c>
      <c r="G764">
        <v>1</v>
      </c>
      <c r="H764">
        <v>2</v>
      </c>
      <c r="I764" t="s">
        <v>72</v>
      </c>
    </row>
    <row r="765" spans="2:9" x14ac:dyDescent="0.2">
      <c r="B765" t="s">
        <v>7</v>
      </c>
      <c r="C765" t="s">
        <v>9</v>
      </c>
      <c r="D765">
        <v>2</v>
      </c>
      <c r="E765">
        <v>0</v>
      </c>
      <c r="F765">
        <v>0</v>
      </c>
      <c r="G765">
        <v>1</v>
      </c>
      <c r="H765">
        <v>2</v>
      </c>
      <c r="I765" t="s">
        <v>72</v>
      </c>
    </row>
    <row r="766" spans="2:9" x14ac:dyDescent="0.2">
      <c r="B766" t="s">
        <v>6</v>
      </c>
      <c r="C766" t="s">
        <v>7</v>
      </c>
      <c r="D766" t="s">
        <v>12</v>
      </c>
      <c r="E766">
        <v>2</v>
      </c>
      <c r="F766">
        <v>0</v>
      </c>
      <c r="G766">
        <v>1</v>
      </c>
      <c r="H766">
        <v>0</v>
      </c>
      <c r="I766" t="s">
        <v>72</v>
      </c>
    </row>
    <row r="767" spans="2:9" x14ac:dyDescent="0.2">
      <c r="B767" t="s">
        <v>6</v>
      </c>
      <c r="C767" t="s">
        <v>7</v>
      </c>
      <c r="D767" t="s">
        <v>12</v>
      </c>
      <c r="E767">
        <v>2</v>
      </c>
      <c r="F767">
        <v>0</v>
      </c>
      <c r="G767">
        <v>1</v>
      </c>
      <c r="H767">
        <v>1</v>
      </c>
      <c r="I767" t="s">
        <v>72</v>
      </c>
    </row>
    <row r="768" spans="2:9" x14ac:dyDescent="0.2">
      <c r="B768" t="s">
        <v>6</v>
      </c>
      <c r="C768" t="s">
        <v>7</v>
      </c>
      <c r="D768" t="s">
        <v>12</v>
      </c>
      <c r="E768">
        <v>2</v>
      </c>
      <c r="F768">
        <v>0</v>
      </c>
      <c r="G768">
        <v>1</v>
      </c>
      <c r="H768">
        <v>2</v>
      </c>
      <c r="I768" t="s">
        <v>75</v>
      </c>
    </row>
    <row r="769" spans="2:9" x14ac:dyDescent="0.2">
      <c r="B769" t="s">
        <v>8</v>
      </c>
      <c r="C769" t="s">
        <v>9</v>
      </c>
      <c r="D769">
        <v>2</v>
      </c>
      <c r="E769">
        <v>0</v>
      </c>
      <c r="F769">
        <v>1</v>
      </c>
      <c r="G769">
        <v>0</v>
      </c>
      <c r="H769">
        <v>0</v>
      </c>
      <c r="I769" t="s">
        <v>72</v>
      </c>
    </row>
    <row r="770" spans="2:9" x14ac:dyDescent="0.2">
      <c r="B770" t="s">
        <v>7</v>
      </c>
      <c r="C770" t="s">
        <v>9</v>
      </c>
      <c r="D770">
        <v>2</v>
      </c>
      <c r="E770">
        <v>0</v>
      </c>
      <c r="F770">
        <v>1</v>
      </c>
      <c r="G770">
        <v>0</v>
      </c>
      <c r="H770">
        <v>0</v>
      </c>
      <c r="I770" t="s">
        <v>72</v>
      </c>
    </row>
    <row r="771" spans="2:9" x14ac:dyDescent="0.2">
      <c r="B771" t="s">
        <v>8</v>
      </c>
      <c r="C771" t="s">
        <v>9</v>
      </c>
      <c r="D771">
        <v>2</v>
      </c>
      <c r="E771">
        <v>0</v>
      </c>
      <c r="F771">
        <v>1</v>
      </c>
      <c r="G771">
        <v>0</v>
      </c>
      <c r="H771">
        <v>1</v>
      </c>
      <c r="I771" t="s">
        <v>72</v>
      </c>
    </row>
    <row r="772" spans="2:9" x14ac:dyDescent="0.2">
      <c r="B772" t="s">
        <v>7</v>
      </c>
      <c r="C772" t="s">
        <v>9</v>
      </c>
      <c r="D772">
        <v>2</v>
      </c>
      <c r="E772">
        <v>0</v>
      </c>
      <c r="F772">
        <v>1</v>
      </c>
      <c r="G772">
        <v>0</v>
      </c>
      <c r="H772">
        <v>1</v>
      </c>
      <c r="I772" t="s">
        <v>72</v>
      </c>
    </row>
    <row r="773" spans="2:9" x14ac:dyDescent="0.2">
      <c r="B773" t="s">
        <v>8</v>
      </c>
      <c r="C773" t="s">
        <v>9</v>
      </c>
      <c r="D773">
        <v>2</v>
      </c>
      <c r="E773">
        <v>0</v>
      </c>
      <c r="F773">
        <v>1</v>
      </c>
      <c r="G773">
        <v>0</v>
      </c>
      <c r="H773">
        <v>2</v>
      </c>
      <c r="I773" t="s">
        <v>72</v>
      </c>
    </row>
    <row r="774" spans="2:9" x14ac:dyDescent="0.2">
      <c r="B774" t="s">
        <v>7</v>
      </c>
      <c r="C774" t="s">
        <v>9</v>
      </c>
      <c r="D774">
        <v>2</v>
      </c>
      <c r="E774">
        <v>0</v>
      </c>
      <c r="F774">
        <v>1</v>
      </c>
      <c r="G774">
        <v>0</v>
      </c>
      <c r="H774">
        <v>2</v>
      </c>
      <c r="I774" t="s">
        <v>72</v>
      </c>
    </row>
    <row r="775" spans="2:9" x14ac:dyDescent="0.2">
      <c r="B775" t="s">
        <v>8</v>
      </c>
      <c r="C775" t="s">
        <v>9</v>
      </c>
      <c r="D775">
        <v>2</v>
      </c>
      <c r="E775">
        <v>0</v>
      </c>
      <c r="F775">
        <v>1</v>
      </c>
      <c r="G775">
        <v>1</v>
      </c>
      <c r="H775">
        <v>0</v>
      </c>
      <c r="I775" t="s">
        <v>72</v>
      </c>
    </row>
    <row r="776" spans="2:9" x14ac:dyDescent="0.2">
      <c r="B776" t="s">
        <v>7</v>
      </c>
      <c r="C776" t="s">
        <v>9</v>
      </c>
      <c r="D776">
        <v>2</v>
      </c>
      <c r="E776">
        <v>0</v>
      </c>
      <c r="F776">
        <v>1</v>
      </c>
      <c r="G776">
        <v>1</v>
      </c>
      <c r="H776">
        <v>0</v>
      </c>
      <c r="I776" t="s">
        <v>62</v>
      </c>
    </row>
    <row r="777" spans="2:9" x14ac:dyDescent="0.2">
      <c r="B777" t="s">
        <v>8</v>
      </c>
      <c r="C777" t="s">
        <v>9</v>
      </c>
      <c r="D777">
        <v>2</v>
      </c>
      <c r="E777">
        <v>0</v>
      </c>
      <c r="F777">
        <v>1</v>
      </c>
      <c r="G777">
        <v>1</v>
      </c>
      <c r="H777">
        <v>1</v>
      </c>
      <c r="I777" t="s">
        <v>72</v>
      </c>
    </row>
    <row r="778" spans="2:9" x14ac:dyDescent="0.2">
      <c r="B778" t="s">
        <v>7</v>
      </c>
      <c r="C778" t="s">
        <v>9</v>
      </c>
      <c r="D778">
        <v>2</v>
      </c>
      <c r="E778">
        <v>0</v>
      </c>
      <c r="F778">
        <v>1</v>
      </c>
      <c r="G778">
        <v>1</v>
      </c>
      <c r="H778">
        <v>1</v>
      </c>
      <c r="I778" t="s">
        <v>60</v>
      </c>
    </row>
    <row r="779" spans="2:9" x14ac:dyDescent="0.2">
      <c r="B779" t="s">
        <v>8</v>
      </c>
      <c r="C779" t="s">
        <v>9</v>
      </c>
      <c r="D779">
        <v>2</v>
      </c>
      <c r="E779">
        <v>0</v>
      </c>
      <c r="F779">
        <v>1</v>
      </c>
      <c r="G779">
        <v>1</v>
      </c>
      <c r="H779">
        <v>2</v>
      </c>
      <c r="I779" t="s">
        <v>72</v>
      </c>
    </row>
    <row r="780" spans="2:9" x14ac:dyDescent="0.2">
      <c r="B780" t="s">
        <v>7</v>
      </c>
      <c r="C780" t="s">
        <v>9</v>
      </c>
      <c r="D780">
        <v>2</v>
      </c>
      <c r="E780">
        <v>0</v>
      </c>
      <c r="F780">
        <v>1</v>
      </c>
      <c r="G780">
        <v>1</v>
      </c>
      <c r="H780">
        <v>2</v>
      </c>
      <c r="I780" t="s">
        <v>444</v>
      </c>
    </row>
    <row r="781" spans="2:9" x14ac:dyDescent="0.2">
      <c r="B781" t="s">
        <v>6</v>
      </c>
      <c r="C781" t="s">
        <v>7</v>
      </c>
      <c r="D781" t="s">
        <v>12</v>
      </c>
      <c r="E781">
        <v>2</v>
      </c>
      <c r="F781">
        <v>1</v>
      </c>
      <c r="G781">
        <v>0</v>
      </c>
      <c r="H781">
        <v>0</v>
      </c>
      <c r="I781" t="s">
        <v>72</v>
      </c>
    </row>
    <row r="782" spans="2:9" x14ac:dyDescent="0.2">
      <c r="B782" t="s">
        <v>6</v>
      </c>
      <c r="C782" t="s">
        <v>7</v>
      </c>
      <c r="D782" t="s">
        <v>12</v>
      </c>
      <c r="E782">
        <v>2</v>
      </c>
      <c r="F782">
        <v>1</v>
      </c>
      <c r="G782">
        <v>0</v>
      </c>
      <c r="H782">
        <v>1</v>
      </c>
      <c r="I782" t="s">
        <v>72</v>
      </c>
    </row>
    <row r="783" spans="2:9" x14ac:dyDescent="0.2">
      <c r="B783" t="s">
        <v>6</v>
      </c>
      <c r="C783" t="s">
        <v>7</v>
      </c>
      <c r="D783" t="s">
        <v>12</v>
      </c>
      <c r="E783">
        <v>2</v>
      </c>
      <c r="F783">
        <v>1</v>
      </c>
      <c r="G783">
        <v>0</v>
      </c>
      <c r="H783">
        <v>2</v>
      </c>
      <c r="I783" t="s">
        <v>75</v>
      </c>
    </row>
    <row r="784" spans="2:9" x14ac:dyDescent="0.2">
      <c r="B784" t="s">
        <v>8</v>
      </c>
      <c r="C784" t="s">
        <v>9</v>
      </c>
      <c r="D784">
        <v>2</v>
      </c>
      <c r="E784">
        <v>1</v>
      </c>
      <c r="F784">
        <v>0</v>
      </c>
      <c r="G784">
        <v>0</v>
      </c>
      <c r="H784">
        <v>0</v>
      </c>
      <c r="I784" t="s">
        <v>72</v>
      </c>
    </row>
    <row r="785" spans="2:9" x14ac:dyDescent="0.2">
      <c r="B785" t="s">
        <v>7</v>
      </c>
      <c r="C785" t="s">
        <v>9</v>
      </c>
      <c r="D785">
        <v>2</v>
      </c>
      <c r="E785">
        <v>1</v>
      </c>
      <c r="F785">
        <v>0</v>
      </c>
      <c r="G785">
        <v>0</v>
      </c>
      <c r="H785">
        <v>0</v>
      </c>
      <c r="I785" t="s">
        <v>62</v>
      </c>
    </row>
    <row r="786" spans="2:9" x14ac:dyDescent="0.2">
      <c r="B786" t="s">
        <v>8</v>
      </c>
      <c r="C786" t="s">
        <v>9</v>
      </c>
      <c r="D786">
        <v>2</v>
      </c>
      <c r="E786">
        <v>1</v>
      </c>
      <c r="F786">
        <v>0</v>
      </c>
      <c r="G786">
        <v>0</v>
      </c>
      <c r="H786">
        <v>1</v>
      </c>
      <c r="I786" t="s">
        <v>72</v>
      </c>
    </row>
    <row r="787" spans="2:9" x14ac:dyDescent="0.2">
      <c r="B787" t="s">
        <v>7</v>
      </c>
      <c r="C787" t="s">
        <v>9</v>
      </c>
      <c r="D787">
        <v>2</v>
      </c>
      <c r="E787">
        <v>1</v>
      </c>
      <c r="F787">
        <v>0</v>
      </c>
      <c r="G787">
        <v>0</v>
      </c>
      <c r="H787">
        <v>1</v>
      </c>
      <c r="I787" t="s">
        <v>60</v>
      </c>
    </row>
    <row r="788" spans="2:9" x14ac:dyDescent="0.2">
      <c r="B788" t="s">
        <v>8</v>
      </c>
      <c r="C788" t="s">
        <v>9</v>
      </c>
      <c r="D788">
        <v>2</v>
      </c>
      <c r="E788">
        <v>1</v>
      </c>
      <c r="F788">
        <v>0</v>
      </c>
      <c r="G788">
        <v>0</v>
      </c>
      <c r="H788">
        <v>2</v>
      </c>
      <c r="I788" t="s">
        <v>72</v>
      </c>
    </row>
    <row r="789" spans="2:9" x14ac:dyDescent="0.2">
      <c r="B789" t="s">
        <v>7</v>
      </c>
      <c r="C789" t="s">
        <v>9</v>
      </c>
      <c r="D789">
        <v>2</v>
      </c>
      <c r="E789">
        <v>1</v>
      </c>
      <c r="F789">
        <v>0</v>
      </c>
      <c r="G789">
        <v>0</v>
      </c>
      <c r="H789">
        <v>2</v>
      </c>
      <c r="I789" t="s">
        <v>444</v>
      </c>
    </row>
    <row r="790" spans="2:9" x14ac:dyDescent="0.2">
      <c r="B790" t="s">
        <v>8</v>
      </c>
      <c r="C790" t="s">
        <v>9</v>
      </c>
      <c r="D790">
        <v>2</v>
      </c>
      <c r="E790">
        <v>1</v>
      </c>
      <c r="F790">
        <v>0</v>
      </c>
      <c r="G790">
        <v>1</v>
      </c>
      <c r="H790">
        <v>0</v>
      </c>
      <c r="I790" t="s">
        <v>72</v>
      </c>
    </row>
    <row r="791" spans="2:9" x14ac:dyDescent="0.2">
      <c r="B791" t="s">
        <v>7</v>
      </c>
      <c r="C791" t="s">
        <v>9</v>
      </c>
      <c r="D791">
        <v>2</v>
      </c>
      <c r="E791">
        <v>1</v>
      </c>
      <c r="F791">
        <v>0</v>
      </c>
      <c r="G791">
        <v>1</v>
      </c>
      <c r="H791">
        <v>0</v>
      </c>
      <c r="I791" t="s">
        <v>72</v>
      </c>
    </row>
    <row r="792" spans="2:9" x14ac:dyDescent="0.2">
      <c r="B792" t="s">
        <v>8</v>
      </c>
      <c r="C792" t="s">
        <v>9</v>
      </c>
      <c r="D792">
        <v>2</v>
      </c>
      <c r="E792">
        <v>1</v>
      </c>
      <c r="F792">
        <v>0</v>
      </c>
      <c r="G792">
        <v>1</v>
      </c>
      <c r="H792">
        <v>1</v>
      </c>
      <c r="I792" t="s">
        <v>72</v>
      </c>
    </row>
    <row r="793" spans="2:9" x14ac:dyDescent="0.2">
      <c r="B793" t="s">
        <v>7</v>
      </c>
      <c r="C793" t="s">
        <v>9</v>
      </c>
      <c r="D793">
        <v>2</v>
      </c>
      <c r="E793">
        <v>1</v>
      </c>
      <c r="F793">
        <v>0</v>
      </c>
      <c r="G793">
        <v>1</v>
      </c>
      <c r="H793">
        <v>1</v>
      </c>
      <c r="I793" t="s">
        <v>72</v>
      </c>
    </row>
    <row r="794" spans="2:9" x14ac:dyDescent="0.2">
      <c r="B794" t="s">
        <v>8</v>
      </c>
      <c r="C794" t="s">
        <v>9</v>
      </c>
      <c r="D794">
        <v>2</v>
      </c>
      <c r="E794">
        <v>1</v>
      </c>
      <c r="F794">
        <v>0</v>
      </c>
      <c r="G794">
        <v>1</v>
      </c>
      <c r="H794">
        <v>2</v>
      </c>
      <c r="I794" t="s">
        <v>72</v>
      </c>
    </row>
    <row r="795" spans="2:9" x14ac:dyDescent="0.2">
      <c r="B795" t="s">
        <v>7</v>
      </c>
      <c r="C795" t="s">
        <v>9</v>
      </c>
      <c r="D795">
        <v>2</v>
      </c>
      <c r="E795">
        <v>1</v>
      </c>
      <c r="F795">
        <v>0</v>
      </c>
      <c r="G795">
        <v>1</v>
      </c>
      <c r="H795">
        <v>2</v>
      </c>
      <c r="I795" t="s">
        <v>72</v>
      </c>
    </row>
    <row r="796" spans="2:9" x14ac:dyDescent="0.2">
      <c r="B796" t="s">
        <v>6</v>
      </c>
      <c r="C796" t="s">
        <v>7</v>
      </c>
      <c r="D796" t="s">
        <v>12</v>
      </c>
      <c r="E796">
        <v>2</v>
      </c>
      <c r="F796">
        <v>1</v>
      </c>
      <c r="G796">
        <v>1</v>
      </c>
      <c r="H796">
        <v>0</v>
      </c>
      <c r="I796" t="s">
        <v>72</v>
      </c>
    </row>
    <row r="797" spans="2:9" x14ac:dyDescent="0.2">
      <c r="B797" t="s">
        <v>6</v>
      </c>
      <c r="C797" t="s">
        <v>7</v>
      </c>
      <c r="D797" t="s">
        <v>12</v>
      </c>
      <c r="E797">
        <v>2</v>
      </c>
      <c r="F797">
        <v>1</v>
      </c>
      <c r="G797">
        <v>1</v>
      </c>
      <c r="H797">
        <v>1</v>
      </c>
      <c r="I797" t="s">
        <v>72</v>
      </c>
    </row>
    <row r="798" spans="2:9" x14ac:dyDescent="0.2">
      <c r="B798" t="s">
        <v>6</v>
      </c>
      <c r="C798" t="s">
        <v>7</v>
      </c>
      <c r="D798" t="s">
        <v>12</v>
      </c>
      <c r="E798">
        <v>2</v>
      </c>
      <c r="F798">
        <v>1</v>
      </c>
      <c r="G798">
        <v>1</v>
      </c>
      <c r="H798">
        <v>2</v>
      </c>
      <c r="I798" t="s">
        <v>445</v>
      </c>
    </row>
    <row r="799" spans="2:9" x14ac:dyDescent="0.2">
      <c r="B799" t="s">
        <v>8</v>
      </c>
      <c r="C799" t="s">
        <v>9</v>
      </c>
      <c r="D799">
        <v>2</v>
      </c>
      <c r="E799">
        <v>1</v>
      </c>
      <c r="F799">
        <v>1</v>
      </c>
      <c r="G799">
        <v>0</v>
      </c>
      <c r="H799">
        <v>0</v>
      </c>
      <c r="I799" t="s">
        <v>72</v>
      </c>
    </row>
    <row r="800" spans="2:9" x14ac:dyDescent="0.2">
      <c r="B800" t="s">
        <v>7</v>
      </c>
      <c r="C800" t="s">
        <v>9</v>
      </c>
      <c r="D800">
        <v>2</v>
      </c>
      <c r="E800">
        <v>1</v>
      </c>
      <c r="F800">
        <v>1</v>
      </c>
      <c r="G800">
        <v>0</v>
      </c>
      <c r="H800">
        <v>0</v>
      </c>
      <c r="I800" t="s">
        <v>72</v>
      </c>
    </row>
    <row r="801" spans="2:9" x14ac:dyDescent="0.2">
      <c r="B801" t="s">
        <v>8</v>
      </c>
      <c r="C801" t="s">
        <v>9</v>
      </c>
      <c r="D801">
        <v>2</v>
      </c>
      <c r="E801">
        <v>1</v>
      </c>
      <c r="F801">
        <v>1</v>
      </c>
      <c r="G801">
        <v>0</v>
      </c>
      <c r="H801">
        <v>1</v>
      </c>
      <c r="I801" t="s">
        <v>72</v>
      </c>
    </row>
    <row r="802" spans="2:9" x14ac:dyDescent="0.2">
      <c r="B802" t="s">
        <v>7</v>
      </c>
      <c r="C802" t="s">
        <v>9</v>
      </c>
      <c r="D802">
        <v>2</v>
      </c>
      <c r="E802">
        <v>1</v>
      </c>
      <c r="F802">
        <v>1</v>
      </c>
      <c r="G802">
        <v>0</v>
      </c>
      <c r="H802">
        <v>1</v>
      </c>
      <c r="I802" t="s">
        <v>72</v>
      </c>
    </row>
    <row r="803" spans="2:9" x14ac:dyDescent="0.2">
      <c r="B803" t="s">
        <v>8</v>
      </c>
      <c r="C803" t="s">
        <v>9</v>
      </c>
      <c r="D803">
        <v>2</v>
      </c>
      <c r="E803">
        <v>1</v>
      </c>
      <c r="F803">
        <v>1</v>
      </c>
      <c r="G803">
        <v>0</v>
      </c>
      <c r="H803">
        <v>2</v>
      </c>
      <c r="I803" t="s">
        <v>72</v>
      </c>
    </row>
    <row r="804" spans="2:9" x14ac:dyDescent="0.2">
      <c r="B804" t="s">
        <v>7</v>
      </c>
      <c r="C804" t="s">
        <v>9</v>
      </c>
      <c r="D804">
        <v>2</v>
      </c>
      <c r="E804">
        <v>1</v>
      </c>
      <c r="F804">
        <v>1</v>
      </c>
      <c r="G804">
        <v>0</v>
      </c>
      <c r="H804">
        <v>2</v>
      </c>
      <c r="I804" t="s">
        <v>72</v>
      </c>
    </row>
    <row r="805" spans="2:9" x14ac:dyDescent="0.2">
      <c r="B805" t="s">
        <v>8</v>
      </c>
      <c r="C805" t="s">
        <v>9</v>
      </c>
      <c r="D805">
        <v>2</v>
      </c>
      <c r="E805">
        <v>1</v>
      </c>
      <c r="F805">
        <v>1</v>
      </c>
      <c r="G805">
        <v>1</v>
      </c>
      <c r="H805">
        <v>0</v>
      </c>
      <c r="I805" t="s">
        <v>72</v>
      </c>
    </row>
    <row r="806" spans="2:9" x14ac:dyDescent="0.2">
      <c r="B806" t="s">
        <v>7</v>
      </c>
      <c r="C806" t="s">
        <v>9</v>
      </c>
      <c r="D806">
        <v>2</v>
      </c>
      <c r="E806">
        <v>1</v>
      </c>
      <c r="F806">
        <v>1</v>
      </c>
      <c r="G806">
        <v>1</v>
      </c>
      <c r="H806">
        <v>0</v>
      </c>
      <c r="I806" t="s">
        <v>62</v>
      </c>
    </row>
    <row r="807" spans="2:9" x14ac:dyDescent="0.2">
      <c r="B807" t="s">
        <v>8</v>
      </c>
      <c r="C807" t="s">
        <v>9</v>
      </c>
      <c r="D807">
        <v>2</v>
      </c>
      <c r="E807">
        <v>1</v>
      </c>
      <c r="F807">
        <v>1</v>
      </c>
      <c r="G807">
        <v>1</v>
      </c>
      <c r="H807">
        <v>1</v>
      </c>
      <c r="I807" t="s">
        <v>72</v>
      </c>
    </row>
    <row r="808" spans="2:9" x14ac:dyDescent="0.2">
      <c r="B808" t="s">
        <v>7</v>
      </c>
      <c r="C808" t="s">
        <v>9</v>
      </c>
      <c r="D808">
        <v>2</v>
      </c>
      <c r="E808">
        <v>1</v>
      </c>
      <c r="F808">
        <v>1</v>
      </c>
      <c r="G808">
        <v>1</v>
      </c>
      <c r="H808">
        <v>1</v>
      </c>
      <c r="I808" t="s">
        <v>60</v>
      </c>
    </row>
    <row r="809" spans="2:9" x14ac:dyDescent="0.2">
      <c r="B809" t="s">
        <v>8</v>
      </c>
      <c r="C809" t="s">
        <v>9</v>
      </c>
      <c r="D809">
        <v>2</v>
      </c>
      <c r="E809">
        <v>1</v>
      </c>
      <c r="F809">
        <v>1</v>
      </c>
      <c r="G809">
        <v>1</v>
      </c>
      <c r="H809">
        <v>2</v>
      </c>
      <c r="I809" t="s">
        <v>72</v>
      </c>
    </row>
    <row r="810" spans="2:9" x14ac:dyDescent="0.2">
      <c r="B810" t="s">
        <v>7</v>
      </c>
      <c r="C810" t="s">
        <v>9</v>
      </c>
      <c r="D810">
        <v>2</v>
      </c>
      <c r="E810">
        <v>1</v>
      </c>
      <c r="F810">
        <v>1</v>
      </c>
      <c r="G810">
        <v>1</v>
      </c>
      <c r="H810">
        <v>2</v>
      </c>
      <c r="I810" t="s">
        <v>60</v>
      </c>
    </row>
    <row r="811" spans="2:9" x14ac:dyDescent="0.2">
      <c r="B811" t="s">
        <v>6</v>
      </c>
      <c r="C811" t="s">
        <v>7</v>
      </c>
      <c r="D811" t="s">
        <v>12</v>
      </c>
      <c r="E811">
        <v>2</v>
      </c>
      <c r="F811">
        <v>2</v>
      </c>
      <c r="G811">
        <v>0</v>
      </c>
      <c r="H811">
        <v>0</v>
      </c>
      <c r="I811" t="s">
        <v>72</v>
      </c>
    </row>
    <row r="812" spans="2:9" x14ac:dyDescent="0.2">
      <c r="B812" t="s">
        <v>6</v>
      </c>
      <c r="C812" t="s">
        <v>7</v>
      </c>
      <c r="D812" t="s">
        <v>12</v>
      </c>
      <c r="E812">
        <v>2</v>
      </c>
      <c r="F812">
        <v>2</v>
      </c>
      <c r="G812">
        <v>0</v>
      </c>
      <c r="H812">
        <v>1</v>
      </c>
      <c r="I812" t="s">
        <v>72</v>
      </c>
    </row>
    <row r="813" spans="2:9" x14ac:dyDescent="0.2">
      <c r="B813" t="s">
        <v>6</v>
      </c>
      <c r="C813" t="s">
        <v>7</v>
      </c>
      <c r="D813" t="s">
        <v>12</v>
      </c>
      <c r="E813">
        <v>2</v>
      </c>
      <c r="F813">
        <v>2</v>
      </c>
      <c r="G813">
        <v>0</v>
      </c>
      <c r="H813">
        <v>2</v>
      </c>
      <c r="I813" t="s">
        <v>75</v>
      </c>
    </row>
    <row r="814" spans="2:9" x14ac:dyDescent="0.2">
      <c r="B814" t="s">
        <v>8</v>
      </c>
      <c r="C814" t="s">
        <v>9</v>
      </c>
      <c r="D814">
        <v>2</v>
      </c>
      <c r="E814">
        <v>2</v>
      </c>
      <c r="F814">
        <v>0</v>
      </c>
      <c r="G814">
        <v>0</v>
      </c>
      <c r="H814">
        <v>0</v>
      </c>
      <c r="I814" t="s">
        <v>72</v>
      </c>
    </row>
    <row r="815" spans="2:9" x14ac:dyDescent="0.2">
      <c r="B815" t="s">
        <v>7</v>
      </c>
      <c r="C815" t="s">
        <v>9</v>
      </c>
      <c r="D815">
        <v>2</v>
      </c>
      <c r="E815">
        <v>2</v>
      </c>
      <c r="F815">
        <v>0</v>
      </c>
      <c r="G815">
        <v>0</v>
      </c>
      <c r="H815">
        <v>0</v>
      </c>
      <c r="I815" t="s">
        <v>62</v>
      </c>
    </row>
    <row r="816" spans="2:9" x14ac:dyDescent="0.2">
      <c r="B816" t="s">
        <v>8</v>
      </c>
      <c r="C816" t="s">
        <v>9</v>
      </c>
      <c r="D816">
        <v>2</v>
      </c>
      <c r="E816">
        <v>2</v>
      </c>
      <c r="F816">
        <v>0</v>
      </c>
      <c r="G816">
        <v>0</v>
      </c>
      <c r="H816">
        <v>1</v>
      </c>
      <c r="I816" t="s">
        <v>72</v>
      </c>
    </row>
    <row r="817" spans="2:9" x14ac:dyDescent="0.2">
      <c r="B817" t="s">
        <v>7</v>
      </c>
      <c r="C817" t="s">
        <v>9</v>
      </c>
      <c r="D817">
        <v>2</v>
      </c>
      <c r="E817">
        <v>2</v>
      </c>
      <c r="F817">
        <v>0</v>
      </c>
      <c r="G817">
        <v>0</v>
      </c>
      <c r="H817">
        <v>1</v>
      </c>
      <c r="I817" t="s">
        <v>60</v>
      </c>
    </row>
    <row r="818" spans="2:9" x14ac:dyDescent="0.2">
      <c r="B818" t="s">
        <v>8</v>
      </c>
      <c r="C818" t="s">
        <v>9</v>
      </c>
      <c r="D818">
        <v>2</v>
      </c>
      <c r="E818">
        <v>2</v>
      </c>
      <c r="F818">
        <v>0</v>
      </c>
      <c r="G818">
        <v>0</v>
      </c>
      <c r="H818">
        <v>2</v>
      </c>
      <c r="I818" t="s">
        <v>72</v>
      </c>
    </row>
    <row r="819" spans="2:9" x14ac:dyDescent="0.2">
      <c r="B819" t="s">
        <v>7</v>
      </c>
      <c r="C819" t="s">
        <v>9</v>
      </c>
      <c r="D819">
        <v>2</v>
      </c>
      <c r="E819">
        <v>2</v>
      </c>
      <c r="F819">
        <v>0</v>
      </c>
      <c r="G819">
        <v>0</v>
      </c>
      <c r="H819">
        <v>2</v>
      </c>
      <c r="I819" t="s">
        <v>444</v>
      </c>
    </row>
    <row r="820" spans="2:9" x14ac:dyDescent="0.2">
      <c r="B820" t="s">
        <v>8</v>
      </c>
      <c r="C820" t="s">
        <v>9</v>
      </c>
      <c r="D820">
        <v>2</v>
      </c>
      <c r="E820">
        <v>2</v>
      </c>
      <c r="F820">
        <v>0</v>
      </c>
      <c r="G820">
        <v>1</v>
      </c>
      <c r="H820">
        <v>0</v>
      </c>
      <c r="I820" t="s">
        <v>72</v>
      </c>
    </row>
    <row r="821" spans="2:9" x14ac:dyDescent="0.2">
      <c r="B821" t="s">
        <v>7</v>
      </c>
      <c r="C821" t="s">
        <v>9</v>
      </c>
      <c r="D821">
        <v>2</v>
      </c>
      <c r="E821">
        <v>2</v>
      </c>
      <c r="F821">
        <v>0</v>
      </c>
      <c r="G821">
        <v>1</v>
      </c>
      <c r="H821">
        <v>0</v>
      </c>
      <c r="I821" t="s">
        <v>72</v>
      </c>
    </row>
    <row r="822" spans="2:9" x14ac:dyDescent="0.2">
      <c r="B822" t="s">
        <v>8</v>
      </c>
      <c r="C822" t="s">
        <v>9</v>
      </c>
      <c r="D822">
        <v>2</v>
      </c>
      <c r="E822">
        <v>2</v>
      </c>
      <c r="F822">
        <v>0</v>
      </c>
      <c r="G822">
        <v>1</v>
      </c>
      <c r="H822">
        <v>1</v>
      </c>
      <c r="I822" t="s">
        <v>72</v>
      </c>
    </row>
    <row r="823" spans="2:9" x14ac:dyDescent="0.2">
      <c r="B823" t="s">
        <v>7</v>
      </c>
      <c r="C823" t="s">
        <v>9</v>
      </c>
      <c r="D823">
        <v>2</v>
      </c>
      <c r="E823">
        <v>2</v>
      </c>
      <c r="F823">
        <v>0</v>
      </c>
      <c r="G823">
        <v>1</v>
      </c>
      <c r="H823">
        <v>1</v>
      </c>
      <c r="I823" t="s">
        <v>72</v>
      </c>
    </row>
    <row r="824" spans="2:9" x14ac:dyDescent="0.2">
      <c r="B824" t="s">
        <v>8</v>
      </c>
      <c r="C824" t="s">
        <v>9</v>
      </c>
      <c r="D824">
        <v>2</v>
      </c>
      <c r="E824">
        <v>2</v>
      </c>
      <c r="F824">
        <v>0</v>
      </c>
      <c r="G824">
        <v>1</v>
      </c>
      <c r="H824">
        <v>2</v>
      </c>
      <c r="I824" t="s">
        <v>72</v>
      </c>
    </row>
    <row r="825" spans="2:9" x14ac:dyDescent="0.2">
      <c r="B825" t="s">
        <v>7</v>
      </c>
      <c r="C825" t="s">
        <v>9</v>
      </c>
      <c r="D825">
        <v>2</v>
      </c>
      <c r="E825">
        <v>2</v>
      </c>
      <c r="F825">
        <v>0</v>
      </c>
      <c r="G825">
        <v>1</v>
      </c>
      <c r="H825">
        <v>2</v>
      </c>
      <c r="I825" t="s">
        <v>72</v>
      </c>
    </row>
    <row r="826" spans="2:9" x14ac:dyDescent="0.2">
      <c r="B826" t="s">
        <v>6</v>
      </c>
      <c r="C826" t="s">
        <v>7</v>
      </c>
      <c r="D826" t="s">
        <v>12</v>
      </c>
      <c r="E826">
        <v>2</v>
      </c>
      <c r="F826">
        <v>2</v>
      </c>
      <c r="G826">
        <v>1</v>
      </c>
      <c r="H826">
        <v>0</v>
      </c>
      <c r="I826" t="s">
        <v>72</v>
      </c>
    </row>
    <row r="827" spans="2:9" x14ac:dyDescent="0.2">
      <c r="B827" t="s">
        <v>6</v>
      </c>
      <c r="C827" t="s">
        <v>7</v>
      </c>
      <c r="D827" t="s">
        <v>12</v>
      </c>
      <c r="E827">
        <v>2</v>
      </c>
      <c r="F827">
        <v>2</v>
      </c>
      <c r="G827">
        <v>1</v>
      </c>
      <c r="H827">
        <v>1</v>
      </c>
      <c r="I827" t="s">
        <v>72</v>
      </c>
    </row>
    <row r="828" spans="2:9" x14ac:dyDescent="0.2">
      <c r="B828" t="s">
        <v>6</v>
      </c>
      <c r="C828" t="s">
        <v>7</v>
      </c>
      <c r="D828" t="s">
        <v>12</v>
      </c>
      <c r="E828">
        <v>2</v>
      </c>
      <c r="F828">
        <v>2</v>
      </c>
      <c r="G828">
        <v>1</v>
      </c>
      <c r="H828">
        <v>2</v>
      </c>
      <c r="I828" t="s">
        <v>1040</v>
      </c>
    </row>
    <row r="829" spans="2:9" x14ac:dyDescent="0.2">
      <c r="B829" t="s">
        <v>8</v>
      </c>
      <c r="C829" t="s">
        <v>9</v>
      </c>
      <c r="D829">
        <v>2</v>
      </c>
      <c r="E829">
        <v>2</v>
      </c>
      <c r="F829">
        <v>1</v>
      </c>
      <c r="G829">
        <v>0</v>
      </c>
      <c r="H829">
        <v>0</v>
      </c>
      <c r="I829" t="s">
        <v>72</v>
      </c>
    </row>
    <row r="830" spans="2:9" x14ac:dyDescent="0.2">
      <c r="B830" t="s">
        <v>7</v>
      </c>
      <c r="C830" t="s">
        <v>9</v>
      </c>
      <c r="D830">
        <v>2</v>
      </c>
      <c r="E830">
        <v>2</v>
      </c>
      <c r="F830">
        <v>1</v>
      </c>
      <c r="G830">
        <v>0</v>
      </c>
      <c r="H830">
        <v>0</v>
      </c>
      <c r="I830" t="s">
        <v>72</v>
      </c>
    </row>
    <row r="831" spans="2:9" x14ac:dyDescent="0.2">
      <c r="B831" t="s">
        <v>8</v>
      </c>
      <c r="C831" t="s">
        <v>9</v>
      </c>
      <c r="D831">
        <v>2</v>
      </c>
      <c r="E831">
        <v>2</v>
      </c>
      <c r="F831">
        <v>1</v>
      </c>
      <c r="G831">
        <v>0</v>
      </c>
      <c r="H831">
        <v>1</v>
      </c>
      <c r="I831" t="s">
        <v>72</v>
      </c>
    </row>
    <row r="832" spans="2:9" x14ac:dyDescent="0.2">
      <c r="B832" t="s">
        <v>7</v>
      </c>
      <c r="C832" t="s">
        <v>9</v>
      </c>
      <c r="D832">
        <v>2</v>
      </c>
      <c r="E832">
        <v>2</v>
      </c>
      <c r="F832">
        <v>1</v>
      </c>
      <c r="G832">
        <v>0</v>
      </c>
      <c r="H832">
        <v>1</v>
      </c>
      <c r="I832" t="s">
        <v>72</v>
      </c>
    </row>
    <row r="833" spans="2:9" x14ac:dyDescent="0.2">
      <c r="B833" t="s">
        <v>8</v>
      </c>
      <c r="C833" t="s">
        <v>9</v>
      </c>
      <c r="D833">
        <v>2</v>
      </c>
      <c r="E833">
        <v>2</v>
      </c>
      <c r="F833">
        <v>1</v>
      </c>
      <c r="G833">
        <v>0</v>
      </c>
      <c r="H833">
        <v>2</v>
      </c>
      <c r="I833" t="s">
        <v>72</v>
      </c>
    </row>
    <row r="834" spans="2:9" x14ac:dyDescent="0.2">
      <c r="B834" t="s">
        <v>7</v>
      </c>
      <c r="C834" t="s">
        <v>9</v>
      </c>
      <c r="D834">
        <v>2</v>
      </c>
      <c r="E834">
        <v>2</v>
      </c>
      <c r="F834">
        <v>1</v>
      </c>
      <c r="G834">
        <v>0</v>
      </c>
      <c r="H834">
        <v>2</v>
      </c>
      <c r="I834" t="s">
        <v>72</v>
      </c>
    </row>
    <row r="835" spans="2:9" x14ac:dyDescent="0.2">
      <c r="B835" t="s">
        <v>8</v>
      </c>
      <c r="C835" t="s">
        <v>9</v>
      </c>
      <c r="D835">
        <v>2</v>
      </c>
      <c r="E835">
        <v>2</v>
      </c>
      <c r="F835">
        <v>1</v>
      </c>
      <c r="G835">
        <v>1</v>
      </c>
      <c r="H835">
        <v>0</v>
      </c>
      <c r="I835" t="s">
        <v>72</v>
      </c>
    </row>
    <row r="836" spans="2:9" x14ac:dyDescent="0.2">
      <c r="B836" t="s">
        <v>7</v>
      </c>
      <c r="C836" t="s">
        <v>9</v>
      </c>
      <c r="D836">
        <v>2</v>
      </c>
      <c r="E836">
        <v>2</v>
      </c>
      <c r="F836">
        <v>1</v>
      </c>
      <c r="G836">
        <v>1</v>
      </c>
      <c r="H836">
        <v>0</v>
      </c>
      <c r="I836" t="s">
        <v>62</v>
      </c>
    </row>
    <row r="837" spans="2:9" x14ac:dyDescent="0.2">
      <c r="B837" t="s">
        <v>8</v>
      </c>
      <c r="C837" t="s">
        <v>9</v>
      </c>
      <c r="D837">
        <v>2</v>
      </c>
      <c r="E837">
        <v>2</v>
      </c>
      <c r="F837">
        <v>1</v>
      </c>
      <c r="G837">
        <v>1</v>
      </c>
      <c r="H837">
        <v>1</v>
      </c>
      <c r="I837" t="s">
        <v>72</v>
      </c>
    </row>
    <row r="838" spans="2:9" x14ac:dyDescent="0.2">
      <c r="B838" t="s">
        <v>7</v>
      </c>
      <c r="C838" t="s">
        <v>9</v>
      </c>
      <c r="D838">
        <v>2</v>
      </c>
      <c r="E838">
        <v>2</v>
      </c>
      <c r="F838">
        <v>1</v>
      </c>
      <c r="G838">
        <v>1</v>
      </c>
      <c r="H838">
        <v>1</v>
      </c>
      <c r="I838" t="s">
        <v>60</v>
      </c>
    </row>
    <row r="839" spans="2:9" x14ac:dyDescent="0.2">
      <c r="B839" t="s">
        <v>8</v>
      </c>
      <c r="C839" t="s">
        <v>9</v>
      </c>
      <c r="D839">
        <v>2</v>
      </c>
      <c r="E839">
        <v>2</v>
      </c>
      <c r="F839">
        <v>1</v>
      </c>
      <c r="G839">
        <v>1</v>
      </c>
      <c r="H839">
        <v>2</v>
      </c>
      <c r="I839" t="s">
        <v>72</v>
      </c>
    </row>
    <row r="840" spans="2:9" x14ac:dyDescent="0.2">
      <c r="B840" t="s">
        <v>7</v>
      </c>
      <c r="C840" t="s">
        <v>9</v>
      </c>
      <c r="D840">
        <v>2</v>
      </c>
      <c r="E840">
        <v>2</v>
      </c>
      <c r="F840">
        <v>1</v>
      </c>
      <c r="G840">
        <v>1</v>
      </c>
      <c r="H840">
        <v>2</v>
      </c>
      <c r="I840" t="s">
        <v>1041</v>
      </c>
    </row>
    <row r="841" spans="2:9" x14ac:dyDescent="0.2">
      <c r="B841" t="s">
        <v>6</v>
      </c>
      <c r="C841" t="s">
        <v>7</v>
      </c>
      <c r="D841" t="s">
        <v>12</v>
      </c>
      <c r="E841">
        <v>2</v>
      </c>
      <c r="F841">
        <v>3</v>
      </c>
      <c r="G841">
        <v>0</v>
      </c>
      <c r="H841">
        <v>0</v>
      </c>
      <c r="I841" t="s">
        <v>72</v>
      </c>
    </row>
    <row r="842" spans="2:9" x14ac:dyDescent="0.2">
      <c r="B842" t="s">
        <v>6</v>
      </c>
      <c r="C842" t="s">
        <v>7</v>
      </c>
      <c r="D842" t="s">
        <v>12</v>
      </c>
      <c r="E842">
        <v>2</v>
      </c>
      <c r="F842">
        <v>3</v>
      </c>
      <c r="G842">
        <v>0</v>
      </c>
      <c r="H842">
        <v>1</v>
      </c>
      <c r="I842" t="s">
        <v>72</v>
      </c>
    </row>
    <row r="843" spans="2:9" x14ac:dyDescent="0.2">
      <c r="B843" t="s">
        <v>6</v>
      </c>
      <c r="C843" t="s">
        <v>7</v>
      </c>
      <c r="D843" t="s">
        <v>12</v>
      </c>
      <c r="E843">
        <v>2</v>
      </c>
      <c r="F843">
        <v>3</v>
      </c>
      <c r="G843">
        <v>0</v>
      </c>
      <c r="H843">
        <v>2</v>
      </c>
      <c r="I843" t="s">
        <v>75</v>
      </c>
    </row>
    <row r="844" spans="2:9" x14ac:dyDescent="0.2">
      <c r="B844" t="s">
        <v>8</v>
      </c>
      <c r="C844" t="s">
        <v>9</v>
      </c>
      <c r="D844">
        <v>2</v>
      </c>
      <c r="E844">
        <v>3</v>
      </c>
      <c r="F844">
        <v>0</v>
      </c>
      <c r="G844">
        <v>0</v>
      </c>
      <c r="H844">
        <v>0</v>
      </c>
      <c r="I844" t="s">
        <v>72</v>
      </c>
    </row>
    <row r="845" spans="2:9" x14ac:dyDescent="0.2">
      <c r="B845" t="s">
        <v>7</v>
      </c>
      <c r="C845" t="s">
        <v>9</v>
      </c>
      <c r="D845">
        <v>2</v>
      </c>
      <c r="E845">
        <v>3</v>
      </c>
      <c r="F845">
        <v>0</v>
      </c>
      <c r="G845">
        <v>0</v>
      </c>
      <c r="H845">
        <v>0</v>
      </c>
      <c r="I845" t="s">
        <v>62</v>
      </c>
    </row>
    <row r="846" spans="2:9" x14ac:dyDescent="0.2">
      <c r="B846" t="s">
        <v>8</v>
      </c>
      <c r="C846" t="s">
        <v>9</v>
      </c>
      <c r="D846">
        <v>2</v>
      </c>
      <c r="E846">
        <v>3</v>
      </c>
      <c r="F846">
        <v>0</v>
      </c>
      <c r="G846">
        <v>0</v>
      </c>
      <c r="H846">
        <v>1</v>
      </c>
      <c r="I846" t="s">
        <v>72</v>
      </c>
    </row>
    <row r="847" spans="2:9" x14ac:dyDescent="0.2">
      <c r="B847" t="s">
        <v>7</v>
      </c>
      <c r="C847" t="s">
        <v>9</v>
      </c>
      <c r="D847">
        <v>2</v>
      </c>
      <c r="E847">
        <v>3</v>
      </c>
      <c r="F847">
        <v>0</v>
      </c>
      <c r="G847">
        <v>0</v>
      </c>
      <c r="H847">
        <v>1</v>
      </c>
      <c r="I847" t="s">
        <v>60</v>
      </c>
    </row>
    <row r="848" spans="2:9" x14ac:dyDescent="0.2">
      <c r="B848" t="s">
        <v>8</v>
      </c>
      <c r="C848" t="s">
        <v>9</v>
      </c>
      <c r="D848">
        <v>2</v>
      </c>
      <c r="E848">
        <v>3</v>
      </c>
      <c r="F848">
        <v>0</v>
      </c>
      <c r="G848">
        <v>0</v>
      </c>
      <c r="H848">
        <v>2</v>
      </c>
      <c r="I848" t="s">
        <v>72</v>
      </c>
    </row>
    <row r="849" spans="2:9" x14ac:dyDescent="0.2">
      <c r="B849" t="s">
        <v>7</v>
      </c>
      <c r="C849" t="s">
        <v>9</v>
      </c>
      <c r="D849">
        <v>2</v>
      </c>
      <c r="E849">
        <v>3</v>
      </c>
      <c r="F849">
        <v>0</v>
      </c>
      <c r="G849">
        <v>0</v>
      </c>
      <c r="H849">
        <v>2</v>
      </c>
      <c r="I849" t="s">
        <v>444</v>
      </c>
    </row>
    <row r="850" spans="2:9" x14ac:dyDescent="0.2">
      <c r="B850" t="s">
        <v>8</v>
      </c>
      <c r="C850" t="s">
        <v>9</v>
      </c>
      <c r="D850">
        <v>2</v>
      </c>
      <c r="E850">
        <v>3</v>
      </c>
      <c r="F850">
        <v>0</v>
      </c>
      <c r="G850">
        <v>1</v>
      </c>
      <c r="H850">
        <v>0</v>
      </c>
      <c r="I850" t="s">
        <v>72</v>
      </c>
    </row>
    <row r="851" spans="2:9" x14ac:dyDescent="0.2">
      <c r="B851" t="s">
        <v>7</v>
      </c>
      <c r="C851" t="s">
        <v>9</v>
      </c>
      <c r="D851">
        <v>2</v>
      </c>
      <c r="E851">
        <v>3</v>
      </c>
      <c r="F851">
        <v>0</v>
      </c>
      <c r="G851">
        <v>1</v>
      </c>
      <c r="H851">
        <v>0</v>
      </c>
      <c r="I851" t="s">
        <v>72</v>
      </c>
    </row>
    <row r="852" spans="2:9" x14ac:dyDescent="0.2">
      <c r="B852" t="s">
        <v>8</v>
      </c>
      <c r="C852" t="s">
        <v>9</v>
      </c>
      <c r="D852">
        <v>2</v>
      </c>
      <c r="E852">
        <v>3</v>
      </c>
      <c r="F852">
        <v>0</v>
      </c>
      <c r="G852">
        <v>1</v>
      </c>
      <c r="H852">
        <v>1</v>
      </c>
      <c r="I852" t="s">
        <v>72</v>
      </c>
    </row>
    <row r="853" spans="2:9" x14ac:dyDescent="0.2">
      <c r="B853" t="s">
        <v>7</v>
      </c>
      <c r="C853" t="s">
        <v>9</v>
      </c>
      <c r="D853">
        <v>2</v>
      </c>
      <c r="E853">
        <v>3</v>
      </c>
      <c r="F853">
        <v>0</v>
      </c>
      <c r="G853">
        <v>1</v>
      </c>
      <c r="H853">
        <v>1</v>
      </c>
      <c r="I853" t="s">
        <v>72</v>
      </c>
    </row>
    <row r="854" spans="2:9" x14ac:dyDescent="0.2">
      <c r="B854" t="s">
        <v>8</v>
      </c>
      <c r="C854" t="s">
        <v>9</v>
      </c>
      <c r="D854">
        <v>2</v>
      </c>
      <c r="E854">
        <v>3</v>
      </c>
      <c r="F854">
        <v>0</v>
      </c>
      <c r="G854">
        <v>1</v>
      </c>
      <c r="H854">
        <v>2</v>
      </c>
      <c r="I854" t="s">
        <v>72</v>
      </c>
    </row>
    <row r="855" spans="2:9" x14ac:dyDescent="0.2">
      <c r="B855" t="s">
        <v>7</v>
      </c>
      <c r="C855" t="s">
        <v>9</v>
      </c>
      <c r="D855">
        <v>2</v>
      </c>
      <c r="E855">
        <v>3</v>
      </c>
      <c r="F855">
        <v>0</v>
      </c>
      <c r="G855">
        <v>1</v>
      </c>
      <c r="H855">
        <v>2</v>
      </c>
      <c r="I855" t="s">
        <v>72</v>
      </c>
    </row>
    <row r="856" spans="2:9" x14ac:dyDescent="0.2">
      <c r="B856" t="s">
        <v>6</v>
      </c>
      <c r="C856" t="s">
        <v>7</v>
      </c>
      <c r="D856" t="s">
        <v>12</v>
      </c>
      <c r="E856">
        <v>2</v>
      </c>
      <c r="F856">
        <v>3</v>
      </c>
      <c r="G856">
        <v>1</v>
      </c>
      <c r="H856">
        <v>0</v>
      </c>
      <c r="I856" t="s">
        <v>72</v>
      </c>
    </row>
    <row r="857" spans="2:9" x14ac:dyDescent="0.2">
      <c r="B857" t="s">
        <v>6</v>
      </c>
      <c r="C857" t="s">
        <v>7</v>
      </c>
      <c r="D857" t="s">
        <v>12</v>
      </c>
      <c r="E857">
        <v>2</v>
      </c>
      <c r="F857">
        <v>3</v>
      </c>
      <c r="G857">
        <v>1</v>
      </c>
      <c r="H857">
        <v>1</v>
      </c>
      <c r="I857" t="s">
        <v>72</v>
      </c>
    </row>
    <row r="858" spans="2:9" x14ac:dyDescent="0.2">
      <c r="B858" t="s">
        <v>6</v>
      </c>
      <c r="C858" t="s">
        <v>7</v>
      </c>
      <c r="D858" t="s">
        <v>12</v>
      </c>
      <c r="E858">
        <v>2</v>
      </c>
      <c r="F858">
        <v>3</v>
      </c>
      <c r="G858">
        <v>1</v>
      </c>
      <c r="H858">
        <v>2</v>
      </c>
      <c r="I858" t="s">
        <v>74</v>
      </c>
    </row>
    <row r="859" spans="2:9" x14ac:dyDescent="0.2">
      <c r="B859" t="s">
        <v>8</v>
      </c>
      <c r="C859" t="s">
        <v>9</v>
      </c>
      <c r="D859">
        <v>2</v>
      </c>
      <c r="E859">
        <v>3</v>
      </c>
      <c r="F859">
        <v>1</v>
      </c>
      <c r="G859">
        <v>0</v>
      </c>
      <c r="H859">
        <v>0</v>
      </c>
      <c r="I859" t="s">
        <v>72</v>
      </c>
    </row>
    <row r="860" spans="2:9" x14ac:dyDescent="0.2">
      <c r="B860" t="s">
        <v>7</v>
      </c>
      <c r="C860" t="s">
        <v>9</v>
      </c>
      <c r="D860">
        <v>2</v>
      </c>
      <c r="E860">
        <v>3</v>
      </c>
      <c r="F860">
        <v>1</v>
      </c>
      <c r="G860">
        <v>0</v>
      </c>
      <c r="H860">
        <v>0</v>
      </c>
      <c r="I860" t="s">
        <v>72</v>
      </c>
    </row>
    <row r="861" spans="2:9" x14ac:dyDescent="0.2">
      <c r="B861" t="s">
        <v>8</v>
      </c>
      <c r="C861" t="s">
        <v>9</v>
      </c>
      <c r="D861">
        <v>2</v>
      </c>
      <c r="E861">
        <v>3</v>
      </c>
      <c r="F861">
        <v>1</v>
      </c>
      <c r="G861">
        <v>0</v>
      </c>
      <c r="H861">
        <v>1</v>
      </c>
      <c r="I861" t="s">
        <v>72</v>
      </c>
    </row>
    <row r="862" spans="2:9" x14ac:dyDescent="0.2">
      <c r="B862" t="s">
        <v>7</v>
      </c>
      <c r="C862" t="s">
        <v>9</v>
      </c>
      <c r="D862">
        <v>2</v>
      </c>
      <c r="E862">
        <v>3</v>
      </c>
      <c r="F862">
        <v>1</v>
      </c>
      <c r="G862">
        <v>0</v>
      </c>
      <c r="H862">
        <v>1</v>
      </c>
      <c r="I862" t="s">
        <v>72</v>
      </c>
    </row>
    <row r="863" spans="2:9" x14ac:dyDescent="0.2">
      <c r="B863" t="s">
        <v>8</v>
      </c>
      <c r="C863" t="s">
        <v>9</v>
      </c>
      <c r="D863">
        <v>2</v>
      </c>
      <c r="E863">
        <v>3</v>
      </c>
      <c r="F863">
        <v>1</v>
      </c>
      <c r="G863">
        <v>0</v>
      </c>
      <c r="H863">
        <v>2</v>
      </c>
      <c r="I863" t="s">
        <v>72</v>
      </c>
    </row>
    <row r="864" spans="2:9" x14ac:dyDescent="0.2">
      <c r="B864" t="s">
        <v>7</v>
      </c>
      <c r="C864" t="s">
        <v>9</v>
      </c>
      <c r="D864">
        <v>2</v>
      </c>
      <c r="E864">
        <v>3</v>
      </c>
      <c r="F864">
        <v>1</v>
      </c>
      <c r="G864">
        <v>0</v>
      </c>
      <c r="H864">
        <v>2</v>
      </c>
      <c r="I864" t="s">
        <v>72</v>
      </c>
    </row>
    <row r="865" spans="2:9" x14ac:dyDescent="0.2">
      <c r="B865" t="s">
        <v>8</v>
      </c>
      <c r="C865" t="s">
        <v>9</v>
      </c>
      <c r="D865">
        <v>2</v>
      </c>
      <c r="E865">
        <v>3</v>
      </c>
      <c r="F865">
        <v>1</v>
      </c>
      <c r="G865">
        <v>1</v>
      </c>
      <c r="H865">
        <v>0</v>
      </c>
      <c r="I865" t="s">
        <v>72</v>
      </c>
    </row>
    <row r="866" spans="2:9" x14ac:dyDescent="0.2">
      <c r="B866" t="s">
        <v>7</v>
      </c>
      <c r="C866" t="s">
        <v>9</v>
      </c>
      <c r="D866">
        <v>2</v>
      </c>
      <c r="E866">
        <v>3</v>
      </c>
      <c r="F866">
        <v>1</v>
      </c>
      <c r="G866">
        <v>1</v>
      </c>
      <c r="H866">
        <v>0</v>
      </c>
      <c r="I866" t="s">
        <v>62</v>
      </c>
    </row>
    <row r="867" spans="2:9" x14ac:dyDescent="0.2">
      <c r="B867" t="s">
        <v>8</v>
      </c>
      <c r="C867" t="s">
        <v>9</v>
      </c>
      <c r="D867">
        <v>2</v>
      </c>
      <c r="E867">
        <v>3</v>
      </c>
      <c r="F867">
        <v>1</v>
      </c>
      <c r="G867">
        <v>1</v>
      </c>
      <c r="H867">
        <v>1</v>
      </c>
      <c r="I867" t="s">
        <v>72</v>
      </c>
    </row>
    <row r="868" spans="2:9" x14ac:dyDescent="0.2">
      <c r="B868" t="s">
        <v>7</v>
      </c>
      <c r="C868" t="s">
        <v>9</v>
      </c>
      <c r="D868">
        <v>2</v>
      </c>
      <c r="E868">
        <v>3</v>
      </c>
      <c r="F868">
        <v>1</v>
      </c>
      <c r="G868">
        <v>1</v>
      </c>
      <c r="H868">
        <v>1</v>
      </c>
      <c r="I868" t="s">
        <v>60</v>
      </c>
    </row>
    <row r="869" spans="2:9" x14ac:dyDescent="0.2">
      <c r="B869" t="s">
        <v>8</v>
      </c>
      <c r="C869" t="s">
        <v>9</v>
      </c>
      <c r="D869">
        <v>2</v>
      </c>
      <c r="E869">
        <v>3</v>
      </c>
      <c r="F869">
        <v>1</v>
      </c>
      <c r="G869">
        <v>1</v>
      </c>
      <c r="H869">
        <v>2</v>
      </c>
      <c r="I869" t="s">
        <v>72</v>
      </c>
    </row>
    <row r="870" spans="2:9" x14ac:dyDescent="0.2">
      <c r="B870" t="s">
        <v>7</v>
      </c>
      <c r="C870" t="s">
        <v>9</v>
      </c>
      <c r="D870">
        <v>2</v>
      </c>
      <c r="E870">
        <v>3</v>
      </c>
      <c r="F870">
        <v>1</v>
      </c>
      <c r="G870">
        <v>1</v>
      </c>
      <c r="H870">
        <v>2</v>
      </c>
      <c r="I870" t="s">
        <v>61</v>
      </c>
    </row>
    <row r="871" spans="2:9" x14ac:dyDescent="0.2">
      <c r="B871" t="s">
        <v>6</v>
      </c>
      <c r="C871" t="s">
        <v>7</v>
      </c>
      <c r="D871" t="s">
        <v>12</v>
      </c>
      <c r="E871">
        <v>2</v>
      </c>
      <c r="F871">
        <v>4</v>
      </c>
      <c r="G871">
        <v>0</v>
      </c>
      <c r="H871">
        <v>0</v>
      </c>
      <c r="I871" t="s">
        <v>72</v>
      </c>
    </row>
    <row r="872" spans="2:9" x14ac:dyDescent="0.2">
      <c r="B872" t="s">
        <v>6</v>
      </c>
      <c r="C872" t="s">
        <v>7</v>
      </c>
      <c r="D872" t="s">
        <v>12</v>
      </c>
      <c r="E872">
        <v>2</v>
      </c>
      <c r="F872">
        <v>4</v>
      </c>
      <c r="G872">
        <v>0</v>
      </c>
      <c r="H872">
        <v>1</v>
      </c>
      <c r="I872" t="s">
        <v>72</v>
      </c>
    </row>
    <row r="873" spans="2:9" x14ac:dyDescent="0.2">
      <c r="B873" t="s">
        <v>6</v>
      </c>
      <c r="C873" t="s">
        <v>7</v>
      </c>
      <c r="D873" t="s">
        <v>12</v>
      </c>
      <c r="E873">
        <v>2</v>
      </c>
      <c r="F873">
        <v>4</v>
      </c>
      <c r="G873">
        <v>0</v>
      </c>
      <c r="H873">
        <v>2</v>
      </c>
      <c r="I873" t="s">
        <v>75</v>
      </c>
    </row>
    <row r="874" spans="2:9" x14ac:dyDescent="0.2">
      <c r="B874" t="s">
        <v>8</v>
      </c>
      <c r="C874" t="s">
        <v>9</v>
      </c>
      <c r="D874">
        <v>2</v>
      </c>
      <c r="E874">
        <v>4</v>
      </c>
      <c r="F874">
        <v>0</v>
      </c>
      <c r="G874">
        <v>0</v>
      </c>
      <c r="H874">
        <v>0</v>
      </c>
      <c r="I874" t="s">
        <v>72</v>
      </c>
    </row>
    <row r="875" spans="2:9" x14ac:dyDescent="0.2">
      <c r="B875" t="s">
        <v>7</v>
      </c>
      <c r="C875" t="s">
        <v>9</v>
      </c>
      <c r="D875">
        <v>2</v>
      </c>
      <c r="E875">
        <v>4</v>
      </c>
      <c r="F875">
        <v>0</v>
      </c>
      <c r="G875">
        <v>0</v>
      </c>
      <c r="H875">
        <v>0</v>
      </c>
      <c r="I875" t="s">
        <v>62</v>
      </c>
    </row>
    <row r="876" spans="2:9" x14ac:dyDescent="0.2">
      <c r="B876" t="s">
        <v>8</v>
      </c>
      <c r="C876" t="s">
        <v>9</v>
      </c>
      <c r="D876">
        <v>2</v>
      </c>
      <c r="E876">
        <v>4</v>
      </c>
      <c r="F876">
        <v>0</v>
      </c>
      <c r="G876">
        <v>0</v>
      </c>
      <c r="H876">
        <v>1</v>
      </c>
      <c r="I876" t="s">
        <v>72</v>
      </c>
    </row>
    <row r="877" spans="2:9" x14ac:dyDescent="0.2">
      <c r="B877" t="s">
        <v>7</v>
      </c>
      <c r="C877" t="s">
        <v>9</v>
      </c>
      <c r="D877">
        <v>2</v>
      </c>
      <c r="E877">
        <v>4</v>
      </c>
      <c r="F877">
        <v>0</v>
      </c>
      <c r="G877">
        <v>0</v>
      </c>
      <c r="H877">
        <v>1</v>
      </c>
      <c r="I877" t="s">
        <v>60</v>
      </c>
    </row>
    <row r="878" spans="2:9" x14ac:dyDescent="0.2">
      <c r="B878" t="s">
        <v>8</v>
      </c>
      <c r="C878" t="s">
        <v>9</v>
      </c>
      <c r="D878">
        <v>2</v>
      </c>
      <c r="E878">
        <v>4</v>
      </c>
      <c r="F878">
        <v>0</v>
      </c>
      <c r="G878">
        <v>0</v>
      </c>
      <c r="H878">
        <v>2</v>
      </c>
      <c r="I878" t="s">
        <v>72</v>
      </c>
    </row>
    <row r="879" spans="2:9" x14ac:dyDescent="0.2">
      <c r="B879" t="s">
        <v>7</v>
      </c>
      <c r="C879" t="s">
        <v>9</v>
      </c>
      <c r="D879">
        <v>2</v>
      </c>
      <c r="E879">
        <v>4</v>
      </c>
      <c r="F879">
        <v>0</v>
      </c>
      <c r="G879">
        <v>0</v>
      </c>
      <c r="H879">
        <v>2</v>
      </c>
      <c r="I879" t="s">
        <v>444</v>
      </c>
    </row>
    <row r="880" spans="2:9" x14ac:dyDescent="0.2">
      <c r="B880" t="s">
        <v>8</v>
      </c>
      <c r="C880" t="s">
        <v>9</v>
      </c>
      <c r="D880">
        <v>2</v>
      </c>
      <c r="E880">
        <v>4</v>
      </c>
      <c r="F880">
        <v>0</v>
      </c>
      <c r="G880">
        <v>1</v>
      </c>
      <c r="H880">
        <v>0</v>
      </c>
      <c r="I880" t="s">
        <v>72</v>
      </c>
    </row>
    <row r="881" spans="2:9" x14ac:dyDescent="0.2">
      <c r="B881" t="s">
        <v>7</v>
      </c>
      <c r="C881" t="s">
        <v>9</v>
      </c>
      <c r="D881">
        <v>2</v>
      </c>
      <c r="E881">
        <v>4</v>
      </c>
      <c r="F881">
        <v>0</v>
      </c>
      <c r="G881">
        <v>1</v>
      </c>
      <c r="H881">
        <v>0</v>
      </c>
      <c r="I881" t="s">
        <v>72</v>
      </c>
    </row>
    <row r="882" spans="2:9" x14ac:dyDescent="0.2">
      <c r="B882" t="s">
        <v>8</v>
      </c>
      <c r="C882" t="s">
        <v>9</v>
      </c>
      <c r="D882">
        <v>2</v>
      </c>
      <c r="E882">
        <v>4</v>
      </c>
      <c r="F882">
        <v>0</v>
      </c>
      <c r="G882">
        <v>1</v>
      </c>
      <c r="H882">
        <v>1</v>
      </c>
      <c r="I882" t="s">
        <v>72</v>
      </c>
    </row>
    <row r="883" spans="2:9" x14ac:dyDescent="0.2">
      <c r="B883" t="s">
        <v>7</v>
      </c>
      <c r="C883" t="s">
        <v>9</v>
      </c>
      <c r="D883">
        <v>2</v>
      </c>
      <c r="E883">
        <v>4</v>
      </c>
      <c r="F883">
        <v>0</v>
      </c>
      <c r="G883">
        <v>1</v>
      </c>
      <c r="H883">
        <v>1</v>
      </c>
      <c r="I883" t="s">
        <v>72</v>
      </c>
    </row>
    <row r="884" spans="2:9" x14ac:dyDescent="0.2">
      <c r="B884" t="s">
        <v>8</v>
      </c>
      <c r="C884" t="s">
        <v>9</v>
      </c>
      <c r="D884">
        <v>2</v>
      </c>
      <c r="E884">
        <v>4</v>
      </c>
      <c r="F884">
        <v>0</v>
      </c>
      <c r="G884">
        <v>1</v>
      </c>
      <c r="H884">
        <v>2</v>
      </c>
      <c r="I884" t="s">
        <v>72</v>
      </c>
    </row>
    <row r="885" spans="2:9" x14ac:dyDescent="0.2">
      <c r="B885" t="s">
        <v>7</v>
      </c>
      <c r="C885" t="s">
        <v>9</v>
      </c>
      <c r="D885">
        <v>2</v>
      </c>
      <c r="E885">
        <v>4</v>
      </c>
      <c r="F885">
        <v>0</v>
      </c>
      <c r="G885">
        <v>1</v>
      </c>
      <c r="H885">
        <v>2</v>
      </c>
      <c r="I885" t="s">
        <v>72</v>
      </c>
    </row>
    <row r="886" spans="2:9" x14ac:dyDescent="0.2">
      <c r="B886" t="s">
        <v>6</v>
      </c>
      <c r="C886" t="s">
        <v>7</v>
      </c>
      <c r="D886" t="s">
        <v>12</v>
      </c>
      <c r="E886">
        <v>2</v>
      </c>
      <c r="F886">
        <v>4</v>
      </c>
      <c r="G886">
        <v>1</v>
      </c>
      <c r="H886">
        <v>0</v>
      </c>
      <c r="I886" t="s">
        <v>72</v>
      </c>
    </row>
    <row r="887" spans="2:9" x14ac:dyDescent="0.2">
      <c r="B887" t="s">
        <v>6</v>
      </c>
      <c r="C887" t="s">
        <v>7</v>
      </c>
      <c r="D887" t="s">
        <v>12</v>
      </c>
      <c r="E887">
        <v>2</v>
      </c>
      <c r="F887">
        <v>4</v>
      </c>
      <c r="G887">
        <v>1</v>
      </c>
      <c r="H887">
        <v>1</v>
      </c>
      <c r="I887" t="s">
        <v>72</v>
      </c>
    </row>
    <row r="888" spans="2:9" x14ac:dyDescent="0.2">
      <c r="B888" t="s">
        <v>6</v>
      </c>
      <c r="C888" t="s">
        <v>7</v>
      </c>
      <c r="D888" t="s">
        <v>12</v>
      </c>
      <c r="E888">
        <v>2</v>
      </c>
      <c r="F888">
        <v>4</v>
      </c>
      <c r="G888">
        <v>1</v>
      </c>
      <c r="H888">
        <v>2</v>
      </c>
      <c r="I888" t="s">
        <v>446</v>
      </c>
    </row>
    <row r="889" spans="2:9" x14ac:dyDescent="0.2">
      <c r="B889" t="s">
        <v>8</v>
      </c>
      <c r="C889" t="s">
        <v>9</v>
      </c>
      <c r="D889">
        <v>2</v>
      </c>
      <c r="E889">
        <v>4</v>
      </c>
      <c r="F889">
        <v>1</v>
      </c>
      <c r="G889">
        <v>0</v>
      </c>
      <c r="H889">
        <v>0</v>
      </c>
      <c r="I889" t="s">
        <v>72</v>
      </c>
    </row>
    <row r="890" spans="2:9" x14ac:dyDescent="0.2">
      <c r="B890" t="s">
        <v>7</v>
      </c>
      <c r="C890" t="s">
        <v>9</v>
      </c>
      <c r="D890">
        <v>2</v>
      </c>
      <c r="E890">
        <v>4</v>
      </c>
      <c r="F890">
        <v>1</v>
      </c>
      <c r="G890">
        <v>0</v>
      </c>
      <c r="H890">
        <v>0</v>
      </c>
      <c r="I890" t="s">
        <v>72</v>
      </c>
    </row>
    <row r="891" spans="2:9" x14ac:dyDescent="0.2">
      <c r="B891" t="s">
        <v>8</v>
      </c>
      <c r="C891" t="s">
        <v>9</v>
      </c>
      <c r="D891">
        <v>2</v>
      </c>
      <c r="E891">
        <v>4</v>
      </c>
      <c r="F891">
        <v>1</v>
      </c>
      <c r="G891">
        <v>0</v>
      </c>
      <c r="H891">
        <v>1</v>
      </c>
      <c r="I891" t="s">
        <v>72</v>
      </c>
    </row>
    <row r="892" spans="2:9" x14ac:dyDescent="0.2">
      <c r="B892" t="s">
        <v>7</v>
      </c>
      <c r="C892" t="s">
        <v>9</v>
      </c>
      <c r="D892">
        <v>2</v>
      </c>
      <c r="E892">
        <v>4</v>
      </c>
      <c r="F892">
        <v>1</v>
      </c>
      <c r="G892">
        <v>0</v>
      </c>
      <c r="H892">
        <v>1</v>
      </c>
      <c r="I892" t="s">
        <v>72</v>
      </c>
    </row>
    <row r="893" spans="2:9" x14ac:dyDescent="0.2">
      <c r="B893" t="s">
        <v>8</v>
      </c>
      <c r="C893" t="s">
        <v>9</v>
      </c>
      <c r="D893">
        <v>2</v>
      </c>
      <c r="E893">
        <v>4</v>
      </c>
      <c r="F893">
        <v>1</v>
      </c>
      <c r="G893">
        <v>0</v>
      </c>
      <c r="H893">
        <v>2</v>
      </c>
      <c r="I893" t="s">
        <v>72</v>
      </c>
    </row>
    <row r="894" spans="2:9" x14ac:dyDescent="0.2">
      <c r="B894" t="s">
        <v>7</v>
      </c>
      <c r="C894" t="s">
        <v>9</v>
      </c>
      <c r="D894">
        <v>2</v>
      </c>
      <c r="E894">
        <v>4</v>
      </c>
      <c r="F894">
        <v>1</v>
      </c>
      <c r="G894">
        <v>0</v>
      </c>
      <c r="H894">
        <v>2</v>
      </c>
      <c r="I894" t="s">
        <v>72</v>
      </c>
    </row>
    <row r="895" spans="2:9" x14ac:dyDescent="0.2">
      <c r="B895" t="s">
        <v>8</v>
      </c>
      <c r="C895" t="s">
        <v>9</v>
      </c>
      <c r="D895">
        <v>2</v>
      </c>
      <c r="E895">
        <v>4</v>
      </c>
      <c r="F895">
        <v>1</v>
      </c>
      <c r="G895">
        <v>1</v>
      </c>
      <c r="H895">
        <v>0</v>
      </c>
      <c r="I895" t="s">
        <v>72</v>
      </c>
    </row>
    <row r="896" spans="2:9" x14ac:dyDescent="0.2">
      <c r="B896" t="s">
        <v>7</v>
      </c>
      <c r="C896" t="s">
        <v>9</v>
      </c>
      <c r="D896">
        <v>2</v>
      </c>
      <c r="E896">
        <v>4</v>
      </c>
      <c r="F896">
        <v>1</v>
      </c>
      <c r="G896">
        <v>1</v>
      </c>
      <c r="H896">
        <v>0</v>
      </c>
      <c r="I896" t="s">
        <v>62</v>
      </c>
    </row>
    <row r="897" spans="2:9" x14ac:dyDescent="0.2">
      <c r="B897" t="s">
        <v>8</v>
      </c>
      <c r="C897" t="s">
        <v>9</v>
      </c>
      <c r="D897">
        <v>2</v>
      </c>
      <c r="E897">
        <v>4</v>
      </c>
      <c r="F897">
        <v>1</v>
      </c>
      <c r="G897">
        <v>1</v>
      </c>
      <c r="H897">
        <v>1</v>
      </c>
      <c r="I897" t="s">
        <v>72</v>
      </c>
    </row>
    <row r="898" spans="2:9" x14ac:dyDescent="0.2">
      <c r="B898" t="s">
        <v>7</v>
      </c>
      <c r="C898" t="s">
        <v>9</v>
      </c>
      <c r="D898">
        <v>2</v>
      </c>
      <c r="E898">
        <v>4</v>
      </c>
      <c r="F898">
        <v>1</v>
      </c>
      <c r="G898">
        <v>1</v>
      </c>
      <c r="H898">
        <v>1</v>
      </c>
      <c r="I898" t="s">
        <v>60</v>
      </c>
    </row>
    <row r="899" spans="2:9" x14ac:dyDescent="0.2">
      <c r="B899" t="s">
        <v>8</v>
      </c>
      <c r="C899" t="s">
        <v>9</v>
      </c>
      <c r="D899">
        <v>2</v>
      </c>
      <c r="E899">
        <v>4</v>
      </c>
      <c r="F899">
        <v>1</v>
      </c>
      <c r="G899">
        <v>1</v>
      </c>
      <c r="H899">
        <v>2</v>
      </c>
      <c r="I899" t="s">
        <v>72</v>
      </c>
    </row>
    <row r="900" spans="2:9" x14ac:dyDescent="0.2">
      <c r="B900" t="s">
        <v>7</v>
      </c>
      <c r="C900" t="s">
        <v>9</v>
      </c>
      <c r="D900">
        <v>2</v>
      </c>
      <c r="E900">
        <v>4</v>
      </c>
      <c r="F900">
        <v>1</v>
      </c>
      <c r="G900">
        <v>1</v>
      </c>
      <c r="H900">
        <v>2</v>
      </c>
      <c r="I900" t="s">
        <v>62</v>
      </c>
    </row>
    <row r="901" spans="2:9" x14ac:dyDescent="0.2">
      <c r="B901" t="s">
        <v>6</v>
      </c>
      <c r="C901" t="s">
        <v>7</v>
      </c>
      <c r="D901" t="s">
        <v>12</v>
      </c>
      <c r="E901">
        <v>2</v>
      </c>
      <c r="F901">
        <v>5</v>
      </c>
      <c r="G901">
        <v>0</v>
      </c>
      <c r="H901">
        <v>0</v>
      </c>
      <c r="I901" t="s">
        <v>72</v>
      </c>
    </row>
    <row r="902" spans="2:9" x14ac:dyDescent="0.2">
      <c r="B902" t="s">
        <v>6</v>
      </c>
      <c r="C902" t="s">
        <v>7</v>
      </c>
      <c r="D902" t="s">
        <v>12</v>
      </c>
      <c r="E902">
        <v>2</v>
      </c>
      <c r="F902">
        <v>5</v>
      </c>
      <c r="G902">
        <v>0</v>
      </c>
      <c r="H902">
        <v>1</v>
      </c>
      <c r="I902" t="s">
        <v>72</v>
      </c>
    </row>
    <row r="903" spans="2:9" x14ac:dyDescent="0.2">
      <c r="B903" t="s">
        <v>6</v>
      </c>
      <c r="C903" t="s">
        <v>7</v>
      </c>
      <c r="D903" t="s">
        <v>12</v>
      </c>
      <c r="E903">
        <v>2</v>
      </c>
      <c r="F903">
        <v>5</v>
      </c>
      <c r="G903">
        <v>0</v>
      </c>
      <c r="H903">
        <v>2</v>
      </c>
      <c r="I903" t="s">
        <v>1040</v>
      </c>
    </row>
    <row r="904" spans="2:9" x14ac:dyDescent="0.2">
      <c r="B904" t="s">
        <v>8</v>
      </c>
      <c r="C904" t="s">
        <v>9</v>
      </c>
      <c r="D904">
        <v>2</v>
      </c>
      <c r="E904">
        <v>5</v>
      </c>
      <c r="F904">
        <v>0</v>
      </c>
      <c r="G904">
        <v>0</v>
      </c>
      <c r="H904">
        <v>0</v>
      </c>
      <c r="I904" t="s">
        <v>72</v>
      </c>
    </row>
    <row r="905" spans="2:9" x14ac:dyDescent="0.2">
      <c r="B905" t="s">
        <v>7</v>
      </c>
      <c r="C905" t="s">
        <v>9</v>
      </c>
      <c r="D905">
        <v>2</v>
      </c>
      <c r="E905">
        <v>5</v>
      </c>
      <c r="F905">
        <v>0</v>
      </c>
      <c r="G905">
        <v>0</v>
      </c>
      <c r="H905">
        <v>0</v>
      </c>
      <c r="I905" t="s">
        <v>62</v>
      </c>
    </row>
    <row r="906" spans="2:9" x14ac:dyDescent="0.2">
      <c r="B906" t="s">
        <v>8</v>
      </c>
      <c r="C906" t="s">
        <v>9</v>
      </c>
      <c r="D906">
        <v>2</v>
      </c>
      <c r="E906">
        <v>5</v>
      </c>
      <c r="F906">
        <v>0</v>
      </c>
      <c r="G906">
        <v>0</v>
      </c>
      <c r="H906">
        <v>1</v>
      </c>
      <c r="I906" t="s">
        <v>72</v>
      </c>
    </row>
    <row r="907" spans="2:9" x14ac:dyDescent="0.2">
      <c r="B907" t="s">
        <v>7</v>
      </c>
      <c r="C907" t="s">
        <v>9</v>
      </c>
      <c r="D907">
        <v>2</v>
      </c>
      <c r="E907">
        <v>5</v>
      </c>
      <c r="F907">
        <v>0</v>
      </c>
      <c r="G907">
        <v>0</v>
      </c>
      <c r="H907">
        <v>1</v>
      </c>
      <c r="I907" t="s">
        <v>60</v>
      </c>
    </row>
    <row r="908" spans="2:9" x14ac:dyDescent="0.2">
      <c r="B908" t="s">
        <v>8</v>
      </c>
      <c r="C908" t="s">
        <v>9</v>
      </c>
      <c r="D908">
        <v>2</v>
      </c>
      <c r="E908">
        <v>5</v>
      </c>
      <c r="F908">
        <v>0</v>
      </c>
      <c r="G908">
        <v>0</v>
      </c>
      <c r="H908">
        <v>2</v>
      </c>
      <c r="I908" t="s">
        <v>72</v>
      </c>
    </row>
    <row r="909" spans="2:9" x14ac:dyDescent="0.2">
      <c r="B909" t="s">
        <v>7</v>
      </c>
      <c r="C909" t="s">
        <v>9</v>
      </c>
      <c r="D909">
        <v>2</v>
      </c>
      <c r="E909">
        <v>5</v>
      </c>
      <c r="F909">
        <v>0</v>
      </c>
      <c r="G909">
        <v>0</v>
      </c>
      <c r="H909">
        <v>2</v>
      </c>
      <c r="I909" t="s">
        <v>1041</v>
      </c>
    </row>
    <row r="910" spans="2:9" x14ac:dyDescent="0.2">
      <c r="B910" t="s">
        <v>8</v>
      </c>
      <c r="C910" t="s">
        <v>9</v>
      </c>
      <c r="D910">
        <v>2</v>
      </c>
      <c r="E910">
        <v>5</v>
      </c>
      <c r="F910">
        <v>0</v>
      </c>
      <c r="G910">
        <v>1</v>
      </c>
      <c r="H910">
        <v>0</v>
      </c>
      <c r="I910" t="s">
        <v>72</v>
      </c>
    </row>
    <row r="911" spans="2:9" x14ac:dyDescent="0.2">
      <c r="B911" t="s">
        <v>7</v>
      </c>
      <c r="C911" t="s">
        <v>9</v>
      </c>
      <c r="D911">
        <v>2</v>
      </c>
      <c r="E911">
        <v>5</v>
      </c>
      <c r="F911">
        <v>0</v>
      </c>
      <c r="G911">
        <v>1</v>
      </c>
      <c r="H911">
        <v>0</v>
      </c>
      <c r="I911" t="s">
        <v>72</v>
      </c>
    </row>
    <row r="912" spans="2:9" x14ac:dyDescent="0.2">
      <c r="B912" t="s">
        <v>8</v>
      </c>
      <c r="C912" t="s">
        <v>9</v>
      </c>
      <c r="D912">
        <v>2</v>
      </c>
      <c r="E912">
        <v>5</v>
      </c>
      <c r="F912">
        <v>0</v>
      </c>
      <c r="G912">
        <v>1</v>
      </c>
      <c r="H912">
        <v>1</v>
      </c>
      <c r="I912" t="s">
        <v>72</v>
      </c>
    </row>
    <row r="913" spans="2:9" x14ac:dyDescent="0.2">
      <c r="B913" t="s">
        <v>7</v>
      </c>
      <c r="C913" t="s">
        <v>9</v>
      </c>
      <c r="D913">
        <v>2</v>
      </c>
      <c r="E913">
        <v>5</v>
      </c>
      <c r="F913">
        <v>0</v>
      </c>
      <c r="G913">
        <v>1</v>
      </c>
      <c r="H913">
        <v>1</v>
      </c>
      <c r="I913" t="s">
        <v>72</v>
      </c>
    </row>
    <row r="914" spans="2:9" x14ac:dyDescent="0.2">
      <c r="B914" t="s">
        <v>8</v>
      </c>
      <c r="C914" t="s">
        <v>9</v>
      </c>
      <c r="D914">
        <v>2</v>
      </c>
      <c r="E914">
        <v>5</v>
      </c>
      <c r="F914">
        <v>0</v>
      </c>
      <c r="G914">
        <v>1</v>
      </c>
      <c r="H914">
        <v>2</v>
      </c>
      <c r="I914" t="s">
        <v>72</v>
      </c>
    </row>
    <row r="915" spans="2:9" x14ac:dyDescent="0.2">
      <c r="B915" t="s">
        <v>7</v>
      </c>
      <c r="C915" t="s">
        <v>9</v>
      </c>
      <c r="D915">
        <v>2</v>
      </c>
      <c r="E915">
        <v>5</v>
      </c>
      <c r="F915">
        <v>0</v>
      </c>
      <c r="G915">
        <v>1</v>
      </c>
      <c r="H915">
        <v>2</v>
      </c>
      <c r="I915" t="s">
        <v>72</v>
      </c>
    </row>
    <row r="916" spans="2:9" x14ac:dyDescent="0.2">
      <c r="B916" t="s">
        <v>6</v>
      </c>
      <c r="C916" t="s">
        <v>7</v>
      </c>
      <c r="D916" t="s">
        <v>12</v>
      </c>
      <c r="E916">
        <v>2</v>
      </c>
      <c r="F916">
        <v>5</v>
      </c>
      <c r="G916">
        <v>1</v>
      </c>
      <c r="H916">
        <v>0</v>
      </c>
      <c r="I916" t="s">
        <v>72</v>
      </c>
    </row>
    <row r="917" spans="2:9" x14ac:dyDescent="0.2">
      <c r="B917" t="s">
        <v>6</v>
      </c>
      <c r="C917" t="s">
        <v>7</v>
      </c>
      <c r="D917" t="s">
        <v>12</v>
      </c>
      <c r="E917">
        <v>2</v>
      </c>
      <c r="F917">
        <v>5</v>
      </c>
      <c r="G917">
        <v>1</v>
      </c>
      <c r="H917">
        <v>1</v>
      </c>
      <c r="I917" t="s">
        <v>72</v>
      </c>
    </row>
    <row r="918" spans="2:9" x14ac:dyDescent="0.2">
      <c r="B918" t="s">
        <v>6</v>
      </c>
      <c r="C918" t="s">
        <v>7</v>
      </c>
      <c r="D918" t="s">
        <v>12</v>
      </c>
      <c r="E918">
        <v>2</v>
      </c>
      <c r="F918">
        <v>5</v>
      </c>
      <c r="G918">
        <v>1</v>
      </c>
      <c r="H918">
        <v>2</v>
      </c>
      <c r="I918" t="s">
        <v>75</v>
      </c>
    </row>
    <row r="919" spans="2:9" x14ac:dyDescent="0.2">
      <c r="B919" t="s">
        <v>8</v>
      </c>
      <c r="C919" t="s">
        <v>9</v>
      </c>
      <c r="D919">
        <v>2</v>
      </c>
      <c r="E919">
        <v>5</v>
      </c>
      <c r="F919">
        <v>1</v>
      </c>
      <c r="G919">
        <v>0</v>
      </c>
      <c r="H919">
        <v>0</v>
      </c>
      <c r="I919" t="s">
        <v>72</v>
      </c>
    </row>
    <row r="920" spans="2:9" x14ac:dyDescent="0.2">
      <c r="B920" t="s">
        <v>7</v>
      </c>
      <c r="C920" t="s">
        <v>9</v>
      </c>
      <c r="D920">
        <v>2</v>
      </c>
      <c r="E920">
        <v>5</v>
      </c>
      <c r="F920">
        <v>1</v>
      </c>
      <c r="G920">
        <v>0</v>
      </c>
      <c r="H920">
        <v>0</v>
      </c>
      <c r="I920" t="s">
        <v>72</v>
      </c>
    </row>
    <row r="921" spans="2:9" x14ac:dyDescent="0.2">
      <c r="B921" t="s">
        <v>8</v>
      </c>
      <c r="C921" t="s">
        <v>9</v>
      </c>
      <c r="D921">
        <v>2</v>
      </c>
      <c r="E921">
        <v>5</v>
      </c>
      <c r="F921">
        <v>1</v>
      </c>
      <c r="G921">
        <v>0</v>
      </c>
      <c r="H921">
        <v>1</v>
      </c>
      <c r="I921" t="s">
        <v>72</v>
      </c>
    </row>
    <row r="922" spans="2:9" x14ac:dyDescent="0.2">
      <c r="B922" t="s">
        <v>7</v>
      </c>
      <c r="C922" t="s">
        <v>9</v>
      </c>
      <c r="D922">
        <v>2</v>
      </c>
      <c r="E922">
        <v>5</v>
      </c>
      <c r="F922">
        <v>1</v>
      </c>
      <c r="G922">
        <v>0</v>
      </c>
      <c r="H922">
        <v>1</v>
      </c>
      <c r="I922" t="s">
        <v>72</v>
      </c>
    </row>
    <row r="923" spans="2:9" x14ac:dyDescent="0.2">
      <c r="B923" t="s">
        <v>8</v>
      </c>
      <c r="C923" t="s">
        <v>9</v>
      </c>
      <c r="D923">
        <v>2</v>
      </c>
      <c r="E923">
        <v>5</v>
      </c>
      <c r="F923">
        <v>1</v>
      </c>
      <c r="G923">
        <v>0</v>
      </c>
      <c r="H923">
        <v>2</v>
      </c>
      <c r="I923" t="s">
        <v>72</v>
      </c>
    </row>
    <row r="924" spans="2:9" x14ac:dyDescent="0.2">
      <c r="B924" t="s">
        <v>7</v>
      </c>
      <c r="C924" t="s">
        <v>9</v>
      </c>
      <c r="D924">
        <v>2</v>
      </c>
      <c r="E924">
        <v>5</v>
      </c>
      <c r="F924">
        <v>1</v>
      </c>
      <c r="G924">
        <v>0</v>
      </c>
      <c r="H924">
        <v>2</v>
      </c>
      <c r="I924" t="s">
        <v>72</v>
      </c>
    </row>
    <row r="925" spans="2:9" x14ac:dyDescent="0.2">
      <c r="B925" t="s">
        <v>8</v>
      </c>
      <c r="C925" t="s">
        <v>9</v>
      </c>
      <c r="D925">
        <v>2</v>
      </c>
      <c r="E925">
        <v>5</v>
      </c>
      <c r="F925">
        <v>1</v>
      </c>
      <c r="G925">
        <v>1</v>
      </c>
      <c r="H925">
        <v>0</v>
      </c>
      <c r="I925" t="s">
        <v>72</v>
      </c>
    </row>
    <row r="926" spans="2:9" x14ac:dyDescent="0.2">
      <c r="B926" t="s">
        <v>7</v>
      </c>
      <c r="C926" t="s">
        <v>9</v>
      </c>
      <c r="D926">
        <v>2</v>
      </c>
      <c r="E926">
        <v>5</v>
      </c>
      <c r="F926">
        <v>1</v>
      </c>
      <c r="G926">
        <v>1</v>
      </c>
      <c r="H926">
        <v>0</v>
      </c>
      <c r="I926" t="s">
        <v>62</v>
      </c>
    </row>
    <row r="927" spans="2:9" x14ac:dyDescent="0.2">
      <c r="B927" t="s">
        <v>8</v>
      </c>
      <c r="C927" t="s">
        <v>9</v>
      </c>
      <c r="D927">
        <v>2</v>
      </c>
      <c r="E927">
        <v>5</v>
      </c>
      <c r="F927">
        <v>1</v>
      </c>
      <c r="G927">
        <v>1</v>
      </c>
      <c r="H927">
        <v>1</v>
      </c>
      <c r="I927" t="s">
        <v>72</v>
      </c>
    </row>
    <row r="928" spans="2:9" x14ac:dyDescent="0.2">
      <c r="B928" t="s">
        <v>7</v>
      </c>
      <c r="C928" t="s">
        <v>9</v>
      </c>
      <c r="D928">
        <v>2</v>
      </c>
      <c r="E928">
        <v>5</v>
      </c>
      <c r="F928">
        <v>1</v>
      </c>
      <c r="G928">
        <v>1</v>
      </c>
      <c r="H928">
        <v>1</v>
      </c>
      <c r="I928" t="s">
        <v>60</v>
      </c>
    </row>
    <row r="929" spans="2:9" x14ac:dyDescent="0.2">
      <c r="B929" t="s">
        <v>8</v>
      </c>
      <c r="C929" t="s">
        <v>9</v>
      </c>
      <c r="D929">
        <v>2</v>
      </c>
      <c r="E929">
        <v>5</v>
      </c>
      <c r="F929">
        <v>1</v>
      </c>
      <c r="G929">
        <v>1</v>
      </c>
      <c r="H929">
        <v>2</v>
      </c>
      <c r="I929" t="s">
        <v>72</v>
      </c>
    </row>
    <row r="930" spans="2:9" x14ac:dyDescent="0.2">
      <c r="B930" t="s">
        <v>7</v>
      </c>
      <c r="C930" t="s">
        <v>9</v>
      </c>
      <c r="D930">
        <v>2</v>
      </c>
      <c r="E930">
        <v>5</v>
      </c>
      <c r="F930">
        <v>1</v>
      </c>
      <c r="G930">
        <v>1</v>
      </c>
      <c r="H930">
        <v>2</v>
      </c>
      <c r="I930" t="s">
        <v>444</v>
      </c>
    </row>
    <row r="931" spans="2:9" x14ac:dyDescent="0.2">
      <c r="B931" t="s">
        <v>6</v>
      </c>
      <c r="C931" t="s">
        <v>7</v>
      </c>
      <c r="D931" t="s">
        <v>12</v>
      </c>
      <c r="E931">
        <v>2</v>
      </c>
      <c r="F931">
        <v>6</v>
      </c>
      <c r="G931">
        <v>0</v>
      </c>
      <c r="H931">
        <v>0</v>
      </c>
      <c r="I931" t="s">
        <v>72</v>
      </c>
    </row>
    <row r="932" spans="2:9" x14ac:dyDescent="0.2">
      <c r="B932" t="s">
        <v>6</v>
      </c>
      <c r="C932" t="s">
        <v>7</v>
      </c>
      <c r="D932" t="s">
        <v>12</v>
      </c>
      <c r="E932">
        <v>2</v>
      </c>
      <c r="F932">
        <v>6</v>
      </c>
      <c r="G932">
        <v>0</v>
      </c>
      <c r="H932">
        <v>1</v>
      </c>
      <c r="I932" t="s">
        <v>72</v>
      </c>
    </row>
    <row r="933" spans="2:9" x14ac:dyDescent="0.2">
      <c r="B933" t="s">
        <v>6</v>
      </c>
      <c r="C933" t="s">
        <v>7</v>
      </c>
      <c r="D933" t="s">
        <v>12</v>
      </c>
      <c r="E933">
        <v>2</v>
      </c>
      <c r="F933">
        <v>6</v>
      </c>
      <c r="G933">
        <v>0</v>
      </c>
      <c r="H933">
        <v>2</v>
      </c>
      <c r="I933" t="s">
        <v>75</v>
      </c>
    </row>
    <row r="934" spans="2:9" x14ac:dyDescent="0.2">
      <c r="B934" t="s">
        <v>8</v>
      </c>
      <c r="C934" t="s">
        <v>9</v>
      </c>
      <c r="D934">
        <v>2</v>
      </c>
      <c r="E934">
        <v>6</v>
      </c>
      <c r="F934">
        <v>0</v>
      </c>
      <c r="G934">
        <v>0</v>
      </c>
      <c r="H934">
        <v>0</v>
      </c>
      <c r="I934" t="s">
        <v>72</v>
      </c>
    </row>
    <row r="935" spans="2:9" x14ac:dyDescent="0.2">
      <c r="B935" t="s">
        <v>7</v>
      </c>
      <c r="C935" t="s">
        <v>9</v>
      </c>
      <c r="D935">
        <v>2</v>
      </c>
      <c r="E935">
        <v>6</v>
      </c>
      <c r="F935">
        <v>0</v>
      </c>
      <c r="G935">
        <v>0</v>
      </c>
      <c r="H935">
        <v>0</v>
      </c>
      <c r="I935" t="s">
        <v>62</v>
      </c>
    </row>
    <row r="936" spans="2:9" x14ac:dyDescent="0.2">
      <c r="B936" t="s">
        <v>8</v>
      </c>
      <c r="C936" t="s">
        <v>9</v>
      </c>
      <c r="D936">
        <v>2</v>
      </c>
      <c r="E936">
        <v>6</v>
      </c>
      <c r="F936">
        <v>0</v>
      </c>
      <c r="G936">
        <v>0</v>
      </c>
      <c r="H936">
        <v>1</v>
      </c>
      <c r="I936" t="s">
        <v>72</v>
      </c>
    </row>
    <row r="937" spans="2:9" x14ac:dyDescent="0.2">
      <c r="B937" t="s">
        <v>7</v>
      </c>
      <c r="C937" t="s">
        <v>9</v>
      </c>
      <c r="D937">
        <v>2</v>
      </c>
      <c r="E937">
        <v>6</v>
      </c>
      <c r="F937">
        <v>0</v>
      </c>
      <c r="G937">
        <v>0</v>
      </c>
      <c r="H937">
        <v>1</v>
      </c>
      <c r="I937" t="s">
        <v>60</v>
      </c>
    </row>
    <row r="938" spans="2:9" x14ac:dyDescent="0.2">
      <c r="B938" t="s">
        <v>8</v>
      </c>
      <c r="C938" t="s">
        <v>9</v>
      </c>
      <c r="D938">
        <v>2</v>
      </c>
      <c r="E938">
        <v>6</v>
      </c>
      <c r="F938">
        <v>0</v>
      </c>
      <c r="G938">
        <v>0</v>
      </c>
      <c r="H938">
        <v>2</v>
      </c>
      <c r="I938" t="s">
        <v>72</v>
      </c>
    </row>
    <row r="939" spans="2:9" x14ac:dyDescent="0.2">
      <c r="B939" t="s">
        <v>7</v>
      </c>
      <c r="C939" t="s">
        <v>9</v>
      </c>
      <c r="D939">
        <v>2</v>
      </c>
      <c r="E939">
        <v>6</v>
      </c>
      <c r="F939">
        <v>0</v>
      </c>
      <c r="G939">
        <v>0</v>
      </c>
      <c r="H939">
        <v>2</v>
      </c>
      <c r="I939" t="s">
        <v>444</v>
      </c>
    </row>
    <row r="940" spans="2:9" x14ac:dyDescent="0.2">
      <c r="B940" t="s">
        <v>8</v>
      </c>
      <c r="C940" t="s">
        <v>9</v>
      </c>
      <c r="D940">
        <v>2</v>
      </c>
      <c r="E940">
        <v>6</v>
      </c>
      <c r="F940">
        <v>0</v>
      </c>
      <c r="G940">
        <v>1</v>
      </c>
      <c r="H940">
        <v>0</v>
      </c>
      <c r="I940" t="s">
        <v>72</v>
      </c>
    </row>
    <row r="941" spans="2:9" x14ac:dyDescent="0.2">
      <c r="B941" t="s">
        <v>7</v>
      </c>
      <c r="C941" t="s">
        <v>9</v>
      </c>
      <c r="D941">
        <v>2</v>
      </c>
      <c r="E941">
        <v>6</v>
      </c>
      <c r="F941">
        <v>0</v>
      </c>
      <c r="G941">
        <v>1</v>
      </c>
      <c r="H941">
        <v>0</v>
      </c>
      <c r="I941" t="s">
        <v>72</v>
      </c>
    </row>
    <row r="942" spans="2:9" x14ac:dyDescent="0.2">
      <c r="B942" t="s">
        <v>8</v>
      </c>
      <c r="C942" t="s">
        <v>9</v>
      </c>
      <c r="D942">
        <v>2</v>
      </c>
      <c r="E942">
        <v>6</v>
      </c>
      <c r="F942">
        <v>0</v>
      </c>
      <c r="G942">
        <v>1</v>
      </c>
      <c r="H942">
        <v>1</v>
      </c>
      <c r="I942" t="s">
        <v>72</v>
      </c>
    </row>
    <row r="943" spans="2:9" x14ac:dyDescent="0.2">
      <c r="B943" t="s">
        <v>7</v>
      </c>
      <c r="C943" t="s">
        <v>9</v>
      </c>
      <c r="D943">
        <v>2</v>
      </c>
      <c r="E943">
        <v>6</v>
      </c>
      <c r="F943">
        <v>0</v>
      </c>
      <c r="G943">
        <v>1</v>
      </c>
      <c r="H943">
        <v>1</v>
      </c>
      <c r="I943" t="s">
        <v>72</v>
      </c>
    </row>
    <row r="944" spans="2:9" x14ac:dyDescent="0.2">
      <c r="B944" t="s">
        <v>8</v>
      </c>
      <c r="C944" t="s">
        <v>9</v>
      </c>
      <c r="D944">
        <v>2</v>
      </c>
      <c r="E944">
        <v>6</v>
      </c>
      <c r="F944">
        <v>0</v>
      </c>
      <c r="G944">
        <v>1</v>
      </c>
      <c r="H944">
        <v>2</v>
      </c>
      <c r="I944" t="s">
        <v>72</v>
      </c>
    </row>
    <row r="945" spans="2:9" x14ac:dyDescent="0.2">
      <c r="B945" t="s">
        <v>7</v>
      </c>
      <c r="C945" t="s">
        <v>9</v>
      </c>
      <c r="D945">
        <v>2</v>
      </c>
      <c r="E945">
        <v>6</v>
      </c>
      <c r="F945">
        <v>0</v>
      </c>
      <c r="G945">
        <v>1</v>
      </c>
      <c r="H945">
        <v>2</v>
      </c>
      <c r="I945" t="s">
        <v>72</v>
      </c>
    </row>
    <row r="946" spans="2:9" x14ac:dyDescent="0.2">
      <c r="B946" t="s">
        <v>6</v>
      </c>
      <c r="C946" t="s">
        <v>7</v>
      </c>
      <c r="D946" t="s">
        <v>12</v>
      </c>
      <c r="E946">
        <v>2</v>
      </c>
      <c r="F946">
        <v>6</v>
      </c>
      <c r="G946">
        <v>1</v>
      </c>
      <c r="H946">
        <v>0</v>
      </c>
      <c r="I946" t="s">
        <v>72</v>
      </c>
    </row>
    <row r="947" spans="2:9" x14ac:dyDescent="0.2">
      <c r="B947" t="s">
        <v>6</v>
      </c>
      <c r="C947" t="s">
        <v>7</v>
      </c>
      <c r="D947" t="s">
        <v>12</v>
      </c>
      <c r="E947">
        <v>2</v>
      </c>
      <c r="F947">
        <v>6</v>
      </c>
      <c r="G947">
        <v>1</v>
      </c>
      <c r="H947">
        <v>1</v>
      </c>
      <c r="I947" t="s">
        <v>72</v>
      </c>
    </row>
    <row r="948" spans="2:9" x14ac:dyDescent="0.2">
      <c r="B948" t="s">
        <v>6</v>
      </c>
      <c r="C948" t="s">
        <v>7</v>
      </c>
      <c r="D948" t="s">
        <v>12</v>
      </c>
      <c r="E948">
        <v>2</v>
      </c>
      <c r="F948">
        <v>6</v>
      </c>
      <c r="G948">
        <v>1</v>
      </c>
      <c r="H948">
        <v>2</v>
      </c>
      <c r="I948" t="s">
        <v>75</v>
      </c>
    </row>
    <row r="949" spans="2:9" x14ac:dyDescent="0.2">
      <c r="B949" t="s">
        <v>8</v>
      </c>
      <c r="C949" t="s">
        <v>9</v>
      </c>
      <c r="D949">
        <v>2</v>
      </c>
      <c r="E949">
        <v>6</v>
      </c>
      <c r="F949">
        <v>1</v>
      </c>
      <c r="G949">
        <v>0</v>
      </c>
      <c r="H949">
        <v>0</v>
      </c>
      <c r="I949" t="s">
        <v>72</v>
      </c>
    </row>
    <row r="950" spans="2:9" x14ac:dyDescent="0.2">
      <c r="B950" t="s">
        <v>7</v>
      </c>
      <c r="C950" t="s">
        <v>9</v>
      </c>
      <c r="D950">
        <v>2</v>
      </c>
      <c r="E950">
        <v>6</v>
      </c>
      <c r="F950">
        <v>1</v>
      </c>
      <c r="G950">
        <v>0</v>
      </c>
      <c r="H950">
        <v>0</v>
      </c>
      <c r="I950" t="s">
        <v>72</v>
      </c>
    </row>
    <row r="951" spans="2:9" x14ac:dyDescent="0.2">
      <c r="B951" t="s">
        <v>8</v>
      </c>
      <c r="C951" t="s">
        <v>9</v>
      </c>
      <c r="D951">
        <v>2</v>
      </c>
      <c r="E951">
        <v>6</v>
      </c>
      <c r="F951">
        <v>1</v>
      </c>
      <c r="G951">
        <v>0</v>
      </c>
      <c r="H951">
        <v>1</v>
      </c>
      <c r="I951" t="s">
        <v>72</v>
      </c>
    </row>
    <row r="952" spans="2:9" x14ac:dyDescent="0.2">
      <c r="B952" t="s">
        <v>7</v>
      </c>
      <c r="C952" t="s">
        <v>9</v>
      </c>
      <c r="D952">
        <v>2</v>
      </c>
      <c r="E952">
        <v>6</v>
      </c>
      <c r="F952">
        <v>1</v>
      </c>
      <c r="G952">
        <v>0</v>
      </c>
      <c r="H952">
        <v>1</v>
      </c>
      <c r="I952" t="s">
        <v>72</v>
      </c>
    </row>
    <row r="953" spans="2:9" x14ac:dyDescent="0.2">
      <c r="B953" t="s">
        <v>8</v>
      </c>
      <c r="C953" t="s">
        <v>9</v>
      </c>
      <c r="D953">
        <v>2</v>
      </c>
      <c r="E953">
        <v>6</v>
      </c>
      <c r="F953">
        <v>1</v>
      </c>
      <c r="G953">
        <v>0</v>
      </c>
      <c r="H953">
        <v>2</v>
      </c>
      <c r="I953" t="s">
        <v>72</v>
      </c>
    </row>
    <row r="954" spans="2:9" x14ac:dyDescent="0.2">
      <c r="B954" t="s">
        <v>7</v>
      </c>
      <c r="C954" t="s">
        <v>9</v>
      </c>
      <c r="D954">
        <v>2</v>
      </c>
      <c r="E954">
        <v>6</v>
      </c>
      <c r="F954">
        <v>1</v>
      </c>
      <c r="G954">
        <v>0</v>
      </c>
      <c r="H954">
        <v>2</v>
      </c>
      <c r="I954" t="s">
        <v>72</v>
      </c>
    </row>
    <row r="955" spans="2:9" x14ac:dyDescent="0.2">
      <c r="B955" t="s">
        <v>8</v>
      </c>
      <c r="C955" t="s">
        <v>9</v>
      </c>
      <c r="D955">
        <v>2</v>
      </c>
      <c r="E955">
        <v>6</v>
      </c>
      <c r="F955">
        <v>1</v>
      </c>
      <c r="G955">
        <v>1</v>
      </c>
      <c r="H955">
        <v>0</v>
      </c>
      <c r="I955" t="s">
        <v>72</v>
      </c>
    </row>
    <row r="956" spans="2:9" x14ac:dyDescent="0.2">
      <c r="B956" t="s">
        <v>7</v>
      </c>
      <c r="C956" t="s">
        <v>9</v>
      </c>
      <c r="D956">
        <v>2</v>
      </c>
      <c r="E956">
        <v>6</v>
      </c>
      <c r="F956">
        <v>1</v>
      </c>
      <c r="G956">
        <v>1</v>
      </c>
      <c r="H956">
        <v>0</v>
      </c>
      <c r="I956" t="s">
        <v>62</v>
      </c>
    </row>
    <row r="957" spans="2:9" x14ac:dyDescent="0.2">
      <c r="B957" t="s">
        <v>8</v>
      </c>
      <c r="C957" t="s">
        <v>9</v>
      </c>
      <c r="D957">
        <v>2</v>
      </c>
      <c r="E957">
        <v>6</v>
      </c>
      <c r="F957">
        <v>1</v>
      </c>
      <c r="G957">
        <v>1</v>
      </c>
      <c r="H957">
        <v>1</v>
      </c>
      <c r="I957" t="s">
        <v>72</v>
      </c>
    </row>
    <row r="958" spans="2:9" x14ac:dyDescent="0.2">
      <c r="B958" t="s">
        <v>7</v>
      </c>
      <c r="C958" t="s">
        <v>9</v>
      </c>
      <c r="D958">
        <v>2</v>
      </c>
      <c r="E958">
        <v>6</v>
      </c>
      <c r="F958">
        <v>1</v>
      </c>
      <c r="G958">
        <v>1</v>
      </c>
      <c r="H958">
        <v>1</v>
      </c>
      <c r="I958" t="s">
        <v>60</v>
      </c>
    </row>
    <row r="959" spans="2:9" x14ac:dyDescent="0.2">
      <c r="B959" t="s">
        <v>8</v>
      </c>
      <c r="C959" t="s">
        <v>9</v>
      </c>
      <c r="D959">
        <v>2</v>
      </c>
      <c r="E959">
        <v>6</v>
      </c>
      <c r="F959">
        <v>1</v>
      </c>
      <c r="G959">
        <v>1</v>
      </c>
      <c r="H959">
        <v>2</v>
      </c>
      <c r="I959" t="s">
        <v>72</v>
      </c>
    </row>
    <row r="960" spans="2:9" x14ac:dyDescent="0.2">
      <c r="B960" t="s">
        <v>7</v>
      </c>
      <c r="C960" t="s">
        <v>9</v>
      </c>
      <c r="D960">
        <v>2</v>
      </c>
      <c r="E960">
        <v>6</v>
      </c>
      <c r="F960">
        <v>1</v>
      </c>
      <c r="G960">
        <v>1</v>
      </c>
      <c r="H960">
        <v>2</v>
      </c>
      <c r="I960" t="s">
        <v>444</v>
      </c>
    </row>
    <row r="961" spans="2:9" x14ac:dyDescent="0.2">
      <c r="B961" t="s">
        <v>6</v>
      </c>
      <c r="C961" t="s">
        <v>7</v>
      </c>
      <c r="D961" t="s">
        <v>12</v>
      </c>
      <c r="E961">
        <v>2</v>
      </c>
      <c r="F961">
        <v>7</v>
      </c>
      <c r="G961">
        <v>0</v>
      </c>
      <c r="H961">
        <v>0</v>
      </c>
      <c r="I961" t="s">
        <v>72</v>
      </c>
    </row>
    <row r="962" spans="2:9" x14ac:dyDescent="0.2">
      <c r="B962" t="s">
        <v>6</v>
      </c>
      <c r="C962" t="s">
        <v>7</v>
      </c>
      <c r="D962" t="s">
        <v>12</v>
      </c>
      <c r="E962">
        <v>2</v>
      </c>
      <c r="F962">
        <v>7</v>
      </c>
      <c r="G962">
        <v>0</v>
      </c>
      <c r="H962">
        <v>1</v>
      </c>
      <c r="I962" t="s">
        <v>72</v>
      </c>
    </row>
    <row r="963" spans="2:9" x14ac:dyDescent="0.2">
      <c r="B963" t="s">
        <v>6</v>
      </c>
      <c r="C963" t="s">
        <v>7</v>
      </c>
      <c r="D963" t="s">
        <v>12</v>
      </c>
      <c r="E963">
        <v>2</v>
      </c>
      <c r="F963">
        <v>7</v>
      </c>
      <c r="G963">
        <v>0</v>
      </c>
      <c r="H963">
        <v>2</v>
      </c>
      <c r="I963" t="s">
        <v>75</v>
      </c>
    </row>
    <row r="964" spans="2:9" x14ac:dyDescent="0.2">
      <c r="B964" t="s">
        <v>8</v>
      </c>
      <c r="C964" t="s">
        <v>9</v>
      </c>
      <c r="D964">
        <v>2</v>
      </c>
      <c r="E964">
        <v>7</v>
      </c>
      <c r="F964">
        <v>0</v>
      </c>
      <c r="G964">
        <v>0</v>
      </c>
      <c r="H964">
        <v>0</v>
      </c>
      <c r="I964" t="s">
        <v>72</v>
      </c>
    </row>
    <row r="965" spans="2:9" x14ac:dyDescent="0.2">
      <c r="B965" t="s">
        <v>7</v>
      </c>
      <c r="C965" t="s">
        <v>9</v>
      </c>
      <c r="D965">
        <v>2</v>
      </c>
      <c r="E965">
        <v>7</v>
      </c>
      <c r="F965">
        <v>0</v>
      </c>
      <c r="G965">
        <v>0</v>
      </c>
      <c r="H965">
        <v>0</v>
      </c>
      <c r="I965" t="s">
        <v>62</v>
      </c>
    </row>
    <row r="966" spans="2:9" x14ac:dyDescent="0.2">
      <c r="B966" t="s">
        <v>8</v>
      </c>
      <c r="C966" t="s">
        <v>9</v>
      </c>
      <c r="D966">
        <v>2</v>
      </c>
      <c r="E966">
        <v>7</v>
      </c>
      <c r="F966">
        <v>0</v>
      </c>
      <c r="G966">
        <v>0</v>
      </c>
      <c r="H966">
        <v>1</v>
      </c>
      <c r="I966" t="s">
        <v>72</v>
      </c>
    </row>
    <row r="967" spans="2:9" x14ac:dyDescent="0.2">
      <c r="B967" t="s">
        <v>7</v>
      </c>
      <c r="C967" t="s">
        <v>9</v>
      </c>
      <c r="D967">
        <v>2</v>
      </c>
      <c r="E967">
        <v>7</v>
      </c>
      <c r="F967">
        <v>0</v>
      </c>
      <c r="G967">
        <v>0</v>
      </c>
      <c r="H967">
        <v>1</v>
      </c>
      <c r="I967" t="s">
        <v>60</v>
      </c>
    </row>
    <row r="968" spans="2:9" x14ac:dyDescent="0.2">
      <c r="B968" t="s">
        <v>8</v>
      </c>
      <c r="C968" t="s">
        <v>9</v>
      </c>
      <c r="D968">
        <v>2</v>
      </c>
      <c r="E968">
        <v>7</v>
      </c>
      <c r="F968">
        <v>0</v>
      </c>
      <c r="G968">
        <v>0</v>
      </c>
      <c r="H968">
        <v>2</v>
      </c>
      <c r="I968" t="s">
        <v>72</v>
      </c>
    </row>
    <row r="969" spans="2:9" x14ac:dyDescent="0.2">
      <c r="B969" t="s">
        <v>7</v>
      </c>
      <c r="C969" t="s">
        <v>9</v>
      </c>
      <c r="D969">
        <v>2</v>
      </c>
      <c r="E969">
        <v>7</v>
      </c>
      <c r="F969">
        <v>0</v>
      </c>
      <c r="G969">
        <v>0</v>
      </c>
      <c r="H969">
        <v>2</v>
      </c>
      <c r="I969" t="s">
        <v>444</v>
      </c>
    </row>
    <row r="970" spans="2:9" x14ac:dyDescent="0.2">
      <c r="B970" t="s">
        <v>8</v>
      </c>
      <c r="C970" t="s">
        <v>9</v>
      </c>
      <c r="D970">
        <v>2</v>
      </c>
      <c r="E970">
        <v>7</v>
      </c>
      <c r="F970">
        <v>0</v>
      </c>
      <c r="G970">
        <v>1</v>
      </c>
      <c r="H970">
        <v>0</v>
      </c>
      <c r="I970" t="s">
        <v>72</v>
      </c>
    </row>
    <row r="971" spans="2:9" x14ac:dyDescent="0.2">
      <c r="B971" t="s">
        <v>7</v>
      </c>
      <c r="C971" t="s">
        <v>9</v>
      </c>
      <c r="D971">
        <v>2</v>
      </c>
      <c r="E971">
        <v>7</v>
      </c>
      <c r="F971">
        <v>0</v>
      </c>
      <c r="G971">
        <v>1</v>
      </c>
      <c r="H971">
        <v>0</v>
      </c>
      <c r="I971" t="s">
        <v>72</v>
      </c>
    </row>
    <row r="972" spans="2:9" x14ac:dyDescent="0.2">
      <c r="B972" t="s">
        <v>8</v>
      </c>
      <c r="C972" t="s">
        <v>9</v>
      </c>
      <c r="D972">
        <v>2</v>
      </c>
      <c r="E972">
        <v>7</v>
      </c>
      <c r="F972">
        <v>0</v>
      </c>
      <c r="G972">
        <v>1</v>
      </c>
      <c r="H972">
        <v>1</v>
      </c>
      <c r="I972" t="s">
        <v>72</v>
      </c>
    </row>
    <row r="973" spans="2:9" x14ac:dyDescent="0.2">
      <c r="B973" t="s">
        <v>7</v>
      </c>
      <c r="C973" t="s">
        <v>9</v>
      </c>
      <c r="D973">
        <v>2</v>
      </c>
      <c r="E973">
        <v>7</v>
      </c>
      <c r="F973">
        <v>0</v>
      </c>
      <c r="G973">
        <v>1</v>
      </c>
      <c r="H973">
        <v>1</v>
      </c>
      <c r="I973" t="s">
        <v>72</v>
      </c>
    </row>
    <row r="974" spans="2:9" x14ac:dyDescent="0.2">
      <c r="B974" t="s">
        <v>8</v>
      </c>
      <c r="C974" t="s">
        <v>9</v>
      </c>
      <c r="D974">
        <v>2</v>
      </c>
      <c r="E974">
        <v>7</v>
      </c>
      <c r="F974">
        <v>0</v>
      </c>
      <c r="G974">
        <v>1</v>
      </c>
      <c r="H974">
        <v>2</v>
      </c>
      <c r="I974" t="s">
        <v>72</v>
      </c>
    </row>
    <row r="975" spans="2:9" x14ac:dyDescent="0.2">
      <c r="B975" t="s">
        <v>7</v>
      </c>
      <c r="C975" t="s">
        <v>9</v>
      </c>
      <c r="D975">
        <v>2</v>
      </c>
      <c r="E975">
        <v>7</v>
      </c>
      <c r="F975">
        <v>0</v>
      </c>
      <c r="G975">
        <v>1</v>
      </c>
      <c r="H975">
        <v>2</v>
      </c>
      <c r="I975" t="s">
        <v>72</v>
      </c>
    </row>
    <row r="976" spans="2:9" x14ac:dyDescent="0.2">
      <c r="B976" t="s">
        <v>6</v>
      </c>
      <c r="C976" t="s">
        <v>7</v>
      </c>
      <c r="D976" t="s">
        <v>12</v>
      </c>
      <c r="E976">
        <v>2</v>
      </c>
      <c r="F976">
        <v>7</v>
      </c>
      <c r="G976">
        <v>1</v>
      </c>
      <c r="H976">
        <v>0</v>
      </c>
      <c r="I976" t="s">
        <v>72</v>
      </c>
    </row>
    <row r="977" spans="2:9" x14ac:dyDescent="0.2">
      <c r="B977" t="s">
        <v>6</v>
      </c>
      <c r="C977" t="s">
        <v>7</v>
      </c>
      <c r="D977" t="s">
        <v>12</v>
      </c>
      <c r="E977">
        <v>2</v>
      </c>
      <c r="F977">
        <v>7</v>
      </c>
      <c r="G977">
        <v>1</v>
      </c>
      <c r="H977">
        <v>1</v>
      </c>
      <c r="I977" t="s">
        <v>72</v>
      </c>
    </row>
    <row r="978" spans="2:9" x14ac:dyDescent="0.2">
      <c r="B978" t="s">
        <v>6</v>
      </c>
      <c r="C978" t="s">
        <v>7</v>
      </c>
      <c r="D978" t="s">
        <v>12</v>
      </c>
      <c r="E978">
        <v>2</v>
      </c>
      <c r="F978">
        <v>7</v>
      </c>
      <c r="G978">
        <v>1</v>
      </c>
      <c r="H978">
        <v>2</v>
      </c>
      <c r="I978" t="s">
        <v>75</v>
      </c>
    </row>
    <row r="979" spans="2:9" x14ac:dyDescent="0.2">
      <c r="B979" t="s">
        <v>8</v>
      </c>
      <c r="C979" t="s">
        <v>9</v>
      </c>
      <c r="D979">
        <v>2</v>
      </c>
      <c r="E979">
        <v>7</v>
      </c>
      <c r="F979">
        <v>1</v>
      </c>
      <c r="G979">
        <v>0</v>
      </c>
      <c r="H979">
        <v>0</v>
      </c>
      <c r="I979" t="s">
        <v>72</v>
      </c>
    </row>
    <row r="980" spans="2:9" x14ac:dyDescent="0.2">
      <c r="B980" t="s">
        <v>7</v>
      </c>
      <c r="C980" t="s">
        <v>9</v>
      </c>
      <c r="D980">
        <v>2</v>
      </c>
      <c r="E980">
        <v>7</v>
      </c>
      <c r="F980">
        <v>1</v>
      </c>
      <c r="G980">
        <v>0</v>
      </c>
      <c r="H980">
        <v>0</v>
      </c>
      <c r="I980" t="s">
        <v>72</v>
      </c>
    </row>
    <row r="981" spans="2:9" x14ac:dyDescent="0.2">
      <c r="B981" t="s">
        <v>8</v>
      </c>
      <c r="C981" t="s">
        <v>9</v>
      </c>
      <c r="D981">
        <v>2</v>
      </c>
      <c r="E981">
        <v>7</v>
      </c>
      <c r="F981">
        <v>1</v>
      </c>
      <c r="G981">
        <v>0</v>
      </c>
      <c r="H981">
        <v>1</v>
      </c>
      <c r="I981" t="s">
        <v>72</v>
      </c>
    </row>
    <row r="982" spans="2:9" x14ac:dyDescent="0.2">
      <c r="B982" t="s">
        <v>7</v>
      </c>
      <c r="C982" t="s">
        <v>9</v>
      </c>
      <c r="D982">
        <v>2</v>
      </c>
      <c r="E982">
        <v>7</v>
      </c>
      <c r="F982">
        <v>1</v>
      </c>
      <c r="G982">
        <v>0</v>
      </c>
      <c r="H982">
        <v>1</v>
      </c>
      <c r="I982" t="s">
        <v>72</v>
      </c>
    </row>
    <row r="983" spans="2:9" x14ac:dyDescent="0.2">
      <c r="B983" t="s">
        <v>8</v>
      </c>
      <c r="C983" t="s">
        <v>9</v>
      </c>
      <c r="D983">
        <v>2</v>
      </c>
      <c r="E983">
        <v>7</v>
      </c>
      <c r="F983">
        <v>1</v>
      </c>
      <c r="G983">
        <v>0</v>
      </c>
      <c r="H983">
        <v>2</v>
      </c>
      <c r="I983" t="s">
        <v>72</v>
      </c>
    </row>
    <row r="984" spans="2:9" x14ac:dyDescent="0.2">
      <c r="B984" t="s">
        <v>7</v>
      </c>
      <c r="C984" t="s">
        <v>9</v>
      </c>
      <c r="D984">
        <v>2</v>
      </c>
      <c r="E984">
        <v>7</v>
      </c>
      <c r="F984">
        <v>1</v>
      </c>
      <c r="G984">
        <v>0</v>
      </c>
      <c r="H984">
        <v>2</v>
      </c>
      <c r="I984" t="s">
        <v>72</v>
      </c>
    </row>
    <row r="985" spans="2:9" x14ac:dyDescent="0.2">
      <c r="B985" t="s">
        <v>8</v>
      </c>
      <c r="C985" t="s">
        <v>9</v>
      </c>
      <c r="D985">
        <v>2</v>
      </c>
      <c r="E985">
        <v>7</v>
      </c>
      <c r="F985">
        <v>1</v>
      </c>
      <c r="G985">
        <v>1</v>
      </c>
      <c r="H985">
        <v>0</v>
      </c>
      <c r="I985" t="s">
        <v>72</v>
      </c>
    </row>
    <row r="986" spans="2:9" x14ac:dyDescent="0.2">
      <c r="B986" t="s">
        <v>7</v>
      </c>
      <c r="C986" t="s">
        <v>9</v>
      </c>
      <c r="D986">
        <v>2</v>
      </c>
      <c r="E986">
        <v>7</v>
      </c>
      <c r="F986">
        <v>1</v>
      </c>
      <c r="G986">
        <v>1</v>
      </c>
      <c r="H986">
        <v>0</v>
      </c>
      <c r="I986" t="s">
        <v>62</v>
      </c>
    </row>
    <row r="987" spans="2:9" x14ac:dyDescent="0.2">
      <c r="B987" t="s">
        <v>8</v>
      </c>
      <c r="C987" t="s">
        <v>9</v>
      </c>
      <c r="D987">
        <v>2</v>
      </c>
      <c r="E987">
        <v>7</v>
      </c>
      <c r="F987">
        <v>1</v>
      </c>
      <c r="G987">
        <v>1</v>
      </c>
      <c r="H987">
        <v>1</v>
      </c>
      <c r="I987" t="s">
        <v>72</v>
      </c>
    </row>
    <row r="988" spans="2:9" x14ac:dyDescent="0.2">
      <c r="B988" t="s">
        <v>7</v>
      </c>
      <c r="C988" t="s">
        <v>9</v>
      </c>
      <c r="D988">
        <v>2</v>
      </c>
      <c r="E988">
        <v>7</v>
      </c>
      <c r="F988">
        <v>1</v>
      </c>
      <c r="G988">
        <v>1</v>
      </c>
      <c r="H988">
        <v>1</v>
      </c>
      <c r="I988" t="s">
        <v>60</v>
      </c>
    </row>
    <row r="989" spans="2:9" x14ac:dyDescent="0.2">
      <c r="B989" t="s">
        <v>8</v>
      </c>
      <c r="C989" t="s">
        <v>9</v>
      </c>
      <c r="D989">
        <v>2</v>
      </c>
      <c r="E989">
        <v>7</v>
      </c>
      <c r="F989">
        <v>1</v>
      </c>
      <c r="G989">
        <v>1</v>
      </c>
      <c r="H989">
        <v>2</v>
      </c>
      <c r="I989" t="s">
        <v>72</v>
      </c>
    </row>
    <row r="990" spans="2:9" x14ac:dyDescent="0.2">
      <c r="B990" t="s">
        <v>7</v>
      </c>
      <c r="C990" t="s">
        <v>9</v>
      </c>
      <c r="D990">
        <v>2</v>
      </c>
      <c r="E990">
        <v>7</v>
      </c>
      <c r="F990">
        <v>1</v>
      </c>
      <c r="G990">
        <v>1</v>
      </c>
      <c r="H990">
        <v>2</v>
      </c>
      <c r="I990" t="s">
        <v>444</v>
      </c>
    </row>
    <row r="991" spans="2:9" x14ac:dyDescent="0.2">
      <c r="B991" t="s">
        <v>6</v>
      </c>
      <c r="C991" t="s">
        <v>7</v>
      </c>
      <c r="D991" t="s">
        <v>12</v>
      </c>
      <c r="E991">
        <v>2</v>
      </c>
      <c r="F991">
        <v>8</v>
      </c>
      <c r="G991">
        <v>0</v>
      </c>
      <c r="H991">
        <v>0</v>
      </c>
      <c r="I991" t="s">
        <v>72</v>
      </c>
    </row>
    <row r="992" spans="2:9" x14ac:dyDescent="0.2">
      <c r="B992" t="s">
        <v>6</v>
      </c>
      <c r="C992" t="s">
        <v>7</v>
      </c>
      <c r="D992" t="s">
        <v>12</v>
      </c>
      <c r="E992">
        <v>2</v>
      </c>
      <c r="F992">
        <v>8</v>
      </c>
      <c r="G992">
        <v>0</v>
      </c>
      <c r="H992">
        <v>1</v>
      </c>
      <c r="I992" t="s">
        <v>72</v>
      </c>
    </row>
    <row r="993" spans="2:9" x14ac:dyDescent="0.2">
      <c r="B993" t="s">
        <v>6</v>
      </c>
      <c r="C993" t="s">
        <v>7</v>
      </c>
      <c r="D993" t="s">
        <v>12</v>
      </c>
      <c r="E993">
        <v>2</v>
      </c>
      <c r="F993">
        <v>8</v>
      </c>
      <c r="G993">
        <v>0</v>
      </c>
      <c r="H993">
        <v>2</v>
      </c>
      <c r="I993" t="s">
        <v>75</v>
      </c>
    </row>
    <row r="994" spans="2:9" x14ac:dyDescent="0.2">
      <c r="B994" t="s">
        <v>8</v>
      </c>
      <c r="C994" t="s">
        <v>9</v>
      </c>
      <c r="D994">
        <v>2</v>
      </c>
      <c r="E994">
        <v>8</v>
      </c>
      <c r="F994">
        <v>0</v>
      </c>
      <c r="G994">
        <v>0</v>
      </c>
      <c r="H994">
        <v>0</v>
      </c>
      <c r="I994" t="s">
        <v>72</v>
      </c>
    </row>
    <row r="995" spans="2:9" x14ac:dyDescent="0.2">
      <c r="B995" t="s">
        <v>7</v>
      </c>
      <c r="C995" t="s">
        <v>9</v>
      </c>
      <c r="D995">
        <v>2</v>
      </c>
      <c r="E995">
        <v>8</v>
      </c>
      <c r="F995">
        <v>0</v>
      </c>
      <c r="G995">
        <v>0</v>
      </c>
      <c r="H995">
        <v>0</v>
      </c>
      <c r="I995" t="s">
        <v>62</v>
      </c>
    </row>
    <row r="996" spans="2:9" x14ac:dyDescent="0.2">
      <c r="B996" t="s">
        <v>8</v>
      </c>
      <c r="C996" t="s">
        <v>9</v>
      </c>
      <c r="D996">
        <v>2</v>
      </c>
      <c r="E996">
        <v>8</v>
      </c>
      <c r="F996">
        <v>0</v>
      </c>
      <c r="G996">
        <v>0</v>
      </c>
      <c r="H996">
        <v>1</v>
      </c>
      <c r="I996" t="s">
        <v>72</v>
      </c>
    </row>
    <row r="997" spans="2:9" x14ac:dyDescent="0.2">
      <c r="B997" t="s">
        <v>7</v>
      </c>
      <c r="C997" t="s">
        <v>9</v>
      </c>
      <c r="D997">
        <v>2</v>
      </c>
      <c r="E997">
        <v>8</v>
      </c>
      <c r="F997">
        <v>0</v>
      </c>
      <c r="G997">
        <v>0</v>
      </c>
      <c r="H997">
        <v>1</v>
      </c>
      <c r="I997" t="s">
        <v>60</v>
      </c>
    </row>
    <row r="998" spans="2:9" x14ac:dyDescent="0.2">
      <c r="B998" t="s">
        <v>8</v>
      </c>
      <c r="C998" t="s">
        <v>9</v>
      </c>
      <c r="D998">
        <v>2</v>
      </c>
      <c r="E998">
        <v>8</v>
      </c>
      <c r="F998">
        <v>0</v>
      </c>
      <c r="G998">
        <v>0</v>
      </c>
      <c r="H998">
        <v>2</v>
      </c>
      <c r="I998" t="s">
        <v>72</v>
      </c>
    </row>
    <row r="999" spans="2:9" x14ac:dyDescent="0.2">
      <c r="B999" t="s">
        <v>7</v>
      </c>
      <c r="C999" t="s">
        <v>9</v>
      </c>
      <c r="D999">
        <v>2</v>
      </c>
      <c r="E999">
        <v>8</v>
      </c>
      <c r="F999">
        <v>0</v>
      </c>
      <c r="G999">
        <v>0</v>
      </c>
      <c r="H999">
        <v>2</v>
      </c>
      <c r="I999" t="s">
        <v>444</v>
      </c>
    </row>
    <row r="1000" spans="2:9" x14ac:dyDescent="0.2">
      <c r="B1000" t="s">
        <v>8</v>
      </c>
      <c r="C1000" t="s">
        <v>9</v>
      </c>
      <c r="D1000">
        <v>2</v>
      </c>
      <c r="E1000">
        <v>8</v>
      </c>
      <c r="F1000">
        <v>0</v>
      </c>
      <c r="G1000">
        <v>1</v>
      </c>
      <c r="H1000">
        <v>0</v>
      </c>
      <c r="I1000" t="s">
        <v>72</v>
      </c>
    </row>
    <row r="1001" spans="2:9" x14ac:dyDescent="0.2">
      <c r="B1001" t="s">
        <v>7</v>
      </c>
      <c r="C1001" t="s">
        <v>9</v>
      </c>
      <c r="D1001">
        <v>2</v>
      </c>
      <c r="E1001">
        <v>8</v>
      </c>
      <c r="F1001">
        <v>0</v>
      </c>
      <c r="G1001">
        <v>1</v>
      </c>
      <c r="H1001">
        <v>0</v>
      </c>
      <c r="I1001" t="s">
        <v>72</v>
      </c>
    </row>
    <row r="1002" spans="2:9" x14ac:dyDescent="0.2">
      <c r="B1002" t="s">
        <v>8</v>
      </c>
      <c r="C1002" t="s">
        <v>9</v>
      </c>
      <c r="D1002">
        <v>2</v>
      </c>
      <c r="E1002">
        <v>8</v>
      </c>
      <c r="F1002">
        <v>0</v>
      </c>
      <c r="G1002">
        <v>1</v>
      </c>
      <c r="H1002">
        <v>1</v>
      </c>
      <c r="I1002" t="s">
        <v>72</v>
      </c>
    </row>
    <row r="1003" spans="2:9" x14ac:dyDescent="0.2">
      <c r="B1003" t="s">
        <v>7</v>
      </c>
      <c r="C1003" t="s">
        <v>9</v>
      </c>
      <c r="D1003">
        <v>2</v>
      </c>
      <c r="E1003">
        <v>8</v>
      </c>
      <c r="F1003">
        <v>0</v>
      </c>
      <c r="G1003">
        <v>1</v>
      </c>
      <c r="H1003">
        <v>1</v>
      </c>
      <c r="I1003" t="s">
        <v>72</v>
      </c>
    </row>
    <row r="1004" spans="2:9" x14ac:dyDescent="0.2">
      <c r="B1004" t="s">
        <v>8</v>
      </c>
      <c r="C1004" t="s">
        <v>9</v>
      </c>
      <c r="D1004">
        <v>2</v>
      </c>
      <c r="E1004">
        <v>8</v>
      </c>
      <c r="F1004">
        <v>0</v>
      </c>
      <c r="G1004">
        <v>1</v>
      </c>
      <c r="H1004">
        <v>2</v>
      </c>
      <c r="I1004" t="s">
        <v>72</v>
      </c>
    </row>
    <row r="1005" spans="2:9" x14ac:dyDescent="0.2">
      <c r="B1005" t="s">
        <v>7</v>
      </c>
      <c r="C1005" t="s">
        <v>9</v>
      </c>
      <c r="D1005">
        <v>2</v>
      </c>
      <c r="E1005">
        <v>8</v>
      </c>
      <c r="F1005">
        <v>0</v>
      </c>
      <c r="G1005">
        <v>1</v>
      </c>
      <c r="H1005">
        <v>2</v>
      </c>
      <c r="I1005" t="s">
        <v>72</v>
      </c>
    </row>
    <row r="1006" spans="2:9" x14ac:dyDescent="0.2">
      <c r="B1006" t="s">
        <v>6</v>
      </c>
      <c r="C1006" t="s">
        <v>7</v>
      </c>
      <c r="D1006" t="s">
        <v>12</v>
      </c>
      <c r="E1006">
        <v>2</v>
      </c>
      <c r="F1006">
        <v>8</v>
      </c>
      <c r="G1006">
        <v>1</v>
      </c>
      <c r="H1006">
        <v>0</v>
      </c>
      <c r="I1006" t="s">
        <v>72</v>
      </c>
    </row>
    <row r="1007" spans="2:9" x14ac:dyDescent="0.2">
      <c r="B1007" t="s">
        <v>6</v>
      </c>
      <c r="C1007" t="s">
        <v>7</v>
      </c>
      <c r="D1007" t="s">
        <v>12</v>
      </c>
      <c r="E1007">
        <v>2</v>
      </c>
      <c r="F1007">
        <v>8</v>
      </c>
      <c r="G1007">
        <v>1</v>
      </c>
      <c r="H1007">
        <v>1</v>
      </c>
      <c r="I1007" t="s">
        <v>72</v>
      </c>
    </row>
    <row r="1008" spans="2:9" x14ac:dyDescent="0.2">
      <c r="B1008" t="s">
        <v>6</v>
      </c>
      <c r="C1008" t="s">
        <v>7</v>
      </c>
      <c r="D1008" t="s">
        <v>12</v>
      </c>
      <c r="E1008">
        <v>2</v>
      </c>
      <c r="F1008">
        <v>8</v>
      </c>
      <c r="G1008">
        <v>1</v>
      </c>
      <c r="H1008">
        <v>2</v>
      </c>
      <c r="I1008" t="s">
        <v>75</v>
      </c>
    </row>
    <row r="1009" spans="2:9" x14ac:dyDescent="0.2">
      <c r="B1009" t="s">
        <v>8</v>
      </c>
      <c r="C1009" t="s">
        <v>9</v>
      </c>
      <c r="D1009">
        <v>2</v>
      </c>
      <c r="E1009">
        <v>8</v>
      </c>
      <c r="F1009">
        <v>1</v>
      </c>
      <c r="G1009">
        <v>0</v>
      </c>
      <c r="H1009">
        <v>0</v>
      </c>
      <c r="I1009" t="s">
        <v>72</v>
      </c>
    </row>
    <row r="1010" spans="2:9" x14ac:dyDescent="0.2">
      <c r="B1010" t="s">
        <v>7</v>
      </c>
      <c r="C1010" t="s">
        <v>9</v>
      </c>
      <c r="D1010">
        <v>2</v>
      </c>
      <c r="E1010">
        <v>8</v>
      </c>
      <c r="F1010">
        <v>1</v>
      </c>
      <c r="G1010">
        <v>0</v>
      </c>
      <c r="H1010">
        <v>0</v>
      </c>
      <c r="I1010" t="s">
        <v>72</v>
      </c>
    </row>
    <row r="1011" spans="2:9" x14ac:dyDescent="0.2">
      <c r="B1011" t="s">
        <v>8</v>
      </c>
      <c r="C1011" t="s">
        <v>9</v>
      </c>
      <c r="D1011">
        <v>2</v>
      </c>
      <c r="E1011">
        <v>8</v>
      </c>
      <c r="F1011">
        <v>1</v>
      </c>
      <c r="G1011">
        <v>0</v>
      </c>
      <c r="H1011">
        <v>1</v>
      </c>
      <c r="I1011" t="s">
        <v>72</v>
      </c>
    </row>
    <row r="1012" spans="2:9" x14ac:dyDescent="0.2">
      <c r="B1012" t="s">
        <v>7</v>
      </c>
      <c r="C1012" t="s">
        <v>9</v>
      </c>
      <c r="D1012">
        <v>2</v>
      </c>
      <c r="E1012">
        <v>8</v>
      </c>
      <c r="F1012">
        <v>1</v>
      </c>
      <c r="G1012">
        <v>0</v>
      </c>
      <c r="H1012">
        <v>1</v>
      </c>
      <c r="I1012" t="s">
        <v>72</v>
      </c>
    </row>
    <row r="1013" spans="2:9" x14ac:dyDescent="0.2">
      <c r="B1013" t="s">
        <v>8</v>
      </c>
      <c r="C1013" t="s">
        <v>9</v>
      </c>
      <c r="D1013">
        <v>2</v>
      </c>
      <c r="E1013">
        <v>8</v>
      </c>
      <c r="F1013">
        <v>1</v>
      </c>
      <c r="G1013">
        <v>0</v>
      </c>
      <c r="H1013">
        <v>2</v>
      </c>
      <c r="I1013" t="s">
        <v>72</v>
      </c>
    </row>
    <row r="1014" spans="2:9" x14ac:dyDescent="0.2">
      <c r="B1014" t="s">
        <v>7</v>
      </c>
      <c r="C1014" t="s">
        <v>9</v>
      </c>
      <c r="D1014">
        <v>2</v>
      </c>
      <c r="E1014">
        <v>8</v>
      </c>
      <c r="F1014">
        <v>1</v>
      </c>
      <c r="G1014">
        <v>0</v>
      </c>
      <c r="H1014">
        <v>2</v>
      </c>
      <c r="I1014" t="s">
        <v>72</v>
      </c>
    </row>
    <row r="1015" spans="2:9" x14ac:dyDescent="0.2">
      <c r="B1015" t="s">
        <v>8</v>
      </c>
      <c r="C1015" t="s">
        <v>9</v>
      </c>
      <c r="D1015">
        <v>2</v>
      </c>
      <c r="E1015">
        <v>8</v>
      </c>
      <c r="F1015">
        <v>1</v>
      </c>
      <c r="G1015">
        <v>1</v>
      </c>
      <c r="H1015">
        <v>0</v>
      </c>
      <c r="I1015" t="s">
        <v>72</v>
      </c>
    </row>
    <row r="1016" spans="2:9" x14ac:dyDescent="0.2">
      <c r="B1016" t="s">
        <v>7</v>
      </c>
      <c r="C1016" t="s">
        <v>9</v>
      </c>
      <c r="D1016">
        <v>2</v>
      </c>
      <c r="E1016">
        <v>8</v>
      </c>
      <c r="F1016">
        <v>1</v>
      </c>
      <c r="G1016">
        <v>1</v>
      </c>
      <c r="H1016">
        <v>0</v>
      </c>
      <c r="I1016" t="s">
        <v>62</v>
      </c>
    </row>
    <row r="1017" spans="2:9" x14ac:dyDescent="0.2">
      <c r="B1017" t="s">
        <v>8</v>
      </c>
      <c r="C1017" t="s">
        <v>9</v>
      </c>
      <c r="D1017">
        <v>2</v>
      </c>
      <c r="E1017">
        <v>8</v>
      </c>
      <c r="F1017">
        <v>1</v>
      </c>
      <c r="G1017">
        <v>1</v>
      </c>
      <c r="H1017">
        <v>1</v>
      </c>
      <c r="I1017" t="s">
        <v>72</v>
      </c>
    </row>
    <row r="1018" spans="2:9" x14ac:dyDescent="0.2">
      <c r="B1018" t="s">
        <v>7</v>
      </c>
      <c r="C1018" t="s">
        <v>9</v>
      </c>
      <c r="D1018">
        <v>2</v>
      </c>
      <c r="E1018">
        <v>8</v>
      </c>
      <c r="F1018">
        <v>1</v>
      </c>
      <c r="G1018">
        <v>1</v>
      </c>
      <c r="H1018">
        <v>1</v>
      </c>
      <c r="I1018" t="s">
        <v>60</v>
      </c>
    </row>
    <row r="1019" spans="2:9" x14ac:dyDescent="0.2">
      <c r="B1019" t="s">
        <v>8</v>
      </c>
      <c r="C1019" t="s">
        <v>9</v>
      </c>
      <c r="D1019">
        <v>2</v>
      </c>
      <c r="E1019">
        <v>8</v>
      </c>
      <c r="F1019">
        <v>1</v>
      </c>
      <c r="G1019">
        <v>1</v>
      </c>
      <c r="H1019">
        <v>2</v>
      </c>
      <c r="I1019" t="s">
        <v>72</v>
      </c>
    </row>
    <row r="1020" spans="2:9" x14ac:dyDescent="0.2">
      <c r="B1020" t="s">
        <v>7</v>
      </c>
      <c r="C1020" t="s">
        <v>9</v>
      </c>
      <c r="D1020">
        <v>2</v>
      </c>
      <c r="E1020">
        <v>8</v>
      </c>
      <c r="F1020">
        <v>1</v>
      </c>
      <c r="G1020">
        <v>1</v>
      </c>
      <c r="H1020">
        <v>2</v>
      </c>
      <c r="I1020" t="s">
        <v>444</v>
      </c>
    </row>
    <row r="1021" spans="2:9" x14ac:dyDescent="0.2">
      <c r="B1021" t="s">
        <v>6</v>
      </c>
      <c r="C1021" t="s">
        <v>7</v>
      </c>
      <c r="D1021" t="s">
        <v>12</v>
      </c>
      <c r="E1021">
        <v>2</v>
      </c>
      <c r="F1021">
        <v>9</v>
      </c>
      <c r="G1021">
        <v>0</v>
      </c>
      <c r="H1021">
        <v>0</v>
      </c>
      <c r="I1021" t="s">
        <v>72</v>
      </c>
    </row>
    <row r="1022" spans="2:9" x14ac:dyDescent="0.2">
      <c r="B1022" t="s">
        <v>6</v>
      </c>
      <c r="C1022" t="s">
        <v>7</v>
      </c>
      <c r="D1022" t="s">
        <v>12</v>
      </c>
      <c r="E1022">
        <v>2</v>
      </c>
      <c r="F1022">
        <v>9</v>
      </c>
      <c r="G1022">
        <v>0</v>
      </c>
      <c r="H1022">
        <v>1</v>
      </c>
      <c r="I1022" t="s">
        <v>72</v>
      </c>
    </row>
    <row r="1023" spans="2:9" x14ac:dyDescent="0.2">
      <c r="B1023" t="s">
        <v>6</v>
      </c>
      <c r="C1023" t="s">
        <v>7</v>
      </c>
      <c r="D1023" t="s">
        <v>12</v>
      </c>
      <c r="E1023">
        <v>2</v>
      </c>
      <c r="F1023">
        <v>9</v>
      </c>
      <c r="G1023">
        <v>0</v>
      </c>
      <c r="H1023">
        <v>2</v>
      </c>
      <c r="I1023" t="s">
        <v>75</v>
      </c>
    </row>
    <row r="1024" spans="2:9" x14ac:dyDescent="0.2">
      <c r="B1024" t="s">
        <v>8</v>
      </c>
      <c r="C1024" t="s">
        <v>9</v>
      </c>
      <c r="D1024">
        <v>2</v>
      </c>
      <c r="E1024">
        <v>9</v>
      </c>
      <c r="F1024">
        <v>0</v>
      </c>
      <c r="G1024">
        <v>0</v>
      </c>
      <c r="H1024">
        <v>0</v>
      </c>
      <c r="I1024" t="s">
        <v>72</v>
      </c>
    </row>
    <row r="1025" spans="2:9" x14ac:dyDescent="0.2">
      <c r="B1025" t="s">
        <v>7</v>
      </c>
      <c r="C1025" t="s">
        <v>9</v>
      </c>
      <c r="D1025">
        <v>2</v>
      </c>
      <c r="E1025">
        <v>9</v>
      </c>
      <c r="F1025">
        <v>0</v>
      </c>
      <c r="G1025">
        <v>0</v>
      </c>
      <c r="H1025">
        <v>0</v>
      </c>
      <c r="I1025" t="s">
        <v>62</v>
      </c>
    </row>
    <row r="1026" spans="2:9" x14ac:dyDescent="0.2">
      <c r="B1026" t="s">
        <v>8</v>
      </c>
      <c r="C1026" t="s">
        <v>9</v>
      </c>
      <c r="D1026">
        <v>2</v>
      </c>
      <c r="E1026">
        <v>9</v>
      </c>
      <c r="F1026">
        <v>0</v>
      </c>
      <c r="G1026">
        <v>0</v>
      </c>
      <c r="H1026">
        <v>1</v>
      </c>
      <c r="I1026" t="s">
        <v>72</v>
      </c>
    </row>
    <row r="1027" spans="2:9" x14ac:dyDescent="0.2">
      <c r="B1027" t="s">
        <v>7</v>
      </c>
      <c r="C1027" t="s">
        <v>9</v>
      </c>
      <c r="D1027">
        <v>2</v>
      </c>
      <c r="E1027">
        <v>9</v>
      </c>
      <c r="F1027">
        <v>0</v>
      </c>
      <c r="G1027">
        <v>0</v>
      </c>
      <c r="H1027">
        <v>1</v>
      </c>
      <c r="I1027" t="s">
        <v>60</v>
      </c>
    </row>
    <row r="1028" spans="2:9" x14ac:dyDescent="0.2">
      <c r="B1028" t="s">
        <v>8</v>
      </c>
      <c r="C1028" t="s">
        <v>9</v>
      </c>
      <c r="D1028">
        <v>2</v>
      </c>
      <c r="E1028">
        <v>9</v>
      </c>
      <c r="F1028">
        <v>0</v>
      </c>
      <c r="G1028">
        <v>0</v>
      </c>
      <c r="H1028">
        <v>2</v>
      </c>
      <c r="I1028" t="s">
        <v>72</v>
      </c>
    </row>
    <row r="1029" spans="2:9" x14ac:dyDescent="0.2">
      <c r="B1029" t="s">
        <v>7</v>
      </c>
      <c r="C1029" t="s">
        <v>9</v>
      </c>
      <c r="D1029">
        <v>2</v>
      </c>
      <c r="E1029">
        <v>9</v>
      </c>
      <c r="F1029">
        <v>0</v>
      </c>
      <c r="G1029">
        <v>0</v>
      </c>
      <c r="H1029">
        <v>2</v>
      </c>
      <c r="I1029" t="s">
        <v>444</v>
      </c>
    </row>
    <row r="1030" spans="2:9" x14ac:dyDescent="0.2">
      <c r="B1030" t="s">
        <v>8</v>
      </c>
      <c r="C1030" t="s">
        <v>9</v>
      </c>
      <c r="D1030">
        <v>2</v>
      </c>
      <c r="E1030">
        <v>9</v>
      </c>
      <c r="F1030">
        <v>0</v>
      </c>
      <c r="G1030">
        <v>1</v>
      </c>
      <c r="H1030">
        <v>0</v>
      </c>
      <c r="I1030" t="s">
        <v>72</v>
      </c>
    </row>
    <row r="1031" spans="2:9" x14ac:dyDescent="0.2">
      <c r="B1031" t="s">
        <v>7</v>
      </c>
      <c r="C1031" t="s">
        <v>9</v>
      </c>
      <c r="D1031">
        <v>2</v>
      </c>
      <c r="E1031">
        <v>9</v>
      </c>
      <c r="F1031">
        <v>0</v>
      </c>
      <c r="G1031">
        <v>1</v>
      </c>
      <c r="H1031">
        <v>0</v>
      </c>
      <c r="I1031" t="s">
        <v>72</v>
      </c>
    </row>
    <row r="1032" spans="2:9" x14ac:dyDescent="0.2">
      <c r="B1032" t="s">
        <v>8</v>
      </c>
      <c r="C1032" t="s">
        <v>9</v>
      </c>
      <c r="D1032">
        <v>2</v>
      </c>
      <c r="E1032">
        <v>9</v>
      </c>
      <c r="F1032">
        <v>0</v>
      </c>
      <c r="G1032">
        <v>1</v>
      </c>
      <c r="H1032">
        <v>1</v>
      </c>
      <c r="I1032" t="s">
        <v>72</v>
      </c>
    </row>
    <row r="1033" spans="2:9" x14ac:dyDescent="0.2">
      <c r="B1033" t="s">
        <v>7</v>
      </c>
      <c r="C1033" t="s">
        <v>9</v>
      </c>
      <c r="D1033">
        <v>2</v>
      </c>
      <c r="E1033">
        <v>9</v>
      </c>
      <c r="F1033">
        <v>0</v>
      </c>
      <c r="G1033">
        <v>1</v>
      </c>
      <c r="H1033">
        <v>1</v>
      </c>
      <c r="I1033" t="s">
        <v>72</v>
      </c>
    </row>
    <row r="1034" spans="2:9" x14ac:dyDescent="0.2">
      <c r="B1034" t="s">
        <v>8</v>
      </c>
      <c r="C1034" t="s">
        <v>9</v>
      </c>
      <c r="D1034">
        <v>2</v>
      </c>
      <c r="E1034">
        <v>9</v>
      </c>
      <c r="F1034">
        <v>0</v>
      </c>
      <c r="G1034">
        <v>1</v>
      </c>
      <c r="H1034">
        <v>2</v>
      </c>
      <c r="I1034" t="s">
        <v>72</v>
      </c>
    </row>
    <row r="1035" spans="2:9" x14ac:dyDescent="0.2">
      <c r="B1035" t="s">
        <v>7</v>
      </c>
      <c r="C1035" t="s">
        <v>9</v>
      </c>
      <c r="D1035">
        <v>2</v>
      </c>
      <c r="E1035">
        <v>9</v>
      </c>
      <c r="F1035">
        <v>0</v>
      </c>
      <c r="G1035">
        <v>1</v>
      </c>
      <c r="H1035">
        <v>2</v>
      </c>
      <c r="I1035" t="s">
        <v>72</v>
      </c>
    </row>
    <row r="1036" spans="2:9" x14ac:dyDescent="0.2">
      <c r="B1036" t="s">
        <v>6</v>
      </c>
      <c r="C1036" t="s">
        <v>7</v>
      </c>
      <c r="D1036" t="s">
        <v>12</v>
      </c>
      <c r="E1036">
        <v>2</v>
      </c>
      <c r="F1036">
        <v>9</v>
      </c>
      <c r="G1036">
        <v>1</v>
      </c>
      <c r="H1036">
        <v>0</v>
      </c>
      <c r="I1036" t="s">
        <v>72</v>
      </c>
    </row>
    <row r="1037" spans="2:9" x14ac:dyDescent="0.2">
      <c r="B1037" t="s">
        <v>6</v>
      </c>
      <c r="C1037" t="s">
        <v>7</v>
      </c>
      <c r="D1037" t="s">
        <v>12</v>
      </c>
      <c r="E1037">
        <v>2</v>
      </c>
      <c r="F1037">
        <v>9</v>
      </c>
      <c r="G1037">
        <v>1</v>
      </c>
      <c r="H1037">
        <v>1</v>
      </c>
      <c r="I1037" t="s">
        <v>72</v>
      </c>
    </row>
    <row r="1038" spans="2:9" x14ac:dyDescent="0.2">
      <c r="B1038" t="s">
        <v>6</v>
      </c>
      <c r="C1038" t="s">
        <v>7</v>
      </c>
      <c r="D1038" t="s">
        <v>12</v>
      </c>
      <c r="E1038">
        <v>2</v>
      </c>
      <c r="F1038">
        <v>9</v>
      </c>
      <c r="G1038">
        <v>1</v>
      </c>
      <c r="H1038">
        <v>2</v>
      </c>
      <c r="I1038" t="s">
        <v>75</v>
      </c>
    </row>
    <row r="1039" spans="2:9" x14ac:dyDescent="0.2">
      <c r="B1039" t="s">
        <v>8</v>
      </c>
      <c r="C1039" t="s">
        <v>9</v>
      </c>
      <c r="D1039">
        <v>2</v>
      </c>
      <c r="E1039">
        <v>9</v>
      </c>
      <c r="F1039">
        <v>1</v>
      </c>
      <c r="G1039">
        <v>0</v>
      </c>
      <c r="H1039">
        <v>0</v>
      </c>
      <c r="I1039" t="s">
        <v>72</v>
      </c>
    </row>
    <row r="1040" spans="2:9" x14ac:dyDescent="0.2">
      <c r="B1040" t="s">
        <v>7</v>
      </c>
      <c r="C1040" t="s">
        <v>9</v>
      </c>
      <c r="D1040">
        <v>2</v>
      </c>
      <c r="E1040">
        <v>9</v>
      </c>
      <c r="F1040">
        <v>1</v>
      </c>
      <c r="G1040">
        <v>0</v>
      </c>
      <c r="H1040">
        <v>0</v>
      </c>
      <c r="I1040" t="s">
        <v>72</v>
      </c>
    </row>
    <row r="1041" spans="2:9" x14ac:dyDescent="0.2">
      <c r="B1041" t="s">
        <v>8</v>
      </c>
      <c r="C1041" t="s">
        <v>9</v>
      </c>
      <c r="D1041">
        <v>2</v>
      </c>
      <c r="E1041">
        <v>9</v>
      </c>
      <c r="F1041">
        <v>1</v>
      </c>
      <c r="G1041">
        <v>0</v>
      </c>
      <c r="H1041">
        <v>1</v>
      </c>
      <c r="I1041" t="s">
        <v>72</v>
      </c>
    </row>
    <row r="1042" spans="2:9" x14ac:dyDescent="0.2">
      <c r="B1042" t="s">
        <v>7</v>
      </c>
      <c r="C1042" t="s">
        <v>9</v>
      </c>
      <c r="D1042">
        <v>2</v>
      </c>
      <c r="E1042">
        <v>9</v>
      </c>
      <c r="F1042">
        <v>1</v>
      </c>
      <c r="G1042">
        <v>0</v>
      </c>
      <c r="H1042">
        <v>1</v>
      </c>
      <c r="I1042" t="s">
        <v>72</v>
      </c>
    </row>
    <row r="1043" spans="2:9" x14ac:dyDescent="0.2">
      <c r="B1043" t="s">
        <v>8</v>
      </c>
      <c r="C1043" t="s">
        <v>9</v>
      </c>
      <c r="D1043">
        <v>2</v>
      </c>
      <c r="E1043">
        <v>9</v>
      </c>
      <c r="F1043">
        <v>1</v>
      </c>
      <c r="G1043">
        <v>0</v>
      </c>
      <c r="H1043">
        <v>2</v>
      </c>
      <c r="I1043" t="s">
        <v>72</v>
      </c>
    </row>
    <row r="1044" spans="2:9" x14ac:dyDescent="0.2">
      <c r="B1044" t="s">
        <v>7</v>
      </c>
      <c r="C1044" t="s">
        <v>9</v>
      </c>
      <c r="D1044">
        <v>2</v>
      </c>
      <c r="E1044">
        <v>9</v>
      </c>
      <c r="F1044">
        <v>1</v>
      </c>
      <c r="G1044">
        <v>0</v>
      </c>
      <c r="H1044">
        <v>2</v>
      </c>
      <c r="I1044" t="s">
        <v>72</v>
      </c>
    </row>
    <row r="1045" spans="2:9" x14ac:dyDescent="0.2">
      <c r="B1045" t="s">
        <v>8</v>
      </c>
      <c r="C1045" t="s">
        <v>9</v>
      </c>
      <c r="D1045">
        <v>2</v>
      </c>
      <c r="E1045">
        <v>9</v>
      </c>
      <c r="F1045">
        <v>1</v>
      </c>
      <c r="G1045">
        <v>1</v>
      </c>
      <c r="H1045">
        <v>0</v>
      </c>
      <c r="I1045" t="s">
        <v>72</v>
      </c>
    </row>
    <row r="1046" spans="2:9" x14ac:dyDescent="0.2">
      <c r="B1046" t="s">
        <v>7</v>
      </c>
      <c r="C1046" t="s">
        <v>9</v>
      </c>
      <c r="D1046">
        <v>2</v>
      </c>
      <c r="E1046">
        <v>9</v>
      </c>
      <c r="F1046">
        <v>1</v>
      </c>
      <c r="G1046">
        <v>1</v>
      </c>
      <c r="H1046">
        <v>0</v>
      </c>
      <c r="I1046" t="s">
        <v>62</v>
      </c>
    </row>
    <row r="1047" spans="2:9" x14ac:dyDescent="0.2">
      <c r="B1047" t="s">
        <v>8</v>
      </c>
      <c r="C1047" t="s">
        <v>9</v>
      </c>
      <c r="D1047">
        <v>2</v>
      </c>
      <c r="E1047">
        <v>9</v>
      </c>
      <c r="F1047">
        <v>1</v>
      </c>
      <c r="G1047">
        <v>1</v>
      </c>
      <c r="H1047">
        <v>1</v>
      </c>
      <c r="I1047" t="s">
        <v>72</v>
      </c>
    </row>
    <row r="1048" spans="2:9" x14ac:dyDescent="0.2">
      <c r="B1048" t="s">
        <v>7</v>
      </c>
      <c r="C1048" t="s">
        <v>9</v>
      </c>
      <c r="D1048">
        <v>2</v>
      </c>
      <c r="E1048">
        <v>9</v>
      </c>
      <c r="F1048">
        <v>1</v>
      </c>
      <c r="G1048">
        <v>1</v>
      </c>
      <c r="H1048">
        <v>1</v>
      </c>
      <c r="I1048" t="s">
        <v>60</v>
      </c>
    </row>
    <row r="1049" spans="2:9" x14ac:dyDescent="0.2">
      <c r="B1049" t="s">
        <v>8</v>
      </c>
      <c r="C1049" t="s">
        <v>9</v>
      </c>
      <c r="D1049">
        <v>2</v>
      </c>
      <c r="E1049">
        <v>9</v>
      </c>
      <c r="F1049">
        <v>1</v>
      </c>
      <c r="G1049">
        <v>1</v>
      </c>
      <c r="H1049">
        <v>2</v>
      </c>
      <c r="I1049" t="s">
        <v>72</v>
      </c>
    </row>
    <row r="1050" spans="2:9" x14ac:dyDescent="0.2">
      <c r="B1050" t="s">
        <v>7</v>
      </c>
      <c r="C1050" t="s">
        <v>9</v>
      </c>
      <c r="D1050">
        <v>2</v>
      </c>
      <c r="E1050">
        <v>9</v>
      </c>
      <c r="F1050">
        <v>1</v>
      </c>
      <c r="G1050">
        <v>1</v>
      </c>
      <c r="H1050">
        <v>2</v>
      </c>
      <c r="I1050" t="s">
        <v>444</v>
      </c>
    </row>
    <row r="1051" spans="2:9" x14ac:dyDescent="0.2">
      <c r="B1051" t="s">
        <v>11</v>
      </c>
      <c r="C1051" t="s">
        <v>12</v>
      </c>
      <c r="D1051" t="s">
        <v>12</v>
      </c>
      <c r="E1051" t="s">
        <v>12</v>
      </c>
      <c r="F1051" t="s">
        <v>12</v>
      </c>
      <c r="G1051">
        <v>0</v>
      </c>
      <c r="H1051">
        <v>0</v>
      </c>
      <c r="I1051" t="s">
        <v>444</v>
      </c>
    </row>
    <row r="1052" spans="2:9" x14ac:dyDescent="0.2">
      <c r="B1052" t="s">
        <v>11</v>
      </c>
      <c r="C1052" t="s">
        <v>12</v>
      </c>
      <c r="D1052" t="s">
        <v>12</v>
      </c>
      <c r="E1052" t="s">
        <v>12</v>
      </c>
      <c r="F1052" t="s">
        <v>12</v>
      </c>
      <c r="G1052">
        <v>0</v>
      </c>
      <c r="H1052">
        <v>1</v>
      </c>
      <c r="I1052" t="s">
        <v>444</v>
      </c>
    </row>
    <row r="1053" spans="2:9" x14ac:dyDescent="0.2">
      <c r="B1053" t="s">
        <v>11</v>
      </c>
      <c r="C1053" t="s">
        <v>12</v>
      </c>
      <c r="D1053" t="s">
        <v>12</v>
      </c>
      <c r="E1053" t="s">
        <v>12</v>
      </c>
      <c r="F1053" t="s">
        <v>12</v>
      </c>
      <c r="G1053">
        <v>0</v>
      </c>
      <c r="H1053">
        <v>2</v>
      </c>
      <c r="I1053" t="s">
        <v>69</v>
      </c>
    </row>
    <row r="1054" spans="2:9" x14ac:dyDescent="0.2">
      <c r="B1054" t="s">
        <v>11</v>
      </c>
      <c r="C1054" t="s">
        <v>12</v>
      </c>
      <c r="D1054" t="s">
        <v>12</v>
      </c>
      <c r="E1054" t="s">
        <v>12</v>
      </c>
      <c r="F1054" t="s">
        <v>12</v>
      </c>
      <c r="G1054">
        <v>0</v>
      </c>
      <c r="H1054">
        <v>3</v>
      </c>
      <c r="I1054" t="s">
        <v>69</v>
      </c>
    </row>
    <row r="1055" spans="2:9" x14ac:dyDescent="0.2">
      <c r="B1055" t="s">
        <v>11</v>
      </c>
      <c r="C1055" t="s">
        <v>12</v>
      </c>
      <c r="D1055" t="s">
        <v>12</v>
      </c>
      <c r="E1055" t="s">
        <v>12</v>
      </c>
      <c r="F1055" t="s">
        <v>12</v>
      </c>
      <c r="G1055">
        <v>0</v>
      </c>
      <c r="H1055">
        <v>4</v>
      </c>
      <c r="I1055" t="s">
        <v>445</v>
      </c>
    </row>
    <row r="1056" spans="2:9" x14ac:dyDescent="0.2">
      <c r="B1056" t="s">
        <v>11</v>
      </c>
      <c r="C1056" t="s">
        <v>12</v>
      </c>
      <c r="D1056" t="s">
        <v>12</v>
      </c>
      <c r="E1056" t="s">
        <v>12</v>
      </c>
      <c r="F1056" t="s">
        <v>12</v>
      </c>
      <c r="G1056">
        <v>0</v>
      </c>
      <c r="H1056">
        <v>5</v>
      </c>
      <c r="I1056" t="s">
        <v>445</v>
      </c>
    </row>
    <row r="1057" spans="2:9" x14ac:dyDescent="0.2">
      <c r="B1057" t="s">
        <v>11</v>
      </c>
      <c r="C1057" t="s">
        <v>12</v>
      </c>
      <c r="D1057" t="s">
        <v>12</v>
      </c>
      <c r="E1057" t="s">
        <v>12</v>
      </c>
      <c r="F1057" t="s">
        <v>12</v>
      </c>
      <c r="G1057">
        <v>0</v>
      </c>
      <c r="H1057">
        <v>6</v>
      </c>
      <c r="I1057" t="s">
        <v>74</v>
      </c>
    </row>
    <row r="1058" spans="2:9" x14ac:dyDescent="0.2">
      <c r="B1058" t="s">
        <v>11</v>
      </c>
      <c r="C1058" t="s">
        <v>12</v>
      </c>
      <c r="D1058" t="s">
        <v>12</v>
      </c>
      <c r="E1058" t="s">
        <v>12</v>
      </c>
      <c r="F1058" t="s">
        <v>12</v>
      </c>
      <c r="G1058">
        <v>0</v>
      </c>
      <c r="H1058">
        <v>7</v>
      </c>
      <c r="I1058" t="s">
        <v>74</v>
      </c>
    </row>
    <row r="1059" spans="2:9" x14ac:dyDescent="0.2">
      <c r="B1059" t="s">
        <v>11</v>
      </c>
      <c r="C1059" t="s">
        <v>12</v>
      </c>
      <c r="D1059" t="s">
        <v>12</v>
      </c>
      <c r="E1059" t="s">
        <v>12</v>
      </c>
      <c r="F1059" t="s">
        <v>12</v>
      </c>
      <c r="G1059">
        <v>0</v>
      </c>
      <c r="H1059">
        <v>8</v>
      </c>
      <c r="I1059" t="s">
        <v>446</v>
      </c>
    </row>
    <row r="1060" spans="2:9" x14ac:dyDescent="0.2">
      <c r="B1060" t="s">
        <v>11</v>
      </c>
      <c r="C1060" t="s">
        <v>12</v>
      </c>
      <c r="D1060" t="s">
        <v>12</v>
      </c>
      <c r="E1060" t="s">
        <v>12</v>
      </c>
      <c r="F1060" t="s">
        <v>12</v>
      </c>
      <c r="G1060">
        <v>0</v>
      </c>
      <c r="H1060">
        <v>9</v>
      </c>
      <c r="I1060" t="s">
        <v>446</v>
      </c>
    </row>
    <row r="1061" spans="2:9" x14ac:dyDescent="0.2">
      <c r="B1061" t="s">
        <v>11</v>
      </c>
      <c r="C1061" t="s">
        <v>12</v>
      </c>
      <c r="D1061" t="s">
        <v>12</v>
      </c>
      <c r="E1061" t="s">
        <v>12</v>
      </c>
      <c r="F1061" t="s">
        <v>12</v>
      </c>
      <c r="G1061">
        <v>1</v>
      </c>
      <c r="H1061">
        <v>0</v>
      </c>
      <c r="I1061" t="s">
        <v>444</v>
      </c>
    </row>
    <row r="1062" spans="2:9" x14ac:dyDescent="0.2">
      <c r="B1062" t="s">
        <v>11</v>
      </c>
      <c r="C1062" t="s">
        <v>12</v>
      </c>
      <c r="D1062" t="s">
        <v>12</v>
      </c>
      <c r="E1062" t="s">
        <v>12</v>
      </c>
      <c r="F1062" t="s">
        <v>12</v>
      </c>
      <c r="G1062">
        <v>1</v>
      </c>
      <c r="H1062">
        <v>1</v>
      </c>
      <c r="I1062" t="s">
        <v>444</v>
      </c>
    </row>
    <row r="1063" spans="2:9" x14ac:dyDescent="0.2">
      <c r="B1063" t="s">
        <v>11</v>
      </c>
      <c r="C1063" t="s">
        <v>12</v>
      </c>
      <c r="D1063" t="s">
        <v>12</v>
      </c>
      <c r="E1063" t="s">
        <v>12</v>
      </c>
      <c r="F1063" t="s">
        <v>12</v>
      </c>
      <c r="G1063">
        <v>1</v>
      </c>
      <c r="H1063">
        <v>2</v>
      </c>
      <c r="I1063" t="s">
        <v>69</v>
      </c>
    </row>
    <row r="1064" spans="2:9" x14ac:dyDescent="0.2">
      <c r="B1064" t="s">
        <v>11</v>
      </c>
      <c r="C1064" t="s">
        <v>12</v>
      </c>
      <c r="D1064" t="s">
        <v>12</v>
      </c>
      <c r="E1064" t="s">
        <v>12</v>
      </c>
      <c r="F1064" t="s">
        <v>12</v>
      </c>
      <c r="G1064">
        <v>1</v>
      </c>
      <c r="H1064">
        <v>3</v>
      </c>
      <c r="I1064" t="s">
        <v>69</v>
      </c>
    </row>
    <row r="1065" spans="2:9" x14ac:dyDescent="0.2">
      <c r="B1065" t="s">
        <v>11</v>
      </c>
      <c r="C1065" t="s">
        <v>12</v>
      </c>
      <c r="D1065" t="s">
        <v>12</v>
      </c>
      <c r="E1065" t="s">
        <v>12</v>
      </c>
      <c r="F1065" t="s">
        <v>12</v>
      </c>
      <c r="G1065">
        <v>1</v>
      </c>
      <c r="H1065">
        <v>4</v>
      </c>
      <c r="I1065" t="s">
        <v>445</v>
      </c>
    </row>
    <row r="1066" spans="2:9" x14ac:dyDescent="0.2">
      <c r="B1066" t="s">
        <v>11</v>
      </c>
      <c r="C1066" t="s">
        <v>12</v>
      </c>
      <c r="D1066" t="s">
        <v>12</v>
      </c>
      <c r="E1066" t="s">
        <v>12</v>
      </c>
      <c r="F1066" t="s">
        <v>12</v>
      </c>
      <c r="G1066">
        <v>1</v>
      </c>
      <c r="H1066">
        <v>5</v>
      </c>
      <c r="I1066" t="s">
        <v>445</v>
      </c>
    </row>
    <row r="1067" spans="2:9" x14ac:dyDescent="0.2">
      <c r="B1067" t="s">
        <v>11</v>
      </c>
      <c r="C1067" t="s">
        <v>12</v>
      </c>
      <c r="D1067" t="s">
        <v>12</v>
      </c>
      <c r="E1067" t="s">
        <v>12</v>
      </c>
      <c r="F1067" t="s">
        <v>12</v>
      </c>
      <c r="G1067">
        <v>1</v>
      </c>
      <c r="H1067">
        <v>6</v>
      </c>
      <c r="I1067" t="s">
        <v>74</v>
      </c>
    </row>
    <row r="1068" spans="2:9" x14ac:dyDescent="0.2">
      <c r="B1068" t="s">
        <v>11</v>
      </c>
      <c r="C1068" t="s">
        <v>12</v>
      </c>
      <c r="D1068" t="s">
        <v>12</v>
      </c>
      <c r="E1068" t="s">
        <v>12</v>
      </c>
      <c r="F1068" t="s">
        <v>12</v>
      </c>
      <c r="G1068">
        <v>1</v>
      </c>
      <c r="H1068">
        <v>7</v>
      </c>
      <c r="I1068" t="s">
        <v>74</v>
      </c>
    </row>
    <row r="1069" spans="2:9" x14ac:dyDescent="0.2">
      <c r="B1069" t="s">
        <v>11</v>
      </c>
      <c r="C1069" t="s">
        <v>12</v>
      </c>
      <c r="D1069" t="s">
        <v>12</v>
      </c>
      <c r="E1069" t="s">
        <v>12</v>
      </c>
      <c r="F1069" t="s">
        <v>12</v>
      </c>
      <c r="G1069">
        <v>1</v>
      </c>
      <c r="H1069">
        <v>8</v>
      </c>
      <c r="I1069" t="s">
        <v>446</v>
      </c>
    </row>
    <row r="1070" spans="2:9" x14ac:dyDescent="0.2">
      <c r="B1070" t="s">
        <v>11</v>
      </c>
      <c r="C1070" t="s">
        <v>12</v>
      </c>
      <c r="D1070" t="s">
        <v>12</v>
      </c>
      <c r="E1070" t="s">
        <v>12</v>
      </c>
      <c r="F1070" t="s">
        <v>12</v>
      </c>
      <c r="G1070">
        <v>1</v>
      </c>
      <c r="H1070">
        <v>9</v>
      </c>
      <c r="I1070" t="s">
        <v>446</v>
      </c>
    </row>
    <row r="1071" spans="2:9" x14ac:dyDescent="0.2">
      <c r="B1071" t="s">
        <v>11</v>
      </c>
      <c r="C1071" t="s">
        <v>12</v>
      </c>
      <c r="D1071" t="s">
        <v>12</v>
      </c>
      <c r="E1071" t="s">
        <v>12</v>
      </c>
      <c r="F1071" t="s">
        <v>12</v>
      </c>
      <c r="G1071">
        <v>2</v>
      </c>
      <c r="H1071">
        <v>0</v>
      </c>
      <c r="I1071" t="s">
        <v>444</v>
      </c>
    </row>
    <row r="1072" spans="2:9" x14ac:dyDescent="0.2">
      <c r="B1072" t="s">
        <v>11</v>
      </c>
      <c r="C1072" t="s">
        <v>12</v>
      </c>
      <c r="D1072" t="s">
        <v>12</v>
      </c>
      <c r="E1072" t="s">
        <v>12</v>
      </c>
      <c r="F1072" t="s">
        <v>12</v>
      </c>
      <c r="G1072">
        <v>2</v>
      </c>
      <c r="H1072">
        <v>1</v>
      </c>
      <c r="I1072" t="s">
        <v>444</v>
      </c>
    </row>
    <row r="1073" spans="1:9" x14ac:dyDescent="0.2">
      <c r="B1073" t="s">
        <v>11</v>
      </c>
      <c r="C1073" t="s">
        <v>12</v>
      </c>
      <c r="D1073" t="s">
        <v>12</v>
      </c>
      <c r="E1073" t="s">
        <v>12</v>
      </c>
      <c r="F1073" t="s">
        <v>12</v>
      </c>
      <c r="G1073">
        <v>2</v>
      </c>
      <c r="H1073">
        <v>2</v>
      </c>
      <c r="I1073" t="s">
        <v>69</v>
      </c>
    </row>
    <row r="1074" spans="1:9" x14ac:dyDescent="0.2">
      <c r="B1074" t="s">
        <v>11</v>
      </c>
      <c r="C1074" t="s">
        <v>12</v>
      </c>
      <c r="D1074" t="s">
        <v>12</v>
      </c>
      <c r="E1074" t="s">
        <v>12</v>
      </c>
      <c r="F1074" t="s">
        <v>12</v>
      </c>
      <c r="G1074">
        <v>2</v>
      </c>
      <c r="H1074">
        <v>3</v>
      </c>
      <c r="I1074" t="s">
        <v>69</v>
      </c>
    </row>
    <row r="1075" spans="1:9" x14ac:dyDescent="0.2">
      <c r="B1075" t="s">
        <v>11</v>
      </c>
      <c r="C1075" t="s">
        <v>12</v>
      </c>
      <c r="D1075" t="s">
        <v>12</v>
      </c>
      <c r="E1075" t="s">
        <v>12</v>
      </c>
      <c r="F1075" t="s">
        <v>12</v>
      </c>
      <c r="G1075">
        <v>2</v>
      </c>
      <c r="H1075">
        <v>4</v>
      </c>
      <c r="I1075" t="s">
        <v>445</v>
      </c>
    </row>
    <row r="1076" spans="1:9" x14ac:dyDescent="0.2">
      <c r="B1076" t="s">
        <v>11</v>
      </c>
      <c r="C1076" t="s">
        <v>12</v>
      </c>
      <c r="D1076" t="s">
        <v>12</v>
      </c>
      <c r="E1076" t="s">
        <v>12</v>
      </c>
      <c r="F1076" t="s">
        <v>12</v>
      </c>
      <c r="G1076">
        <v>2</v>
      </c>
      <c r="H1076">
        <v>5</v>
      </c>
      <c r="I1076" t="s">
        <v>445</v>
      </c>
    </row>
    <row r="1077" spans="1:9" x14ac:dyDescent="0.2">
      <c r="B1077" t="s">
        <v>11</v>
      </c>
      <c r="C1077" t="s">
        <v>12</v>
      </c>
      <c r="D1077" t="s">
        <v>12</v>
      </c>
      <c r="E1077" t="s">
        <v>12</v>
      </c>
      <c r="F1077" t="s">
        <v>12</v>
      </c>
      <c r="G1077">
        <v>2</v>
      </c>
      <c r="H1077">
        <v>6</v>
      </c>
      <c r="I1077" t="s">
        <v>74</v>
      </c>
    </row>
    <row r="1078" spans="1:9" x14ac:dyDescent="0.2">
      <c r="B1078" t="s">
        <v>11</v>
      </c>
      <c r="C1078" t="s">
        <v>12</v>
      </c>
      <c r="D1078" t="s">
        <v>12</v>
      </c>
      <c r="E1078" t="s">
        <v>12</v>
      </c>
      <c r="F1078" t="s">
        <v>12</v>
      </c>
      <c r="G1078">
        <v>2</v>
      </c>
      <c r="H1078">
        <v>7</v>
      </c>
      <c r="I1078" t="s">
        <v>74</v>
      </c>
    </row>
    <row r="1079" spans="1:9" x14ac:dyDescent="0.2">
      <c r="B1079" t="s">
        <v>11</v>
      </c>
      <c r="C1079" t="s">
        <v>12</v>
      </c>
      <c r="D1079" t="s">
        <v>12</v>
      </c>
      <c r="E1079" t="s">
        <v>12</v>
      </c>
      <c r="F1079" t="s">
        <v>12</v>
      </c>
      <c r="G1079">
        <v>2</v>
      </c>
      <c r="H1079">
        <v>8</v>
      </c>
      <c r="I1079" t="s">
        <v>446</v>
      </c>
    </row>
    <row r="1080" spans="1:9" x14ac:dyDescent="0.2">
      <c r="B1080" t="s">
        <v>11</v>
      </c>
      <c r="C1080" t="s">
        <v>12</v>
      </c>
      <c r="D1080" t="s">
        <v>12</v>
      </c>
      <c r="E1080" t="s">
        <v>12</v>
      </c>
      <c r="F1080" t="s">
        <v>12</v>
      </c>
      <c r="G1080">
        <v>2</v>
      </c>
      <c r="H1080">
        <v>9</v>
      </c>
      <c r="I1080" t="s">
        <v>446</v>
      </c>
    </row>
    <row r="1081" spans="1:9" x14ac:dyDescent="0.2">
      <c r="A1081" s="22"/>
    </row>
    <row r="1082" spans="1:9" x14ac:dyDescent="0.2">
      <c r="A1082" s="22"/>
    </row>
    <row r="1083" spans="1:9" x14ac:dyDescent="0.2">
      <c r="A1083" s="22"/>
    </row>
    <row r="1084" spans="1:9" x14ac:dyDescent="0.2">
      <c r="A1084" s="22"/>
    </row>
    <row r="1085" spans="1:9" x14ac:dyDescent="0.2">
      <c r="A1085" s="22"/>
    </row>
    <row r="1086" spans="1:9" x14ac:dyDescent="0.2">
      <c r="A1086" s="22"/>
    </row>
    <row r="1087" spans="1:9" x14ac:dyDescent="0.2">
      <c r="A1087" s="22"/>
    </row>
    <row r="1088" spans="1:9" x14ac:dyDescent="0.2">
      <c r="A1088" s="22"/>
    </row>
    <row r="1089" spans="1:1" x14ac:dyDescent="0.2">
      <c r="A1089" s="22"/>
    </row>
    <row r="1090" spans="1:1" x14ac:dyDescent="0.2">
      <c r="A1090" s="22"/>
    </row>
    <row r="1091" spans="1:1" x14ac:dyDescent="0.2">
      <c r="A1091" s="22"/>
    </row>
    <row r="1092" spans="1:1" x14ac:dyDescent="0.2">
      <c r="A1092" s="22"/>
    </row>
    <row r="1093" spans="1:1" x14ac:dyDescent="0.2">
      <c r="A1093" s="22"/>
    </row>
    <row r="1094" spans="1:1" x14ac:dyDescent="0.2">
      <c r="A1094" s="22"/>
    </row>
    <row r="1095" spans="1:1" x14ac:dyDescent="0.2">
      <c r="A1095" s="22"/>
    </row>
    <row r="1096" spans="1:1" x14ac:dyDescent="0.2">
      <c r="A1096" s="22"/>
    </row>
    <row r="1097" spans="1:1" x14ac:dyDescent="0.2">
      <c r="A1097" s="22"/>
    </row>
    <row r="1098" spans="1:1" x14ac:dyDescent="0.2">
      <c r="A1098" s="22"/>
    </row>
    <row r="1099" spans="1:1" x14ac:dyDescent="0.2">
      <c r="A1099" s="22"/>
    </row>
    <row r="1100" spans="1:1" x14ac:dyDescent="0.2">
      <c r="A1100" s="22"/>
    </row>
    <row r="1101" spans="1:1" x14ac:dyDescent="0.2">
      <c r="A1101" s="22"/>
    </row>
    <row r="1102" spans="1:1" x14ac:dyDescent="0.2">
      <c r="A1102" s="22"/>
    </row>
    <row r="1103" spans="1:1" x14ac:dyDescent="0.2">
      <c r="A1103" s="22"/>
    </row>
    <row r="1104" spans="1:1" x14ac:dyDescent="0.2">
      <c r="A1104" s="22"/>
    </row>
    <row r="1105" spans="1:1" x14ac:dyDescent="0.2">
      <c r="A1105" s="22"/>
    </row>
    <row r="1106" spans="1:1" x14ac:dyDescent="0.2">
      <c r="A1106" s="22"/>
    </row>
    <row r="1107" spans="1:1" x14ac:dyDescent="0.2">
      <c r="A1107" s="22"/>
    </row>
    <row r="1108" spans="1:1" x14ac:dyDescent="0.2">
      <c r="A1108" s="22"/>
    </row>
    <row r="1109" spans="1:1" x14ac:dyDescent="0.2">
      <c r="A1109" s="22"/>
    </row>
    <row r="1110" spans="1:1" x14ac:dyDescent="0.2">
      <c r="A1110" s="22"/>
    </row>
    <row r="1111" spans="1:1" x14ac:dyDescent="0.2">
      <c r="A1111" s="22"/>
    </row>
    <row r="1112" spans="1:1" x14ac:dyDescent="0.2">
      <c r="A1112" s="22"/>
    </row>
    <row r="1113" spans="1:1" x14ac:dyDescent="0.2">
      <c r="A1113" s="22"/>
    </row>
    <row r="1114" spans="1:1" x14ac:dyDescent="0.2">
      <c r="A1114" s="22"/>
    </row>
    <row r="1115" spans="1:1" x14ac:dyDescent="0.2">
      <c r="A1115" s="22"/>
    </row>
    <row r="1116" spans="1:1" x14ac:dyDescent="0.2">
      <c r="A1116" s="22"/>
    </row>
    <row r="1117" spans="1:1" x14ac:dyDescent="0.2">
      <c r="A1117" s="22"/>
    </row>
    <row r="1118" spans="1:1" x14ac:dyDescent="0.2">
      <c r="A1118" s="22"/>
    </row>
    <row r="1119" spans="1:1" x14ac:dyDescent="0.2">
      <c r="A1119" s="22"/>
    </row>
    <row r="1120" spans="1:1" x14ac:dyDescent="0.2">
      <c r="A1120" s="22"/>
    </row>
    <row r="1121" spans="1:1" x14ac:dyDescent="0.2">
      <c r="A1121" s="22"/>
    </row>
    <row r="1122" spans="1:1" x14ac:dyDescent="0.2">
      <c r="A1122" s="22"/>
    </row>
    <row r="1123" spans="1:1" x14ac:dyDescent="0.2">
      <c r="A1123" s="22"/>
    </row>
    <row r="1124" spans="1:1" x14ac:dyDescent="0.2">
      <c r="A1124" s="22"/>
    </row>
    <row r="1125" spans="1:1" x14ac:dyDescent="0.2">
      <c r="A1125" s="22"/>
    </row>
    <row r="1126" spans="1:1" x14ac:dyDescent="0.2">
      <c r="A1126" s="22"/>
    </row>
    <row r="1127" spans="1:1" x14ac:dyDescent="0.2">
      <c r="A1127" s="22"/>
    </row>
    <row r="1128" spans="1:1" x14ac:dyDescent="0.2">
      <c r="A1128" s="22"/>
    </row>
    <row r="1129" spans="1:1" x14ac:dyDescent="0.2">
      <c r="A1129" s="22"/>
    </row>
    <row r="1130" spans="1:1" x14ac:dyDescent="0.2">
      <c r="A1130" s="22"/>
    </row>
    <row r="1131" spans="1:1" x14ac:dyDescent="0.2">
      <c r="A1131" s="22"/>
    </row>
    <row r="1132" spans="1:1" x14ac:dyDescent="0.2">
      <c r="A1132" s="22"/>
    </row>
    <row r="1133" spans="1:1" x14ac:dyDescent="0.2">
      <c r="A1133" s="22"/>
    </row>
    <row r="1134" spans="1:1" x14ac:dyDescent="0.2">
      <c r="A1134" s="22"/>
    </row>
    <row r="1135" spans="1:1" x14ac:dyDescent="0.2">
      <c r="A1135" s="22"/>
    </row>
    <row r="1136" spans="1:1" x14ac:dyDescent="0.2">
      <c r="A1136" s="22"/>
    </row>
    <row r="1137" spans="1:1" x14ac:dyDescent="0.2">
      <c r="A1137" s="22"/>
    </row>
    <row r="1138" spans="1:1" x14ac:dyDescent="0.2">
      <c r="A1138" s="22"/>
    </row>
    <row r="1139" spans="1:1" x14ac:dyDescent="0.2">
      <c r="A1139" s="22"/>
    </row>
    <row r="1140" spans="1:1" x14ac:dyDescent="0.2">
      <c r="A1140" s="22"/>
    </row>
    <row r="1141" spans="1:1" x14ac:dyDescent="0.2">
      <c r="A1141" s="22"/>
    </row>
    <row r="1142" spans="1:1" x14ac:dyDescent="0.2">
      <c r="A1142" s="22"/>
    </row>
    <row r="1143" spans="1:1" x14ac:dyDescent="0.2">
      <c r="A1143" s="22"/>
    </row>
    <row r="1144" spans="1:1" x14ac:dyDescent="0.2">
      <c r="A1144" s="22"/>
    </row>
    <row r="1145" spans="1:1" x14ac:dyDescent="0.2">
      <c r="A1145" s="22"/>
    </row>
    <row r="1146" spans="1:1" x14ac:dyDescent="0.2">
      <c r="A1146" s="22"/>
    </row>
    <row r="1147" spans="1:1" x14ac:dyDescent="0.2">
      <c r="A1147" s="22"/>
    </row>
    <row r="1148" spans="1:1" x14ac:dyDescent="0.2">
      <c r="A1148" s="22"/>
    </row>
    <row r="1149" spans="1:1" x14ac:dyDescent="0.2">
      <c r="A1149" s="22"/>
    </row>
    <row r="1150" spans="1:1" x14ac:dyDescent="0.2">
      <c r="A1150" s="22"/>
    </row>
    <row r="1151" spans="1:1" x14ac:dyDescent="0.2">
      <c r="A1151" s="22"/>
    </row>
    <row r="1152" spans="1:1" x14ac:dyDescent="0.2">
      <c r="A1152" s="22"/>
    </row>
    <row r="1153" spans="1:1" x14ac:dyDescent="0.2">
      <c r="A1153" s="22"/>
    </row>
    <row r="1154" spans="1:1" x14ac:dyDescent="0.2">
      <c r="A1154" s="22"/>
    </row>
    <row r="1155" spans="1:1" x14ac:dyDescent="0.2">
      <c r="A1155" s="22"/>
    </row>
    <row r="1156" spans="1:1" x14ac:dyDescent="0.2">
      <c r="A1156" s="22"/>
    </row>
    <row r="1157" spans="1:1" x14ac:dyDescent="0.2">
      <c r="A1157" s="22"/>
    </row>
    <row r="1158" spans="1:1" x14ac:dyDescent="0.2">
      <c r="A1158" s="22"/>
    </row>
    <row r="1159" spans="1:1" x14ac:dyDescent="0.2">
      <c r="A1159" s="22"/>
    </row>
    <row r="1160" spans="1:1" x14ac:dyDescent="0.2">
      <c r="A1160" s="22"/>
    </row>
    <row r="1161" spans="1:1" x14ac:dyDescent="0.2">
      <c r="A1161" s="22"/>
    </row>
    <row r="1162" spans="1:1" x14ac:dyDescent="0.2">
      <c r="A1162" s="22"/>
    </row>
    <row r="1163" spans="1:1" x14ac:dyDescent="0.2">
      <c r="A1163" s="22"/>
    </row>
    <row r="1164" spans="1:1" x14ac:dyDescent="0.2">
      <c r="A1164" s="22"/>
    </row>
    <row r="1165" spans="1:1" x14ac:dyDescent="0.2">
      <c r="A1165" s="22"/>
    </row>
    <row r="1166" spans="1:1" x14ac:dyDescent="0.2">
      <c r="A1166" s="22"/>
    </row>
    <row r="1167" spans="1:1" x14ac:dyDescent="0.2">
      <c r="A1167" s="22"/>
    </row>
    <row r="1168" spans="1:1" x14ac:dyDescent="0.2">
      <c r="A1168" s="22"/>
    </row>
    <row r="1169" spans="1:1" x14ac:dyDescent="0.2">
      <c r="A1169" s="22"/>
    </row>
    <row r="1170" spans="1:1" x14ac:dyDescent="0.2">
      <c r="A1170" s="22"/>
    </row>
    <row r="1171" spans="1:1" x14ac:dyDescent="0.2">
      <c r="A1171" s="22"/>
    </row>
    <row r="1172" spans="1:1" x14ac:dyDescent="0.2">
      <c r="A1172" s="22"/>
    </row>
    <row r="1173" spans="1:1" x14ac:dyDescent="0.2">
      <c r="A1173" s="22"/>
    </row>
    <row r="1174" spans="1:1" x14ac:dyDescent="0.2">
      <c r="A1174" s="22"/>
    </row>
    <row r="1175" spans="1:1" x14ac:dyDescent="0.2">
      <c r="A1175" s="22"/>
    </row>
    <row r="1176" spans="1:1" x14ac:dyDescent="0.2">
      <c r="A1176" s="22"/>
    </row>
    <row r="1177" spans="1:1" x14ac:dyDescent="0.2">
      <c r="A1177" s="22"/>
    </row>
    <row r="1178" spans="1:1" x14ac:dyDescent="0.2">
      <c r="A1178" s="22"/>
    </row>
    <row r="1179" spans="1:1" x14ac:dyDescent="0.2">
      <c r="A1179" s="22"/>
    </row>
    <row r="1180" spans="1:1" x14ac:dyDescent="0.2">
      <c r="A1180" s="22"/>
    </row>
    <row r="1181" spans="1:1" x14ac:dyDescent="0.2">
      <c r="A1181" s="22"/>
    </row>
    <row r="1182" spans="1:1" x14ac:dyDescent="0.2">
      <c r="A1182" s="22"/>
    </row>
    <row r="1183" spans="1:1" x14ac:dyDescent="0.2">
      <c r="A1183" s="22"/>
    </row>
    <row r="1184" spans="1:1" x14ac:dyDescent="0.2">
      <c r="A1184" s="22"/>
    </row>
    <row r="1185" spans="1:1" x14ac:dyDescent="0.2">
      <c r="A1185" s="22"/>
    </row>
    <row r="1186" spans="1:1" x14ac:dyDescent="0.2">
      <c r="A1186" s="22"/>
    </row>
    <row r="1187" spans="1:1" x14ac:dyDescent="0.2">
      <c r="A1187" s="22"/>
    </row>
    <row r="1188" spans="1:1" x14ac:dyDescent="0.2">
      <c r="A1188" s="22"/>
    </row>
    <row r="1189" spans="1:1" x14ac:dyDescent="0.2">
      <c r="A1189" s="22"/>
    </row>
    <row r="1190" spans="1:1" x14ac:dyDescent="0.2">
      <c r="A1190" s="22"/>
    </row>
    <row r="1191" spans="1:1" x14ac:dyDescent="0.2">
      <c r="A1191" s="22"/>
    </row>
    <row r="1192" spans="1:1" x14ac:dyDescent="0.2">
      <c r="A1192" s="22"/>
    </row>
    <row r="1193" spans="1:1" x14ac:dyDescent="0.2">
      <c r="A1193" s="22"/>
    </row>
    <row r="1194" spans="1:1" x14ac:dyDescent="0.2">
      <c r="A1194" s="22"/>
    </row>
    <row r="1195" spans="1:1" x14ac:dyDescent="0.2">
      <c r="A1195" s="22"/>
    </row>
    <row r="1196" spans="1:1" x14ac:dyDescent="0.2">
      <c r="A1196" s="22"/>
    </row>
    <row r="1197" spans="1:1" x14ac:dyDescent="0.2">
      <c r="A1197" s="22"/>
    </row>
    <row r="1198" spans="1:1" x14ac:dyDescent="0.2">
      <c r="A1198" s="22"/>
    </row>
    <row r="1199" spans="1:1" x14ac:dyDescent="0.2">
      <c r="A1199" s="22"/>
    </row>
    <row r="1200" spans="1:1" x14ac:dyDescent="0.2">
      <c r="A1200" s="22"/>
    </row>
    <row r="1201" spans="1:1" x14ac:dyDescent="0.2">
      <c r="A1201" s="22"/>
    </row>
    <row r="1202" spans="1:1" x14ac:dyDescent="0.2">
      <c r="A1202" s="22"/>
    </row>
    <row r="1203" spans="1:1" x14ac:dyDescent="0.2">
      <c r="A1203" s="22"/>
    </row>
    <row r="1204" spans="1:1" x14ac:dyDescent="0.2">
      <c r="A1204" s="22"/>
    </row>
    <row r="1205" spans="1:1" x14ac:dyDescent="0.2">
      <c r="A1205" s="22"/>
    </row>
    <row r="1206" spans="1:1" x14ac:dyDescent="0.2">
      <c r="A1206" s="22"/>
    </row>
    <row r="1207" spans="1:1" x14ac:dyDescent="0.2">
      <c r="A1207" s="22"/>
    </row>
    <row r="1208" spans="1:1" x14ac:dyDescent="0.2">
      <c r="A1208" s="22"/>
    </row>
    <row r="1209" spans="1:1" x14ac:dyDescent="0.2">
      <c r="A1209" s="22"/>
    </row>
    <row r="1210" spans="1:1" x14ac:dyDescent="0.2">
      <c r="A1210" s="22"/>
    </row>
    <row r="1211" spans="1:1" x14ac:dyDescent="0.2">
      <c r="A1211" s="22"/>
    </row>
    <row r="1212" spans="1:1" x14ac:dyDescent="0.2">
      <c r="A1212" s="22"/>
    </row>
    <row r="1213" spans="1:1" x14ac:dyDescent="0.2">
      <c r="A1213" s="22"/>
    </row>
    <row r="1214" spans="1:1" x14ac:dyDescent="0.2">
      <c r="A1214" s="22"/>
    </row>
    <row r="1215" spans="1:1" x14ac:dyDescent="0.2">
      <c r="A1215" s="22"/>
    </row>
    <row r="1216" spans="1:1" x14ac:dyDescent="0.2">
      <c r="A1216" s="22"/>
    </row>
    <row r="1217" spans="1:1" x14ac:dyDescent="0.2">
      <c r="A1217" s="22"/>
    </row>
    <row r="1218" spans="1:1" x14ac:dyDescent="0.2">
      <c r="A1218" s="22"/>
    </row>
    <row r="1219" spans="1:1" x14ac:dyDescent="0.2">
      <c r="A1219" s="22"/>
    </row>
    <row r="1220" spans="1:1" x14ac:dyDescent="0.2">
      <c r="A1220" s="22"/>
    </row>
    <row r="1221" spans="1:1" x14ac:dyDescent="0.2">
      <c r="A1221" s="22"/>
    </row>
    <row r="1222" spans="1:1" x14ac:dyDescent="0.2">
      <c r="A1222" s="22"/>
    </row>
    <row r="1223" spans="1:1" x14ac:dyDescent="0.2">
      <c r="A1223" s="22"/>
    </row>
    <row r="1224" spans="1:1" x14ac:dyDescent="0.2">
      <c r="A1224" s="22"/>
    </row>
    <row r="1225" spans="1:1" x14ac:dyDescent="0.2">
      <c r="A1225" s="22"/>
    </row>
    <row r="1226" spans="1:1" x14ac:dyDescent="0.2">
      <c r="A1226" s="22"/>
    </row>
    <row r="1227" spans="1:1" x14ac:dyDescent="0.2">
      <c r="A1227" s="22"/>
    </row>
    <row r="1228" spans="1:1" x14ac:dyDescent="0.2">
      <c r="A1228" s="22"/>
    </row>
    <row r="1229" spans="1:1" x14ac:dyDescent="0.2">
      <c r="A1229" s="22"/>
    </row>
    <row r="1230" spans="1:1" x14ac:dyDescent="0.2">
      <c r="A1230" s="22"/>
    </row>
    <row r="1231" spans="1:1" x14ac:dyDescent="0.2">
      <c r="A1231" s="22"/>
    </row>
    <row r="1232" spans="1:1" x14ac:dyDescent="0.2">
      <c r="A1232" s="22"/>
    </row>
    <row r="1233" spans="1:1" x14ac:dyDescent="0.2">
      <c r="A1233" s="22"/>
    </row>
    <row r="1234" spans="1:1" x14ac:dyDescent="0.2">
      <c r="A1234" s="22"/>
    </row>
    <row r="1235" spans="1:1" x14ac:dyDescent="0.2">
      <c r="A1235" s="22"/>
    </row>
    <row r="1236" spans="1:1" x14ac:dyDescent="0.2">
      <c r="A1236" s="22"/>
    </row>
    <row r="1237" spans="1:1" x14ac:dyDescent="0.2">
      <c r="A1237" s="22"/>
    </row>
    <row r="1238" spans="1:1" x14ac:dyDescent="0.2">
      <c r="A1238" s="22"/>
    </row>
    <row r="1239" spans="1:1" x14ac:dyDescent="0.2">
      <c r="A1239" s="22"/>
    </row>
    <row r="1240" spans="1:1" x14ac:dyDescent="0.2">
      <c r="A1240" s="22"/>
    </row>
    <row r="1241" spans="1:1" x14ac:dyDescent="0.2">
      <c r="A1241" s="22"/>
    </row>
    <row r="1242" spans="1:1" x14ac:dyDescent="0.2">
      <c r="A1242" s="22"/>
    </row>
    <row r="1243" spans="1:1" x14ac:dyDescent="0.2">
      <c r="A1243" s="22"/>
    </row>
    <row r="1244" spans="1:1" x14ac:dyDescent="0.2">
      <c r="A1244" s="22"/>
    </row>
    <row r="1245" spans="1:1" x14ac:dyDescent="0.2">
      <c r="A1245" s="22"/>
    </row>
    <row r="1246" spans="1:1" x14ac:dyDescent="0.2">
      <c r="A1246" s="22"/>
    </row>
    <row r="1247" spans="1:1" x14ac:dyDescent="0.2">
      <c r="A1247" s="22"/>
    </row>
    <row r="1248" spans="1:1" x14ac:dyDescent="0.2">
      <c r="A1248" s="22"/>
    </row>
    <row r="1249" spans="1:1" x14ac:dyDescent="0.2">
      <c r="A1249" s="22"/>
    </row>
    <row r="1250" spans="1:1" x14ac:dyDescent="0.2">
      <c r="A1250" s="22"/>
    </row>
    <row r="1251" spans="1:1" x14ac:dyDescent="0.2">
      <c r="A1251" s="22"/>
    </row>
    <row r="1252" spans="1:1" x14ac:dyDescent="0.2">
      <c r="A1252" s="22"/>
    </row>
    <row r="1253" spans="1:1" x14ac:dyDescent="0.2">
      <c r="A1253" s="22"/>
    </row>
    <row r="1254" spans="1:1" x14ac:dyDescent="0.2">
      <c r="A1254" s="22"/>
    </row>
    <row r="1255" spans="1:1" x14ac:dyDescent="0.2">
      <c r="A1255" s="22"/>
    </row>
    <row r="1256" spans="1:1" x14ac:dyDescent="0.2">
      <c r="A1256" s="22"/>
    </row>
    <row r="1257" spans="1:1" x14ac:dyDescent="0.2">
      <c r="A1257" s="22"/>
    </row>
    <row r="1258" spans="1:1" x14ac:dyDescent="0.2">
      <c r="A1258" s="22"/>
    </row>
    <row r="1259" spans="1:1" x14ac:dyDescent="0.2">
      <c r="A1259" s="22"/>
    </row>
    <row r="1260" spans="1:1" x14ac:dyDescent="0.2">
      <c r="A1260" s="22"/>
    </row>
    <row r="1261" spans="1:1" x14ac:dyDescent="0.2">
      <c r="A1261" s="22"/>
    </row>
    <row r="1262" spans="1:1" x14ac:dyDescent="0.2">
      <c r="A1262" s="22"/>
    </row>
    <row r="1263" spans="1:1" x14ac:dyDescent="0.2">
      <c r="A1263" s="22"/>
    </row>
    <row r="1264" spans="1:1" x14ac:dyDescent="0.2">
      <c r="A1264" s="22"/>
    </row>
    <row r="1265" spans="1:1" x14ac:dyDescent="0.2">
      <c r="A1265" s="22"/>
    </row>
    <row r="1266" spans="1:1" x14ac:dyDescent="0.2">
      <c r="A1266" s="22"/>
    </row>
    <row r="1267" spans="1:1" x14ac:dyDescent="0.2">
      <c r="A1267" s="22"/>
    </row>
    <row r="1268" spans="1:1" x14ac:dyDescent="0.2">
      <c r="A1268" s="22"/>
    </row>
    <row r="1269" spans="1:1" x14ac:dyDescent="0.2">
      <c r="A1269" s="22"/>
    </row>
    <row r="1270" spans="1:1" x14ac:dyDescent="0.2">
      <c r="A1270" s="22"/>
    </row>
    <row r="1271" spans="1:1" x14ac:dyDescent="0.2">
      <c r="A1271" s="22"/>
    </row>
    <row r="1272" spans="1:1" x14ac:dyDescent="0.2">
      <c r="A1272" s="22"/>
    </row>
    <row r="1273" spans="1:1" x14ac:dyDescent="0.2">
      <c r="A1273" s="22"/>
    </row>
    <row r="1274" spans="1:1" x14ac:dyDescent="0.2">
      <c r="A1274" s="22"/>
    </row>
    <row r="1275" spans="1:1" x14ac:dyDescent="0.2">
      <c r="A1275" s="22"/>
    </row>
    <row r="1276" spans="1:1" x14ac:dyDescent="0.2">
      <c r="A1276" s="22"/>
    </row>
    <row r="1277" spans="1:1" x14ac:dyDescent="0.2">
      <c r="A1277" s="22"/>
    </row>
    <row r="1278" spans="1:1" x14ac:dyDescent="0.2">
      <c r="A1278" s="22"/>
    </row>
    <row r="1279" spans="1:1" x14ac:dyDescent="0.2">
      <c r="A1279" s="22"/>
    </row>
    <row r="1280" spans="1:1" x14ac:dyDescent="0.2">
      <c r="A1280" s="22"/>
    </row>
    <row r="1281" spans="1:1" x14ac:dyDescent="0.2">
      <c r="A1281" s="22"/>
    </row>
    <row r="1282" spans="1:1" x14ac:dyDescent="0.2">
      <c r="A1282" s="22"/>
    </row>
    <row r="1283" spans="1:1" x14ac:dyDescent="0.2">
      <c r="A1283" s="22"/>
    </row>
    <row r="1284" spans="1:1" x14ac:dyDescent="0.2">
      <c r="A1284" s="22"/>
    </row>
    <row r="1285" spans="1:1" x14ac:dyDescent="0.2">
      <c r="A1285" s="22"/>
    </row>
    <row r="1286" spans="1:1" x14ac:dyDescent="0.2">
      <c r="A1286" s="22"/>
    </row>
    <row r="1287" spans="1:1" x14ac:dyDescent="0.2">
      <c r="A1287" s="22"/>
    </row>
    <row r="1288" spans="1:1" x14ac:dyDescent="0.2">
      <c r="A1288" s="22"/>
    </row>
    <row r="1289" spans="1:1" x14ac:dyDescent="0.2">
      <c r="A1289" s="22"/>
    </row>
    <row r="1290" spans="1:1" x14ac:dyDescent="0.2">
      <c r="A1290" s="22"/>
    </row>
    <row r="1291" spans="1:1" x14ac:dyDescent="0.2">
      <c r="A1291" s="22"/>
    </row>
    <row r="1292" spans="1:1" x14ac:dyDescent="0.2">
      <c r="A1292" s="22"/>
    </row>
    <row r="1293" spans="1:1" x14ac:dyDescent="0.2">
      <c r="A1293" s="22"/>
    </row>
    <row r="1294" spans="1:1" x14ac:dyDescent="0.2">
      <c r="A1294" s="22"/>
    </row>
    <row r="1295" spans="1:1" x14ac:dyDescent="0.2">
      <c r="A1295" s="22"/>
    </row>
    <row r="1296" spans="1:1" x14ac:dyDescent="0.2">
      <c r="A1296" s="22"/>
    </row>
    <row r="1297" spans="1:1" x14ac:dyDescent="0.2">
      <c r="A1297" s="22"/>
    </row>
    <row r="1298" spans="1:1" x14ac:dyDescent="0.2">
      <c r="A1298" s="22"/>
    </row>
    <row r="1299" spans="1:1" x14ac:dyDescent="0.2">
      <c r="A1299" s="22"/>
    </row>
    <row r="1300" spans="1:1" x14ac:dyDescent="0.2">
      <c r="A1300" s="22"/>
    </row>
    <row r="1301" spans="1:1" x14ac:dyDescent="0.2">
      <c r="A1301" s="22"/>
    </row>
    <row r="1302" spans="1:1" x14ac:dyDescent="0.2">
      <c r="A1302" s="22"/>
    </row>
    <row r="1303" spans="1:1" x14ac:dyDescent="0.2">
      <c r="A1303" s="22"/>
    </row>
    <row r="1304" spans="1:1" x14ac:dyDescent="0.2">
      <c r="A1304" s="22"/>
    </row>
    <row r="1305" spans="1:1" x14ac:dyDescent="0.2">
      <c r="A1305" s="22"/>
    </row>
    <row r="1306" spans="1:1" x14ac:dyDescent="0.2">
      <c r="A1306" s="22"/>
    </row>
    <row r="1307" spans="1:1" x14ac:dyDescent="0.2">
      <c r="A1307" s="22"/>
    </row>
    <row r="1308" spans="1:1" x14ac:dyDescent="0.2">
      <c r="A1308" s="22"/>
    </row>
    <row r="1309" spans="1:1" x14ac:dyDescent="0.2">
      <c r="A1309" s="22"/>
    </row>
    <row r="1310" spans="1:1" x14ac:dyDescent="0.2">
      <c r="A1310" s="22"/>
    </row>
    <row r="1311" spans="1:1" x14ac:dyDescent="0.2">
      <c r="A1311" s="22"/>
    </row>
    <row r="1312" spans="1:1" x14ac:dyDescent="0.2">
      <c r="A1312" s="22"/>
    </row>
    <row r="1313" spans="1:1" x14ac:dyDescent="0.2">
      <c r="A1313" s="22"/>
    </row>
    <row r="1314" spans="1:1" x14ac:dyDescent="0.2">
      <c r="A1314" s="22"/>
    </row>
    <row r="1315" spans="1:1" x14ac:dyDescent="0.2">
      <c r="A1315" s="22"/>
    </row>
    <row r="1316" spans="1:1" x14ac:dyDescent="0.2">
      <c r="A1316" s="22"/>
    </row>
    <row r="1317" spans="1:1" x14ac:dyDescent="0.2">
      <c r="A1317" s="22"/>
    </row>
    <row r="1318" spans="1:1" x14ac:dyDescent="0.2">
      <c r="A1318" s="22"/>
    </row>
    <row r="1319" spans="1:1" x14ac:dyDescent="0.2">
      <c r="A1319" s="22"/>
    </row>
    <row r="1320" spans="1:1" x14ac:dyDescent="0.2">
      <c r="A1320" s="22"/>
    </row>
    <row r="1321" spans="1:1" x14ac:dyDescent="0.2">
      <c r="A1321" s="22"/>
    </row>
    <row r="1322" spans="1:1" x14ac:dyDescent="0.2">
      <c r="A1322" s="22"/>
    </row>
    <row r="1323" spans="1:1" x14ac:dyDescent="0.2">
      <c r="A1323" s="22"/>
    </row>
    <row r="1324" spans="1:1" x14ac:dyDescent="0.2">
      <c r="A1324" s="22"/>
    </row>
    <row r="1325" spans="1:1" x14ac:dyDescent="0.2">
      <c r="A1325" s="22"/>
    </row>
    <row r="1326" spans="1:1" x14ac:dyDescent="0.2">
      <c r="A1326" s="22"/>
    </row>
    <row r="1327" spans="1:1" x14ac:dyDescent="0.2">
      <c r="A1327" s="22"/>
    </row>
    <row r="1328" spans="1:1" x14ac:dyDescent="0.2">
      <c r="A1328" s="22"/>
    </row>
    <row r="1329" spans="1:1" x14ac:dyDescent="0.2">
      <c r="A1329" s="22"/>
    </row>
    <row r="1330" spans="1:1" x14ac:dyDescent="0.2">
      <c r="A1330" s="22"/>
    </row>
    <row r="1331" spans="1:1" x14ac:dyDescent="0.2">
      <c r="A1331" s="22"/>
    </row>
    <row r="1332" spans="1:1" x14ac:dyDescent="0.2">
      <c r="A1332" s="22"/>
    </row>
    <row r="1333" spans="1:1" x14ac:dyDescent="0.2">
      <c r="A1333" s="22"/>
    </row>
    <row r="1334" spans="1:1" x14ac:dyDescent="0.2">
      <c r="A1334" s="22"/>
    </row>
    <row r="1335" spans="1:1" x14ac:dyDescent="0.2">
      <c r="A1335" s="22"/>
    </row>
    <row r="1336" spans="1:1" x14ac:dyDescent="0.2">
      <c r="A1336" s="22"/>
    </row>
    <row r="1337" spans="1:1" x14ac:dyDescent="0.2">
      <c r="A1337" s="22"/>
    </row>
    <row r="1338" spans="1:1" x14ac:dyDescent="0.2">
      <c r="A1338" s="22"/>
    </row>
    <row r="1339" spans="1:1" x14ac:dyDescent="0.2">
      <c r="A1339" s="22"/>
    </row>
    <row r="1340" spans="1:1" x14ac:dyDescent="0.2">
      <c r="A1340" s="22"/>
    </row>
    <row r="1341" spans="1:1" x14ac:dyDescent="0.2">
      <c r="A1341" s="22"/>
    </row>
    <row r="1342" spans="1:1" x14ac:dyDescent="0.2">
      <c r="A1342" s="22"/>
    </row>
    <row r="1343" spans="1:1" x14ac:dyDescent="0.2">
      <c r="A1343" s="22"/>
    </row>
    <row r="1344" spans="1:1" x14ac:dyDescent="0.2">
      <c r="A1344" s="22"/>
    </row>
    <row r="1345" spans="1:1" x14ac:dyDescent="0.2">
      <c r="A1345" s="22"/>
    </row>
    <row r="1346" spans="1:1" x14ac:dyDescent="0.2">
      <c r="A1346" s="22"/>
    </row>
    <row r="1347" spans="1:1" x14ac:dyDescent="0.2">
      <c r="A1347" s="22"/>
    </row>
    <row r="1348" spans="1:1" x14ac:dyDescent="0.2">
      <c r="A1348" s="22"/>
    </row>
    <row r="1349" spans="1:1" x14ac:dyDescent="0.2">
      <c r="A1349" s="22"/>
    </row>
    <row r="1350" spans="1:1" x14ac:dyDescent="0.2">
      <c r="A1350" s="22"/>
    </row>
    <row r="1351" spans="1:1" x14ac:dyDescent="0.2">
      <c r="A1351" s="22"/>
    </row>
    <row r="1352" spans="1:1" x14ac:dyDescent="0.2">
      <c r="A1352" s="22"/>
    </row>
    <row r="1353" spans="1:1" x14ac:dyDescent="0.2">
      <c r="A1353" s="22"/>
    </row>
    <row r="1354" spans="1:1" x14ac:dyDescent="0.2">
      <c r="A1354" s="22"/>
    </row>
    <row r="1355" spans="1:1" x14ac:dyDescent="0.2">
      <c r="A1355" s="22"/>
    </row>
    <row r="1356" spans="1:1" x14ac:dyDescent="0.2">
      <c r="A1356" s="22"/>
    </row>
    <row r="1357" spans="1:1" x14ac:dyDescent="0.2">
      <c r="A1357" s="22"/>
    </row>
    <row r="1358" spans="1:1" x14ac:dyDescent="0.2">
      <c r="A1358" s="22"/>
    </row>
    <row r="1359" spans="1:1" x14ac:dyDescent="0.2">
      <c r="A1359" s="22"/>
    </row>
    <row r="1360" spans="1:1" x14ac:dyDescent="0.2">
      <c r="A1360" s="22"/>
    </row>
    <row r="1361" spans="1:1" x14ac:dyDescent="0.2">
      <c r="A1361" s="22"/>
    </row>
    <row r="1362" spans="1:1" x14ac:dyDescent="0.2">
      <c r="A1362" s="22"/>
    </row>
    <row r="1363" spans="1:1" x14ac:dyDescent="0.2">
      <c r="A1363" s="22"/>
    </row>
    <row r="1364" spans="1:1" x14ac:dyDescent="0.2">
      <c r="A1364" s="22"/>
    </row>
    <row r="1365" spans="1:1" x14ac:dyDescent="0.2">
      <c r="A1365" s="22"/>
    </row>
    <row r="1366" spans="1:1" x14ac:dyDescent="0.2">
      <c r="A1366" s="22"/>
    </row>
    <row r="1367" spans="1:1" x14ac:dyDescent="0.2">
      <c r="A1367" s="22"/>
    </row>
    <row r="1368" spans="1:1" x14ac:dyDescent="0.2">
      <c r="A1368" s="22"/>
    </row>
    <row r="1369" spans="1:1" x14ac:dyDescent="0.2">
      <c r="A1369" s="22"/>
    </row>
    <row r="1370" spans="1:1" x14ac:dyDescent="0.2">
      <c r="A1370" s="22"/>
    </row>
    <row r="1371" spans="1:1" x14ac:dyDescent="0.2">
      <c r="A1371" s="22"/>
    </row>
    <row r="1372" spans="1:1" x14ac:dyDescent="0.2">
      <c r="A1372" s="22"/>
    </row>
    <row r="1373" spans="1:1" x14ac:dyDescent="0.2">
      <c r="A1373" s="22"/>
    </row>
    <row r="1374" spans="1:1" x14ac:dyDescent="0.2">
      <c r="A1374" s="22"/>
    </row>
    <row r="1375" spans="1:1" x14ac:dyDescent="0.2">
      <c r="A1375" s="22"/>
    </row>
    <row r="1376" spans="1:1" x14ac:dyDescent="0.2">
      <c r="A1376" s="22"/>
    </row>
    <row r="1377" spans="1:1" x14ac:dyDescent="0.2">
      <c r="A1377" s="22"/>
    </row>
    <row r="1378" spans="1:1" x14ac:dyDescent="0.2">
      <c r="A1378" s="22"/>
    </row>
    <row r="1379" spans="1:1" x14ac:dyDescent="0.2">
      <c r="A1379" s="22"/>
    </row>
    <row r="1380" spans="1:1" x14ac:dyDescent="0.2">
      <c r="A1380" s="22"/>
    </row>
    <row r="1381" spans="1:1" x14ac:dyDescent="0.2">
      <c r="A1381" s="22"/>
    </row>
    <row r="1382" spans="1:1" x14ac:dyDescent="0.2">
      <c r="A1382" s="22"/>
    </row>
    <row r="1383" spans="1:1" x14ac:dyDescent="0.2">
      <c r="A1383" s="22"/>
    </row>
    <row r="1384" spans="1:1" x14ac:dyDescent="0.2">
      <c r="A1384" s="22"/>
    </row>
    <row r="1385" spans="1:1" x14ac:dyDescent="0.2">
      <c r="A1385" s="22"/>
    </row>
    <row r="1386" spans="1:1" x14ac:dyDescent="0.2">
      <c r="A1386" s="22"/>
    </row>
    <row r="1387" spans="1:1" x14ac:dyDescent="0.2">
      <c r="A1387" s="22"/>
    </row>
    <row r="1388" spans="1:1" x14ac:dyDescent="0.2">
      <c r="A1388" s="22"/>
    </row>
    <row r="1389" spans="1:1" x14ac:dyDescent="0.2">
      <c r="A1389" s="22"/>
    </row>
    <row r="1390" spans="1:1" x14ac:dyDescent="0.2">
      <c r="A1390" s="22"/>
    </row>
    <row r="1391" spans="1:1" x14ac:dyDescent="0.2">
      <c r="A1391" s="22"/>
    </row>
    <row r="1392" spans="1:1" x14ac:dyDescent="0.2">
      <c r="A1392" s="22"/>
    </row>
    <row r="1393" spans="1:1" x14ac:dyDescent="0.2">
      <c r="A1393" s="22"/>
    </row>
    <row r="1394" spans="1:1" x14ac:dyDescent="0.2">
      <c r="A1394" s="22"/>
    </row>
    <row r="1395" spans="1:1" x14ac:dyDescent="0.2">
      <c r="A1395" s="22"/>
    </row>
    <row r="1396" spans="1:1" x14ac:dyDescent="0.2">
      <c r="A1396" s="22"/>
    </row>
    <row r="1397" spans="1:1" x14ac:dyDescent="0.2">
      <c r="A1397" s="22"/>
    </row>
    <row r="1398" spans="1:1" x14ac:dyDescent="0.2">
      <c r="A1398" s="22"/>
    </row>
    <row r="1399" spans="1:1" x14ac:dyDescent="0.2">
      <c r="A1399" s="22"/>
    </row>
    <row r="1400" spans="1:1" x14ac:dyDescent="0.2">
      <c r="A1400" s="22"/>
    </row>
    <row r="1401" spans="1:1" x14ac:dyDescent="0.2">
      <c r="A1401" s="22"/>
    </row>
    <row r="1402" spans="1:1" x14ac:dyDescent="0.2">
      <c r="A1402" s="22"/>
    </row>
    <row r="1403" spans="1:1" x14ac:dyDescent="0.2">
      <c r="A1403" s="22"/>
    </row>
    <row r="1404" spans="1:1" x14ac:dyDescent="0.2">
      <c r="A1404" s="22"/>
    </row>
    <row r="1405" spans="1:1" x14ac:dyDescent="0.2">
      <c r="A1405" s="22"/>
    </row>
    <row r="1406" spans="1:1" x14ac:dyDescent="0.2">
      <c r="A1406" s="22"/>
    </row>
    <row r="1407" spans="1:1" x14ac:dyDescent="0.2">
      <c r="A1407" s="22"/>
    </row>
    <row r="1408" spans="1:1" x14ac:dyDescent="0.2">
      <c r="A1408" s="22"/>
    </row>
    <row r="1409" spans="1:1" x14ac:dyDescent="0.2">
      <c r="A1409" s="22"/>
    </row>
    <row r="1410" spans="1:1" x14ac:dyDescent="0.2">
      <c r="A1410" s="22"/>
    </row>
    <row r="1411" spans="1:1" x14ac:dyDescent="0.2">
      <c r="A1411" s="22"/>
    </row>
    <row r="1412" spans="1:1" x14ac:dyDescent="0.2">
      <c r="A1412" s="22"/>
    </row>
    <row r="1413" spans="1:1" x14ac:dyDescent="0.2">
      <c r="A1413" s="22"/>
    </row>
    <row r="1414" spans="1:1" x14ac:dyDescent="0.2">
      <c r="A1414" s="22"/>
    </row>
    <row r="1415" spans="1:1" x14ac:dyDescent="0.2">
      <c r="A1415" s="22"/>
    </row>
    <row r="1416" spans="1:1" x14ac:dyDescent="0.2">
      <c r="A1416" s="22"/>
    </row>
    <row r="1417" spans="1:1" x14ac:dyDescent="0.2">
      <c r="A1417" s="22"/>
    </row>
    <row r="1418" spans="1:1" x14ac:dyDescent="0.2">
      <c r="A1418" s="22"/>
    </row>
    <row r="1419" spans="1:1" x14ac:dyDescent="0.2">
      <c r="A1419" s="22"/>
    </row>
    <row r="1420" spans="1:1" x14ac:dyDescent="0.2">
      <c r="A1420" s="22"/>
    </row>
    <row r="1421" spans="1:1" x14ac:dyDescent="0.2">
      <c r="A1421" s="22"/>
    </row>
    <row r="1422" spans="1:1" x14ac:dyDescent="0.2">
      <c r="A1422" s="22"/>
    </row>
    <row r="1423" spans="1:1" x14ac:dyDescent="0.2">
      <c r="A1423" s="22"/>
    </row>
    <row r="1424" spans="1:1" x14ac:dyDescent="0.2">
      <c r="A1424" s="22"/>
    </row>
    <row r="1425" spans="1:1" x14ac:dyDescent="0.2">
      <c r="A1425" s="22"/>
    </row>
    <row r="1426" spans="1:1" x14ac:dyDescent="0.2">
      <c r="A1426" s="22"/>
    </row>
    <row r="1427" spans="1:1" x14ac:dyDescent="0.2">
      <c r="A1427" s="22"/>
    </row>
    <row r="1428" spans="1:1" x14ac:dyDescent="0.2">
      <c r="A1428" s="22"/>
    </row>
    <row r="1429" spans="1:1" x14ac:dyDescent="0.2">
      <c r="A1429" s="22"/>
    </row>
    <row r="1430" spans="1:1" x14ac:dyDescent="0.2">
      <c r="A1430" s="22"/>
    </row>
    <row r="1431" spans="1:1" x14ac:dyDescent="0.2">
      <c r="A1431" s="22"/>
    </row>
    <row r="1432" spans="1:1" x14ac:dyDescent="0.2">
      <c r="A1432" s="22"/>
    </row>
    <row r="1433" spans="1:1" x14ac:dyDescent="0.2">
      <c r="A1433" s="22"/>
    </row>
    <row r="1434" spans="1:1" x14ac:dyDescent="0.2">
      <c r="A1434" s="22"/>
    </row>
    <row r="1435" spans="1:1" x14ac:dyDescent="0.2">
      <c r="A1435" s="22"/>
    </row>
    <row r="1436" spans="1:1" x14ac:dyDescent="0.2">
      <c r="A1436" s="22"/>
    </row>
    <row r="1437" spans="1:1" x14ac:dyDescent="0.2">
      <c r="A1437" s="22"/>
    </row>
    <row r="1438" spans="1:1" x14ac:dyDescent="0.2">
      <c r="A1438" s="22"/>
    </row>
    <row r="1439" spans="1:1" x14ac:dyDescent="0.2">
      <c r="A1439" s="22"/>
    </row>
    <row r="1440" spans="1:1" x14ac:dyDescent="0.2">
      <c r="A1440" s="22"/>
    </row>
    <row r="1441" spans="1:1" x14ac:dyDescent="0.2">
      <c r="A1441" s="22"/>
    </row>
    <row r="1442" spans="1:1" x14ac:dyDescent="0.2">
      <c r="A1442" s="22"/>
    </row>
    <row r="1443" spans="1:1" x14ac:dyDescent="0.2">
      <c r="A1443" s="22"/>
    </row>
    <row r="1444" spans="1:1" x14ac:dyDescent="0.2">
      <c r="A1444" s="22"/>
    </row>
    <row r="1445" spans="1:1" x14ac:dyDescent="0.2">
      <c r="A1445" s="22"/>
    </row>
    <row r="1446" spans="1:1" x14ac:dyDescent="0.2">
      <c r="A1446" s="22"/>
    </row>
    <row r="1447" spans="1:1" x14ac:dyDescent="0.2">
      <c r="A1447" s="22"/>
    </row>
    <row r="1448" spans="1:1" x14ac:dyDescent="0.2">
      <c r="A1448" s="22"/>
    </row>
    <row r="1449" spans="1:1" x14ac:dyDescent="0.2">
      <c r="A1449" s="22"/>
    </row>
    <row r="1450" spans="1:1" x14ac:dyDescent="0.2">
      <c r="A1450" s="22"/>
    </row>
    <row r="1451" spans="1:1" x14ac:dyDescent="0.2">
      <c r="A1451" s="22"/>
    </row>
    <row r="1452" spans="1:1" x14ac:dyDescent="0.2">
      <c r="A1452" s="22"/>
    </row>
    <row r="1453" spans="1:1" x14ac:dyDescent="0.2">
      <c r="A1453" s="22"/>
    </row>
    <row r="1454" spans="1:1" x14ac:dyDescent="0.2">
      <c r="A1454" s="22"/>
    </row>
    <row r="1455" spans="1:1" x14ac:dyDescent="0.2">
      <c r="A1455" s="22"/>
    </row>
    <row r="1456" spans="1:1" x14ac:dyDescent="0.2">
      <c r="A1456" s="22"/>
    </row>
    <row r="1457" spans="1:1" x14ac:dyDescent="0.2">
      <c r="A1457" s="22"/>
    </row>
    <row r="1458" spans="1:1" x14ac:dyDescent="0.2">
      <c r="A1458" s="22"/>
    </row>
    <row r="1459" spans="1:1" x14ac:dyDescent="0.2">
      <c r="A1459" s="22"/>
    </row>
    <row r="1460" spans="1:1" x14ac:dyDescent="0.2">
      <c r="A1460" s="22"/>
    </row>
    <row r="1461" spans="1:1" x14ac:dyDescent="0.2">
      <c r="A1461" s="22"/>
    </row>
    <row r="1462" spans="1:1" x14ac:dyDescent="0.2">
      <c r="A1462" s="22"/>
    </row>
    <row r="1463" spans="1:1" x14ac:dyDescent="0.2">
      <c r="A1463" s="22"/>
    </row>
    <row r="1464" spans="1:1" x14ac:dyDescent="0.2">
      <c r="A1464" s="22"/>
    </row>
    <row r="1465" spans="1:1" x14ac:dyDescent="0.2">
      <c r="A1465" s="22"/>
    </row>
    <row r="1466" spans="1:1" x14ac:dyDescent="0.2">
      <c r="A1466" s="22"/>
    </row>
    <row r="1467" spans="1:1" x14ac:dyDescent="0.2">
      <c r="A1467" s="22"/>
    </row>
    <row r="1468" spans="1:1" x14ac:dyDescent="0.2">
      <c r="A1468" s="22"/>
    </row>
    <row r="1469" spans="1:1" x14ac:dyDescent="0.2">
      <c r="A1469" s="22"/>
    </row>
    <row r="1470" spans="1:1" x14ac:dyDescent="0.2">
      <c r="A1470" s="22"/>
    </row>
    <row r="1471" spans="1:1" x14ac:dyDescent="0.2">
      <c r="A1471" s="22"/>
    </row>
    <row r="1472" spans="1:1" x14ac:dyDescent="0.2">
      <c r="A1472" s="22"/>
    </row>
    <row r="1473" spans="1:1" x14ac:dyDescent="0.2">
      <c r="A1473" s="22"/>
    </row>
    <row r="1474" spans="1:1" x14ac:dyDescent="0.2">
      <c r="A1474" s="22"/>
    </row>
    <row r="1475" spans="1:1" x14ac:dyDescent="0.2">
      <c r="A1475" s="22"/>
    </row>
    <row r="1476" spans="1:1" x14ac:dyDescent="0.2">
      <c r="A1476" s="22"/>
    </row>
    <row r="1477" spans="1:1" x14ac:dyDescent="0.2">
      <c r="A1477" s="22"/>
    </row>
    <row r="1478" spans="1:1" x14ac:dyDescent="0.2">
      <c r="A1478" s="22"/>
    </row>
    <row r="1479" spans="1:1" x14ac:dyDescent="0.2">
      <c r="A1479" s="22"/>
    </row>
    <row r="1480" spans="1:1" x14ac:dyDescent="0.2">
      <c r="A1480" s="22"/>
    </row>
    <row r="1481" spans="1:1" x14ac:dyDescent="0.2">
      <c r="A1481" s="22"/>
    </row>
    <row r="1482" spans="1:1" x14ac:dyDescent="0.2">
      <c r="A1482" s="22"/>
    </row>
    <row r="1483" spans="1:1" x14ac:dyDescent="0.2">
      <c r="A1483" s="22"/>
    </row>
    <row r="1484" spans="1:1" x14ac:dyDescent="0.2">
      <c r="A1484" s="22"/>
    </row>
    <row r="1485" spans="1:1" x14ac:dyDescent="0.2">
      <c r="A1485" s="22"/>
    </row>
    <row r="1486" spans="1:1" x14ac:dyDescent="0.2">
      <c r="A1486" s="22"/>
    </row>
    <row r="1487" spans="1:1" x14ac:dyDescent="0.2">
      <c r="A1487" s="22"/>
    </row>
    <row r="1488" spans="1:1" x14ac:dyDescent="0.2">
      <c r="A1488" s="22"/>
    </row>
    <row r="1489" spans="1:1" x14ac:dyDescent="0.2">
      <c r="A1489" s="22"/>
    </row>
    <row r="1490" spans="1:1" x14ac:dyDescent="0.2">
      <c r="A1490" s="22"/>
    </row>
    <row r="1491" spans="1:1" x14ac:dyDescent="0.2">
      <c r="A1491" s="22"/>
    </row>
    <row r="1492" spans="1:1" x14ac:dyDescent="0.2">
      <c r="A1492" s="22"/>
    </row>
    <row r="1493" spans="1:1" x14ac:dyDescent="0.2">
      <c r="A1493" s="22"/>
    </row>
    <row r="1494" spans="1:1" x14ac:dyDescent="0.2">
      <c r="A1494" s="22"/>
    </row>
    <row r="1495" spans="1:1" x14ac:dyDescent="0.2">
      <c r="A1495" s="22"/>
    </row>
    <row r="1496" spans="1:1" x14ac:dyDescent="0.2">
      <c r="A1496" s="22"/>
    </row>
    <row r="1497" spans="1:1" x14ac:dyDescent="0.2">
      <c r="A1497" s="22"/>
    </row>
    <row r="1498" spans="1:1" x14ac:dyDescent="0.2">
      <c r="A1498" s="22"/>
    </row>
    <row r="1499" spans="1:1" x14ac:dyDescent="0.2">
      <c r="A1499" s="22"/>
    </row>
    <row r="1500" spans="1:1" x14ac:dyDescent="0.2">
      <c r="A1500" s="22"/>
    </row>
    <row r="1501" spans="1:1" x14ac:dyDescent="0.2">
      <c r="A1501" s="22"/>
    </row>
    <row r="1502" spans="1:1" x14ac:dyDescent="0.2">
      <c r="A1502" s="22"/>
    </row>
    <row r="1503" spans="1:1" x14ac:dyDescent="0.2">
      <c r="A1503" s="22"/>
    </row>
    <row r="1504" spans="1:1" x14ac:dyDescent="0.2">
      <c r="A1504" s="22"/>
    </row>
    <row r="1505" spans="1:1" x14ac:dyDescent="0.2">
      <c r="A1505" s="22"/>
    </row>
    <row r="1506" spans="1:1" x14ac:dyDescent="0.2">
      <c r="A1506" s="22"/>
    </row>
    <row r="1507" spans="1:1" x14ac:dyDescent="0.2">
      <c r="A1507" s="22"/>
    </row>
    <row r="1508" spans="1:1" x14ac:dyDescent="0.2">
      <c r="A1508" s="22"/>
    </row>
    <row r="1509" spans="1:1" x14ac:dyDescent="0.2">
      <c r="A1509" s="22"/>
    </row>
    <row r="1510" spans="1:1" x14ac:dyDescent="0.2">
      <c r="A1510" s="22"/>
    </row>
    <row r="1511" spans="1:1" x14ac:dyDescent="0.2">
      <c r="A1511" s="22"/>
    </row>
    <row r="1512" spans="1:1" x14ac:dyDescent="0.2">
      <c r="A1512" s="22"/>
    </row>
    <row r="1513" spans="1:1" x14ac:dyDescent="0.2">
      <c r="A1513" s="22"/>
    </row>
    <row r="1514" spans="1:1" x14ac:dyDescent="0.2">
      <c r="A1514" s="22"/>
    </row>
    <row r="1515" spans="1:1" x14ac:dyDescent="0.2">
      <c r="A1515" s="22"/>
    </row>
    <row r="1516" spans="1:1" x14ac:dyDescent="0.2">
      <c r="A1516" s="22"/>
    </row>
    <row r="1517" spans="1:1" x14ac:dyDescent="0.2">
      <c r="A1517" s="22"/>
    </row>
    <row r="1518" spans="1:1" x14ac:dyDescent="0.2">
      <c r="A1518" s="22"/>
    </row>
    <row r="1519" spans="1:1" x14ac:dyDescent="0.2">
      <c r="A1519" s="22"/>
    </row>
    <row r="1520" spans="1:1" x14ac:dyDescent="0.2">
      <c r="A1520" s="22"/>
    </row>
    <row r="1521" spans="1:1" x14ac:dyDescent="0.2">
      <c r="A1521" s="22"/>
    </row>
    <row r="1522" spans="1:1" x14ac:dyDescent="0.2">
      <c r="A1522" s="22"/>
    </row>
    <row r="1523" spans="1:1" x14ac:dyDescent="0.2">
      <c r="A1523" s="22"/>
    </row>
    <row r="1524" spans="1:1" x14ac:dyDescent="0.2">
      <c r="A1524" s="22"/>
    </row>
    <row r="1525" spans="1:1" x14ac:dyDescent="0.2">
      <c r="A1525" s="22"/>
    </row>
    <row r="1526" spans="1:1" x14ac:dyDescent="0.2">
      <c r="A1526" s="22"/>
    </row>
    <row r="1527" spans="1:1" x14ac:dyDescent="0.2">
      <c r="A1527" s="22"/>
    </row>
    <row r="1528" spans="1:1" x14ac:dyDescent="0.2">
      <c r="A1528" s="22"/>
    </row>
    <row r="1529" spans="1:1" x14ac:dyDescent="0.2">
      <c r="A1529" s="22"/>
    </row>
    <row r="1530" spans="1:1" x14ac:dyDescent="0.2">
      <c r="A1530" s="22"/>
    </row>
    <row r="1531" spans="1:1" x14ac:dyDescent="0.2">
      <c r="A1531" s="22"/>
    </row>
    <row r="1532" spans="1:1" x14ac:dyDescent="0.2">
      <c r="A1532" s="22"/>
    </row>
    <row r="1533" spans="1:1" x14ac:dyDescent="0.2">
      <c r="A1533" s="22"/>
    </row>
    <row r="1534" spans="1:1" x14ac:dyDescent="0.2">
      <c r="A1534" s="22"/>
    </row>
    <row r="1535" spans="1:1" x14ac:dyDescent="0.2">
      <c r="A1535" s="22"/>
    </row>
    <row r="1536" spans="1:1" x14ac:dyDescent="0.2">
      <c r="A1536" s="22"/>
    </row>
    <row r="1537" spans="1:1" x14ac:dyDescent="0.2">
      <c r="A1537" s="22"/>
    </row>
    <row r="1538" spans="1:1" x14ac:dyDescent="0.2">
      <c r="A1538" s="22"/>
    </row>
    <row r="1539" spans="1:1" x14ac:dyDescent="0.2">
      <c r="A1539" s="22"/>
    </row>
    <row r="1540" spans="1:1" x14ac:dyDescent="0.2">
      <c r="A1540" s="22"/>
    </row>
    <row r="1541" spans="1:1" x14ac:dyDescent="0.2">
      <c r="A1541" s="22"/>
    </row>
    <row r="1542" spans="1:1" x14ac:dyDescent="0.2">
      <c r="A1542" s="22"/>
    </row>
    <row r="1543" spans="1:1" x14ac:dyDescent="0.2">
      <c r="A1543" s="22"/>
    </row>
    <row r="1544" spans="1:1" x14ac:dyDescent="0.2">
      <c r="A1544" s="22"/>
    </row>
    <row r="1545" spans="1:1" x14ac:dyDescent="0.2">
      <c r="A1545" s="22"/>
    </row>
    <row r="1546" spans="1:1" x14ac:dyDescent="0.2">
      <c r="A1546" s="22"/>
    </row>
    <row r="1547" spans="1:1" x14ac:dyDescent="0.2">
      <c r="A1547" s="22"/>
    </row>
    <row r="1548" spans="1:1" x14ac:dyDescent="0.2">
      <c r="A1548" s="22"/>
    </row>
    <row r="1549" spans="1:1" x14ac:dyDescent="0.2">
      <c r="A1549" s="22"/>
    </row>
    <row r="1550" spans="1:1" x14ac:dyDescent="0.2">
      <c r="A1550" s="22"/>
    </row>
    <row r="1551" spans="1:1" x14ac:dyDescent="0.2">
      <c r="A1551" s="22"/>
    </row>
    <row r="1552" spans="1:1" x14ac:dyDescent="0.2">
      <c r="A1552" s="22"/>
    </row>
    <row r="1553" spans="1:1" x14ac:dyDescent="0.2">
      <c r="A1553" s="22"/>
    </row>
    <row r="1554" spans="1:1" x14ac:dyDescent="0.2">
      <c r="A1554" s="22"/>
    </row>
    <row r="1555" spans="1:1" x14ac:dyDescent="0.2">
      <c r="A1555" s="22"/>
    </row>
    <row r="1556" spans="1:1" x14ac:dyDescent="0.2">
      <c r="A1556" s="22"/>
    </row>
    <row r="1557" spans="1:1" x14ac:dyDescent="0.2">
      <c r="A1557" s="22"/>
    </row>
    <row r="1558" spans="1:1" x14ac:dyDescent="0.2">
      <c r="A1558" s="22"/>
    </row>
    <row r="1559" spans="1:1" x14ac:dyDescent="0.2">
      <c r="A1559" s="22"/>
    </row>
    <row r="1560" spans="1:1" x14ac:dyDescent="0.2">
      <c r="A1560" s="22"/>
    </row>
    <row r="1561" spans="1:1" x14ac:dyDescent="0.2">
      <c r="A1561" s="22"/>
    </row>
    <row r="1562" spans="1:1" x14ac:dyDescent="0.2">
      <c r="A1562" s="22"/>
    </row>
    <row r="1563" spans="1:1" x14ac:dyDescent="0.2">
      <c r="A1563" s="22"/>
    </row>
    <row r="1564" spans="1:1" x14ac:dyDescent="0.2">
      <c r="A1564" s="22"/>
    </row>
    <row r="1565" spans="1:1" x14ac:dyDescent="0.2">
      <c r="A1565" s="22"/>
    </row>
    <row r="1566" spans="1:1" x14ac:dyDescent="0.2">
      <c r="A1566" s="22"/>
    </row>
    <row r="1567" spans="1:1" x14ac:dyDescent="0.2">
      <c r="A1567" s="22"/>
    </row>
    <row r="1568" spans="1:1" x14ac:dyDescent="0.2">
      <c r="A1568" s="22"/>
    </row>
    <row r="1569" spans="1:1" x14ac:dyDescent="0.2">
      <c r="A1569" s="22"/>
    </row>
    <row r="1570" spans="1:1" x14ac:dyDescent="0.2">
      <c r="A1570" s="22"/>
    </row>
    <row r="1571" spans="1:1" x14ac:dyDescent="0.2">
      <c r="A1571" s="22"/>
    </row>
    <row r="1572" spans="1:1" x14ac:dyDescent="0.2">
      <c r="A1572" s="22"/>
    </row>
    <row r="1573" spans="1:1" x14ac:dyDescent="0.2">
      <c r="A1573" s="22"/>
    </row>
    <row r="1574" spans="1:1" x14ac:dyDescent="0.2">
      <c r="A1574" s="22"/>
    </row>
    <row r="1575" spans="1:1" x14ac:dyDescent="0.2">
      <c r="A1575" s="22"/>
    </row>
    <row r="1576" spans="1:1" x14ac:dyDescent="0.2">
      <c r="A1576" s="22"/>
    </row>
    <row r="1577" spans="1:1" x14ac:dyDescent="0.2">
      <c r="A1577" s="22"/>
    </row>
    <row r="1578" spans="1:1" x14ac:dyDescent="0.2">
      <c r="A1578" s="22"/>
    </row>
    <row r="1579" spans="1:1" x14ac:dyDescent="0.2">
      <c r="A1579" s="22"/>
    </row>
    <row r="1580" spans="1:1" x14ac:dyDescent="0.2">
      <c r="A1580" s="22"/>
    </row>
    <row r="1581" spans="1:1" x14ac:dyDescent="0.2">
      <c r="A1581" s="22"/>
    </row>
    <row r="1582" spans="1:1" x14ac:dyDescent="0.2">
      <c r="A1582" s="22"/>
    </row>
    <row r="1583" spans="1:1" x14ac:dyDescent="0.2">
      <c r="A1583" s="22"/>
    </row>
    <row r="1584" spans="1:1" x14ac:dyDescent="0.2">
      <c r="A1584" s="22"/>
    </row>
    <row r="1585" spans="1:1" x14ac:dyDescent="0.2">
      <c r="A1585" s="22"/>
    </row>
    <row r="1586" spans="1:1" x14ac:dyDescent="0.2">
      <c r="A1586" s="22"/>
    </row>
    <row r="1587" spans="1:1" x14ac:dyDescent="0.2">
      <c r="A1587" s="22"/>
    </row>
    <row r="1588" spans="1:1" x14ac:dyDescent="0.2">
      <c r="A1588" s="22"/>
    </row>
    <row r="1589" spans="1:1" x14ac:dyDescent="0.2">
      <c r="A1589" s="22"/>
    </row>
    <row r="1590" spans="1:1" x14ac:dyDescent="0.2">
      <c r="A1590" s="22"/>
    </row>
    <row r="1591" spans="1:1" x14ac:dyDescent="0.2">
      <c r="A1591" s="22"/>
    </row>
    <row r="1592" spans="1:1" x14ac:dyDescent="0.2">
      <c r="A1592" s="22"/>
    </row>
    <row r="1593" spans="1:1" x14ac:dyDescent="0.2">
      <c r="A1593" s="22"/>
    </row>
    <row r="1594" spans="1:1" x14ac:dyDescent="0.2">
      <c r="A1594" s="22"/>
    </row>
    <row r="1595" spans="1:1" x14ac:dyDescent="0.2">
      <c r="A1595" s="22"/>
    </row>
    <row r="1596" spans="1:1" x14ac:dyDescent="0.2">
      <c r="A1596" s="22"/>
    </row>
    <row r="1597" spans="1:1" x14ac:dyDescent="0.2">
      <c r="A1597" s="22"/>
    </row>
    <row r="1598" spans="1:1" x14ac:dyDescent="0.2">
      <c r="A1598" s="22"/>
    </row>
    <row r="1599" spans="1:1" x14ac:dyDescent="0.2">
      <c r="A1599" s="22"/>
    </row>
    <row r="1600" spans="1:1" x14ac:dyDescent="0.2">
      <c r="A1600" s="22"/>
    </row>
    <row r="1601" spans="1:1" x14ac:dyDescent="0.2">
      <c r="A1601" s="22"/>
    </row>
    <row r="1602" spans="1:1" x14ac:dyDescent="0.2">
      <c r="A1602" s="22"/>
    </row>
    <row r="1603" spans="1:1" x14ac:dyDescent="0.2">
      <c r="A1603" s="22"/>
    </row>
    <row r="1604" spans="1:1" x14ac:dyDescent="0.2">
      <c r="A1604" s="22"/>
    </row>
    <row r="1605" spans="1:1" x14ac:dyDescent="0.2">
      <c r="A1605" s="22"/>
    </row>
    <row r="1606" spans="1:1" x14ac:dyDescent="0.2">
      <c r="A1606" s="22"/>
    </row>
    <row r="1607" spans="1:1" x14ac:dyDescent="0.2">
      <c r="A1607" s="22"/>
    </row>
    <row r="1608" spans="1:1" x14ac:dyDescent="0.2">
      <c r="A1608" s="22"/>
    </row>
    <row r="1609" spans="1:1" x14ac:dyDescent="0.2">
      <c r="A1609" s="22"/>
    </row>
    <row r="1610" spans="1:1" x14ac:dyDescent="0.2">
      <c r="A1610" s="22"/>
    </row>
    <row r="1611" spans="1:1" x14ac:dyDescent="0.2">
      <c r="A1611" s="22"/>
    </row>
    <row r="1612" spans="1:1" x14ac:dyDescent="0.2">
      <c r="A1612" s="22"/>
    </row>
    <row r="1613" spans="1:1" x14ac:dyDescent="0.2">
      <c r="A1613" s="22"/>
    </row>
    <row r="1614" spans="1:1" x14ac:dyDescent="0.2">
      <c r="A1614" s="22"/>
    </row>
    <row r="1615" spans="1:1" x14ac:dyDescent="0.2">
      <c r="A1615" s="22"/>
    </row>
    <row r="1616" spans="1:1" x14ac:dyDescent="0.2">
      <c r="A1616" s="22"/>
    </row>
    <row r="1617" spans="1:1" x14ac:dyDescent="0.2">
      <c r="A1617" s="22"/>
    </row>
    <row r="1618" spans="1:1" x14ac:dyDescent="0.2">
      <c r="A1618" s="22"/>
    </row>
    <row r="1619" spans="1:1" x14ac:dyDescent="0.2">
      <c r="A1619" s="22"/>
    </row>
    <row r="1620" spans="1:1" x14ac:dyDescent="0.2">
      <c r="A1620" s="22"/>
    </row>
    <row r="1621" spans="1:1" x14ac:dyDescent="0.2">
      <c r="A1621" s="22"/>
    </row>
    <row r="1622" spans="1:1" x14ac:dyDescent="0.2">
      <c r="A1622" s="22"/>
    </row>
    <row r="1623" spans="1:1" x14ac:dyDescent="0.2">
      <c r="A1623" s="22"/>
    </row>
    <row r="1624" spans="1:1" x14ac:dyDescent="0.2">
      <c r="A1624" s="22"/>
    </row>
    <row r="1625" spans="1:1" x14ac:dyDescent="0.2">
      <c r="A1625" s="22"/>
    </row>
    <row r="1626" spans="1:1" x14ac:dyDescent="0.2">
      <c r="A1626" s="22"/>
    </row>
    <row r="1627" spans="1:1" x14ac:dyDescent="0.2">
      <c r="A1627" s="22"/>
    </row>
    <row r="1628" spans="1:1" x14ac:dyDescent="0.2">
      <c r="A1628" s="22"/>
    </row>
    <row r="1629" spans="1:1" x14ac:dyDescent="0.2">
      <c r="A1629" s="22"/>
    </row>
    <row r="1630" spans="1:1" x14ac:dyDescent="0.2">
      <c r="A1630" s="22"/>
    </row>
    <row r="1631" spans="1:1" x14ac:dyDescent="0.2">
      <c r="A1631" s="22"/>
    </row>
    <row r="1632" spans="1:1" x14ac:dyDescent="0.2">
      <c r="A1632" s="22"/>
    </row>
    <row r="1633" spans="1:1" x14ac:dyDescent="0.2">
      <c r="A1633" s="22"/>
    </row>
    <row r="1634" spans="1:1" x14ac:dyDescent="0.2">
      <c r="A1634" s="22"/>
    </row>
    <row r="1635" spans="1:1" x14ac:dyDescent="0.2">
      <c r="A1635" s="22"/>
    </row>
    <row r="1636" spans="1:1" x14ac:dyDescent="0.2">
      <c r="A1636" s="22"/>
    </row>
    <row r="1637" spans="1:1" x14ac:dyDescent="0.2">
      <c r="A1637" s="22"/>
    </row>
    <row r="1638" spans="1:1" x14ac:dyDescent="0.2">
      <c r="A1638" s="22"/>
    </row>
    <row r="1639" spans="1:1" x14ac:dyDescent="0.2">
      <c r="A1639" s="22"/>
    </row>
    <row r="1640" spans="1:1" x14ac:dyDescent="0.2">
      <c r="A1640" s="22"/>
    </row>
    <row r="1641" spans="1:1" x14ac:dyDescent="0.2">
      <c r="A1641" s="22"/>
    </row>
    <row r="1642" spans="1:1" x14ac:dyDescent="0.2">
      <c r="A1642" s="22"/>
    </row>
    <row r="1643" spans="1:1" x14ac:dyDescent="0.2">
      <c r="A1643" s="22"/>
    </row>
    <row r="1644" spans="1:1" x14ac:dyDescent="0.2">
      <c r="A1644" s="22"/>
    </row>
    <row r="1645" spans="1:1" x14ac:dyDescent="0.2">
      <c r="A1645" s="22"/>
    </row>
    <row r="1646" spans="1:1" x14ac:dyDescent="0.2">
      <c r="A1646" s="22"/>
    </row>
    <row r="1647" spans="1:1" x14ac:dyDescent="0.2">
      <c r="A1647" s="22"/>
    </row>
    <row r="1648" spans="1:1" x14ac:dyDescent="0.2">
      <c r="A1648" s="22"/>
    </row>
    <row r="1649" spans="1:1" x14ac:dyDescent="0.2">
      <c r="A1649" s="22"/>
    </row>
    <row r="1650" spans="1:1" x14ac:dyDescent="0.2">
      <c r="A1650" s="22"/>
    </row>
    <row r="1651" spans="1:1" x14ac:dyDescent="0.2">
      <c r="A1651" s="22"/>
    </row>
    <row r="1652" spans="1:1" x14ac:dyDescent="0.2">
      <c r="A1652" s="22"/>
    </row>
    <row r="1653" spans="1:1" x14ac:dyDescent="0.2">
      <c r="A1653" s="22"/>
    </row>
    <row r="1654" spans="1:1" x14ac:dyDescent="0.2">
      <c r="A1654" s="22"/>
    </row>
    <row r="1655" spans="1:1" x14ac:dyDescent="0.2">
      <c r="A1655" s="22"/>
    </row>
    <row r="1656" spans="1:1" x14ac:dyDescent="0.2">
      <c r="A1656" s="22"/>
    </row>
    <row r="1657" spans="1:1" x14ac:dyDescent="0.2">
      <c r="A1657" s="22"/>
    </row>
    <row r="1658" spans="1:1" x14ac:dyDescent="0.2">
      <c r="A1658" s="22"/>
    </row>
    <row r="1659" spans="1:1" x14ac:dyDescent="0.2">
      <c r="A1659" s="22"/>
    </row>
    <row r="1660" spans="1:1" x14ac:dyDescent="0.2">
      <c r="A1660" s="22"/>
    </row>
    <row r="1661" spans="1:1" x14ac:dyDescent="0.2">
      <c r="A1661" s="22"/>
    </row>
    <row r="1662" spans="1:1" x14ac:dyDescent="0.2">
      <c r="A1662" s="22"/>
    </row>
    <row r="1663" spans="1:1" x14ac:dyDescent="0.2">
      <c r="A1663" s="22"/>
    </row>
    <row r="1664" spans="1:1" x14ac:dyDescent="0.2">
      <c r="A1664" s="22"/>
    </row>
    <row r="1665" spans="1:1" x14ac:dyDescent="0.2">
      <c r="A1665" s="22"/>
    </row>
    <row r="1666" spans="1:1" x14ac:dyDescent="0.2">
      <c r="A1666" s="22"/>
    </row>
    <row r="1667" spans="1:1" x14ac:dyDescent="0.2">
      <c r="A1667" s="22"/>
    </row>
    <row r="1668" spans="1:1" x14ac:dyDescent="0.2">
      <c r="A1668" s="22"/>
    </row>
    <row r="1669" spans="1:1" x14ac:dyDescent="0.2">
      <c r="A1669" s="22"/>
    </row>
    <row r="1670" spans="1:1" x14ac:dyDescent="0.2">
      <c r="A1670" s="22"/>
    </row>
    <row r="1671" spans="1:1" x14ac:dyDescent="0.2">
      <c r="A1671" s="22"/>
    </row>
    <row r="1672" spans="1:1" x14ac:dyDescent="0.2">
      <c r="A1672" s="22"/>
    </row>
    <row r="1673" spans="1:1" x14ac:dyDescent="0.2">
      <c r="A1673" s="22"/>
    </row>
    <row r="1674" spans="1:1" x14ac:dyDescent="0.2">
      <c r="A1674" s="22"/>
    </row>
    <row r="1675" spans="1:1" x14ac:dyDescent="0.2">
      <c r="A1675" s="22"/>
    </row>
    <row r="1676" spans="1:1" x14ac:dyDescent="0.2">
      <c r="A1676" s="22"/>
    </row>
    <row r="1677" spans="1:1" x14ac:dyDescent="0.2">
      <c r="A1677" s="22"/>
    </row>
    <row r="1678" spans="1:1" x14ac:dyDescent="0.2">
      <c r="A1678" s="22"/>
    </row>
    <row r="1679" spans="1:1" x14ac:dyDescent="0.2">
      <c r="A1679" s="22"/>
    </row>
    <row r="1680" spans="1:1" x14ac:dyDescent="0.2">
      <c r="A1680" s="22"/>
    </row>
    <row r="1681" spans="1:1" x14ac:dyDescent="0.2">
      <c r="A1681" s="22"/>
    </row>
    <row r="1682" spans="1:1" x14ac:dyDescent="0.2">
      <c r="A1682" s="22"/>
    </row>
    <row r="1683" spans="1:1" x14ac:dyDescent="0.2">
      <c r="A1683" s="22"/>
    </row>
    <row r="1684" spans="1:1" x14ac:dyDescent="0.2">
      <c r="A1684" s="22"/>
    </row>
    <row r="1685" spans="1:1" x14ac:dyDescent="0.2">
      <c r="A1685" s="22"/>
    </row>
    <row r="1686" spans="1:1" x14ac:dyDescent="0.2">
      <c r="A1686" s="22"/>
    </row>
    <row r="1687" spans="1:1" x14ac:dyDescent="0.2">
      <c r="A1687" s="22"/>
    </row>
    <row r="1688" spans="1:1" x14ac:dyDescent="0.2">
      <c r="A1688" s="22"/>
    </row>
    <row r="1689" spans="1:1" x14ac:dyDescent="0.2">
      <c r="A1689" s="22"/>
    </row>
    <row r="1690" spans="1:1" x14ac:dyDescent="0.2">
      <c r="A1690" s="22"/>
    </row>
    <row r="1691" spans="1:1" x14ac:dyDescent="0.2">
      <c r="A1691" s="22"/>
    </row>
    <row r="1692" spans="1:1" x14ac:dyDescent="0.2">
      <c r="A1692" s="22"/>
    </row>
    <row r="1693" spans="1:1" x14ac:dyDescent="0.2">
      <c r="A1693" s="22"/>
    </row>
    <row r="1694" spans="1:1" x14ac:dyDescent="0.2">
      <c r="A1694" s="22"/>
    </row>
    <row r="1695" spans="1:1" x14ac:dyDescent="0.2">
      <c r="A1695" s="22"/>
    </row>
    <row r="1696" spans="1:1" x14ac:dyDescent="0.2">
      <c r="A1696" s="22"/>
    </row>
    <row r="1697" spans="1:1" x14ac:dyDescent="0.2">
      <c r="A1697" s="22"/>
    </row>
    <row r="1698" spans="1:1" x14ac:dyDescent="0.2">
      <c r="A1698" s="22"/>
    </row>
    <row r="1699" spans="1:1" x14ac:dyDescent="0.2">
      <c r="A1699" s="22"/>
    </row>
    <row r="1700" spans="1:1" x14ac:dyDescent="0.2">
      <c r="A1700" s="22"/>
    </row>
    <row r="1701" spans="1:1" x14ac:dyDescent="0.2">
      <c r="A1701" s="22"/>
    </row>
    <row r="1702" spans="1:1" x14ac:dyDescent="0.2">
      <c r="A1702" s="22"/>
    </row>
    <row r="1703" spans="1:1" x14ac:dyDescent="0.2">
      <c r="A1703" s="22"/>
    </row>
    <row r="1704" spans="1:1" x14ac:dyDescent="0.2">
      <c r="A1704" s="22"/>
    </row>
    <row r="1705" spans="1:1" x14ac:dyDescent="0.2">
      <c r="A1705" s="22"/>
    </row>
    <row r="1706" spans="1:1" x14ac:dyDescent="0.2">
      <c r="A1706" s="22"/>
    </row>
    <row r="1707" spans="1:1" x14ac:dyDescent="0.2">
      <c r="A1707" s="22"/>
    </row>
    <row r="1708" spans="1:1" x14ac:dyDescent="0.2">
      <c r="A1708" s="22"/>
    </row>
    <row r="1709" spans="1:1" x14ac:dyDescent="0.2">
      <c r="A1709" s="22"/>
    </row>
    <row r="1710" spans="1:1" x14ac:dyDescent="0.2">
      <c r="A1710" s="22"/>
    </row>
    <row r="1711" spans="1:1" x14ac:dyDescent="0.2">
      <c r="A1711" s="22"/>
    </row>
    <row r="1712" spans="1:1" x14ac:dyDescent="0.2">
      <c r="A1712" s="22"/>
    </row>
    <row r="1713" spans="1:1" x14ac:dyDescent="0.2">
      <c r="A1713" s="22"/>
    </row>
    <row r="1714" spans="1:1" x14ac:dyDescent="0.2">
      <c r="A1714" s="22"/>
    </row>
    <row r="1715" spans="1:1" x14ac:dyDescent="0.2">
      <c r="A1715" s="22"/>
    </row>
    <row r="1716" spans="1:1" x14ac:dyDescent="0.2">
      <c r="A1716" s="22"/>
    </row>
    <row r="1717" spans="1:1" x14ac:dyDescent="0.2">
      <c r="A1717" s="22"/>
    </row>
    <row r="1718" spans="1:1" x14ac:dyDescent="0.2">
      <c r="A1718" s="22"/>
    </row>
    <row r="1719" spans="1:1" x14ac:dyDescent="0.2">
      <c r="A1719" s="22"/>
    </row>
    <row r="1720" spans="1:1" x14ac:dyDescent="0.2">
      <c r="A1720" s="22"/>
    </row>
    <row r="1721" spans="1:1" x14ac:dyDescent="0.2">
      <c r="A1721" s="22"/>
    </row>
    <row r="1722" spans="1:1" x14ac:dyDescent="0.2">
      <c r="A1722" s="22"/>
    </row>
    <row r="1723" spans="1:1" x14ac:dyDescent="0.2">
      <c r="A1723" s="22"/>
    </row>
    <row r="1724" spans="1:1" x14ac:dyDescent="0.2">
      <c r="A1724" s="22"/>
    </row>
    <row r="1725" spans="1:1" x14ac:dyDescent="0.2">
      <c r="A1725" s="22"/>
    </row>
    <row r="1726" spans="1:1" x14ac:dyDescent="0.2">
      <c r="A1726" s="22"/>
    </row>
    <row r="1727" spans="1:1" x14ac:dyDescent="0.2">
      <c r="A1727" s="22"/>
    </row>
    <row r="1728" spans="1:1" x14ac:dyDescent="0.2">
      <c r="A1728" s="22"/>
    </row>
    <row r="1729" spans="1:1" x14ac:dyDescent="0.2">
      <c r="A1729" s="22"/>
    </row>
    <row r="1730" spans="1:1" x14ac:dyDescent="0.2">
      <c r="A1730" s="22"/>
    </row>
    <row r="1731" spans="1:1" x14ac:dyDescent="0.2">
      <c r="A1731" s="22"/>
    </row>
    <row r="1732" spans="1:1" x14ac:dyDescent="0.2">
      <c r="A1732" s="22"/>
    </row>
    <row r="1733" spans="1:1" x14ac:dyDescent="0.2">
      <c r="A1733" s="22"/>
    </row>
    <row r="1734" spans="1:1" x14ac:dyDescent="0.2">
      <c r="A1734" s="22"/>
    </row>
    <row r="1735" spans="1:1" x14ac:dyDescent="0.2">
      <c r="A1735" s="22"/>
    </row>
    <row r="1736" spans="1:1" x14ac:dyDescent="0.2">
      <c r="A1736" s="22"/>
    </row>
    <row r="1737" spans="1:1" x14ac:dyDescent="0.2">
      <c r="A1737" s="22"/>
    </row>
    <row r="1738" spans="1:1" x14ac:dyDescent="0.2">
      <c r="A1738" s="22"/>
    </row>
    <row r="1739" spans="1:1" x14ac:dyDescent="0.2">
      <c r="A1739" s="22"/>
    </row>
    <row r="1740" spans="1:1" x14ac:dyDescent="0.2">
      <c r="A1740" s="22"/>
    </row>
    <row r="1741" spans="1:1" x14ac:dyDescent="0.2">
      <c r="A1741" s="22"/>
    </row>
    <row r="1742" spans="1:1" x14ac:dyDescent="0.2">
      <c r="A1742" s="22"/>
    </row>
    <row r="1743" spans="1:1" x14ac:dyDescent="0.2">
      <c r="A1743" s="22"/>
    </row>
    <row r="1744" spans="1:1" x14ac:dyDescent="0.2">
      <c r="A1744" s="22"/>
    </row>
    <row r="1745" spans="1:1" x14ac:dyDescent="0.2">
      <c r="A1745" s="22"/>
    </row>
    <row r="1746" spans="1:1" x14ac:dyDescent="0.2">
      <c r="A1746" s="22"/>
    </row>
    <row r="1747" spans="1:1" x14ac:dyDescent="0.2">
      <c r="A1747" s="22"/>
    </row>
    <row r="1748" spans="1:1" x14ac:dyDescent="0.2">
      <c r="A1748" s="22"/>
    </row>
    <row r="1749" spans="1:1" x14ac:dyDescent="0.2">
      <c r="A1749" s="22"/>
    </row>
    <row r="1750" spans="1:1" x14ac:dyDescent="0.2">
      <c r="A1750" s="22"/>
    </row>
    <row r="1751" spans="1:1" x14ac:dyDescent="0.2">
      <c r="A1751" s="22"/>
    </row>
    <row r="1752" spans="1:1" x14ac:dyDescent="0.2">
      <c r="A1752" s="22"/>
    </row>
    <row r="1753" spans="1:1" x14ac:dyDescent="0.2">
      <c r="A1753" s="22"/>
    </row>
    <row r="1754" spans="1:1" x14ac:dyDescent="0.2">
      <c r="A1754" s="22"/>
    </row>
    <row r="1755" spans="1:1" x14ac:dyDescent="0.2">
      <c r="A1755" s="22"/>
    </row>
    <row r="1756" spans="1:1" x14ac:dyDescent="0.2">
      <c r="A1756" s="22"/>
    </row>
    <row r="1757" spans="1:1" x14ac:dyDescent="0.2">
      <c r="A1757" s="22"/>
    </row>
    <row r="1758" spans="1:1" x14ac:dyDescent="0.2">
      <c r="A1758" s="22"/>
    </row>
    <row r="1759" spans="1:1" x14ac:dyDescent="0.2">
      <c r="A1759" s="22"/>
    </row>
    <row r="1760" spans="1:1" x14ac:dyDescent="0.2">
      <c r="A1760" s="22"/>
    </row>
    <row r="1761" spans="1:1" x14ac:dyDescent="0.2">
      <c r="A1761" s="22"/>
    </row>
    <row r="1762" spans="1:1" x14ac:dyDescent="0.2">
      <c r="A1762" s="22"/>
    </row>
    <row r="1763" spans="1:1" x14ac:dyDescent="0.2">
      <c r="A1763" s="22"/>
    </row>
    <row r="1764" spans="1:1" x14ac:dyDescent="0.2">
      <c r="A1764" s="22"/>
    </row>
    <row r="1765" spans="1:1" x14ac:dyDescent="0.2">
      <c r="A1765" s="22"/>
    </row>
    <row r="1766" spans="1:1" x14ac:dyDescent="0.2">
      <c r="A1766" s="22"/>
    </row>
    <row r="1767" spans="1:1" x14ac:dyDescent="0.2">
      <c r="A1767" s="22"/>
    </row>
    <row r="1768" spans="1:1" x14ac:dyDescent="0.2">
      <c r="A1768" s="22"/>
    </row>
    <row r="1769" spans="1:1" x14ac:dyDescent="0.2">
      <c r="A1769" s="22"/>
    </row>
    <row r="1770" spans="1:1" x14ac:dyDescent="0.2">
      <c r="A1770" s="22"/>
    </row>
    <row r="1771" spans="1:1" x14ac:dyDescent="0.2">
      <c r="A1771" s="22"/>
    </row>
    <row r="1772" spans="1:1" x14ac:dyDescent="0.2">
      <c r="A1772" s="22"/>
    </row>
    <row r="1773" spans="1:1" x14ac:dyDescent="0.2">
      <c r="A1773" s="22"/>
    </row>
    <row r="1774" spans="1:1" x14ac:dyDescent="0.2">
      <c r="A1774" s="22"/>
    </row>
    <row r="1775" spans="1:1" x14ac:dyDescent="0.2">
      <c r="A1775" s="22"/>
    </row>
    <row r="1776" spans="1:1" x14ac:dyDescent="0.2">
      <c r="A1776" s="22"/>
    </row>
    <row r="1777" spans="1:1" x14ac:dyDescent="0.2">
      <c r="A1777" s="22"/>
    </row>
    <row r="1778" spans="1:1" x14ac:dyDescent="0.2">
      <c r="A1778" s="22"/>
    </row>
    <row r="1779" spans="1:1" x14ac:dyDescent="0.2">
      <c r="A1779" s="22"/>
    </row>
    <row r="1780" spans="1:1" x14ac:dyDescent="0.2">
      <c r="A1780" s="22"/>
    </row>
    <row r="1781" spans="1:1" x14ac:dyDescent="0.2">
      <c r="A1781" s="22"/>
    </row>
    <row r="1782" spans="1:1" x14ac:dyDescent="0.2">
      <c r="A1782" s="22"/>
    </row>
    <row r="1783" spans="1:1" x14ac:dyDescent="0.2">
      <c r="A1783" s="22"/>
    </row>
    <row r="1784" spans="1:1" x14ac:dyDescent="0.2">
      <c r="A1784" s="22"/>
    </row>
    <row r="1785" spans="1:1" x14ac:dyDescent="0.2">
      <c r="A1785" s="22"/>
    </row>
    <row r="1786" spans="1:1" x14ac:dyDescent="0.2">
      <c r="A1786" s="22"/>
    </row>
    <row r="1787" spans="1:1" x14ac:dyDescent="0.2">
      <c r="A1787" s="22"/>
    </row>
    <row r="1788" spans="1:1" x14ac:dyDescent="0.2">
      <c r="A1788" s="22"/>
    </row>
    <row r="1789" spans="1:1" x14ac:dyDescent="0.2">
      <c r="A1789" s="22"/>
    </row>
    <row r="1790" spans="1:1" x14ac:dyDescent="0.2">
      <c r="A1790" s="22"/>
    </row>
    <row r="1791" spans="1:1" x14ac:dyDescent="0.2">
      <c r="A1791" s="22"/>
    </row>
    <row r="1792" spans="1:1" x14ac:dyDescent="0.2">
      <c r="A1792" s="22"/>
    </row>
    <row r="1793" spans="1:1" x14ac:dyDescent="0.2">
      <c r="A1793" s="22"/>
    </row>
    <row r="1794" spans="1:1" x14ac:dyDescent="0.2">
      <c r="A1794" s="22"/>
    </row>
    <row r="1795" spans="1:1" x14ac:dyDescent="0.2">
      <c r="A1795" s="22"/>
    </row>
    <row r="1796" spans="1:1" x14ac:dyDescent="0.2">
      <c r="A1796" s="22"/>
    </row>
    <row r="1797" spans="1:1" x14ac:dyDescent="0.2">
      <c r="A1797" s="22"/>
    </row>
    <row r="1798" spans="1:1" x14ac:dyDescent="0.2">
      <c r="A1798" s="22"/>
    </row>
    <row r="1799" spans="1:1" x14ac:dyDescent="0.2">
      <c r="A1799" s="22"/>
    </row>
    <row r="1800" spans="1:1" x14ac:dyDescent="0.2">
      <c r="A1800" s="22"/>
    </row>
    <row r="1801" spans="1:1" x14ac:dyDescent="0.2">
      <c r="A1801" s="22"/>
    </row>
    <row r="1802" spans="1:1" x14ac:dyDescent="0.2">
      <c r="A1802" s="22"/>
    </row>
    <row r="1803" spans="1:1" x14ac:dyDescent="0.2">
      <c r="A1803" s="22"/>
    </row>
    <row r="1804" spans="1:1" x14ac:dyDescent="0.2">
      <c r="A1804" s="22"/>
    </row>
    <row r="1805" spans="1:1" x14ac:dyDescent="0.2">
      <c r="A1805" s="22"/>
    </row>
    <row r="1806" spans="1:1" x14ac:dyDescent="0.2">
      <c r="A1806" s="22"/>
    </row>
    <row r="1807" spans="1:1" x14ac:dyDescent="0.2">
      <c r="A1807" s="22"/>
    </row>
    <row r="1808" spans="1:1" x14ac:dyDescent="0.2">
      <c r="A1808" s="22"/>
    </row>
    <row r="1809" spans="1:1" x14ac:dyDescent="0.2">
      <c r="A1809" s="22"/>
    </row>
    <row r="1810" spans="1:1" x14ac:dyDescent="0.2">
      <c r="A1810" s="22"/>
    </row>
    <row r="1811" spans="1:1" x14ac:dyDescent="0.2">
      <c r="A1811" s="22"/>
    </row>
    <row r="1812" spans="1:1" x14ac:dyDescent="0.2">
      <c r="A1812" s="22"/>
    </row>
    <row r="1813" spans="1:1" x14ac:dyDescent="0.2">
      <c r="A1813" s="22"/>
    </row>
    <row r="1814" spans="1:1" x14ac:dyDescent="0.2">
      <c r="A1814" s="22"/>
    </row>
    <row r="1815" spans="1:1" x14ac:dyDescent="0.2">
      <c r="A1815" s="22"/>
    </row>
    <row r="1816" spans="1:1" x14ac:dyDescent="0.2">
      <c r="A1816" s="22"/>
    </row>
    <row r="1817" spans="1:1" x14ac:dyDescent="0.2">
      <c r="A1817" s="22"/>
    </row>
    <row r="1818" spans="1:1" x14ac:dyDescent="0.2">
      <c r="A1818" s="22"/>
    </row>
    <row r="1819" spans="1:1" x14ac:dyDescent="0.2">
      <c r="A1819" s="22"/>
    </row>
    <row r="1820" spans="1:1" x14ac:dyDescent="0.2">
      <c r="A1820" s="22"/>
    </row>
    <row r="1821" spans="1:1" x14ac:dyDescent="0.2">
      <c r="A1821" s="22"/>
    </row>
    <row r="1822" spans="1:1" x14ac:dyDescent="0.2">
      <c r="A1822" s="22"/>
    </row>
    <row r="1823" spans="1:1" x14ac:dyDescent="0.2">
      <c r="A1823" s="22"/>
    </row>
    <row r="1824" spans="1:1" x14ac:dyDescent="0.2">
      <c r="A1824" s="22"/>
    </row>
    <row r="1825" spans="1:1" x14ac:dyDescent="0.2">
      <c r="A1825" s="22"/>
    </row>
    <row r="1826" spans="1:1" x14ac:dyDescent="0.2">
      <c r="A1826" s="22"/>
    </row>
    <row r="1827" spans="1:1" x14ac:dyDescent="0.2">
      <c r="A1827" s="22"/>
    </row>
    <row r="1828" spans="1:1" x14ac:dyDescent="0.2">
      <c r="A1828" s="22"/>
    </row>
    <row r="1829" spans="1:1" x14ac:dyDescent="0.2">
      <c r="A1829" s="22"/>
    </row>
    <row r="1830" spans="1:1" x14ac:dyDescent="0.2">
      <c r="A1830" s="22"/>
    </row>
    <row r="1831" spans="1:1" x14ac:dyDescent="0.2">
      <c r="A1831" s="22"/>
    </row>
    <row r="1832" spans="1:1" x14ac:dyDescent="0.2">
      <c r="A1832" s="22"/>
    </row>
    <row r="1833" spans="1:1" x14ac:dyDescent="0.2">
      <c r="A1833" s="22"/>
    </row>
    <row r="1834" spans="1:1" x14ac:dyDescent="0.2">
      <c r="A1834" s="22"/>
    </row>
    <row r="1835" spans="1:1" x14ac:dyDescent="0.2">
      <c r="A1835" s="22"/>
    </row>
    <row r="1836" spans="1:1" x14ac:dyDescent="0.2">
      <c r="A1836" s="22"/>
    </row>
    <row r="1837" spans="1:1" x14ac:dyDescent="0.2">
      <c r="A1837" s="22"/>
    </row>
    <row r="1838" spans="1:1" x14ac:dyDescent="0.2">
      <c r="A1838" s="22"/>
    </row>
    <row r="1839" spans="1:1" x14ac:dyDescent="0.2">
      <c r="A1839" s="22"/>
    </row>
    <row r="1840" spans="1:1" x14ac:dyDescent="0.2">
      <c r="A1840" s="22"/>
    </row>
    <row r="1841" spans="1:1" x14ac:dyDescent="0.2">
      <c r="A1841" s="22"/>
    </row>
    <row r="1842" spans="1:1" x14ac:dyDescent="0.2">
      <c r="A1842" s="22"/>
    </row>
    <row r="1843" spans="1:1" x14ac:dyDescent="0.2">
      <c r="A1843" s="22"/>
    </row>
    <row r="1844" spans="1:1" x14ac:dyDescent="0.2">
      <c r="A1844" s="22"/>
    </row>
    <row r="1845" spans="1:1" x14ac:dyDescent="0.2">
      <c r="A1845" s="22"/>
    </row>
    <row r="1846" spans="1:1" x14ac:dyDescent="0.2">
      <c r="A1846" s="22"/>
    </row>
    <row r="1847" spans="1:1" x14ac:dyDescent="0.2">
      <c r="A1847" s="22"/>
    </row>
    <row r="1848" spans="1:1" x14ac:dyDescent="0.2">
      <c r="A1848" s="22"/>
    </row>
    <row r="1849" spans="1:1" x14ac:dyDescent="0.2">
      <c r="A1849" s="22"/>
    </row>
    <row r="1850" spans="1:1" x14ac:dyDescent="0.2">
      <c r="A1850" s="22"/>
    </row>
    <row r="1851" spans="1:1" x14ac:dyDescent="0.2">
      <c r="A1851" s="22"/>
    </row>
    <row r="1852" spans="1:1" x14ac:dyDescent="0.2">
      <c r="A1852" s="22"/>
    </row>
    <row r="1853" spans="1:1" x14ac:dyDescent="0.2">
      <c r="A1853" s="22"/>
    </row>
    <row r="1854" spans="1:1" x14ac:dyDescent="0.2">
      <c r="A1854" s="22"/>
    </row>
    <row r="1855" spans="1:1" x14ac:dyDescent="0.2">
      <c r="A1855" s="22"/>
    </row>
    <row r="1856" spans="1:1" x14ac:dyDescent="0.2">
      <c r="A1856" s="22"/>
    </row>
    <row r="1857" spans="1:1" x14ac:dyDescent="0.2">
      <c r="A1857" s="22"/>
    </row>
    <row r="1858" spans="1:1" x14ac:dyDescent="0.2">
      <c r="A1858" s="22"/>
    </row>
    <row r="1859" spans="1:1" x14ac:dyDescent="0.2">
      <c r="A1859" s="22"/>
    </row>
    <row r="1860" spans="1:1" x14ac:dyDescent="0.2">
      <c r="A1860" s="22"/>
    </row>
    <row r="1861" spans="1:1" x14ac:dyDescent="0.2">
      <c r="A1861" s="22"/>
    </row>
    <row r="1862" spans="1:1" x14ac:dyDescent="0.2">
      <c r="A1862" s="22"/>
    </row>
    <row r="1863" spans="1:1" x14ac:dyDescent="0.2">
      <c r="A1863" s="22"/>
    </row>
    <row r="1864" spans="1:1" x14ac:dyDescent="0.2">
      <c r="A1864" s="22"/>
    </row>
    <row r="1865" spans="1:1" x14ac:dyDescent="0.2">
      <c r="A1865" s="22"/>
    </row>
    <row r="1866" spans="1:1" x14ac:dyDescent="0.2">
      <c r="A1866" s="22"/>
    </row>
    <row r="1867" spans="1:1" x14ac:dyDescent="0.2">
      <c r="A1867" s="22"/>
    </row>
    <row r="1868" spans="1:1" x14ac:dyDescent="0.2">
      <c r="A1868" s="22"/>
    </row>
    <row r="1869" spans="1:1" x14ac:dyDescent="0.2">
      <c r="A1869" s="22"/>
    </row>
    <row r="1870" spans="1:1" x14ac:dyDescent="0.2">
      <c r="A1870" s="22"/>
    </row>
    <row r="1871" spans="1:1" x14ac:dyDescent="0.2">
      <c r="A1871" s="22"/>
    </row>
    <row r="1872" spans="1:1" x14ac:dyDescent="0.2">
      <c r="A1872" s="22"/>
    </row>
    <row r="1873" spans="1:1" x14ac:dyDescent="0.2">
      <c r="A1873" s="22"/>
    </row>
    <row r="1874" spans="1:1" x14ac:dyDescent="0.2">
      <c r="A1874" s="22"/>
    </row>
    <row r="1875" spans="1:1" x14ac:dyDescent="0.2">
      <c r="A1875" s="22"/>
    </row>
    <row r="1876" spans="1:1" x14ac:dyDescent="0.2">
      <c r="A1876" s="22"/>
    </row>
    <row r="1877" spans="1:1" x14ac:dyDescent="0.2">
      <c r="A1877" s="22"/>
    </row>
    <row r="1878" spans="1:1" x14ac:dyDescent="0.2">
      <c r="A1878" s="22"/>
    </row>
    <row r="1879" spans="1:1" x14ac:dyDescent="0.2">
      <c r="A1879" s="22"/>
    </row>
    <row r="1880" spans="1:1" x14ac:dyDescent="0.2">
      <c r="A1880" s="22"/>
    </row>
    <row r="1881" spans="1:1" x14ac:dyDescent="0.2">
      <c r="A1881" s="22"/>
    </row>
    <row r="1882" spans="1:1" x14ac:dyDescent="0.2">
      <c r="A1882" s="22"/>
    </row>
    <row r="1883" spans="1:1" x14ac:dyDescent="0.2">
      <c r="A1883" s="22"/>
    </row>
    <row r="1884" spans="1:1" x14ac:dyDescent="0.2">
      <c r="A1884" s="22"/>
    </row>
    <row r="1885" spans="1:1" x14ac:dyDescent="0.2">
      <c r="A1885" s="22"/>
    </row>
    <row r="1886" spans="1:1" x14ac:dyDescent="0.2">
      <c r="A1886" s="22"/>
    </row>
    <row r="1887" spans="1:1" x14ac:dyDescent="0.2">
      <c r="A1887" s="22"/>
    </row>
    <row r="1888" spans="1:1" x14ac:dyDescent="0.2">
      <c r="A1888" s="22"/>
    </row>
    <row r="1889" spans="1:1" x14ac:dyDescent="0.2">
      <c r="A1889" s="22"/>
    </row>
    <row r="1890" spans="1:1" x14ac:dyDescent="0.2">
      <c r="A1890" s="22"/>
    </row>
    <row r="1891" spans="1:1" x14ac:dyDescent="0.2">
      <c r="A1891" s="22"/>
    </row>
    <row r="1892" spans="1:1" x14ac:dyDescent="0.2">
      <c r="A1892" s="22"/>
    </row>
    <row r="1893" spans="1:1" x14ac:dyDescent="0.2">
      <c r="A1893" s="22"/>
    </row>
    <row r="1894" spans="1:1" x14ac:dyDescent="0.2">
      <c r="A1894" s="22"/>
    </row>
    <row r="1895" spans="1:1" x14ac:dyDescent="0.2">
      <c r="A1895" s="22"/>
    </row>
    <row r="1896" spans="1:1" x14ac:dyDescent="0.2">
      <c r="A1896" s="22"/>
    </row>
    <row r="1897" spans="1:1" x14ac:dyDescent="0.2">
      <c r="A1897" s="22"/>
    </row>
    <row r="1898" spans="1:1" x14ac:dyDescent="0.2">
      <c r="A1898" s="22"/>
    </row>
    <row r="1899" spans="1:1" x14ac:dyDescent="0.2">
      <c r="A1899" s="22"/>
    </row>
    <row r="1900" spans="1:1" x14ac:dyDescent="0.2">
      <c r="A1900" s="22"/>
    </row>
    <row r="1901" spans="1:1" x14ac:dyDescent="0.2">
      <c r="A1901" s="22"/>
    </row>
    <row r="1902" spans="1:1" x14ac:dyDescent="0.2">
      <c r="A1902" s="22"/>
    </row>
    <row r="1903" spans="1:1" x14ac:dyDescent="0.2">
      <c r="A1903" s="22"/>
    </row>
    <row r="1904" spans="1:1" x14ac:dyDescent="0.2">
      <c r="A1904" s="22"/>
    </row>
    <row r="1905" spans="1:1" x14ac:dyDescent="0.2">
      <c r="A1905" s="22"/>
    </row>
    <row r="1906" spans="1:1" x14ac:dyDescent="0.2">
      <c r="A1906" s="22"/>
    </row>
    <row r="1907" spans="1:1" x14ac:dyDescent="0.2">
      <c r="A1907" s="22"/>
    </row>
    <row r="1908" spans="1:1" x14ac:dyDescent="0.2">
      <c r="A1908" s="22"/>
    </row>
    <row r="1909" spans="1:1" x14ac:dyDescent="0.2">
      <c r="A1909" s="22"/>
    </row>
    <row r="1910" spans="1:1" x14ac:dyDescent="0.2">
      <c r="A1910" s="22"/>
    </row>
    <row r="1911" spans="1:1" x14ac:dyDescent="0.2">
      <c r="A1911" s="22"/>
    </row>
    <row r="1912" spans="1:1" x14ac:dyDescent="0.2">
      <c r="A1912" s="22"/>
    </row>
    <row r="1913" spans="1:1" x14ac:dyDescent="0.2">
      <c r="A1913" s="22"/>
    </row>
    <row r="1914" spans="1:1" x14ac:dyDescent="0.2">
      <c r="A1914" s="22"/>
    </row>
    <row r="1915" spans="1:1" x14ac:dyDescent="0.2">
      <c r="A1915" s="22"/>
    </row>
    <row r="1916" spans="1:1" x14ac:dyDescent="0.2">
      <c r="A1916" s="22"/>
    </row>
    <row r="1917" spans="1:1" x14ac:dyDescent="0.2">
      <c r="A1917" s="22"/>
    </row>
    <row r="1918" spans="1:1" x14ac:dyDescent="0.2">
      <c r="A1918" s="22"/>
    </row>
    <row r="1919" spans="1:1" x14ac:dyDescent="0.2">
      <c r="A1919" s="22"/>
    </row>
    <row r="1920" spans="1:1" x14ac:dyDescent="0.2">
      <c r="A1920" s="22"/>
    </row>
    <row r="1921" spans="1:1" x14ac:dyDescent="0.2">
      <c r="A1921" s="22"/>
    </row>
    <row r="1922" spans="1:1" x14ac:dyDescent="0.2">
      <c r="A1922" s="22"/>
    </row>
    <row r="1923" spans="1:1" x14ac:dyDescent="0.2">
      <c r="A1923" s="22"/>
    </row>
    <row r="1924" spans="1:1" x14ac:dyDescent="0.2">
      <c r="A1924" s="22"/>
    </row>
    <row r="1925" spans="1:1" x14ac:dyDescent="0.2">
      <c r="A1925" s="22"/>
    </row>
    <row r="1926" spans="1:1" x14ac:dyDescent="0.2">
      <c r="A1926" s="22"/>
    </row>
    <row r="1927" spans="1:1" x14ac:dyDescent="0.2">
      <c r="A1927" s="22"/>
    </row>
    <row r="1928" spans="1:1" x14ac:dyDescent="0.2">
      <c r="A1928" s="22"/>
    </row>
    <row r="1929" spans="1:1" x14ac:dyDescent="0.2">
      <c r="A1929" s="22"/>
    </row>
    <row r="1930" spans="1:1" x14ac:dyDescent="0.2">
      <c r="A1930" s="22"/>
    </row>
    <row r="1931" spans="1:1" x14ac:dyDescent="0.2">
      <c r="A1931" s="22"/>
    </row>
    <row r="1932" spans="1:1" x14ac:dyDescent="0.2">
      <c r="A1932" s="22"/>
    </row>
    <row r="1933" spans="1:1" x14ac:dyDescent="0.2">
      <c r="A1933" s="22"/>
    </row>
    <row r="1934" spans="1:1" x14ac:dyDescent="0.2">
      <c r="A1934" s="22"/>
    </row>
    <row r="1935" spans="1:1" x14ac:dyDescent="0.2">
      <c r="A1935" s="22"/>
    </row>
    <row r="1936" spans="1:1" x14ac:dyDescent="0.2">
      <c r="A1936" s="22"/>
    </row>
    <row r="1937" spans="1:1" x14ac:dyDescent="0.2">
      <c r="A1937" s="22"/>
    </row>
    <row r="1938" spans="1:1" x14ac:dyDescent="0.2">
      <c r="A1938" s="22"/>
    </row>
    <row r="1939" spans="1:1" x14ac:dyDescent="0.2">
      <c r="A1939" s="22"/>
    </row>
    <row r="1940" spans="1:1" x14ac:dyDescent="0.2">
      <c r="A1940" s="22"/>
    </row>
    <row r="1941" spans="1:1" x14ac:dyDescent="0.2">
      <c r="A1941" s="22"/>
    </row>
    <row r="1942" spans="1:1" x14ac:dyDescent="0.2">
      <c r="A1942" s="22"/>
    </row>
    <row r="1943" spans="1:1" x14ac:dyDescent="0.2">
      <c r="A1943" s="22"/>
    </row>
    <row r="1944" spans="1:1" x14ac:dyDescent="0.2">
      <c r="A1944" s="22"/>
    </row>
    <row r="1945" spans="1:1" x14ac:dyDescent="0.2">
      <c r="A1945" s="22"/>
    </row>
    <row r="1946" spans="1:1" x14ac:dyDescent="0.2">
      <c r="A1946" s="22"/>
    </row>
    <row r="1947" spans="1:1" x14ac:dyDescent="0.2">
      <c r="A1947" s="22"/>
    </row>
    <row r="1948" spans="1:1" x14ac:dyDescent="0.2">
      <c r="A1948" s="22"/>
    </row>
    <row r="1949" spans="1:1" x14ac:dyDescent="0.2">
      <c r="A1949" s="22"/>
    </row>
    <row r="1950" spans="1:1" x14ac:dyDescent="0.2">
      <c r="A1950" s="22"/>
    </row>
    <row r="1951" spans="1:1" x14ac:dyDescent="0.2">
      <c r="A1951" s="22"/>
    </row>
    <row r="1952" spans="1:1" x14ac:dyDescent="0.2">
      <c r="A1952" s="22"/>
    </row>
    <row r="1953" spans="1:1" x14ac:dyDescent="0.2">
      <c r="A1953" s="22"/>
    </row>
    <row r="1954" spans="1:1" x14ac:dyDescent="0.2">
      <c r="A1954" s="22"/>
    </row>
    <row r="1955" spans="1:1" x14ac:dyDescent="0.2">
      <c r="A1955" s="22"/>
    </row>
    <row r="1956" spans="1:1" x14ac:dyDescent="0.2">
      <c r="A1956" s="22"/>
    </row>
    <row r="1957" spans="1:1" x14ac:dyDescent="0.2">
      <c r="A1957" s="22"/>
    </row>
    <row r="1958" spans="1:1" x14ac:dyDescent="0.2">
      <c r="A1958" s="22"/>
    </row>
    <row r="1959" spans="1:1" x14ac:dyDescent="0.2">
      <c r="A1959" s="22"/>
    </row>
    <row r="1960" spans="1:1" x14ac:dyDescent="0.2">
      <c r="A1960" s="22"/>
    </row>
    <row r="1961" spans="1:1" x14ac:dyDescent="0.2">
      <c r="A1961" s="22"/>
    </row>
    <row r="1962" spans="1:1" x14ac:dyDescent="0.2">
      <c r="A1962" s="22"/>
    </row>
    <row r="1963" spans="1:1" x14ac:dyDescent="0.2">
      <c r="A1963" s="22"/>
    </row>
    <row r="1964" spans="1:1" x14ac:dyDescent="0.2">
      <c r="A1964" s="22"/>
    </row>
    <row r="1965" spans="1:1" x14ac:dyDescent="0.2">
      <c r="A1965" s="22"/>
    </row>
    <row r="1966" spans="1:1" x14ac:dyDescent="0.2">
      <c r="A1966" s="22"/>
    </row>
    <row r="1967" spans="1:1" x14ac:dyDescent="0.2">
      <c r="A1967" s="22"/>
    </row>
    <row r="1968" spans="1:1" x14ac:dyDescent="0.2">
      <c r="A1968" s="22"/>
    </row>
    <row r="1969" spans="1:1" x14ac:dyDescent="0.2">
      <c r="A1969" s="22"/>
    </row>
    <row r="1970" spans="1:1" x14ac:dyDescent="0.2">
      <c r="A1970" s="22"/>
    </row>
    <row r="1971" spans="1:1" x14ac:dyDescent="0.2">
      <c r="A1971" s="22"/>
    </row>
    <row r="1972" spans="1:1" x14ac:dyDescent="0.2">
      <c r="A1972" s="22"/>
    </row>
    <row r="1973" spans="1:1" x14ac:dyDescent="0.2">
      <c r="A1973" s="22"/>
    </row>
    <row r="1974" spans="1:1" x14ac:dyDescent="0.2">
      <c r="A1974" s="22"/>
    </row>
    <row r="1975" spans="1:1" x14ac:dyDescent="0.2">
      <c r="A1975" s="22"/>
    </row>
    <row r="1976" spans="1:1" x14ac:dyDescent="0.2">
      <c r="A1976" s="22"/>
    </row>
    <row r="1977" spans="1:1" x14ac:dyDescent="0.2">
      <c r="A1977" s="22"/>
    </row>
    <row r="1978" spans="1:1" x14ac:dyDescent="0.2">
      <c r="A1978" s="22"/>
    </row>
    <row r="1979" spans="1:1" x14ac:dyDescent="0.2">
      <c r="A1979" s="22"/>
    </row>
    <row r="1980" spans="1:1" x14ac:dyDescent="0.2">
      <c r="A1980" s="22"/>
    </row>
    <row r="1981" spans="1:1" x14ac:dyDescent="0.2">
      <c r="A1981" s="22"/>
    </row>
    <row r="1982" spans="1:1" x14ac:dyDescent="0.2">
      <c r="A1982" s="22"/>
    </row>
    <row r="1983" spans="1:1" x14ac:dyDescent="0.2">
      <c r="A1983" s="22"/>
    </row>
    <row r="1984" spans="1:1" x14ac:dyDescent="0.2">
      <c r="A1984" s="22"/>
    </row>
    <row r="1985" spans="1:1" x14ac:dyDescent="0.2">
      <c r="A1985" s="22"/>
    </row>
    <row r="1986" spans="1:1" x14ac:dyDescent="0.2">
      <c r="A1986" s="22"/>
    </row>
    <row r="1987" spans="1:1" x14ac:dyDescent="0.2">
      <c r="A1987" s="22"/>
    </row>
    <row r="1988" spans="1:1" x14ac:dyDescent="0.2">
      <c r="A1988" s="22"/>
    </row>
    <row r="1989" spans="1:1" x14ac:dyDescent="0.2">
      <c r="A1989" s="22"/>
    </row>
    <row r="1990" spans="1:1" x14ac:dyDescent="0.2">
      <c r="A1990" s="22"/>
    </row>
    <row r="1991" spans="1:1" x14ac:dyDescent="0.2">
      <c r="A1991" s="22"/>
    </row>
    <row r="1992" spans="1:1" x14ac:dyDescent="0.2">
      <c r="A1992" s="22"/>
    </row>
    <row r="1993" spans="1:1" x14ac:dyDescent="0.2">
      <c r="A1993" s="22"/>
    </row>
    <row r="1994" spans="1:1" x14ac:dyDescent="0.2">
      <c r="A1994" s="22"/>
    </row>
    <row r="1995" spans="1:1" x14ac:dyDescent="0.2">
      <c r="A1995" s="22"/>
    </row>
    <row r="1996" spans="1:1" x14ac:dyDescent="0.2">
      <c r="A1996" s="22"/>
    </row>
    <row r="1997" spans="1:1" x14ac:dyDescent="0.2">
      <c r="A1997" s="22"/>
    </row>
    <row r="1998" spans="1:1" x14ac:dyDescent="0.2">
      <c r="A1998" s="22"/>
    </row>
    <row r="1999" spans="1:1" x14ac:dyDescent="0.2">
      <c r="A1999" s="22"/>
    </row>
    <row r="2000" spans="1:1" x14ac:dyDescent="0.2">
      <c r="A2000" s="22"/>
    </row>
    <row r="2001" spans="1:1" x14ac:dyDescent="0.2">
      <c r="A2001" s="22"/>
    </row>
    <row r="2002" spans="1:1" x14ac:dyDescent="0.2">
      <c r="A2002" s="22"/>
    </row>
    <row r="2003" spans="1:1" x14ac:dyDescent="0.2">
      <c r="A2003" s="22"/>
    </row>
    <row r="2004" spans="1:1" x14ac:dyDescent="0.2">
      <c r="A2004" s="22"/>
    </row>
    <row r="2005" spans="1:1" x14ac:dyDescent="0.2">
      <c r="A2005" s="22"/>
    </row>
    <row r="2006" spans="1:1" x14ac:dyDescent="0.2">
      <c r="A2006" s="22"/>
    </row>
    <row r="2007" spans="1:1" x14ac:dyDescent="0.2">
      <c r="A2007" s="22"/>
    </row>
    <row r="2008" spans="1:1" x14ac:dyDescent="0.2">
      <c r="A2008" s="22"/>
    </row>
    <row r="2009" spans="1:1" x14ac:dyDescent="0.2">
      <c r="A2009" s="22"/>
    </row>
    <row r="2010" spans="1:1" x14ac:dyDescent="0.2">
      <c r="A2010" s="22"/>
    </row>
    <row r="2011" spans="1:1" x14ac:dyDescent="0.2">
      <c r="A2011" s="22"/>
    </row>
    <row r="2012" spans="1:1" x14ac:dyDescent="0.2">
      <c r="A2012" s="22"/>
    </row>
    <row r="2013" spans="1:1" x14ac:dyDescent="0.2">
      <c r="A2013" s="22"/>
    </row>
    <row r="2014" spans="1:1" x14ac:dyDescent="0.2">
      <c r="A2014" s="22"/>
    </row>
    <row r="2015" spans="1:1" x14ac:dyDescent="0.2">
      <c r="A2015" s="22"/>
    </row>
    <row r="2016" spans="1:1" x14ac:dyDescent="0.2">
      <c r="A2016" s="22"/>
    </row>
    <row r="2017" spans="1:1" x14ac:dyDescent="0.2">
      <c r="A2017" s="22"/>
    </row>
    <row r="2018" spans="1:1" x14ac:dyDescent="0.2">
      <c r="A2018" s="22"/>
    </row>
    <row r="2019" spans="1:1" x14ac:dyDescent="0.2">
      <c r="A2019" s="22"/>
    </row>
    <row r="2020" spans="1:1" x14ac:dyDescent="0.2">
      <c r="A2020" s="22"/>
    </row>
    <row r="2021" spans="1:1" x14ac:dyDescent="0.2">
      <c r="A2021" s="22"/>
    </row>
    <row r="2022" spans="1:1" x14ac:dyDescent="0.2">
      <c r="A2022" s="22"/>
    </row>
    <row r="2023" spans="1:1" x14ac:dyDescent="0.2">
      <c r="A2023" s="22"/>
    </row>
    <row r="2024" spans="1:1" x14ac:dyDescent="0.2">
      <c r="A2024" s="22"/>
    </row>
    <row r="2025" spans="1:1" x14ac:dyDescent="0.2">
      <c r="A2025" s="22"/>
    </row>
    <row r="2026" spans="1:1" x14ac:dyDescent="0.2">
      <c r="A2026" s="22"/>
    </row>
    <row r="2027" spans="1:1" x14ac:dyDescent="0.2">
      <c r="A2027" s="22"/>
    </row>
    <row r="2028" spans="1:1" x14ac:dyDescent="0.2">
      <c r="A2028" s="22"/>
    </row>
    <row r="2029" spans="1:1" x14ac:dyDescent="0.2">
      <c r="A2029" s="22"/>
    </row>
    <row r="2030" spans="1:1" x14ac:dyDescent="0.2">
      <c r="A2030" s="22"/>
    </row>
    <row r="2031" spans="1:1" x14ac:dyDescent="0.2">
      <c r="A2031" s="22"/>
    </row>
    <row r="2032" spans="1:1" x14ac:dyDescent="0.2">
      <c r="A2032" s="22"/>
    </row>
    <row r="2033" spans="1:1" x14ac:dyDescent="0.2">
      <c r="A2033" s="22"/>
    </row>
    <row r="2034" spans="1:1" x14ac:dyDescent="0.2">
      <c r="A2034" s="22"/>
    </row>
    <row r="2035" spans="1:1" x14ac:dyDescent="0.2">
      <c r="A2035" s="22"/>
    </row>
    <row r="2036" spans="1:1" x14ac:dyDescent="0.2">
      <c r="A2036" s="22"/>
    </row>
    <row r="2037" spans="1:1" x14ac:dyDescent="0.2">
      <c r="A2037" s="22"/>
    </row>
    <row r="2038" spans="1:1" x14ac:dyDescent="0.2">
      <c r="A2038" s="22"/>
    </row>
    <row r="2039" spans="1:1" x14ac:dyDescent="0.2">
      <c r="A2039" s="22"/>
    </row>
    <row r="2040" spans="1:1" x14ac:dyDescent="0.2">
      <c r="A2040" s="22"/>
    </row>
    <row r="2041" spans="1:1" x14ac:dyDescent="0.2">
      <c r="A2041" s="22"/>
    </row>
    <row r="2042" spans="1:1" x14ac:dyDescent="0.2">
      <c r="A2042" s="22"/>
    </row>
    <row r="2043" spans="1:1" x14ac:dyDescent="0.2">
      <c r="A2043" s="22"/>
    </row>
    <row r="2044" spans="1:1" x14ac:dyDescent="0.2">
      <c r="A2044" s="22"/>
    </row>
    <row r="2045" spans="1:1" x14ac:dyDescent="0.2">
      <c r="A2045" s="22"/>
    </row>
    <row r="2046" spans="1:1" x14ac:dyDescent="0.2">
      <c r="A2046" s="22"/>
    </row>
    <row r="2047" spans="1:1" x14ac:dyDescent="0.2">
      <c r="A2047" s="22"/>
    </row>
    <row r="2048" spans="1:1" x14ac:dyDescent="0.2">
      <c r="A2048" s="22"/>
    </row>
    <row r="2049" spans="1:1" x14ac:dyDescent="0.2">
      <c r="A2049" s="22"/>
    </row>
    <row r="2050" spans="1:1" x14ac:dyDescent="0.2">
      <c r="A2050" s="22"/>
    </row>
    <row r="2051" spans="1:1" x14ac:dyDescent="0.2">
      <c r="A2051" s="22"/>
    </row>
    <row r="2052" spans="1:1" x14ac:dyDescent="0.2">
      <c r="A2052" s="22"/>
    </row>
    <row r="2053" spans="1:1" x14ac:dyDescent="0.2">
      <c r="A2053" s="22"/>
    </row>
    <row r="2054" spans="1:1" x14ac:dyDescent="0.2">
      <c r="A2054" s="22"/>
    </row>
    <row r="2055" spans="1:1" x14ac:dyDescent="0.2">
      <c r="A2055" s="22"/>
    </row>
    <row r="2056" spans="1:1" x14ac:dyDescent="0.2">
      <c r="A2056" s="22"/>
    </row>
    <row r="2057" spans="1:1" x14ac:dyDescent="0.2">
      <c r="A2057" s="22"/>
    </row>
    <row r="2058" spans="1:1" x14ac:dyDescent="0.2">
      <c r="A2058" s="22"/>
    </row>
    <row r="2059" spans="1:1" x14ac:dyDescent="0.2">
      <c r="A2059" s="22"/>
    </row>
    <row r="2060" spans="1:1" x14ac:dyDescent="0.2">
      <c r="A2060" s="22"/>
    </row>
    <row r="2061" spans="1:1" x14ac:dyDescent="0.2">
      <c r="A2061" s="22"/>
    </row>
    <row r="2062" spans="1:1" x14ac:dyDescent="0.2">
      <c r="A2062" s="22"/>
    </row>
    <row r="2063" spans="1:1" x14ac:dyDescent="0.2">
      <c r="A2063" s="22"/>
    </row>
    <row r="2064" spans="1:1" x14ac:dyDescent="0.2">
      <c r="A2064" s="22"/>
    </row>
    <row r="2065" spans="1:1" x14ac:dyDescent="0.2">
      <c r="A2065" s="22"/>
    </row>
    <row r="2066" spans="1:1" x14ac:dyDescent="0.2">
      <c r="A2066" s="22"/>
    </row>
    <row r="2067" spans="1:1" x14ac:dyDescent="0.2">
      <c r="A2067" s="22"/>
    </row>
    <row r="2068" spans="1:1" x14ac:dyDescent="0.2">
      <c r="A2068" s="22"/>
    </row>
    <row r="2069" spans="1:1" x14ac:dyDescent="0.2">
      <c r="A2069" s="22"/>
    </row>
    <row r="2070" spans="1:1" x14ac:dyDescent="0.2">
      <c r="A2070" s="22"/>
    </row>
    <row r="2071" spans="1:1" x14ac:dyDescent="0.2">
      <c r="A2071" s="22"/>
    </row>
    <row r="2072" spans="1:1" x14ac:dyDescent="0.2">
      <c r="A2072" s="22"/>
    </row>
    <row r="2073" spans="1:1" x14ac:dyDescent="0.2">
      <c r="A2073" s="22"/>
    </row>
    <row r="2074" spans="1:1" x14ac:dyDescent="0.2">
      <c r="A2074" s="22"/>
    </row>
    <row r="2075" spans="1:1" x14ac:dyDescent="0.2">
      <c r="A2075" s="22"/>
    </row>
    <row r="2076" spans="1:1" x14ac:dyDescent="0.2">
      <c r="A2076" s="22"/>
    </row>
    <row r="2077" spans="1:1" x14ac:dyDescent="0.2">
      <c r="A2077" s="22"/>
    </row>
    <row r="2078" spans="1:1" x14ac:dyDescent="0.2">
      <c r="A2078" s="22"/>
    </row>
    <row r="2079" spans="1:1" x14ac:dyDescent="0.2">
      <c r="A2079" s="22"/>
    </row>
    <row r="2080" spans="1:1" x14ac:dyDescent="0.2">
      <c r="A2080" s="22"/>
    </row>
    <row r="2081" spans="1:1" x14ac:dyDescent="0.2">
      <c r="A2081" s="22"/>
    </row>
    <row r="2082" spans="1:1" x14ac:dyDescent="0.2">
      <c r="A2082" s="22"/>
    </row>
    <row r="2083" spans="1:1" x14ac:dyDescent="0.2">
      <c r="A2083" s="22"/>
    </row>
    <row r="2084" spans="1:1" x14ac:dyDescent="0.2">
      <c r="A2084" s="22"/>
    </row>
    <row r="2085" spans="1:1" x14ac:dyDescent="0.2">
      <c r="A2085" s="22"/>
    </row>
    <row r="2086" spans="1:1" x14ac:dyDescent="0.2">
      <c r="A2086" s="22"/>
    </row>
    <row r="2087" spans="1:1" x14ac:dyDescent="0.2">
      <c r="A2087" s="22"/>
    </row>
    <row r="2088" spans="1:1" x14ac:dyDescent="0.2">
      <c r="A2088" s="22"/>
    </row>
    <row r="2089" spans="1:1" x14ac:dyDescent="0.2">
      <c r="A2089" s="22"/>
    </row>
    <row r="2090" spans="1:1" x14ac:dyDescent="0.2">
      <c r="A2090" s="22"/>
    </row>
    <row r="2091" spans="1:1" x14ac:dyDescent="0.2">
      <c r="A2091" s="22"/>
    </row>
    <row r="2092" spans="1:1" x14ac:dyDescent="0.2">
      <c r="A2092" s="22"/>
    </row>
    <row r="2093" spans="1:1" x14ac:dyDescent="0.2">
      <c r="A2093" s="22"/>
    </row>
    <row r="2094" spans="1:1" x14ac:dyDescent="0.2">
      <c r="A2094" s="22"/>
    </row>
    <row r="2095" spans="1:1" x14ac:dyDescent="0.2">
      <c r="A2095" s="22"/>
    </row>
    <row r="2096" spans="1:1" x14ac:dyDescent="0.2">
      <c r="A2096" s="22"/>
    </row>
    <row r="2097" spans="1:1" x14ac:dyDescent="0.2">
      <c r="A2097" s="22"/>
    </row>
    <row r="2098" spans="1:1" x14ac:dyDescent="0.2">
      <c r="A2098" s="22"/>
    </row>
    <row r="2099" spans="1:1" x14ac:dyDescent="0.2">
      <c r="A2099" s="22"/>
    </row>
    <row r="2100" spans="1:1" x14ac:dyDescent="0.2">
      <c r="A2100" s="22"/>
    </row>
    <row r="2101" spans="1:1" x14ac:dyDescent="0.2">
      <c r="A2101" s="22"/>
    </row>
    <row r="2102" spans="1:1" x14ac:dyDescent="0.2">
      <c r="A2102" s="22"/>
    </row>
    <row r="2103" spans="1:1" x14ac:dyDescent="0.2">
      <c r="A2103" s="22"/>
    </row>
    <row r="2104" spans="1:1" x14ac:dyDescent="0.2">
      <c r="A2104" s="22"/>
    </row>
    <row r="2105" spans="1:1" x14ac:dyDescent="0.2">
      <c r="A2105" s="22"/>
    </row>
    <row r="2106" spans="1:1" x14ac:dyDescent="0.2">
      <c r="A2106" s="22"/>
    </row>
    <row r="2107" spans="1:1" x14ac:dyDescent="0.2">
      <c r="A2107" s="22"/>
    </row>
    <row r="2108" spans="1:1" x14ac:dyDescent="0.2">
      <c r="A2108" s="22"/>
    </row>
    <row r="2109" spans="1:1" x14ac:dyDescent="0.2">
      <c r="A2109" s="22"/>
    </row>
    <row r="2110" spans="1:1" x14ac:dyDescent="0.2">
      <c r="A2110" s="22"/>
    </row>
    <row r="2111" spans="1:1" x14ac:dyDescent="0.2">
      <c r="A2111" s="22"/>
    </row>
    <row r="2112" spans="1:1" x14ac:dyDescent="0.2">
      <c r="A2112" s="22"/>
    </row>
    <row r="2113" spans="1:1" x14ac:dyDescent="0.2">
      <c r="A2113" s="22"/>
    </row>
    <row r="2114" spans="1:1" x14ac:dyDescent="0.2">
      <c r="A2114" s="22"/>
    </row>
    <row r="2115" spans="1:1" x14ac:dyDescent="0.2">
      <c r="A2115" s="22"/>
    </row>
    <row r="2116" spans="1:1" x14ac:dyDescent="0.2">
      <c r="A2116" s="22"/>
    </row>
    <row r="2117" spans="1:1" x14ac:dyDescent="0.2">
      <c r="A2117" s="22"/>
    </row>
    <row r="2118" spans="1:1" x14ac:dyDescent="0.2">
      <c r="A2118" s="22"/>
    </row>
    <row r="2119" spans="1:1" x14ac:dyDescent="0.2">
      <c r="A2119" s="22"/>
    </row>
    <row r="2120" spans="1:1" x14ac:dyDescent="0.2">
      <c r="A2120" s="22"/>
    </row>
    <row r="2121" spans="1:1" x14ac:dyDescent="0.2">
      <c r="A2121" s="22"/>
    </row>
    <row r="2122" spans="1:1" x14ac:dyDescent="0.2">
      <c r="A2122" s="22"/>
    </row>
    <row r="2123" spans="1:1" x14ac:dyDescent="0.2">
      <c r="A2123" s="22"/>
    </row>
    <row r="2124" spans="1:1" x14ac:dyDescent="0.2">
      <c r="A2124" s="22"/>
    </row>
    <row r="2125" spans="1:1" x14ac:dyDescent="0.2">
      <c r="A2125" s="22"/>
    </row>
    <row r="2126" spans="1:1" x14ac:dyDescent="0.2">
      <c r="A2126" s="22"/>
    </row>
    <row r="2127" spans="1:1" x14ac:dyDescent="0.2">
      <c r="A2127" s="22"/>
    </row>
    <row r="2128" spans="1:1" x14ac:dyDescent="0.2">
      <c r="A2128" s="22"/>
    </row>
    <row r="2129" spans="1:1" x14ac:dyDescent="0.2">
      <c r="A2129" s="22"/>
    </row>
    <row r="2130" spans="1:1" x14ac:dyDescent="0.2">
      <c r="A2130" s="22"/>
    </row>
    <row r="2131" spans="1:1" x14ac:dyDescent="0.2">
      <c r="A2131" s="22"/>
    </row>
    <row r="2132" spans="1:1" x14ac:dyDescent="0.2">
      <c r="A2132" s="22"/>
    </row>
    <row r="2133" spans="1:1" x14ac:dyDescent="0.2">
      <c r="A2133" s="22"/>
    </row>
    <row r="2134" spans="1:1" x14ac:dyDescent="0.2">
      <c r="A2134" s="22"/>
    </row>
    <row r="2135" spans="1:1" x14ac:dyDescent="0.2">
      <c r="A2135" s="22"/>
    </row>
    <row r="2136" spans="1:1" x14ac:dyDescent="0.2">
      <c r="A2136" s="22"/>
    </row>
    <row r="2137" spans="1:1" x14ac:dyDescent="0.2">
      <c r="A2137" s="22"/>
    </row>
    <row r="2138" spans="1:1" x14ac:dyDescent="0.2">
      <c r="A2138" s="22"/>
    </row>
    <row r="2139" spans="1:1" x14ac:dyDescent="0.2">
      <c r="A2139" s="22"/>
    </row>
    <row r="2140" spans="1:1" x14ac:dyDescent="0.2">
      <c r="A2140" s="22"/>
    </row>
    <row r="2141" spans="1:1" x14ac:dyDescent="0.2">
      <c r="A2141" s="22"/>
    </row>
    <row r="2142" spans="1:1" x14ac:dyDescent="0.2">
      <c r="A2142" s="22"/>
    </row>
    <row r="2143" spans="1:1" x14ac:dyDescent="0.2">
      <c r="A2143" s="22"/>
    </row>
    <row r="2144" spans="1:1" x14ac:dyDescent="0.2">
      <c r="A2144" s="22"/>
    </row>
    <row r="2145" spans="1:1" x14ac:dyDescent="0.2">
      <c r="A2145" s="22"/>
    </row>
    <row r="2146" spans="1:1" x14ac:dyDescent="0.2">
      <c r="A2146" s="22"/>
    </row>
    <row r="2147" spans="1:1" x14ac:dyDescent="0.2">
      <c r="A2147" s="22"/>
    </row>
    <row r="2148" spans="1:1" x14ac:dyDescent="0.2">
      <c r="A2148" s="22"/>
    </row>
    <row r="2149" spans="1:1" x14ac:dyDescent="0.2">
      <c r="A2149" s="22"/>
    </row>
    <row r="2150" spans="1:1" x14ac:dyDescent="0.2">
      <c r="A2150" s="22"/>
    </row>
    <row r="2151" spans="1:1" x14ac:dyDescent="0.2">
      <c r="A2151" s="22"/>
    </row>
    <row r="2152" spans="1:1" x14ac:dyDescent="0.2">
      <c r="A2152" s="22"/>
    </row>
    <row r="2153" spans="1:1" x14ac:dyDescent="0.2">
      <c r="A2153" s="22"/>
    </row>
    <row r="2154" spans="1:1" x14ac:dyDescent="0.2">
      <c r="A2154" s="22"/>
    </row>
    <row r="2155" spans="1:1" x14ac:dyDescent="0.2">
      <c r="A2155" s="22"/>
    </row>
    <row r="2156" spans="1:1" x14ac:dyDescent="0.2">
      <c r="A2156" s="22"/>
    </row>
    <row r="2157" spans="1:1" x14ac:dyDescent="0.2">
      <c r="A2157" s="22"/>
    </row>
    <row r="2158" spans="1:1" x14ac:dyDescent="0.2">
      <c r="A2158" s="22"/>
    </row>
    <row r="2159" spans="1:1" x14ac:dyDescent="0.2">
      <c r="A2159" s="22"/>
    </row>
    <row r="2160" spans="1:1" x14ac:dyDescent="0.2">
      <c r="A2160" s="22"/>
    </row>
    <row r="2161" spans="1:1" x14ac:dyDescent="0.2">
      <c r="A2161" s="22"/>
    </row>
    <row r="2162" spans="1:1" x14ac:dyDescent="0.2">
      <c r="A2162" s="22"/>
    </row>
    <row r="2163" spans="1:1" x14ac:dyDescent="0.2">
      <c r="A2163" s="22"/>
    </row>
    <row r="2164" spans="1:1" x14ac:dyDescent="0.2">
      <c r="A2164" s="22"/>
    </row>
    <row r="2165" spans="1:1" x14ac:dyDescent="0.2">
      <c r="A2165" s="22"/>
    </row>
    <row r="2166" spans="1:1" x14ac:dyDescent="0.2">
      <c r="A2166" s="22"/>
    </row>
    <row r="2167" spans="1:1" x14ac:dyDescent="0.2">
      <c r="A2167" s="22"/>
    </row>
    <row r="2168" spans="1:1" x14ac:dyDescent="0.2">
      <c r="A2168" s="22"/>
    </row>
    <row r="2169" spans="1:1" x14ac:dyDescent="0.2">
      <c r="A2169" s="22"/>
    </row>
    <row r="2170" spans="1:1" x14ac:dyDescent="0.2">
      <c r="A2170" s="22"/>
    </row>
    <row r="2171" spans="1:1" x14ac:dyDescent="0.2">
      <c r="A2171" s="22"/>
    </row>
    <row r="2172" spans="1:1" x14ac:dyDescent="0.2">
      <c r="A2172" s="22"/>
    </row>
    <row r="2173" spans="1:1" x14ac:dyDescent="0.2">
      <c r="A2173" s="22"/>
    </row>
    <row r="2174" spans="1:1" x14ac:dyDescent="0.2">
      <c r="A2174" s="22"/>
    </row>
    <row r="2175" spans="1:1" x14ac:dyDescent="0.2">
      <c r="A2175" s="22"/>
    </row>
    <row r="2176" spans="1:1" x14ac:dyDescent="0.2">
      <c r="A2176" s="22"/>
    </row>
    <row r="2177" spans="1:1" x14ac:dyDescent="0.2">
      <c r="A2177" s="22"/>
    </row>
    <row r="2178" spans="1:1" x14ac:dyDescent="0.2">
      <c r="A2178" s="22"/>
    </row>
    <row r="2179" spans="1:1" x14ac:dyDescent="0.2">
      <c r="A2179" s="22"/>
    </row>
    <row r="2180" spans="1:1" x14ac:dyDescent="0.2">
      <c r="A2180" s="22"/>
    </row>
    <row r="2181" spans="1:1" x14ac:dyDescent="0.2">
      <c r="A2181" s="22"/>
    </row>
    <row r="2182" spans="1:1" x14ac:dyDescent="0.2">
      <c r="A2182" s="22"/>
    </row>
    <row r="2183" spans="1:1" x14ac:dyDescent="0.2">
      <c r="A2183" s="22"/>
    </row>
    <row r="2184" spans="1:1" x14ac:dyDescent="0.2">
      <c r="A2184" s="22"/>
    </row>
    <row r="2185" spans="1:1" x14ac:dyDescent="0.2">
      <c r="A2185" s="22"/>
    </row>
    <row r="2186" spans="1:1" x14ac:dyDescent="0.2">
      <c r="A2186" s="22"/>
    </row>
    <row r="2187" spans="1:1" x14ac:dyDescent="0.2">
      <c r="A2187" s="22"/>
    </row>
    <row r="2188" spans="1:1" x14ac:dyDescent="0.2">
      <c r="A2188" s="22"/>
    </row>
    <row r="2189" spans="1:1" x14ac:dyDescent="0.2">
      <c r="A2189" s="22"/>
    </row>
    <row r="2190" spans="1:1" x14ac:dyDescent="0.2">
      <c r="A2190" s="22"/>
    </row>
    <row r="2191" spans="1:1" x14ac:dyDescent="0.2">
      <c r="A2191" s="22"/>
    </row>
    <row r="2192" spans="1:1" x14ac:dyDescent="0.2">
      <c r="A2192" s="22"/>
    </row>
    <row r="2193" spans="1:1" x14ac:dyDescent="0.2">
      <c r="A2193" s="22"/>
    </row>
    <row r="2194" spans="1:1" x14ac:dyDescent="0.2">
      <c r="A2194" s="22"/>
    </row>
    <row r="2195" spans="1:1" x14ac:dyDescent="0.2">
      <c r="A2195" s="22"/>
    </row>
    <row r="2196" spans="1:1" x14ac:dyDescent="0.2">
      <c r="A2196" s="22"/>
    </row>
    <row r="2197" spans="1:1" x14ac:dyDescent="0.2">
      <c r="A2197" s="22"/>
    </row>
    <row r="2198" spans="1:1" x14ac:dyDescent="0.2">
      <c r="A2198" s="22"/>
    </row>
    <row r="2199" spans="1:1" x14ac:dyDescent="0.2">
      <c r="A2199" s="22"/>
    </row>
    <row r="2200" spans="1:1" x14ac:dyDescent="0.2">
      <c r="A2200" s="22"/>
    </row>
    <row r="2201" spans="1:1" x14ac:dyDescent="0.2">
      <c r="A2201" s="22"/>
    </row>
    <row r="2202" spans="1:1" x14ac:dyDescent="0.2">
      <c r="A2202" s="22"/>
    </row>
    <row r="2203" spans="1:1" x14ac:dyDescent="0.2">
      <c r="A2203" s="22"/>
    </row>
    <row r="2204" spans="1:1" x14ac:dyDescent="0.2">
      <c r="A2204" s="22"/>
    </row>
    <row r="2205" spans="1:1" x14ac:dyDescent="0.2">
      <c r="A2205" s="22"/>
    </row>
    <row r="2206" spans="1:1" x14ac:dyDescent="0.2">
      <c r="A2206" s="22"/>
    </row>
    <row r="2207" spans="1:1" x14ac:dyDescent="0.2">
      <c r="A2207" s="22"/>
    </row>
    <row r="2208" spans="1:1" x14ac:dyDescent="0.2">
      <c r="A2208" s="22"/>
    </row>
    <row r="2209" spans="1:1" x14ac:dyDescent="0.2">
      <c r="A2209" s="22"/>
    </row>
    <row r="2210" spans="1:1" x14ac:dyDescent="0.2">
      <c r="A2210" s="22"/>
    </row>
    <row r="2211" spans="1:1" x14ac:dyDescent="0.2">
      <c r="A2211" s="22"/>
    </row>
    <row r="2212" spans="1:1" x14ac:dyDescent="0.2">
      <c r="A2212" s="22"/>
    </row>
    <row r="2213" spans="1:1" x14ac:dyDescent="0.2">
      <c r="A2213" s="22"/>
    </row>
    <row r="2214" spans="1:1" x14ac:dyDescent="0.2">
      <c r="A2214" s="22"/>
    </row>
    <row r="2215" spans="1:1" x14ac:dyDescent="0.2">
      <c r="A2215" s="22"/>
    </row>
    <row r="2216" spans="1:1" x14ac:dyDescent="0.2">
      <c r="A2216" s="22"/>
    </row>
    <row r="2217" spans="1:1" x14ac:dyDescent="0.2">
      <c r="A2217" s="22"/>
    </row>
    <row r="2218" spans="1:1" x14ac:dyDescent="0.2">
      <c r="A2218" s="22"/>
    </row>
    <row r="2219" spans="1:1" x14ac:dyDescent="0.2">
      <c r="A2219" s="22"/>
    </row>
    <row r="2220" spans="1:1" x14ac:dyDescent="0.2">
      <c r="A2220" s="22"/>
    </row>
    <row r="2221" spans="1:1" x14ac:dyDescent="0.2">
      <c r="A2221" s="22"/>
    </row>
    <row r="2222" spans="1:1" x14ac:dyDescent="0.2">
      <c r="A2222" s="22"/>
    </row>
    <row r="2223" spans="1:1" x14ac:dyDescent="0.2">
      <c r="A2223" s="22"/>
    </row>
    <row r="2224" spans="1:1" x14ac:dyDescent="0.2">
      <c r="A2224" s="22"/>
    </row>
    <row r="2225" spans="1:1" x14ac:dyDescent="0.2">
      <c r="A2225" s="22"/>
    </row>
    <row r="2226" spans="1:1" x14ac:dyDescent="0.2">
      <c r="A2226" s="22"/>
    </row>
    <row r="2227" spans="1:1" x14ac:dyDescent="0.2">
      <c r="A2227" s="22"/>
    </row>
    <row r="2228" spans="1:1" x14ac:dyDescent="0.2">
      <c r="A2228" s="22"/>
    </row>
    <row r="2229" spans="1:1" x14ac:dyDescent="0.2">
      <c r="A2229" s="22"/>
    </row>
    <row r="2230" spans="1:1" x14ac:dyDescent="0.2">
      <c r="A2230" s="22"/>
    </row>
    <row r="2231" spans="1:1" x14ac:dyDescent="0.2">
      <c r="A2231" s="22"/>
    </row>
    <row r="2232" spans="1:1" x14ac:dyDescent="0.2">
      <c r="A2232" s="22"/>
    </row>
    <row r="2233" spans="1:1" x14ac:dyDescent="0.2">
      <c r="A2233" s="22"/>
    </row>
    <row r="2234" spans="1:1" x14ac:dyDescent="0.2">
      <c r="A2234" s="22"/>
    </row>
    <row r="2235" spans="1:1" x14ac:dyDescent="0.2">
      <c r="A2235" s="22"/>
    </row>
    <row r="2236" spans="1:1" x14ac:dyDescent="0.2">
      <c r="A2236" s="22"/>
    </row>
    <row r="2237" spans="1:1" x14ac:dyDescent="0.2">
      <c r="A2237" s="22"/>
    </row>
    <row r="2238" spans="1:1" x14ac:dyDescent="0.2">
      <c r="A2238" s="22"/>
    </row>
    <row r="2239" spans="1:1" x14ac:dyDescent="0.2">
      <c r="A2239" s="22"/>
    </row>
    <row r="2240" spans="1:1" x14ac:dyDescent="0.2">
      <c r="A2240" s="22"/>
    </row>
    <row r="2241" spans="1:1" x14ac:dyDescent="0.2">
      <c r="A2241" s="22"/>
    </row>
    <row r="2242" spans="1:1" x14ac:dyDescent="0.2">
      <c r="A2242" s="22"/>
    </row>
    <row r="2243" spans="1:1" x14ac:dyDescent="0.2">
      <c r="A2243" s="22"/>
    </row>
    <row r="2244" spans="1:1" x14ac:dyDescent="0.2">
      <c r="A2244" s="22"/>
    </row>
    <row r="2245" spans="1:1" x14ac:dyDescent="0.2">
      <c r="A2245" s="22"/>
    </row>
    <row r="2246" spans="1:1" x14ac:dyDescent="0.2">
      <c r="A2246" s="22"/>
    </row>
    <row r="2247" spans="1:1" x14ac:dyDescent="0.2">
      <c r="A2247" s="22"/>
    </row>
    <row r="2248" spans="1:1" x14ac:dyDescent="0.2">
      <c r="A2248" s="22"/>
    </row>
    <row r="2249" spans="1:1" x14ac:dyDescent="0.2">
      <c r="A2249" s="22"/>
    </row>
    <row r="2250" spans="1:1" x14ac:dyDescent="0.2">
      <c r="A2250" s="22"/>
    </row>
    <row r="2251" spans="1:1" x14ac:dyDescent="0.2">
      <c r="A2251" s="22"/>
    </row>
    <row r="2252" spans="1:1" x14ac:dyDescent="0.2">
      <c r="A2252" s="22"/>
    </row>
    <row r="2253" spans="1:1" x14ac:dyDescent="0.2">
      <c r="A2253" s="22"/>
    </row>
    <row r="2254" spans="1:1" x14ac:dyDescent="0.2">
      <c r="A2254" s="22"/>
    </row>
    <row r="2255" spans="1:1" x14ac:dyDescent="0.2">
      <c r="A2255" s="22"/>
    </row>
    <row r="2256" spans="1:1" x14ac:dyDescent="0.2">
      <c r="A2256" s="22"/>
    </row>
    <row r="2257" spans="1:1" x14ac:dyDescent="0.2">
      <c r="A2257" s="22"/>
    </row>
    <row r="2258" spans="1:1" x14ac:dyDescent="0.2">
      <c r="A2258" s="22"/>
    </row>
    <row r="2259" spans="1:1" x14ac:dyDescent="0.2">
      <c r="A2259" s="22"/>
    </row>
    <row r="2260" spans="1:1" x14ac:dyDescent="0.2">
      <c r="A2260" s="22"/>
    </row>
    <row r="2261" spans="1:1" x14ac:dyDescent="0.2">
      <c r="A2261" s="22"/>
    </row>
    <row r="2262" spans="1:1" x14ac:dyDescent="0.2">
      <c r="A2262" s="22"/>
    </row>
    <row r="2263" spans="1:1" x14ac:dyDescent="0.2">
      <c r="A2263" s="22"/>
    </row>
    <row r="2264" spans="1:1" x14ac:dyDescent="0.2">
      <c r="A2264" s="22"/>
    </row>
    <row r="2265" spans="1:1" x14ac:dyDescent="0.2">
      <c r="A2265" s="22"/>
    </row>
    <row r="2266" spans="1:1" x14ac:dyDescent="0.2">
      <c r="A2266" s="22"/>
    </row>
    <row r="2267" spans="1:1" x14ac:dyDescent="0.2">
      <c r="A2267" s="22"/>
    </row>
    <row r="2268" spans="1:1" x14ac:dyDescent="0.2">
      <c r="A2268" s="22"/>
    </row>
    <row r="2269" spans="1:1" x14ac:dyDescent="0.2">
      <c r="A2269" s="22"/>
    </row>
    <row r="2270" spans="1:1" x14ac:dyDescent="0.2">
      <c r="A2270" s="22"/>
    </row>
    <row r="2271" spans="1:1" x14ac:dyDescent="0.2">
      <c r="A2271" s="22"/>
    </row>
    <row r="2272" spans="1:1" x14ac:dyDescent="0.2">
      <c r="A2272" s="22"/>
    </row>
    <row r="2273" spans="1:1" x14ac:dyDescent="0.2">
      <c r="A2273" s="22"/>
    </row>
    <row r="2274" spans="1:1" x14ac:dyDescent="0.2">
      <c r="A2274" s="22"/>
    </row>
    <row r="2275" spans="1:1" x14ac:dyDescent="0.2">
      <c r="A2275" s="22"/>
    </row>
    <row r="2276" spans="1:1" x14ac:dyDescent="0.2">
      <c r="A2276" s="22"/>
    </row>
    <row r="2277" spans="1:1" x14ac:dyDescent="0.2">
      <c r="A2277" s="22"/>
    </row>
    <row r="2278" spans="1:1" x14ac:dyDescent="0.2">
      <c r="A2278" s="22"/>
    </row>
    <row r="2279" spans="1:1" x14ac:dyDescent="0.2">
      <c r="A2279" s="22"/>
    </row>
    <row r="2280" spans="1:1" x14ac:dyDescent="0.2">
      <c r="A2280" s="22"/>
    </row>
    <row r="2281" spans="1:1" x14ac:dyDescent="0.2">
      <c r="A2281" s="22"/>
    </row>
    <row r="2282" spans="1:1" x14ac:dyDescent="0.2">
      <c r="A2282" s="22"/>
    </row>
    <row r="2283" spans="1:1" x14ac:dyDescent="0.2">
      <c r="A2283" s="22"/>
    </row>
    <row r="2284" spans="1:1" x14ac:dyDescent="0.2">
      <c r="A2284" s="22"/>
    </row>
    <row r="2285" spans="1:1" x14ac:dyDescent="0.2">
      <c r="A2285" s="22"/>
    </row>
    <row r="2286" spans="1:1" x14ac:dyDescent="0.2">
      <c r="A2286" s="22"/>
    </row>
    <row r="2287" spans="1:1" x14ac:dyDescent="0.2">
      <c r="A2287" s="22"/>
    </row>
    <row r="2288" spans="1:1" x14ac:dyDescent="0.2">
      <c r="A2288" s="22"/>
    </row>
    <row r="2289" spans="1:1" x14ac:dyDescent="0.2">
      <c r="A2289" s="22"/>
    </row>
    <row r="2290" spans="1:1" x14ac:dyDescent="0.2">
      <c r="A2290" s="22"/>
    </row>
    <row r="2291" spans="1:1" x14ac:dyDescent="0.2">
      <c r="A2291" s="22"/>
    </row>
    <row r="2292" spans="1:1" x14ac:dyDescent="0.2">
      <c r="A2292" s="22"/>
    </row>
    <row r="2293" spans="1:1" x14ac:dyDescent="0.2">
      <c r="A2293" s="22"/>
    </row>
    <row r="2294" spans="1:1" x14ac:dyDescent="0.2">
      <c r="A2294" s="22"/>
    </row>
    <row r="2295" spans="1:1" x14ac:dyDescent="0.2">
      <c r="A2295" s="22"/>
    </row>
    <row r="2296" spans="1:1" x14ac:dyDescent="0.2">
      <c r="A2296" s="22"/>
    </row>
    <row r="2297" spans="1:1" x14ac:dyDescent="0.2">
      <c r="A2297" s="22"/>
    </row>
    <row r="2298" spans="1:1" x14ac:dyDescent="0.2">
      <c r="A2298" s="22"/>
    </row>
    <row r="2299" spans="1:1" x14ac:dyDescent="0.2">
      <c r="A2299" s="22"/>
    </row>
    <row r="2300" spans="1:1" x14ac:dyDescent="0.2">
      <c r="A2300" s="22"/>
    </row>
    <row r="2301" spans="1:1" x14ac:dyDescent="0.2">
      <c r="A2301" s="22"/>
    </row>
    <row r="2302" spans="1:1" x14ac:dyDescent="0.2">
      <c r="A2302" s="22"/>
    </row>
    <row r="2303" spans="1:1" x14ac:dyDescent="0.2">
      <c r="A2303" s="22"/>
    </row>
    <row r="2304" spans="1:1" x14ac:dyDescent="0.2">
      <c r="A2304" s="22"/>
    </row>
    <row r="2305" spans="1:1" x14ac:dyDescent="0.2">
      <c r="A2305" s="22"/>
    </row>
    <row r="2306" spans="1:1" x14ac:dyDescent="0.2">
      <c r="A2306" s="22"/>
    </row>
    <row r="2307" spans="1:1" x14ac:dyDescent="0.2">
      <c r="A2307" s="22"/>
    </row>
    <row r="2308" spans="1:1" x14ac:dyDescent="0.2">
      <c r="A2308" s="22"/>
    </row>
    <row r="2309" spans="1:1" x14ac:dyDescent="0.2">
      <c r="A2309" s="22"/>
    </row>
    <row r="2310" spans="1:1" x14ac:dyDescent="0.2">
      <c r="A2310" s="22"/>
    </row>
    <row r="2311" spans="1:1" x14ac:dyDescent="0.2">
      <c r="A2311" s="22"/>
    </row>
    <row r="2312" spans="1:1" x14ac:dyDescent="0.2">
      <c r="A2312" s="22"/>
    </row>
    <row r="2313" spans="1:1" x14ac:dyDescent="0.2">
      <c r="A2313" s="22"/>
    </row>
    <row r="2314" spans="1:1" x14ac:dyDescent="0.2">
      <c r="A2314" s="22"/>
    </row>
    <row r="2315" spans="1:1" x14ac:dyDescent="0.2">
      <c r="A2315" s="22"/>
    </row>
    <row r="2316" spans="1:1" x14ac:dyDescent="0.2">
      <c r="A2316" s="22"/>
    </row>
    <row r="2317" spans="1:1" x14ac:dyDescent="0.2">
      <c r="A2317" s="22"/>
    </row>
    <row r="2318" spans="1:1" x14ac:dyDescent="0.2">
      <c r="A2318" s="22"/>
    </row>
    <row r="2319" spans="1:1" x14ac:dyDescent="0.2">
      <c r="A2319" s="22"/>
    </row>
    <row r="2320" spans="1:1" x14ac:dyDescent="0.2">
      <c r="A2320" s="22"/>
    </row>
    <row r="2321" spans="1:1" x14ac:dyDescent="0.2">
      <c r="A2321" s="22"/>
    </row>
    <row r="2322" spans="1:1" x14ac:dyDescent="0.2">
      <c r="A2322" s="22"/>
    </row>
    <row r="2323" spans="1:1" x14ac:dyDescent="0.2">
      <c r="A2323" s="22"/>
    </row>
    <row r="2324" spans="1:1" x14ac:dyDescent="0.2">
      <c r="A2324" s="22"/>
    </row>
    <row r="2325" spans="1:1" x14ac:dyDescent="0.2">
      <c r="A2325" s="22"/>
    </row>
    <row r="2326" spans="1:1" x14ac:dyDescent="0.2">
      <c r="A2326" s="22"/>
    </row>
    <row r="2327" spans="1:1" x14ac:dyDescent="0.2">
      <c r="A2327" s="22"/>
    </row>
    <row r="2328" spans="1:1" x14ac:dyDescent="0.2">
      <c r="A2328" s="22"/>
    </row>
    <row r="2329" spans="1:1" x14ac:dyDescent="0.2">
      <c r="A2329" s="22"/>
    </row>
    <row r="2330" spans="1:1" x14ac:dyDescent="0.2">
      <c r="A2330" s="22"/>
    </row>
    <row r="2331" spans="1:1" x14ac:dyDescent="0.2">
      <c r="A2331" s="22"/>
    </row>
    <row r="2332" spans="1:1" x14ac:dyDescent="0.2">
      <c r="A2332" s="22"/>
    </row>
    <row r="2333" spans="1:1" x14ac:dyDescent="0.2">
      <c r="A2333" s="22"/>
    </row>
    <row r="2334" spans="1:1" x14ac:dyDescent="0.2">
      <c r="A2334" s="22"/>
    </row>
    <row r="2335" spans="1:1" x14ac:dyDescent="0.2">
      <c r="A2335" s="22"/>
    </row>
    <row r="2336" spans="1:1" x14ac:dyDescent="0.2">
      <c r="A2336" s="22"/>
    </row>
    <row r="2337" spans="1:1" x14ac:dyDescent="0.2">
      <c r="A2337" s="22"/>
    </row>
    <row r="2338" spans="1:1" x14ac:dyDescent="0.2">
      <c r="A2338" s="22"/>
    </row>
    <row r="2339" spans="1:1" x14ac:dyDescent="0.2">
      <c r="A2339" s="22"/>
    </row>
    <row r="2340" spans="1:1" x14ac:dyDescent="0.2">
      <c r="A2340" s="22"/>
    </row>
    <row r="2341" spans="1:1" x14ac:dyDescent="0.2">
      <c r="A2341" s="22"/>
    </row>
    <row r="2342" spans="1:1" x14ac:dyDescent="0.2">
      <c r="A2342" s="22"/>
    </row>
    <row r="2343" spans="1:1" x14ac:dyDescent="0.2">
      <c r="A2343" s="22"/>
    </row>
    <row r="2344" spans="1:1" x14ac:dyDescent="0.2">
      <c r="A2344" s="22"/>
    </row>
    <row r="2345" spans="1:1" x14ac:dyDescent="0.2">
      <c r="A2345" s="22"/>
    </row>
    <row r="2346" spans="1:1" x14ac:dyDescent="0.2">
      <c r="A2346" s="22"/>
    </row>
    <row r="2347" spans="1:1" x14ac:dyDescent="0.2">
      <c r="A2347" s="22"/>
    </row>
    <row r="2348" spans="1:1" x14ac:dyDescent="0.2">
      <c r="A2348" s="22"/>
    </row>
    <row r="2349" spans="1:1" x14ac:dyDescent="0.2">
      <c r="A2349" s="22"/>
    </row>
    <row r="2350" spans="1:1" x14ac:dyDescent="0.2">
      <c r="A2350" s="22"/>
    </row>
    <row r="2351" spans="1:1" x14ac:dyDescent="0.2">
      <c r="A2351" s="22"/>
    </row>
    <row r="2352" spans="1:1" x14ac:dyDescent="0.2">
      <c r="A2352" s="22"/>
    </row>
    <row r="2353" spans="1:1" x14ac:dyDescent="0.2">
      <c r="A2353" s="22"/>
    </row>
    <row r="2354" spans="1:1" x14ac:dyDescent="0.2">
      <c r="A2354" s="22"/>
    </row>
    <row r="2355" spans="1:1" x14ac:dyDescent="0.2">
      <c r="A2355" s="22"/>
    </row>
    <row r="2356" spans="1:1" x14ac:dyDescent="0.2">
      <c r="A2356" s="22"/>
    </row>
    <row r="2357" spans="1:1" x14ac:dyDescent="0.2">
      <c r="A2357" s="22"/>
    </row>
    <row r="2358" spans="1:1" x14ac:dyDescent="0.2">
      <c r="A2358" s="22"/>
    </row>
    <row r="2359" spans="1:1" x14ac:dyDescent="0.2">
      <c r="A2359" s="22"/>
    </row>
    <row r="2360" spans="1:1" x14ac:dyDescent="0.2">
      <c r="A2360" s="22"/>
    </row>
    <row r="2361" spans="1:1" x14ac:dyDescent="0.2">
      <c r="A2361" s="22"/>
    </row>
    <row r="2362" spans="1:1" x14ac:dyDescent="0.2">
      <c r="A2362" s="22"/>
    </row>
    <row r="2363" spans="1:1" x14ac:dyDescent="0.2">
      <c r="A2363" s="22"/>
    </row>
    <row r="2364" spans="1:1" x14ac:dyDescent="0.2">
      <c r="A2364" s="22"/>
    </row>
    <row r="2365" spans="1:1" x14ac:dyDescent="0.2">
      <c r="A2365" s="22"/>
    </row>
    <row r="2366" spans="1:1" x14ac:dyDescent="0.2">
      <c r="A2366" s="22"/>
    </row>
    <row r="2367" spans="1:1" x14ac:dyDescent="0.2">
      <c r="A2367" s="22"/>
    </row>
    <row r="2368" spans="1:1" x14ac:dyDescent="0.2">
      <c r="A2368" s="22"/>
    </row>
    <row r="2369" spans="1:1" x14ac:dyDescent="0.2">
      <c r="A2369" s="22"/>
    </row>
    <row r="2370" spans="1:1" x14ac:dyDescent="0.2">
      <c r="A2370" s="22"/>
    </row>
    <row r="2371" spans="1:1" x14ac:dyDescent="0.2">
      <c r="A2371" s="22"/>
    </row>
    <row r="2372" spans="1:1" x14ac:dyDescent="0.2">
      <c r="A2372" s="22"/>
    </row>
    <row r="2373" spans="1:1" x14ac:dyDescent="0.2">
      <c r="A2373" s="22"/>
    </row>
    <row r="2374" spans="1:1" x14ac:dyDescent="0.2">
      <c r="A2374" s="22"/>
    </row>
    <row r="2375" spans="1:1" x14ac:dyDescent="0.2">
      <c r="A2375" s="22"/>
    </row>
    <row r="2376" spans="1:1" x14ac:dyDescent="0.2">
      <c r="A2376" s="22"/>
    </row>
    <row r="2377" spans="1:1" x14ac:dyDescent="0.2">
      <c r="A2377" s="22"/>
    </row>
    <row r="2378" spans="1:1" x14ac:dyDescent="0.2">
      <c r="A2378" s="22"/>
    </row>
    <row r="2379" spans="1:1" x14ac:dyDescent="0.2">
      <c r="A2379" s="22"/>
    </row>
    <row r="2380" spans="1:1" x14ac:dyDescent="0.2">
      <c r="A2380" s="22"/>
    </row>
    <row r="2381" spans="1:1" x14ac:dyDescent="0.2">
      <c r="A2381" s="22"/>
    </row>
    <row r="2382" spans="1:1" x14ac:dyDescent="0.2">
      <c r="A2382" s="22"/>
    </row>
    <row r="2383" spans="1:1" x14ac:dyDescent="0.2">
      <c r="A2383" s="22"/>
    </row>
    <row r="2384" spans="1:1" x14ac:dyDescent="0.2">
      <c r="A2384" s="22"/>
    </row>
    <row r="2385" spans="1:1" x14ac:dyDescent="0.2">
      <c r="A2385" s="22"/>
    </row>
    <row r="2386" spans="1:1" x14ac:dyDescent="0.2">
      <c r="A2386" s="22"/>
    </row>
    <row r="2387" spans="1:1" x14ac:dyDescent="0.2">
      <c r="A2387" s="22"/>
    </row>
    <row r="2388" spans="1:1" x14ac:dyDescent="0.2">
      <c r="A2388" s="22"/>
    </row>
    <row r="2389" spans="1:1" x14ac:dyDescent="0.2">
      <c r="A2389" s="22"/>
    </row>
    <row r="2390" spans="1:1" x14ac:dyDescent="0.2">
      <c r="A2390" s="22"/>
    </row>
    <row r="2391" spans="1:1" x14ac:dyDescent="0.2">
      <c r="A2391" s="22"/>
    </row>
    <row r="2392" spans="1:1" x14ac:dyDescent="0.2">
      <c r="A2392" s="22"/>
    </row>
    <row r="2393" spans="1:1" x14ac:dyDescent="0.2">
      <c r="A2393" s="22"/>
    </row>
    <row r="2394" spans="1:1" x14ac:dyDescent="0.2">
      <c r="A2394" s="22"/>
    </row>
    <row r="2395" spans="1:1" x14ac:dyDescent="0.2">
      <c r="A2395" s="22"/>
    </row>
    <row r="2396" spans="1:1" x14ac:dyDescent="0.2">
      <c r="A2396" s="22"/>
    </row>
    <row r="2397" spans="1:1" x14ac:dyDescent="0.2">
      <c r="A2397" s="22"/>
    </row>
    <row r="2398" spans="1:1" x14ac:dyDescent="0.2">
      <c r="A2398" s="22"/>
    </row>
    <row r="2399" spans="1:1" x14ac:dyDescent="0.2">
      <c r="A2399" s="22"/>
    </row>
    <row r="2400" spans="1:1" x14ac:dyDescent="0.2">
      <c r="A2400" s="22"/>
    </row>
    <row r="2401" spans="1:1" x14ac:dyDescent="0.2">
      <c r="A2401" s="22"/>
    </row>
    <row r="2402" spans="1:1" x14ac:dyDescent="0.2">
      <c r="A2402" s="22"/>
    </row>
    <row r="2403" spans="1:1" x14ac:dyDescent="0.2">
      <c r="A2403" s="22"/>
    </row>
    <row r="2404" spans="1:1" x14ac:dyDescent="0.2">
      <c r="A2404" s="22"/>
    </row>
    <row r="2405" spans="1:1" x14ac:dyDescent="0.2">
      <c r="A2405" s="22"/>
    </row>
    <row r="2406" spans="1:1" x14ac:dyDescent="0.2">
      <c r="A2406" s="22"/>
    </row>
    <row r="2407" spans="1:1" x14ac:dyDescent="0.2">
      <c r="A2407" s="22"/>
    </row>
    <row r="2408" spans="1:1" x14ac:dyDescent="0.2">
      <c r="A2408" s="22"/>
    </row>
    <row r="2409" spans="1:1" x14ac:dyDescent="0.2">
      <c r="A2409" s="22"/>
    </row>
    <row r="2410" spans="1:1" x14ac:dyDescent="0.2">
      <c r="A2410" s="22"/>
    </row>
    <row r="2411" spans="1:1" x14ac:dyDescent="0.2">
      <c r="A2411" s="22"/>
    </row>
    <row r="2412" spans="1:1" x14ac:dyDescent="0.2">
      <c r="A2412" s="22"/>
    </row>
    <row r="2413" spans="1:1" x14ac:dyDescent="0.2">
      <c r="A2413" s="22"/>
    </row>
    <row r="2414" spans="1:1" x14ac:dyDescent="0.2">
      <c r="A2414" s="22"/>
    </row>
    <row r="2415" spans="1:1" x14ac:dyDescent="0.2">
      <c r="A2415" s="22"/>
    </row>
    <row r="2416" spans="1:1" x14ac:dyDescent="0.2">
      <c r="A2416" s="22"/>
    </row>
    <row r="2417" spans="1:1" x14ac:dyDescent="0.2">
      <c r="A2417" s="22"/>
    </row>
    <row r="2418" spans="1:1" x14ac:dyDescent="0.2">
      <c r="A2418" s="22"/>
    </row>
    <row r="2419" spans="1:1" x14ac:dyDescent="0.2">
      <c r="A2419" s="22"/>
    </row>
    <row r="2420" spans="1:1" x14ac:dyDescent="0.2">
      <c r="A2420" s="22"/>
    </row>
    <row r="2421" spans="1:1" x14ac:dyDescent="0.2">
      <c r="A2421" s="22"/>
    </row>
    <row r="2422" spans="1:1" x14ac:dyDescent="0.2">
      <c r="A2422" s="22"/>
    </row>
    <row r="2423" spans="1:1" x14ac:dyDescent="0.2">
      <c r="A2423" s="22"/>
    </row>
    <row r="2424" spans="1:1" x14ac:dyDescent="0.2">
      <c r="A2424" s="22"/>
    </row>
    <row r="2425" spans="1:1" x14ac:dyDescent="0.2">
      <c r="A2425" s="22"/>
    </row>
    <row r="2426" spans="1:1" x14ac:dyDescent="0.2">
      <c r="A2426" s="22"/>
    </row>
    <row r="2427" spans="1:1" x14ac:dyDescent="0.2">
      <c r="A2427" s="22"/>
    </row>
    <row r="2428" spans="1:1" x14ac:dyDescent="0.2">
      <c r="A2428" s="22"/>
    </row>
    <row r="2429" spans="1:1" x14ac:dyDescent="0.2">
      <c r="A2429" s="22"/>
    </row>
    <row r="2430" spans="1:1" x14ac:dyDescent="0.2">
      <c r="A2430" s="22"/>
    </row>
    <row r="2431" spans="1:1" x14ac:dyDescent="0.2">
      <c r="A2431" s="22"/>
    </row>
    <row r="2432" spans="1:1" x14ac:dyDescent="0.2">
      <c r="A2432" s="22"/>
    </row>
    <row r="2433" spans="1:1" x14ac:dyDescent="0.2">
      <c r="A2433" s="22"/>
    </row>
    <row r="2434" spans="1:1" x14ac:dyDescent="0.2">
      <c r="A2434" s="22"/>
    </row>
    <row r="2435" spans="1:1" x14ac:dyDescent="0.2">
      <c r="A2435" s="22"/>
    </row>
    <row r="2436" spans="1:1" x14ac:dyDescent="0.2">
      <c r="A2436" s="22"/>
    </row>
    <row r="2437" spans="1:1" x14ac:dyDescent="0.2">
      <c r="A2437" s="22"/>
    </row>
    <row r="2438" spans="1:1" x14ac:dyDescent="0.2">
      <c r="A2438" s="22"/>
    </row>
    <row r="2439" spans="1:1" x14ac:dyDescent="0.2">
      <c r="A2439" s="22"/>
    </row>
    <row r="2440" spans="1:1" x14ac:dyDescent="0.2">
      <c r="A2440" s="22"/>
    </row>
    <row r="2441" spans="1:1" x14ac:dyDescent="0.2">
      <c r="A2441" s="22"/>
    </row>
    <row r="2442" spans="1:1" x14ac:dyDescent="0.2">
      <c r="A2442" s="22"/>
    </row>
    <row r="2443" spans="1:1" x14ac:dyDescent="0.2">
      <c r="A2443" s="22"/>
    </row>
    <row r="2444" spans="1:1" x14ac:dyDescent="0.2">
      <c r="A2444" s="22"/>
    </row>
    <row r="2445" spans="1:1" x14ac:dyDescent="0.2">
      <c r="A2445" s="22"/>
    </row>
    <row r="2446" spans="1:1" x14ac:dyDescent="0.2">
      <c r="A2446" s="22"/>
    </row>
    <row r="2447" spans="1:1" x14ac:dyDescent="0.2">
      <c r="A2447" s="22"/>
    </row>
    <row r="2448" spans="1:1" x14ac:dyDescent="0.2">
      <c r="A2448" s="22"/>
    </row>
    <row r="2449" spans="1:1" x14ac:dyDescent="0.2">
      <c r="A2449" s="22"/>
    </row>
    <row r="2450" spans="1:1" x14ac:dyDescent="0.2">
      <c r="A2450" s="22"/>
    </row>
    <row r="2451" spans="1:1" x14ac:dyDescent="0.2">
      <c r="A2451" s="22"/>
    </row>
    <row r="2452" spans="1:1" x14ac:dyDescent="0.2">
      <c r="A2452" s="22"/>
    </row>
    <row r="2453" spans="1:1" x14ac:dyDescent="0.2">
      <c r="A2453" s="22"/>
    </row>
    <row r="2454" spans="1:1" x14ac:dyDescent="0.2">
      <c r="A2454" s="22"/>
    </row>
    <row r="2455" spans="1:1" x14ac:dyDescent="0.2">
      <c r="A2455" s="22"/>
    </row>
    <row r="2456" spans="1:1" x14ac:dyDescent="0.2">
      <c r="A2456" s="22"/>
    </row>
    <row r="2457" spans="1:1" x14ac:dyDescent="0.2">
      <c r="A2457" s="22"/>
    </row>
    <row r="2458" spans="1:1" x14ac:dyDescent="0.2">
      <c r="A2458" s="22"/>
    </row>
    <row r="2459" spans="1:1" x14ac:dyDescent="0.2">
      <c r="A2459" s="22"/>
    </row>
    <row r="2460" spans="1:1" x14ac:dyDescent="0.2">
      <c r="A2460" s="22"/>
    </row>
    <row r="2461" spans="1:1" x14ac:dyDescent="0.2">
      <c r="A2461" s="22"/>
    </row>
    <row r="2462" spans="1:1" x14ac:dyDescent="0.2">
      <c r="A2462" s="22"/>
    </row>
    <row r="2463" spans="1:1" x14ac:dyDescent="0.2">
      <c r="A2463" s="22"/>
    </row>
    <row r="2464" spans="1:1" x14ac:dyDescent="0.2">
      <c r="A2464" s="22"/>
    </row>
    <row r="2465" spans="1:1" x14ac:dyDescent="0.2">
      <c r="A2465" s="22"/>
    </row>
    <row r="2466" spans="1:1" x14ac:dyDescent="0.2">
      <c r="A2466" s="22"/>
    </row>
    <row r="2467" spans="1:1" x14ac:dyDescent="0.2">
      <c r="A2467" s="22"/>
    </row>
    <row r="2468" spans="1:1" x14ac:dyDescent="0.2">
      <c r="A2468" s="22"/>
    </row>
    <row r="2469" spans="1:1" x14ac:dyDescent="0.2">
      <c r="A2469" s="22"/>
    </row>
    <row r="2470" spans="1:1" x14ac:dyDescent="0.2">
      <c r="A2470" s="22"/>
    </row>
    <row r="2471" spans="1:1" x14ac:dyDescent="0.2">
      <c r="A2471" s="22"/>
    </row>
    <row r="2472" spans="1:1" x14ac:dyDescent="0.2">
      <c r="A2472" s="22"/>
    </row>
    <row r="2473" spans="1:1" x14ac:dyDescent="0.2">
      <c r="A2473" s="22"/>
    </row>
    <row r="2474" spans="1:1" x14ac:dyDescent="0.2">
      <c r="A2474" s="22"/>
    </row>
    <row r="2475" spans="1:1" x14ac:dyDescent="0.2">
      <c r="A2475" s="22"/>
    </row>
    <row r="2476" spans="1:1" x14ac:dyDescent="0.2">
      <c r="A2476" s="22"/>
    </row>
    <row r="2477" spans="1:1" x14ac:dyDescent="0.2">
      <c r="A2477" s="22"/>
    </row>
    <row r="2478" spans="1:1" x14ac:dyDescent="0.2">
      <c r="A2478" s="22"/>
    </row>
    <row r="2479" spans="1:1" x14ac:dyDescent="0.2">
      <c r="A2479" s="22"/>
    </row>
    <row r="2480" spans="1:1" x14ac:dyDescent="0.2">
      <c r="A2480" s="22"/>
    </row>
    <row r="2481" spans="1:1" x14ac:dyDescent="0.2">
      <c r="A2481" s="22"/>
    </row>
    <row r="2482" spans="1:1" x14ac:dyDescent="0.2">
      <c r="A2482" s="22"/>
    </row>
    <row r="2483" spans="1:1" x14ac:dyDescent="0.2">
      <c r="A2483" s="22"/>
    </row>
    <row r="2484" spans="1:1" x14ac:dyDescent="0.2">
      <c r="A2484" s="22"/>
    </row>
    <row r="2485" spans="1:1" x14ac:dyDescent="0.2">
      <c r="A2485" s="22"/>
    </row>
    <row r="2486" spans="1:1" x14ac:dyDescent="0.2">
      <c r="A2486" s="22"/>
    </row>
    <row r="2487" spans="1:1" x14ac:dyDescent="0.2">
      <c r="A2487" s="22"/>
    </row>
    <row r="2488" spans="1:1" x14ac:dyDescent="0.2">
      <c r="A2488" s="22"/>
    </row>
    <row r="2489" spans="1:1" x14ac:dyDescent="0.2">
      <c r="A2489" s="22"/>
    </row>
    <row r="2490" spans="1:1" x14ac:dyDescent="0.2">
      <c r="A2490" s="22"/>
    </row>
    <row r="2491" spans="1:1" x14ac:dyDescent="0.2">
      <c r="A2491" s="22"/>
    </row>
    <row r="2492" spans="1:1" x14ac:dyDescent="0.2">
      <c r="A2492" s="22"/>
    </row>
    <row r="2493" spans="1:1" x14ac:dyDescent="0.2">
      <c r="A2493" s="22"/>
    </row>
    <row r="2494" spans="1:1" x14ac:dyDescent="0.2">
      <c r="A2494" s="22"/>
    </row>
    <row r="2495" spans="1:1" x14ac:dyDescent="0.2">
      <c r="A2495" s="22"/>
    </row>
    <row r="2496" spans="1:1" x14ac:dyDescent="0.2">
      <c r="A2496" s="22"/>
    </row>
    <row r="2497" spans="1:1" x14ac:dyDescent="0.2">
      <c r="A2497" s="22"/>
    </row>
    <row r="2498" spans="1:1" x14ac:dyDescent="0.2">
      <c r="A2498" s="22"/>
    </row>
    <row r="2499" spans="1:1" x14ac:dyDescent="0.2">
      <c r="A2499" s="22"/>
    </row>
    <row r="2500" spans="1:1" x14ac:dyDescent="0.2">
      <c r="A2500" s="22"/>
    </row>
    <row r="2501" spans="1:1" x14ac:dyDescent="0.2">
      <c r="A2501" s="22"/>
    </row>
    <row r="2502" spans="1:1" x14ac:dyDescent="0.2">
      <c r="A2502" s="22"/>
    </row>
    <row r="2503" spans="1:1" x14ac:dyDescent="0.2">
      <c r="A2503" s="22"/>
    </row>
    <row r="2504" spans="1:1" x14ac:dyDescent="0.2">
      <c r="A2504" s="22"/>
    </row>
    <row r="2505" spans="1:1" x14ac:dyDescent="0.2">
      <c r="A2505" s="22"/>
    </row>
    <row r="2506" spans="1:1" x14ac:dyDescent="0.2">
      <c r="A2506" s="22"/>
    </row>
    <row r="2507" spans="1:1" x14ac:dyDescent="0.2">
      <c r="A2507" s="22"/>
    </row>
    <row r="2508" spans="1:1" x14ac:dyDescent="0.2">
      <c r="A2508" s="22"/>
    </row>
    <row r="2509" spans="1:1" x14ac:dyDescent="0.2">
      <c r="A2509" s="22"/>
    </row>
    <row r="2510" spans="1:1" x14ac:dyDescent="0.2">
      <c r="A2510" s="22"/>
    </row>
    <row r="2511" spans="1:1" x14ac:dyDescent="0.2">
      <c r="A2511" s="22"/>
    </row>
    <row r="2512" spans="1:1" x14ac:dyDescent="0.2">
      <c r="A2512" s="22"/>
    </row>
    <row r="2513" spans="1:1" x14ac:dyDescent="0.2">
      <c r="A2513" s="22"/>
    </row>
    <row r="2514" spans="1:1" x14ac:dyDescent="0.2">
      <c r="A2514" s="22"/>
    </row>
    <row r="2515" spans="1:1" x14ac:dyDescent="0.2">
      <c r="A2515" s="22"/>
    </row>
    <row r="2516" spans="1:1" x14ac:dyDescent="0.2">
      <c r="A2516" s="22"/>
    </row>
    <row r="2517" spans="1:1" x14ac:dyDescent="0.2">
      <c r="A2517" s="22"/>
    </row>
    <row r="2518" spans="1:1" x14ac:dyDescent="0.2">
      <c r="A2518" s="22"/>
    </row>
    <row r="2519" spans="1:1" x14ac:dyDescent="0.2">
      <c r="A2519" s="22"/>
    </row>
    <row r="2520" spans="1:1" x14ac:dyDescent="0.2">
      <c r="A2520" s="22"/>
    </row>
    <row r="2521" spans="1:1" x14ac:dyDescent="0.2">
      <c r="A2521" s="22"/>
    </row>
    <row r="2522" spans="1:1" x14ac:dyDescent="0.2">
      <c r="A2522" s="22"/>
    </row>
    <row r="2523" spans="1:1" x14ac:dyDescent="0.2">
      <c r="A2523" s="22"/>
    </row>
    <row r="2524" spans="1:1" x14ac:dyDescent="0.2">
      <c r="A2524" s="22"/>
    </row>
    <row r="2525" spans="1:1" x14ac:dyDescent="0.2">
      <c r="A2525" s="22"/>
    </row>
    <row r="2526" spans="1:1" x14ac:dyDescent="0.2">
      <c r="A2526" s="22"/>
    </row>
    <row r="2527" spans="1:1" x14ac:dyDescent="0.2">
      <c r="A2527" s="22"/>
    </row>
    <row r="2528" spans="1:1" x14ac:dyDescent="0.2">
      <c r="A2528" s="22"/>
    </row>
    <row r="2529" spans="1:1" x14ac:dyDescent="0.2">
      <c r="A2529" s="22"/>
    </row>
    <row r="2530" spans="1:1" x14ac:dyDescent="0.2">
      <c r="A2530" s="22"/>
    </row>
    <row r="2531" spans="1:1" x14ac:dyDescent="0.2">
      <c r="A2531" s="22"/>
    </row>
    <row r="2532" spans="1:1" x14ac:dyDescent="0.2">
      <c r="A2532" s="22"/>
    </row>
    <row r="2533" spans="1:1" x14ac:dyDescent="0.2">
      <c r="A2533" s="22"/>
    </row>
    <row r="2534" spans="1:1" x14ac:dyDescent="0.2">
      <c r="A2534" s="22"/>
    </row>
    <row r="2535" spans="1:1" x14ac:dyDescent="0.2">
      <c r="A2535" s="22"/>
    </row>
    <row r="2536" spans="1:1" x14ac:dyDescent="0.2">
      <c r="A2536" s="22"/>
    </row>
    <row r="2537" spans="1:1" x14ac:dyDescent="0.2">
      <c r="A2537" s="22"/>
    </row>
    <row r="2538" spans="1:1" x14ac:dyDescent="0.2">
      <c r="A2538" s="22"/>
    </row>
    <row r="2539" spans="1:1" x14ac:dyDescent="0.2">
      <c r="A2539" s="22"/>
    </row>
    <row r="2540" spans="1:1" x14ac:dyDescent="0.2">
      <c r="A2540" s="22"/>
    </row>
    <row r="2541" spans="1:1" x14ac:dyDescent="0.2">
      <c r="A2541" s="22"/>
    </row>
    <row r="2542" spans="1:1" x14ac:dyDescent="0.2">
      <c r="A2542" s="22"/>
    </row>
    <row r="2543" spans="1:1" x14ac:dyDescent="0.2">
      <c r="A2543" s="22"/>
    </row>
    <row r="2544" spans="1:1" x14ac:dyDescent="0.2">
      <c r="A2544" s="22"/>
    </row>
    <row r="2545" spans="1:1" x14ac:dyDescent="0.2">
      <c r="A2545" s="22"/>
    </row>
    <row r="2546" spans="1:1" x14ac:dyDescent="0.2">
      <c r="A2546" s="22"/>
    </row>
    <row r="2547" spans="1:1" x14ac:dyDescent="0.2">
      <c r="A2547" s="22"/>
    </row>
    <row r="2548" spans="1:1" x14ac:dyDescent="0.2">
      <c r="A2548" s="22"/>
    </row>
    <row r="2549" spans="1:1" x14ac:dyDescent="0.2">
      <c r="A2549" s="22"/>
    </row>
    <row r="2550" spans="1:1" x14ac:dyDescent="0.2">
      <c r="A2550" s="22"/>
    </row>
    <row r="2551" spans="1:1" x14ac:dyDescent="0.2">
      <c r="A2551" s="22"/>
    </row>
    <row r="2552" spans="1:1" x14ac:dyDescent="0.2">
      <c r="A2552" s="22"/>
    </row>
    <row r="2553" spans="1:1" x14ac:dyDescent="0.2">
      <c r="A2553" s="22"/>
    </row>
    <row r="2554" spans="1:1" x14ac:dyDescent="0.2">
      <c r="A2554" s="22"/>
    </row>
    <row r="2555" spans="1:1" x14ac:dyDescent="0.2">
      <c r="A2555" s="22"/>
    </row>
    <row r="2556" spans="1:1" x14ac:dyDescent="0.2">
      <c r="A2556" s="22"/>
    </row>
    <row r="2557" spans="1:1" x14ac:dyDescent="0.2">
      <c r="A2557" s="22"/>
    </row>
    <row r="2558" spans="1:1" x14ac:dyDescent="0.2">
      <c r="A2558" s="22"/>
    </row>
    <row r="2559" spans="1:1" x14ac:dyDescent="0.2">
      <c r="A2559" s="22"/>
    </row>
    <row r="2560" spans="1:1" x14ac:dyDescent="0.2">
      <c r="A2560" s="22"/>
    </row>
    <row r="2561" spans="1:1" x14ac:dyDescent="0.2">
      <c r="A2561" s="22"/>
    </row>
    <row r="2562" spans="1:1" x14ac:dyDescent="0.2">
      <c r="A2562" s="22"/>
    </row>
    <row r="2563" spans="1:1" x14ac:dyDescent="0.2">
      <c r="A2563" s="22"/>
    </row>
    <row r="2564" spans="1:1" x14ac:dyDescent="0.2">
      <c r="A2564" s="22"/>
    </row>
    <row r="2565" spans="1:1" x14ac:dyDescent="0.2">
      <c r="A2565" s="22"/>
    </row>
    <row r="2566" spans="1:1" x14ac:dyDescent="0.2">
      <c r="A2566" s="22"/>
    </row>
    <row r="2567" spans="1:1" x14ac:dyDescent="0.2">
      <c r="A2567" s="22"/>
    </row>
    <row r="2568" spans="1:1" x14ac:dyDescent="0.2">
      <c r="A2568" s="22"/>
    </row>
    <row r="2569" spans="1:1" x14ac:dyDescent="0.2">
      <c r="A2569" s="22"/>
    </row>
    <row r="2570" spans="1:1" x14ac:dyDescent="0.2">
      <c r="A2570" s="22"/>
    </row>
    <row r="2571" spans="1:1" x14ac:dyDescent="0.2">
      <c r="A2571" s="22"/>
    </row>
    <row r="2572" spans="1:1" x14ac:dyDescent="0.2">
      <c r="A2572" s="22"/>
    </row>
    <row r="2573" spans="1:1" x14ac:dyDescent="0.2">
      <c r="A2573" s="22"/>
    </row>
    <row r="2574" spans="1:1" x14ac:dyDescent="0.2">
      <c r="A2574" s="22"/>
    </row>
    <row r="2575" spans="1:1" x14ac:dyDescent="0.2">
      <c r="A2575" s="22"/>
    </row>
    <row r="2576" spans="1:1" x14ac:dyDescent="0.2">
      <c r="A2576" s="22"/>
    </row>
    <row r="2577" spans="1:1" x14ac:dyDescent="0.2">
      <c r="A2577" s="22"/>
    </row>
    <row r="2578" spans="1:1" x14ac:dyDescent="0.2">
      <c r="A2578" s="22"/>
    </row>
    <row r="2579" spans="1:1" x14ac:dyDescent="0.2">
      <c r="A2579" s="22"/>
    </row>
    <row r="2580" spans="1:1" x14ac:dyDescent="0.2">
      <c r="A2580" s="22"/>
    </row>
    <row r="2581" spans="1:1" x14ac:dyDescent="0.2">
      <c r="A2581" s="22"/>
    </row>
    <row r="2582" spans="1:1" x14ac:dyDescent="0.2">
      <c r="A2582" s="22"/>
    </row>
    <row r="2583" spans="1:1" x14ac:dyDescent="0.2">
      <c r="A2583" s="22"/>
    </row>
    <row r="2584" spans="1:1" x14ac:dyDescent="0.2">
      <c r="A2584" s="22"/>
    </row>
    <row r="2585" spans="1:1" x14ac:dyDescent="0.2">
      <c r="A2585" s="22"/>
    </row>
    <row r="2586" spans="1:1" x14ac:dyDescent="0.2">
      <c r="A2586" s="22"/>
    </row>
    <row r="2587" spans="1:1" x14ac:dyDescent="0.2">
      <c r="A2587" s="22"/>
    </row>
    <row r="2588" spans="1:1" x14ac:dyDescent="0.2">
      <c r="A2588" s="22"/>
    </row>
    <row r="2589" spans="1:1" x14ac:dyDescent="0.2">
      <c r="A2589" s="22"/>
    </row>
    <row r="2590" spans="1:1" x14ac:dyDescent="0.2">
      <c r="A2590" s="22"/>
    </row>
    <row r="2591" spans="1:1" x14ac:dyDescent="0.2">
      <c r="A2591" s="22"/>
    </row>
    <row r="2592" spans="1:1" x14ac:dyDescent="0.2">
      <c r="A2592" s="22"/>
    </row>
    <row r="2593" spans="1:1" x14ac:dyDescent="0.2">
      <c r="A2593" s="22"/>
    </row>
    <row r="2594" spans="1:1" x14ac:dyDescent="0.2">
      <c r="A2594" s="22"/>
    </row>
    <row r="2595" spans="1:1" x14ac:dyDescent="0.2">
      <c r="A2595" s="22"/>
    </row>
    <row r="2596" spans="1:1" x14ac:dyDescent="0.2">
      <c r="A2596" s="22"/>
    </row>
    <row r="2597" spans="1:1" x14ac:dyDescent="0.2">
      <c r="A2597" s="22"/>
    </row>
    <row r="2598" spans="1:1" x14ac:dyDescent="0.2">
      <c r="A2598" s="22"/>
    </row>
    <row r="2599" spans="1:1" x14ac:dyDescent="0.2">
      <c r="A2599" s="22"/>
    </row>
    <row r="2600" spans="1:1" x14ac:dyDescent="0.2">
      <c r="A2600" s="22"/>
    </row>
    <row r="2601" spans="1:1" x14ac:dyDescent="0.2">
      <c r="A2601" s="22"/>
    </row>
    <row r="2602" spans="1:1" x14ac:dyDescent="0.2">
      <c r="A2602" s="22"/>
    </row>
    <row r="2603" spans="1:1" x14ac:dyDescent="0.2">
      <c r="A2603" s="22"/>
    </row>
    <row r="2604" spans="1:1" x14ac:dyDescent="0.2">
      <c r="A2604" s="22"/>
    </row>
    <row r="2605" spans="1:1" x14ac:dyDescent="0.2">
      <c r="A2605" s="22"/>
    </row>
    <row r="2606" spans="1:1" x14ac:dyDescent="0.2">
      <c r="A2606" s="22"/>
    </row>
    <row r="2607" spans="1:1" x14ac:dyDescent="0.2">
      <c r="A2607" s="22"/>
    </row>
    <row r="2608" spans="1:1" x14ac:dyDescent="0.2">
      <c r="A2608" s="22"/>
    </row>
    <row r="2609" spans="1:1" x14ac:dyDescent="0.2">
      <c r="A2609" s="22"/>
    </row>
    <row r="2610" spans="1:1" x14ac:dyDescent="0.2">
      <c r="A2610" s="22"/>
    </row>
    <row r="2611" spans="1:1" x14ac:dyDescent="0.2">
      <c r="A2611" s="22"/>
    </row>
    <row r="2612" spans="1:1" x14ac:dyDescent="0.2">
      <c r="A2612" s="22"/>
    </row>
    <row r="2613" spans="1:1" x14ac:dyDescent="0.2">
      <c r="A2613" s="22"/>
    </row>
    <row r="2614" spans="1:1" x14ac:dyDescent="0.2">
      <c r="A2614" s="22"/>
    </row>
    <row r="2615" spans="1:1" x14ac:dyDescent="0.2">
      <c r="A2615" s="22"/>
    </row>
    <row r="2616" spans="1:1" x14ac:dyDescent="0.2">
      <c r="A2616" s="22"/>
    </row>
    <row r="2617" spans="1:1" x14ac:dyDescent="0.2">
      <c r="A2617" s="22"/>
    </row>
    <row r="2618" spans="1:1" x14ac:dyDescent="0.2">
      <c r="A2618" s="22"/>
    </row>
    <row r="2619" spans="1:1" x14ac:dyDescent="0.2">
      <c r="A2619" s="22"/>
    </row>
    <row r="2620" spans="1:1" x14ac:dyDescent="0.2">
      <c r="A2620" s="22"/>
    </row>
    <row r="2621" spans="1:1" x14ac:dyDescent="0.2">
      <c r="A2621" s="22"/>
    </row>
    <row r="2622" spans="1:1" x14ac:dyDescent="0.2">
      <c r="A2622" s="22"/>
    </row>
    <row r="2623" spans="1:1" x14ac:dyDescent="0.2">
      <c r="A2623" s="22"/>
    </row>
    <row r="2624" spans="1:1" x14ac:dyDescent="0.2">
      <c r="A2624" s="22"/>
    </row>
    <row r="2625" spans="1:1" x14ac:dyDescent="0.2">
      <c r="A2625" s="22"/>
    </row>
    <row r="2626" spans="1:1" x14ac:dyDescent="0.2">
      <c r="A2626" s="22"/>
    </row>
    <row r="2627" spans="1:1" x14ac:dyDescent="0.2">
      <c r="A2627" s="22"/>
    </row>
    <row r="2628" spans="1:1" x14ac:dyDescent="0.2">
      <c r="A2628" s="22"/>
    </row>
    <row r="2629" spans="1:1" x14ac:dyDescent="0.2">
      <c r="A2629" s="22"/>
    </row>
    <row r="2630" spans="1:1" x14ac:dyDescent="0.2">
      <c r="A2630" s="22"/>
    </row>
    <row r="2631" spans="1:1" x14ac:dyDescent="0.2">
      <c r="A2631" s="22"/>
    </row>
    <row r="2632" spans="1:1" x14ac:dyDescent="0.2">
      <c r="A2632" s="22"/>
    </row>
    <row r="2633" spans="1:1" x14ac:dyDescent="0.2">
      <c r="A2633" s="22"/>
    </row>
    <row r="2634" spans="1:1" x14ac:dyDescent="0.2">
      <c r="A2634" s="22"/>
    </row>
    <row r="2635" spans="1:1" x14ac:dyDescent="0.2">
      <c r="A2635" s="22"/>
    </row>
    <row r="2636" spans="1:1" x14ac:dyDescent="0.2">
      <c r="A2636" s="22"/>
    </row>
    <row r="2637" spans="1:1" x14ac:dyDescent="0.2">
      <c r="A2637" s="22"/>
    </row>
    <row r="2638" spans="1:1" x14ac:dyDescent="0.2">
      <c r="A2638" s="22"/>
    </row>
    <row r="2639" spans="1:1" x14ac:dyDescent="0.2">
      <c r="A2639" s="22"/>
    </row>
    <row r="2640" spans="1:1" x14ac:dyDescent="0.2">
      <c r="A2640" s="22"/>
    </row>
    <row r="2641" spans="1:1" x14ac:dyDescent="0.2">
      <c r="A2641" s="22"/>
    </row>
    <row r="2642" spans="1:1" x14ac:dyDescent="0.2">
      <c r="A2642" s="22"/>
    </row>
    <row r="2643" spans="1:1" x14ac:dyDescent="0.2">
      <c r="A2643" s="22"/>
    </row>
    <row r="2644" spans="1:1" x14ac:dyDescent="0.2">
      <c r="A2644" s="22"/>
    </row>
    <row r="2645" spans="1:1" x14ac:dyDescent="0.2">
      <c r="A2645" s="22"/>
    </row>
    <row r="2646" spans="1:1" x14ac:dyDescent="0.2">
      <c r="A2646" s="22"/>
    </row>
    <row r="2647" spans="1:1" x14ac:dyDescent="0.2">
      <c r="A2647" s="22"/>
    </row>
    <row r="2648" spans="1:1" x14ac:dyDescent="0.2">
      <c r="A2648" s="22"/>
    </row>
    <row r="2649" spans="1:1" x14ac:dyDescent="0.2">
      <c r="A2649" s="22"/>
    </row>
    <row r="2650" spans="1:1" x14ac:dyDescent="0.2">
      <c r="A2650" s="22"/>
    </row>
    <row r="2651" spans="1:1" x14ac:dyDescent="0.2">
      <c r="A2651" s="22"/>
    </row>
    <row r="2652" spans="1:1" x14ac:dyDescent="0.2">
      <c r="A2652" s="22"/>
    </row>
    <row r="2653" spans="1:1" x14ac:dyDescent="0.2">
      <c r="A2653" s="22"/>
    </row>
    <row r="2654" spans="1:1" x14ac:dyDescent="0.2">
      <c r="A2654" s="22"/>
    </row>
    <row r="2655" spans="1:1" x14ac:dyDescent="0.2">
      <c r="A2655" s="22"/>
    </row>
    <row r="2656" spans="1:1" x14ac:dyDescent="0.2">
      <c r="A2656" s="22"/>
    </row>
    <row r="2657" spans="1:1" x14ac:dyDescent="0.2">
      <c r="A2657" s="22"/>
    </row>
    <row r="2658" spans="1:1" x14ac:dyDescent="0.2">
      <c r="A2658" s="22"/>
    </row>
    <row r="2659" spans="1:1" x14ac:dyDescent="0.2">
      <c r="A2659" s="22"/>
    </row>
    <row r="2660" spans="1:1" x14ac:dyDescent="0.2">
      <c r="A2660" s="22"/>
    </row>
    <row r="2661" spans="1:1" x14ac:dyDescent="0.2">
      <c r="A2661" s="22"/>
    </row>
    <row r="2662" spans="1:1" x14ac:dyDescent="0.2">
      <c r="A2662" s="22"/>
    </row>
    <row r="2663" spans="1:1" x14ac:dyDescent="0.2">
      <c r="A2663" s="22"/>
    </row>
    <row r="2664" spans="1:1" x14ac:dyDescent="0.2">
      <c r="A2664" s="22"/>
    </row>
    <row r="2665" spans="1:1" x14ac:dyDescent="0.2">
      <c r="A2665" s="22"/>
    </row>
    <row r="2666" spans="1:1" x14ac:dyDescent="0.2">
      <c r="A2666" s="22"/>
    </row>
    <row r="2667" spans="1:1" x14ac:dyDescent="0.2">
      <c r="A2667" s="22"/>
    </row>
    <row r="2668" spans="1:1" x14ac:dyDescent="0.2">
      <c r="A2668" s="22"/>
    </row>
    <row r="2669" spans="1:1" x14ac:dyDescent="0.2">
      <c r="A2669" s="22"/>
    </row>
    <row r="2670" spans="1:1" x14ac:dyDescent="0.2">
      <c r="A2670" s="22"/>
    </row>
    <row r="2671" spans="1:1" x14ac:dyDescent="0.2">
      <c r="A2671" s="22"/>
    </row>
    <row r="2672" spans="1:1" x14ac:dyDescent="0.2">
      <c r="A2672" s="22"/>
    </row>
    <row r="2673" spans="1:1" x14ac:dyDescent="0.2">
      <c r="A2673" s="22"/>
    </row>
    <row r="2674" spans="1:1" x14ac:dyDescent="0.2">
      <c r="A2674" s="22"/>
    </row>
    <row r="2675" spans="1:1" x14ac:dyDescent="0.2">
      <c r="A2675" s="22"/>
    </row>
    <row r="2676" spans="1:1" x14ac:dyDescent="0.2">
      <c r="A2676" s="22"/>
    </row>
    <row r="2677" spans="1:1" x14ac:dyDescent="0.2">
      <c r="A2677" s="22"/>
    </row>
    <row r="2678" spans="1:1" x14ac:dyDescent="0.2">
      <c r="A2678" s="22"/>
    </row>
    <row r="2679" spans="1:1" x14ac:dyDescent="0.2">
      <c r="A2679" s="22"/>
    </row>
    <row r="2680" spans="1:1" x14ac:dyDescent="0.2">
      <c r="A2680" s="22"/>
    </row>
    <row r="2681" spans="1:1" x14ac:dyDescent="0.2">
      <c r="A2681" s="22"/>
    </row>
    <row r="2682" spans="1:1" x14ac:dyDescent="0.2">
      <c r="A2682" s="22"/>
    </row>
    <row r="2683" spans="1:1" x14ac:dyDescent="0.2">
      <c r="A2683" s="22"/>
    </row>
    <row r="2684" spans="1:1" x14ac:dyDescent="0.2">
      <c r="A2684" s="22"/>
    </row>
    <row r="2685" spans="1:1" x14ac:dyDescent="0.2">
      <c r="A2685" s="22"/>
    </row>
    <row r="2686" spans="1:1" x14ac:dyDescent="0.2">
      <c r="A2686" s="22"/>
    </row>
    <row r="2687" spans="1:1" x14ac:dyDescent="0.2">
      <c r="A2687" s="22"/>
    </row>
    <row r="2688" spans="1:1" x14ac:dyDescent="0.2">
      <c r="A2688" s="22"/>
    </row>
    <row r="2689" spans="1:1" x14ac:dyDescent="0.2">
      <c r="A2689" s="22"/>
    </row>
    <row r="2690" spans="1:1" x14ac:dyDescent="0.2">
      <c r="A2690" s="22"/>
    </row>
    <row r="2691" spans="1:1" x14ac:dyDescent="0.2">
      <c r="A2691" s="22"/>
    </row>
    <row r="2692" spans="1:1" x14ac:dyDescent="0.2">
      <c r="A2692" s="22"/>
    </row>
    <row r="2693" spans="1:1" x14ac:dyDescent="0.2">
      <c r="A2693" s="22"/>
    </row>
    <row r="2694" spans="1:1" x14ac:dyDescent="0.2">
      <c r="A2694" s="22"/>
    </row>
    <row r="2695" spans="1:1" x14ac:dyDescent="0.2">
      <c r="A2695" s="22"/>
    </row>
    <row r="2696" spans="1:1" x14ac:dyDescent="0.2">
      <c r="A2696" s="22"/>
    </row>
    <row r="2697" spans="1:1" x14ac:dyDescent="0.2">
      <c r="A2697" s="22"/>
    </row>
    <row r="2698" spans="1:1" x14ac:dyDescent="0.2">
      <c r="A2698" s="22"/>
    </row>
    <row r="2699" spans="1:1" x14ac:dyDescent="0.2">
      <c r="A2699" s="22"/>
    </row>
    <row r="2700" spans="1:1" x14ac:dyDescent="0.2">
      <c r="A2700" s="22"/>
    </row>
    <row r="2701" spans="1:1" x14ac:dyDescent="0.2">
      <c r="A2701" s="22"/>
    </row>
    <row r="2702" spans="1:1" x14ac:dyDescent="0.2">
      <c r="A2702" s="22"/>
    </row>
    <row r="2703" spans="1:1" x14ac:dyDescent="0.2">
      <c r="A2703" s="22"/>
    </row>
    <row r="2704" spans="1:1" x14ac:dyDescent="0.2">
      <c r="A2704" s="22"/>
    </row>
    <row r="2705" spans="1:1" x14ac:dyDescent="0.2">
      <c r="A2705" s="22"/>
    </row>
    <row r="2706" spans="1:1" x14ac:dyDescent="0.2">
      <c r="A2706" s="22"/>
    </row>
    <row r="2707" spans="1:1" x14ac:dyDescent="0.2">
      <c r="A2707" s="22"/>
    </row>
    <row r="2708" spans="1:1" x14ac:dyDescent="0.2">
      <c r="A2708" s="22"/>
    </row>
    <row r="2709" spans="1:1" x14ac:dyDescent="0.2">
      <c r="A2709" s="22"/>
    </row>
    <row r="2710" spans="1:1" x14ac:dyDescent="0.2">
      <c r="A2710" s="22"/>
    </row>
    <row r="2711" spans="1:1" x14ac:dyDescent="0.2">
      <c r="A2711" s="22"/>
    </row>
    <row r="2712" spans="1:1" x14ac:dyDescent="0.2">
      <c r="A2712" s="22"/>
    </row>
    <row r="2713" spans="1:1" x14ac:dyDescent="0.2">
      <c r="A2713" s="22"/>
    </row>
    <row r="2714" spans="1:1" x14ac:dyDescent="0.2">
      <c r="A2714" s="22"/>
    </row>
    <row r="2715" spans="1:1" x14ac:dyDescent="0.2">
      <c r="A2715" s="22"/>
    </row>
    <row r="2716" spans="1:1" x14ac:dyDescent="0.2">
      <c r="A2716" s="22"/>
    </row>
    <row r="2717" spans="1:1" x14ac:dyDescent="0.2">
      <c r="A2717" s="22"/>
    </row>
    <row r="2718" spans="1:1" x14ac:dyDescent="0.2">
      <c r="A2718" s="22"/>
    </row>
    <row r="2719" spans="1:1" x14ac:dyDescent="0.2">
      <c r="A2719" s="22"/>
    </row>
    <row r="2720" spans="1:1" x14ac:dyDescent="0.2">
      <c r="A2720" s="22"/>
    </row>
    <row r="2721" spans="1:1" x14ac:dyDescent="0.2">
      <c r="A2721" s="22"/>
    </row>
    <row r="2722" spans="1:1" x14ac:dyDescent="0.2">
      <c r="A2722" s="22"/>
    </row>
    <row r="2723" spans="1:1" x14ac:dyDescent="0.2">
      <c r="A2723" s="22"/>
    </row>
    <row r="2724" spans="1:1" x14ac:dyDescent="0.2">
      <c r="A2724" s="22"/>
    </row>
    <row r="2725" spans="1:1" x14ac:dyDescent="0.2">
      <c r="A2725" s="22"/>
    </row>
    <row r="2726" spans="1:1" x14ac:dyDescent="0.2">
      <c r="A2726" s="22"/>
    </row>
    <row r="2727" spans="1:1" x14ac:dyDescent="0.2">
      <c r="A2727" s="22"/>
    </row>
    <row r="2728" spans="1:1" x14ac:dyDescent="0.2">
      <c r="A2728" s="22"/>
    </row>
    <row r="2729" spans="1:1" x14ac:dyDescent="0.2">
      <c r="A2729" s="22"/>
    </row>
    <row r="2730" spans="1:1" x14ac:dyDescent="0.2">
      <c r="A2730" s="22"/>
    </row>
    <row r="2731" spans="1:1" x14ac:dyDescent="0.2">
      <c r="A2731" s="22"/>
    </row>
    <row r="2732" spans="1:1" x14ac:dyDescent="0.2">
      <c r="A2732" s="22"/>
    </row>
    <row r="2733" spans="1:1" x14ac:dyDescent="0.2">
      <c r="A2733" s="22"/>
    </row>
    <row r="2734" spans="1:1" x14ac:dyDescent="0.2">
      <c r="A2734" s="22"/>
    </row>
    <row r="2735" spans="1:1" x14ac:dyDescent="0.2">
      <c r="A2735" s="22"/>
    </row>
    <row r="2736" spans="1:1" x14ac:dyDescent="0.2">
      <c r="A2736" s="22"/>
    </row>
    <row r="2737" spans="1:1" x14ac:dyDescent="0.2">
      <c r="A2737" s="22"/>
    </row>
    <row r="2738" spans="1:1" x14ac:dyDescent="0.2">
      <c r="A2738" s="22"/>
    </row>
    <row r="2739" spans="1:1" x14ac:dyDescent="0.2">
      <c r="A2739" s="22"/>
    </row>
    <row r="2740" spans="1:1" x14ac:dyDescent="0.2">
      <c r="A2740" s="22"/>
    </row>
    <row r="2741" spans="1:1" x14ac:dyDescent="0.2">
      <c r="A2741" s="22"/>
    </row>
    <row r="2742" spans="1:1" x14ac:dyDescent="0.2">
      <c r="A2742" s="22"/>
    </row>
    <row r="2743" spans="1:1" x14ac:dyDescent="0.2">
      <c r="A2743" s="22"/>
    </row>
    <row r="2744" spans="1:1" x14ac:dyDescent="0.2">
      <c r="A2744" s="22"/>
    </row>
    <row r="2745" spans="1:1" x14ac:dyDescent="0.2">
      <c r="A2745" s="22"/>
    </row>
    <row r="2746" spans="1:1" x14ac:dyDescent="0.2">
      <c r="A2746" s="22"/>
    </row>
    <row r="2747" spans="1:1" x14ac:dyDescent="0.2">
      <c r="A2747" s="22"/>
    </row>
    <row r="2748" spans="1:1" x14ac:dyDescent="0.2">
      <c r="A2748" s="22"/>
    </row>
    <row r="2749" spans="1:1" x14ac:dyDescent="0.2">
      <c r="A2749" s="22"/>
    </row>
    <row r="2750" spans="1:1" x14ac:dyDescent="0.2">
      <c r="A2750" s="22"/>
    </row>
    <row r="2751" spans="1:1" x14ac:dyDescent="0.2">
      <c r="A2751" s="22"/>
    </row>
    <row r="2752" spans="1:1" x14ac:dyDescent="0.2">
      <c r="A2752" s="22"/>
    </row>
    <row r="2753" spans="1:1" x14ac:dyDescent="0.2">
      <c r="A2753" s="22"/>
    </row>
    <row r="2754" spans="1:1" x14ac:dyDescent="0.2">
      <c r="A2754" s="22"/>
    </row>
    <row r="2755" spans="1:1" x14ac:dyDescent="0.2">
      <c r="A2755" s="22"/>
    </row>
    <row r="2756" spans="1:1" x14ac:dyDescent="0.2">
      <c r="A2756" s="22"/>
    </row>
    <row r="2757" spans="1:1" x14ac:dyDescent="0.2">
      <c r="A2757" s="22"/>
    </row>
    <row r="2758" spans="1:1" x14ac:dyDescent="0.2">
      <c r="A2758" s="22"/>
    </row>
    <row r="2759" spans="1:1" x14ac:dyDescent="0.2">
      <c r="A2759" s="22"/>
    </row>
    <row r="2760" spans="1:1" x14ac:dyDescent="0.2">
      <c r="A2760" s="22"/>
    </row>
    <row r="2761" spans="1:1" x14ac:dyDescent="0.2">
      <c r="A2761" s="22"/>
    </row>
    <row r="2762" spans="1:1" x14ac:dyDescent="0.2">
      <c r="A2762" s="22"/>
    </row>
    <row r="2763" spans="1:1" x14ac:dyDescent="0.2">
      <c r="A2763" s="22"/>
    </row>
    <row r="2764" spans="1:1" x14ac:dyDescent="0.2">
      <c r="A2764" s="22"/>
    </row>
    <row r="2765" spans="1:1" x14ac:dyDescent="0.2">
      <c r="A2765" s="22"/>
    </row>
    <row r="2766" spans="1:1" x14ac:dyDescent="0.2">
      <c r="A2766" s="22"/>
    </row>
    <row r="2767" spans="1:1" x14ac:dyDescent="0.2">
      <c r="A2767" s="22"/>
    </row>
    <row r="2768" spans="1:1" x14ac:dyDescent="0.2">
      <c r="A2768" s="22"/>
    </row>
    <row r="2769" spans="1:1" x14ac:dyDescent="0.2">
      <c r="A2769" s="22"/>
    </row>
    <row r="2770" spans="1:1" x14ac:dyDescent="0.2">
      <c r="A2770" s="22"/>
    </row>
    <row r="2771" spans="1:1" x14ac:dyDescent="0.2">
      <c r="A2771" s="22"/>
    </row>
    <row r="2772" spans="1:1" x14ac:dyDescent="0.2">
      <c r="A2772" s="22"/>
    </row>
    <row r="2773" spans="1:1" x14ac:dyDescent="0.2">
      <c r="A2773" s="22"/>
    </row>
    <row r="2774" spans="1:1" x14ac:dyDescent="0.2">
      <c r="A2774" s="22"/>
    </row>
    <row r="2775" spans="1:1" x14ac:dyDescent="0.2">
      <c r="A2775" s="22"/>
    </row>
    <row r="2776" spans="1:1" x14ac:dyDescent="0.2">
      <c r="A2776" s="22"/>
    </row>
    <row r="2777" spans="1:1" x14ac:dyDescent="0.2">
      <c r="A2777" s="22"/>
    </row>
    <row r="2778" spans="1:1" x14ac:dyDescent="0.2">
      <c r="A2778" s="22"/>
    </row>
    <row r="2779" spans="1:1" x14ac:dyDescent="0.2">
      <c r="A2779" s="22"/>
    </row>
    <row r="2780" spans="1:1" x14ac:dyDescent="0.2">
      <c r="A2780" s="22"/>
    </row>
    <row r="2781" spans="1:1" x14ac:dyDescent="0.2">
      <c r="A2781" s="22"/>
    </row>
    <row r="2782" spans="1:1" x14ac:dyDescent="0.2">
      <c r="A2782" s="22"/>
    </row>
    <row r="2783" spans="1:1" x14ac:dyDescent="0.2">
      <c r="A2783" s="22"/>
    </row>
    <row r="2784" spans="1:1" x14ac:dyDescent="0.2">
      <c r="A2784" s="22"/>
    </row>
    <row r="2785" spans="1:1" x14ac:dyDescent="0.2">
      <c r="A2785" s="22"/>
    </row>
    <row r="2786" spans="1:1" x14ac:dyDescent="0.2">
      <c r="A2786" s="22"/>
    </row>
    <row r="2787" spans="1:1" x14ac:dyDescent="0.2">
      <c r="A2787" s="22"/>
    </row>
    <row r="2788" spans="1:1" x14ac:dyDescent="0.2">
      <c r="A2788" s="22"/>
    </row>
    <row r="2789" spans="1:1" x14ac:dyDescent="0.2">
      <c r="A2789" s="22"/>
    </row>
    <row r="2790" spans="1:1" x14ac:dyDescent="0.2">
      <c r="A2790" s="22"/>
    </row>
    <row r="2791" spans="1:1" x14ac:dyDescent="0.2">
      <c r="A2791" s="22"/>
    </row>
    <row r="2792" spans="1:1" x14ac:dyDescent="0.2">
      <c r="A2792" s="22"/>
    </row>
    <row r="2793" spans="1:1" x14ac:dyDescent="0.2">
      <c r="A2793" s="22"/>
    </row>
    <row r="2794" spans="1:1" x14ac:dyDescent="0.2">
      <c r="A2794" s="22"/>
    </row>
    <row r="2795" spans="1:1" x14ac:dyDescent="0.2">
      <c r="A2795" s="22"/>
    </row>
    <row r="2796" spans="1:1" x14ac:dyDescent="0.2">
      <c r="A2796" s="22"/>
    </row>
    <row r="2797" spans="1:1" x14ac:dyDescent="0.2">
      <c r="A2797" s="22"/>
    </row>
    <row r="2798" spans="1:1" x14ac:dyDescent="0.2">
      <c r="A2798" s="22"/>
    </row>
    <row r="2799" spans="1:1" x14ac:dyDescent="0.2">
      <c r="A2799" s="22"/>
    </row>
    <row r="2800" spans="1:1" x14ac:dyDescent="0.2">
      <c r="A2800" s="22"/>
    </row>
    <row r="2801" spans="1:1" x14ac:dyDescent="0.2">
      <c r="A2801" s="22"/>
    </row>
    <row r="2802" spans="1:1" x14ac:dyDescent="0.2">
      <c r="A2802" s="22"/>
    </row>
    <row r="2803" spans="1:1" x14ac:dyDescent="0.2">
      <c r="A2803" s="22"/>
    </row>
    <row r="2804" spans="1:1" x14ac:dyDescent="0.2">
      <c r="A2804" s="22"/>
    </row>
    <row r="2805" spans="1:1" x14ac:dyDescent="0.2">
      <c r="A2805" s="22"/>
    </row>
    <row r="2806" spans="1:1" x14ac:dyDescent="0.2">
      <c r="A2806" s="22"/>
    </row>
    <row r="2807" spans="1:1" x14ac:dyDescent="0.2">
      <c r="A2807" s="22"/>
    </row>
    <row r="2808" spans="1:1" x14ac:dyDescent="0.2">
      <c r="A2808" s="22"/>
    </row>
    <row r="2809" spans="1:1" x14ac:dyDescent="0.2">
      <c r="A2809" s="22"/>
    </row>
    <row r="2810" spans="1:1" x14ac:dyDescent="0.2">
      <c r="A2810" s="22"/>
    </row>
    <row r="2811" spans="1:1" x14ac:dyDescent="0.2">
      <c r="A2811" s="22"/>
    </row>
    <row r="2812" spans="1:1" x14ac:dyDescent="0.2">
      <c r="A2812" s="22"/>
    </row>
    <row r="2813" spans="1:1" x14ac:dyDescent="0.2">
      <c r="A2813" s="22"/>
    </row>
    <row r="2814" spans="1:1" x14ac:dyDescent="0.2">
      <c r="A2814" s="22"/>
    </row>
    <row r="2815" spans="1:1" x14ac:dyDescent="0.2">
      <c r="A2815" s="22"/>
    </row>
    <row r="2816" spans="1:1" x14ac:dyDescent="0.2">
      <c r="A2816" s="22"/>
    </row>
    <row r="2817" spans="1:1" x14ac:dyDescent="0.2">
      <c r="A2817" s="22"/>
    </row>
    <row r="2818" spans="1:1" x14ac:dyDescent="0.2">
      <c r="A2818" s="22"/>
    </row>
    <row r="2819" spans="1:1" x14ac:dyDescent="0.2">
      <c r="A2819" s="22"/>
    </row>
    <row r="2820" spans="1:1" x14ac:dyDescent="0.2">
      <c r="A2820" s="22"/>
    </row>
    <row r="2821" spans="1:1" x14ac:dyDescent="0.2">
      <c r="A2821" s="22"/>
    </row>
    <row r="2822" spans="1:1" x14ac:dyDescent="0.2">
      <c r="A2822" s="22"/>
    </row>
    <row r="2823" spans="1:1" x14ac:dyDescent="0.2">
      <c r="A2823" s="22"/>
    </row>
    <row r="2824" spans="1:1" x14ac:dyDescent="0.2">
      <c r="A2824" s="22"/>
    </row>
    <row r="2825" spans="1:1" x14ac:dyDescent="0.2">
      <c r="A2825" s="22"/>
    </row>
    <row r="2826" spans="1:1" x14ac:dyDescent="0.2">
      <c r="A2826" s="22"/>
    </row>
    <row r="2827" spans="1:1" x14ac:dyDescent="0.2">
      <c r="A2827" s="22"/>
    </row>
    <row r="2828" spans="1:1" x14ac:dyDescent="0.2">
      <c r="A2828" s="22"/>
    </row>
    <row r="2829" spans="1:1" x14ac:dyDescent="0.2">
      <c r="A2829" s="22"/>
    </row>
    <row r="2830" spans="1:1" x14ac:dyDescent="0.2">
      <c r="A2830" s="22"/>
    </row>
    <row r="2831" spans="1:1" x14ac:dyDescent="0.2">
      <c r="A2831" s="22"/>
    </row>
    <row r="2832" spans="1:1" x14ac:dyDescent="0.2">
      <c r="A2832" s="22"/>
    </row>
    <row r="2833" spans="1:1" x14ac:dyDescent="0.2">
      <c r="A2833" s="22"/>
    </row>
    <row r="2834" spans="1:1" x14ac:dyDescent="0.2">
      <c r="A2834" s="22"/>
    </row>
    <row r="2835" spans="1:1" x14ac:dyDescent="0.2">
      <c r="A2835" s="22"/>
    </row>
    <row r="2836" spans="1:1" x14ac:dyDescent="0.2">
      <c r="A2836" s="22"/>
    </row>
    <row r="2837" spans="1:1" x14ac:dyDescent="0.2">
      <c r="A2837" s="22"/>
    </row>
    <row r="2838" spans="1:1" x14ac:dyDescent="0.2">
      <c r="A2838" s="22"/>
    </row>
    <row r="2839" spans="1:1" x14ac:dyDescent="0.2">
      <c r="A2839" s="22"/>
    </row>
    <row r="2840" spans="1:1" x14ac:dyDescent="0.2">
      <c r="A2840" s="22"/>
    </row>
    <row r="2841" spans="1:1" x14ac:dyDescent="0.2">
      <c r="A2841" s="22"/>
    </row>
    <row r="2842" spans="1:1" x14ac:dyDescent="0.2">
      <c r="A2842" s="22"/>
    </row>
    <row r="2843" spans="1:1" x14ac:dyDescent="0.2">
      <c r="A2843" s="22"/>
    </row>
    <row r="2844" spans="1:1" x14ac:dyDescent="0.2">
      <c r="A2844" s="22"/>
    </row>
    <row r="2845" spans="1:1" x14ac:dyDescent="0.2">
      <c r="A2845" s="22"/>
    </row>
    <row r="2846" spans="1:1" x14ac:dyDescent="0.2">
      <c r="A2846" s="22"/>
    </row>
    <row r="2847" spans="1:1" x14ac:dyDescent="0.2">
      <c r="A2847" s="22"/>
    </row>
    <row r="2848" spans="1:1" x14ac:dyDescent="0.2">
      <c r="A2848" s="22"/>
    </row>
    <row r="2849" spans="1:1" x14ac:dyDescent="0.2">
      <c r="A2849" s="22"/>
    </row>
    <row r="2850" spans="1:1" x14ac:dyDescent="0.2">
      <c r="A2850" s="22"/>
    </row>
    <row r="2851" spans="1:1" x14ac:dyDescent="0.2">
      <c r="A2851" s="22"/>
    </row>
    <row r="2852" spans="1:1" x14ac:dyDescent="0.2">
      <c r="A2852" s="22"/>
    </row>
    <row r="2853" spans="1:1" x14ac:dyDescent="0.2">
      <c r="A2853" s="22"/>
    </row>
    <row r="2854" spans="1:1" x14ac:dyDescent="0.2">
      <c r="A2854" s="22"/>
    </row>
    <row r="2855" spans="1:1" x14ac:dyDescent="0.2">
      <c r="A2855" s="22"/>
    </row>
    <row r="2856" spans="1:1" x14ac:dyDescent="0.2">
      <c r="A2856" s="22"/>
    </row>
    <row r="2857" spans="1:1" x14ac:dyDescent="0.2">
      <c r="A2857" s="22"/>
    </row>
    <row r="2858" spans="1:1" x14ac:dyDescent="0.2">
      <c r="A2858" s="22"/>
    </row>
    <row r="2859" spans="1:1" x14ac:dyDescent="0.2">
      <c r="A2859" s="22"/>
    </row>
    <row r="2860" spans="1:1" x14ac:dyDescent="0.2">
      <c r="A2860" s="22"/>
    </row>
    <row r="2861" spans="1:1" x14ac:dyDescent="0.2">
      <c r="A2861" s="22"/>
    </row>
    <row r="2862" spans="1:1" x14ac:dyDescent="0.2">
      <c r="A2862" s="22"/>
    </row>
    <row r="2863" spans="1:1" x14ac:dyDescent="0.2">
      <c r="A2863" s="22"/>
    </row>
    <row r="2864" spans="1:1" x14ac:dyDescent="0.2">
      <c r="A2864" s="22"/>
    </row>
    <row r="2865" spans="1:1" x14ac:dyDescent="0.2">
      <c r="A2865" s="22"/>
    </row>
    <row r="2866" spans="1:1" x14ac:dyDescent="0.2">
      <c r="A2866" s="22"/>
    </row>
    <row r="2867" spans="1:1" x14ac:dyDescent="0.2">
      <c r="A2867" s="22"/>
    </row>
    <row r="2868" spans="1:1" x14ac:dyDescent="0.2">
      <c r="A2868" s="22"/>
    </row>
    <row r="2869" spans="1:1" x14ac:dyDescent="0.2">
      <c r="A2869" s="22"/>
    </row>
    <row r="2870" spans="1:1" x14ac:dyDescent="0.2">
      <c r="A2870" s="22"/>
    </row>
    <row r="2871" spans="1:1" x14ac:dyDescent="0.2">
      <c r="A2871" s="22"/>
    </row>
    <row r="2872" spans="1:1" x14ac:dyDescent="0.2">
      <c r="A2872" s="22"/>
    </row>
    <row r="2873" spans="1:1" x14ac:dyDescent="0.2">
      <c r="A2873" s="22"/>
    </row>
    <row r="2874" spans="1:1" x14ac:dyDescent="0.2">
      <c r="A2874" s="22"/>
    </row>
    <row r="2875" spans="1:1" x14ac:dyDescent="0.2">
      <c r="A2875" s="22"/>
    </row>
    <row r="2876" spans="1:1" x14ac:dyDescent="0.2">
      <c r="A2876" s="22"/>
    </row>
    <row r="2877" spans="1:1" x14ac:dyDescent="0.2">
      <c r="A2877" s="22"/>
    </row>
    <row r="2878" spans="1:1" x14ac:dyDescent="0.2">
      <c r="A2878" s="22"/>
    </row>
    <row r="2879" spans="1:1" x14ac:dyDescent="0.2">
      <c r="A2879" s="22"/>
    </row>
    <row r="2880" spans="1:1" x14ac:dyDescent="0.2">
      <c r="A2880" s="22"/>
    </row>
    <row r="2881" spans="1:1" x14ac:dyDescent="0.2">
      <c r="A2881" s="22"/>
    </row>
    <row r="2882" spans="1:1" x14ac:dyDescent="0.2">
      <c r="A2882" s="22"/>
    </row>
    <row r="2883" spans="1:1" x14ac:dyDescent="0.2">
      <c r="A2883" s="22"/>
    </row>
    <row r="2884" spans="1:1" x14ac:dyDescent="0.2">
      <c r="A2884" s="22"/>
    </row>
    <row r="2885" spans="1:1" x14ac:dyDescent="0.2">
      <c r="A2885" s="22"/>
    </row>
    <row r="2886" spans="1:1" x14ac:dyDescent="0.2">
      <c r="A2886" s="22"/>
    </row>
    <row r="2887" spans="1:1" x14ac:dyDescent="0.2">
      <c r="A2887" s="22"/>
    </row>
    <row r="2888" spans="1:1" x14ac:dyDescent="0.2">
      <c r="A2888" s="22"/>
    </row>
    <row r="2889" spans="1:1" x14ac:dyDescent="0.2">
      <c r="A2889" s="22"/>
    </row>
    <row r="2890" spans="1:1" x14ac:dyDescent="0.2">
      <c r="A2890" s="22"/>
    </row>
    <row r="2891" spans="1:1" x14ac:dyDescent="0.2">
      <c r="A2891" s="22"/>
    </row>
    <row r="2892" spans="1:1" x14ac:dyDescent="0.2">
      <c r="A2892" s="22"/>
    </row>
    <row r="2893" spans="1:1" x14ac:dyDescent="0.2">
      <c r="A2893" s="22"/>
    </row>
    <row r="2894" spans="1:1" x14ac:dyDescent="0.2">
      <c r="A2894" s="22"/>
    </row>
    <row r="2895" spans="1:1" x14ac:dyDescent="0.2">
      <c r="A2895" s="22"/>
    </row>
    <row r="2896" spans="1:1" x14ac:dyDescent="0.2">
      <c r="A2896" s="22"/>
    </row>
    <row r="2897" spans="1:1" x14ac:dyDescent="0.2">
      <c r="A2897" s="22"/>
    </row>
    <row r="2898" spans="1:1" x14ac:dyDescent="0.2">
      <c r="A2898" s="22"/>
    </row>
    <row r="2899" spans="1:1" x14ac:dyDescent="0.2">
      <c r="A2899" s="22"/>
    </row>
    <row r="2900" spans="1:1" x14ac:dyDescent="0.2">
      <c r="A2900" s="22"/>
    </row>
    <row r="2901" spans="1:1" x14ac:dyDescent="0.2">
      <c r="A2901" s="22"/>
    </row>
    <row r="2902" spans="1:1" x14ac:dyDescent="0.2">
      <c r="A2902" s="22"/>
    </row>
    <row r="2903" spans="1:1" x14ac:dyDescent="0.2">
      <c r="A2903" s="22"/>
    </row>
    <row r="2904" spans="1:1" x14ac:dyDescent="0.2">
      <c r="A2904" s="22"/>
    </row>
    <row r="2905" spans="1:1" x14ac:dyDescent="0.2">
      <c r="A2905" s="22"/>
    </row>
    <row r="2906" spans="1:1" x14ac:dyDescent="0.2">
      <c r="A2906" s="22"/>
    </row>
    <row r="2907" spans="1:1" x14ac:dyDescent="0.2">
      <c r="A2907" s="22"/>
    </row>
    <row r="2908" spans="1:1" x14ac:dyDescent="0.2">
      <c r="A2908" s="22"/>
    </row>
    <row r="2909" spans="1:1" x14ac:dyDescent="0.2">
      <c r="A2909" s="22"/>
    </row>
    <row r="2910" spans="1:1" x14ac:dyDescent="0.2">
      <c r="A2910" s="22"/>
    </row>
    <row r="2911" spans="1:1" x14ac:dyDescent="0.2">
      <c r="A2911" s="22"/>
    </row>
    <row r="2912" spans="1:1" x14ac:dyDescent="0.2">
      <c r="A2912" s="22"/>
    </row>
    <row r="2913" spans="1:1" x14ac:dyDescent="0.2">
      <c r="A2913" s="22"/>
    </row>
    <row r="2914" spans="1:1" x14ac:dyDescent="0.2">
      <c r="A2914" s="22"/>
    </row>
    <row r="2915" spans="1:1" x14ac:dyDescent="0.2">
      <c r="A2915" s="22"/>
    </row>
    <row r="2916" spans="1:1" x14ac:dyDescent="0.2">
      <c r="A2916" s="22"/>
    </row>
    <row r="2917" spans="1:1" x14ac:dyDescent="0.2">
      <c r="A2917" s="22"/>
    </row>
    <row r="2918" spans="1:1" x14ac:dyDescent="0.2">
      <c r="A2918" s="22"/>
    </row>
    <row r="2919" spans="1:1" x14ac:dyDescent="0.2">
      <c r="A2919" s="22"/>
    </row>
    <row r="2920" spans="1:1" x14ac:dyDescent="0.2">
      <c r="A2920" s="22"/>
    </row>
    <row r="2921" spans="1:1" x14ac:dyDescent="0.2">
      <c r="A2921" s="22"/>
    </row>
    <row r="2922" spans="1:1" x14ac:dyDescent="0.2">
      <c r="A2922" s="22"/>
    </row>
    <row r="2923" spans="1:1" x14ac:dyDescent="0.2">
      <c r="A2923" s="22"/>
    </row>
    <row r="2924" spans="1:1" x14ac:dyDescent="0.2">
      <c r="A2924" s="22"/>
    </row>
    <row r="2925" spans="1:1" x14ac:dyDescent="0.2">
      <c r="A2925" s="22"/>
    </row>
    <row r="2926" spans="1:1" x14ac:dyDescent="0.2">
      <c r="A2926" s="22"/>
    </row>
    <row r="2927" spans="1:1" x14ac:dyDescent="0.2">
      <c r="A2927" s="22"/>
    </row>
    <row r="2928" spans="1:1" x14ac:dyDescent="0.2">
      <c r="A2928" s="22"/>
    </row>
    <row r="2929" spans="1:1" x14ac:dyDescent="0.2">
      <c r="A2929" s="22"/>
    </row>
    <row r="2930" spans="1:1" x14ac:dyDescent="0.2">
      <c r="A2930" s="22"/>
    </row>
    <row r="2931" spans="1:1" x14ac:dyDescent="0.2">
      <c r="A2931" s="22"/>
    </row>
    <row r="2932" spans="1:1" x14ac:dyDescent="0.2">
      <c r="A2932" s="22"/>
    </row>
    <row r="2933" spans="1:1" x14ac:dyDescent="0.2">
      <c r="A2933" s="22"/>
    </row>
    <row r="2934" spans="1:1" x14ac:dyDescent="0.2">
      <c r="A2934" s="22"/>
    </row>
    <row r="2935" spans="1:1" x14ac:dyDescent="0.2">
      <c r="A2935" s="22"/>
    </row>
    <row r="2936" spans="1:1" x14ac:dyDescent="0.2">
      <c r="A2936" s="22"/>
    </row>
    <row r="2937" spans="1:1" x14ac:dyDescent="0.2">
      <c r="A2937" s="22"/>
    </row>
    <row r="2938" spans="1:1" x14ac:dyDescent="0.2">
      <c r="A2938" s="22"/>
    </row>
    <row r="2939" spans="1:1" x14ac:dyDescent="0.2">
      <c r="A2939" s="22"/>
    </row>
    <row r="2940" spans="1:1" x14ac:dyDescent="0.2">
      <c r="A2940" s="22"/>
    </row>
    <row r="2941" spans="1:1" x14ac:dyDescent="0.2">
      <c r="A2941" s="22"/>
    </row>
    <row r="2942" spans="1:1" x14ac:dyDescent="0.2">
      <c r="A2942" s="22"/>
    </row>
    <row r="2943" spans="1:1" x14ac:dyDescent="0.2">
      <c r="A2943" s="22"/>
    </row>
    <row r="2944" spans="1:1" x14ac:dyDescent="0.2">
      <c r="A2944" s="22"/>
    </row>
    <row r="2945" spans="1:1" x14ac:dyDescent="0.2">
      <c r="A2945" s="22"/>
    </row>
    <row r="2946" spans="1:1" x14ac:dyDescent="0.2">
      <c r="A2946" s="22"/>
    </row>
    <row r="2947" spans="1:1" x14ac:dyDescent="0.2">
      <c r="A2947" s="22"/>
    </row>
    <row r="2948" spans="1:1" x14ac:dyDescent="0.2">
      <c r="A2948" s="22"/>
    </row>
    <row r="2949" spans="1:1" x14ac:dyDescent="0.2">
      <c r="A2949" s="22"/>
    </row>
    <row r="2950" spans="1:1" x14ac:dyDescent="0.2">
      <c r="A2950" s="22"/>
    </row>
    <row r="2951" spans="1:1" x14ac:dyDescent="0.2">
      <c r="A2951" s="22"/>
    </row>
    <row r="2952" spans="1:1" x14ac:dyDescent="0.2">
      <c r="A2952" s="22"/>
    </row>
    <row r="2953" spans="1:1" x14ac:dyDescent="0.2">
      <c r="A2953" s="22"/>
    </row>
    <row r="2954" spans="1:1" x14ac:dyDescent="0.2">
      <c r="A2954" s="22"/>
    </row>
    <row r="2955" spans="1:1" x14ac:dyDescent="0.2">
      <c r="A2955" s="22"/>
    </row>
    <row r="2956" spans="1:1" x14ac:dyDescent="0.2">
      <c r="A2956" s="22"/>
    </row>
    <row r="2957" spans="1:1" x14ac:dyDescent="0.2">
      <c r="A2957" s="22"/>
    </row>
    <row r="2958" spans="1:1" x14ac:dyDescent="0.2">
      <c r="A2958" s="22"/>
    </row>
    <row r="2959" spans="1:1" x14ac:dyDescent="0.2">
      <c r="A2959" s="22"/>
    </row>
    <row r="2960" spans="1:1" x14ac:dyDescent="0.2">
      <c r="A2960" s="22"/>
    </row>
    <row r="2961" spans="1:1" x14ac:dyDescent="0.2">
      <c r="A2961" s="22"/>
    </row>
    <row r="2962" spans="1:1" x14ac:dyDescent="0.2">
      <c r="A2962" s="22"/>
    </row>
    <row r="2963" spans="1:1" x14ac:dyDescent="0.2">
      <c r="A2963" s="22"/>
    </row>
    <row r="2964" spans="1:1" x14ac:dyDescent="0.2">
      <c r="A2964" s="22"/>
    </row>
    <row r="2965" spans="1:1" x14ac:dyDescent="0.2">
      <c r="A2965" s="22"/>
    </row>
    <row r="2966" spans="1:1" x14ac:dyDescent="0.2">
      <c r="A2966" s="22"/>
    </row>
    <row r="2967" spans="1:1" x14ac:dyDescent="0.2">
      <c r="A2967" s="22"/>
    </row>
    <row r="2968" spans="1:1" x14ac:dyDescent="0.2">
      <c r="A2968" s="22"/>
    </row>
    <row r="2969" spans="1:1" x14ac:dyDescent="0.2">
      <c r="A2969" s="22"/>
    </row>
    <row r="2970" spans="1:1" x14ac:dyDescent="0.2">
      <c r="A2970" s="22"/>
    </row>
    <row r="2971" spans="1:1" x14ac:dyDescent="0.2">
      <c r="A2971" s="22"/>
    </row>
    <row r="2972" spans="1:1" x14ac:dyDescent="0.2">
      <c r="A2972" s="22"/>
    </row>
    <row r="2973" spans="1:1" x14ac:dyDescent="0.2">
      <c r="A2973" s="22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2973"/>
  <sheetViews>
    <sheetView topLeftCell="A1049" workbookViewId="0">
      <selection activeCell="I1051" sqref="I1051"/>
    </sheetView>
  </sheetViews>
  <sheetFormatPr baseColWidth="10" defaultColWidth="11.1640625" defaultRowHeight="16" x14ac:dyDescent="0.2"/>
  <cols>
    <col min="7" max="7" width="22.5" bestFit="1" customWidth="1"/>
  </cols>
  <sheetData>
    <row r="1" spans="1:9" x14ac:dyDescent="0.3">
      <c r="A1" t="str">
        <f>IF(ROW(A1)&lt;=Bidding!$D$11,Raw_hydro_bm!B1,"")</f>
        <v>production</v>
      </c>
      <c r="B1" t="str">
        <f>IF(ROW(B1)&lt;=Bidding!$D$11,Raw_hydro_bm!C1,"")</f>
        <v>quantity</v>
      </c>
      <c r="C1" t="str">
        <f>IF(ROW(C1)&lt;=Bidding!$D$11,Raw_hydro_bm!D1,"")</f>
        <v>X</v>
      </c>
      <c r="D1" t="str">
        <f>IF(ROW(D1)&lt;=Bidding!$D$11,Raw_hydro_bm!E1,"")</f>
        <v>X</v>
      </c>
      <c r="E1">
        <f>IF(ROW(E1)&lt;=Bidding!$D$11,Raw_hydro_bm!F1,"")</f>
        <v>0</v>
      </c>
      <c r="F1">
        <f>IF(ROW(F1)&lt;=Bidding!$D$11,Raw_hydro_bm!G1,"")</f>
        <v>0</v>
      </c>
      <c r="G1">
        <f>IF(ROW(G1)&lt;=Bidding!$D$11,Raw_hydro_bm!H1,"")</f>
        <v>0</v>
      </c>
      <c r="H1" t="str">
        <f>IF(ROW(H1)&lt;=Bidding!$D$11,Raw_hydro_bm!I1,"")</f>
        <v>40.0</v>
      </c>
      <c r="I1" s="16">
        <f>IF(IFERROR(FIND("e",H1),-1)&lt;0,IFERROR(_xlfn.NUMBERVALUE(LEFT(H1,FIND(".",H1)-1))+_xlfn.NUMBERVALUE("0,"&amp;RIGHT(H1,LEN(H1)-FIND(".",H1))),""),0)</f>
        <v>40</v>
      </c>
    </row>
    <row r="2" spans="1:9" x14ac:dyDescent="0.3">
      <c r="A2" t="str">
        <f>IF(ROW(A2)&lt;=Bidding!$D$11,Raw_hydro_bm!B2,"")</f>
        <v>production</v>
      </c>
      <c r="B2" t="str">
        <f>IF(ROW(B2)&lt;=Bidding!$D$11,Raw_hydro_bm!C2,"")</f>
        <v>quantity</v>
      </c>
      <c r="C2" t="str">
        <f>IF(ROW(C2)&lt;=Bidding!$D$11,Raw_hydro_bm!D2,"")</f>
        <v>X</v>
      </c>
      <c r="D2" t="str">
        <f>IF(ROW(D2)&lt;=Bidding!$D$11,Raw_hydro_bm!E2,"")</f>
        <v>X</v>
      </c>
      <c r="E2">
        <f>IF(ROW(E2)&lt;=Bidding!$D$11,Raw_hydro_bm!F2,"")</f>
        <v>0</v>
      </c>
      <c r="F2">
        <f>IF(ROW(F2)&lt;=Bidding!$D$11,Raw_hydro_bm!G2,"")</f>
        <v>0</v>
      </c>
      <c r="G2">
        <f>IF(ROW(G2)&lt;=Bidding!$D$11,Raw_hydro_bm!H2,"")</f>
        <v>1</v>
      </c>
      <c r="H2" t="str">
        <f>IF(ROW(H2)&lt;=Bidding!$D$11,Raw_hydro_bm!I2,"")</f>
        <v>50.0</v>
      </c>
      <c r="I2" s="16">
        <f t="shared" ref="I2:I65" si="0">IF(IFERROR(FIND("e",H2),-1)&lt;0,IFERROR(_xlfn.NUMBERVALUE(LEFT(H2,FIND(".",H2)-1))+_xlfn.NUMBERVALUE("0,"&amp;RIGHT(H2,LEN(H2)-FIND(".",H2))),""),0)</f>
        <v>50</v>
      </c>
    </row>
    <row r="3" spans="1:9" x14ac:dyDescent="0.3">
      <c r="A3" t="str">
        <f>IF(ROW(A3)&lt;=Bidding!$D$11,Raw_hydro_bm!B3,"")</f>
        <v>production</v>
      </c>
      <c r="B3" t="str">
        <f>IF(ROW(B3)&lt;=Bidding!$D$11,Raw_hydro_bm!C3,"")</f>
        <v>quantity</v>
      </c>
      <c r="C3" t="str">
        <f>IF(ROW(C3)&lt;=Bidding!$D$11,Raw_hydro_bm!D3,"")</f>
        <v>X</v>
      </c>
      <c r="D3" t="str">
        <f>IF(ROW(D3)&lt;=Bidding!$D$11,Raw_hydro_bm!E3,"")</f>
        <v>X</v>
      </c>
      <c r="E3">
        <f>IF(ROW(E3)&lt;=Bidding!$D$11,Raw_hydro_bm!F3,"")</f>
        <v>0</v>
      </c>
      <c r="F3">
        <f>IF(ROW(F3)&lt;=Bidding!$D$11,Raw_hydro_bm!G3,"")</f>
        <v>0</v>
      </c>
      <c r="G3">
        <f>IF(ROW(G3)&lt;=Bidding!$D$11,Raw_hydro_bm!H3,"")</f>
        <v>2</v>
      </c>
      <c r="H3" t="str">
        <f>IF(ROW(H3)&lt;=Bidding!$D$11,Raw_hydro_bm!I3,"")</f>
        <v>10.0</v>
      </c>
      <c r="I3" s="16">
        <f t="shared" si="0"/>
        <v>10</v>
      </c>
    </row>
    <row r="4" spans="1:9" x14ac:dyDescent="0.3">
      <c r="A4" t="str">
        <f>IF(ROW(A4)&lt;=Bidding!$D$11,Raw_hydro_bm!B4,"")</f>
        <v>production</v>
      </c>
      <c r="B4" t="str">
        <f>IF(ROW(B4)&lt;=Bidding!$D$11,Raw_hydro_bm!C4,"")</f>
        <v>quantity</v>
      </c>
      <c r="C4" t="str">
        <f>IF(ROW(C4)&lt;=Bidding!$D$11,Raw_hydro_bm!D4,"")</f>
        <v>X</v>
      </c>
      <c r="D4" t="str">
        <f>IF(ROW(D4)&lt;=Bidding!$D$11,Raw_hydro_bm!E4,"")</f>
        <v>X</v>
      </c>
      <c r="E4">
        <f>IF(ROW(E4)&lt;=Bidding!$D$11,Raw_hydro_bm!F4,"")</f>
        <v>0</v>
      </c>
      <c r="F4">
        <f>IF(ROW(F4)&lt;=Bidding!$D$11,Raw_hydro_bm!G4,"")</f>
        <v>1</v>
      </c>
      <c r="G4">
        <f>IF(ROW(G4)&lt;=Bidding!$D$11,Raw_hydro_bm!H4,"")</f>
        <v>0</v>
      </c>
      <c r="H4" t="str">
        <f>IF(ROW(H4)&lt;=Bidding!$D$11,Raw_hydro_bm!I4,"")</f>
        <v>45.0</v>
      </c>
      <c r="I4" s="16">
        <f t="shared" si="0"/>
        <v>45</v>
      </c>
    </row>
    <row r="5" spans="1:9" x14ac:dyDescent="0.3">
      <c r="A5" t="str">
        <f>IF(ROW(A5)&lt;=Bidding!$D$11,Raw_hydro_bm!B5,"")</f>
        <v>production</v>
      </c>
      <c r="B5" t="str">
        <f>IF(ROW(B5)&lt;=Bidding!$D$11,Raw_hydro_bm!C5,"")</f>
        <v>quantity</v>
      </c>
      <c r="C5" t="str">
        <f>IF(ROW(C5)&lt;=Bidding!$D$11,Raw_hydro_bm!D5,"")</f>
        <v>X</v>
      </c>
      <c r="D5" t="str">
        <f>IF(ROW(D5)&lt;=Bidding!$D$11,Raw_hydro_bm!E5,"")</f>
        <v>X</v>
      </c>
      <c r="E5">
        <f>IF(ROW(E5)&lt;=Bidding!$D$11,Raw_hydro_bm!F5,"")</f>
        <v>0</v>
      </c>
      <c r="F5">
        <f>IF(ROW(F5)&lt;=Bidding!$D$11,Raw_hydro_bm!G5,"")</f>
        <v>1</v>
      </c>
      <c r="G5">
        <f>IF(ROW(G5)&lt;=Bidding!$D$11,Raw_hydro_bm!H5,"")</f>
        <v>1</v>
      </c>
      <c r="H5" t="str">
        <f>IF(ROW(H5)&lt;=Bidding!$D$11,Raw_hydro_bm!I5,"")</f>
        <v>50.0</v>
      </c>
      <c r="I5" s="16">
        <f t="shared" si="0"/>
        <v>50</v>
      </c>
    </row>
    <row r="6" spans="1:9" x14ac:dyDescent="0.3">
      <c r="A6" t="str">
        <f>IF(ROW(A6)&lt;=Bidding!$D$11,Raw_hydro_bm!B6,"")</f>
        <v>production</v>
      </c>
      <c r="B6" t="str">
        <f>IF(ROW(B6)&lt;=Bidding!$D$11,Raw_hydro_bm!C6,"")</f>
        <v>quantity</v>
      </c>
      <c r="C6" t="str">
        <f>IF(ROW(C6)&lt;=Bidding!$D$11,Raw_hydro_bm!D6,"")</f>
        <v>X</v>
      </c>
      <c r="D6" t="str">
        <f>IF(ROW(D6)&lt;=Bidding!$D$11,Raw_hydro_bm!E6,"")</f>
        <v>X</v>
      </c>
      <c r="E6">
        <f>IF(ROW(E6)&lt;=Bidding!$D$11,Raw_hydro_bm!F6,"")</f>
        <v>0</v>
      </c>
      <c r="F6">
        <f>IF(ROW(F6)&lt;=Bidding!$D$11,Raw_hydro_bm!G6,"")</f>
        <v>1</v>
      </c>
      <c r="G6">
        <f>IF(ROW(G6)&lt;=Bidding!$D$11,Raw_hydro_bm!H6,"")</f>
        <v>2</v>
      </c>
      <c r="H6" t="str">
        <f>IF(ROW(H6)&lt;=Bidding!$D$11,Raw_hydro_bm!I6,"")</f>
        <v>25.0</v>
      </c>
      <c r="I6" s="16">
        <f t="shared" si="0"/>
        <v>25</v>
      </c>
    </row>
    <row r="7" spans="1:9" x14ac:dyDescent="0.3">
      <c r="A7" t="str">
        <f>IF(ROW(A7)&lt;=Bidding!$D$11,Raw_hydro_bm!B7,"")</f>
        <v>production</v>
      </c>
      <c r="B7" t="str">
        <f>IF(ROW(B7)&lt;=Bidding!$D$11,Raw_hydro_bm!C7,"")</f>
        <v>quantity</v>
      </c>
      <c r="C7" t="str">
        <f>IF(ROW(C7)&lt;=Bidding!$D$11,Raw_hydro_bm!D7,"")</f>
        <v>X</v>
      </c>
      <c r="D7" t="str">
        <f>IF(ROW(D7)&lt;=Bidding!$D$11,Raw_hydro_bm!E7,"")</f>
        <v>X</v>
      </c>
      <c r="E7">
        <f>IF(ROW(E7)&lt;=Bidding!$D$11,Raw_hydro_bm!F7,"")</f>
        <v>0</v>
      </c>
      <c r="F7">
        <f>IF(ROW(F7)&lt;=Bidding!$D$11,Raw_hydro_bm!G7,"")</f>
        <v>2</v>
      </c>
      <c r="G7">
        <f>IF(ROW(G7)&lt;=Bidding!$D$11,Raw_hydro_bm!H7,"")</f>
        <v>0</v>
      </c>
      <c r="H7" t="str">
        <f>IF(ROW(H7)&lt;=Bidding!$D$11,Raw_hydro_bm!I7,"")</f>
        <v>50.0</v>
      </c>
      <c r="I7" s="16">
        <f t="shared" si="0"/>
        <v>50</v>
      </c>
    </row>
    <row r="8" spans="1:9" x14ac:dyDescent="0.3">
      <c r="A8" t="str">
        <f>IF(ROW(A8)&lt;=Bidding!$D$11,Raw_hydro_bm!B8,"")</f>
        <v>production</v>
      </c>
      <c r="B8" t="str">
        <f>IF(ROW(B8)&lt;=Bidding!$D$11,Raw_hydro_bm!C8,"")</f>
        <v>quantity</v>
      </c>
      <c r="C8" t="str">
        <f>IF(ROW(C8)&lt;=Bidding!$D$11,Raw_hydro_bm!D8,"")</f>
        <v>X</v>
      </c>
      <c r="D8" t="str">
        <f>IF(ROW(D8)&lt;=Bidding!$D$11,Raw_hydro_bm!E8,"")</f>
        <v>X</v>
      </c>
      <c r="E8">
        <f>IF(ROW(E8)&lt;=Bidding!$D$11,Raw_hydro_bm!F8,"")</f>
        <v>0</v>
      </c>
      <c r="F8">
        <f>IF(ROW(F8)&lt;=Bidding!$D$11,Raw_hydro_bm!G8,"")</f>
        <v>2</v>
      </c>
      <c r="G8">
        <f>IF(ROW(G8)&lt;=Bidding!$D$11,Raw_hydro_bm!H8,"")</f>
        <v>1</v>
      </c>
      <c r="H8" t="str">
        <f>IF(ROW(H8)&lt;=Bidding!$D$11,Raw_hydro_bm!I8,"")</f>
        <v>50.0</v>
      </c>
      <c r="I8" s="16">
        <f t="shared" si="0"/>
        <v>50</v>
      </c>
    </row>
    <row r="9" spans="1:9" x14ac:dyDescent="0.3">
      <c r="A9" t="str">
        <f>IF(ROW(A9)&lt;=Bidding!$D$11,Raw_hydro_bm!B9,"")</f>
        <v>production</v>
      </c>
      <c r="B9" t="str">
        <f>IF(ROW(B9)&lt;=Bidding!$D$11,Raw_hydro_bm!C9,"")</f>
        <v>quantity</v>
      </c>
      <c r="C9" t="str">
        <f>IF(ROW(C9)&lt;=Bidding!$D$11,Raw_hydro_bm!D9,"")</f>
        <v>X</v>
      </c>
      <c r="D9" t="str">
        <f>IF(ROW(D9)&lt;=Bidding!$D$11,Raw_hydro_bm!E9,"")</f>
        <v>X</v>
      </c>
      <c r="E9">
        <f>IF(ROW(E9)&lt;=Bidding!$D$11,Raw_hydro_bm!F9,"")</f>
        <v>0</v>
      </c>
      <c r="F9">
        <f>IF(ROW(F9)&lt;=Bidding!$D$11,Raw_hydro_bm!G9,"")</f>
        <v>2</v>
      </c>
      <c r="G9">
        <f>IF(ROW(G9)&lt;=Bidding!$D$11,Raw_hydro_bm!H9,"")</f>
        <v>2</v>
      </c>
      <c r="H9" t="str">
        <f>IF(ROW(H9)&lt;=Bidding!$D$11,Raw_hydro_bm!I9,"")</f>
        <v>20.0</v>
      </c>
      <c r="I9" s="16">
        <f t="shared" si="0"/>
        <v>20</v>
      </c>
    </row>
    <row r="10" spans="1:9" x14ac:dyDescent="0.3">
      <c r="A10" t="str">
        <f>IF(ROW(A10)&lt;=Bidding!$D$11,Raw_hydro_bm!B10,"")</f>
        <v>production</v>
      </c>
      <c r="B10" t="str">
        <f>IF(ROW(B10)&lt;=Bidding!$D$11,Raw_hydro_bm!C10,"")</f>
        <v>quantity</v>
      </c>
      <c r="C10" t="str">
        <f>IF(ROW(C10)&lt;=Bidding!$D$11,Raw_hydro_bm!D10,"")</f>
        <v>X</v>
      </c>
      <c r="D10" t="str">
        <f>IF(ROW(D10)&lt;=Bidding!$D$11,Raw_hydro_bm!E10,"")</f>
        <v>X</v>
      </c>
      <c r="E10">
        <f>IF(ROW(E10)&lt;=Bidding!$D$11,Raw_hydro_bm!F10,"")</f>
        <v>0</v>
      </c>
      <c r="F10">
        <f>IF(ROW(F10)&lt;=Bidding!$D$11,Raw_hydro_bm!G10,"")</f>
        <v>3</v>
      </c>
      <c r="G10">
        <f>IF(ROW(G10)&lt;=Bidding!$D$11,Raw_hydro_bm!H10,"")</f>
        <v>0</v>
      </c>
      <c r="H10" t="str">
        <f>IF(ROW(H10)&lt;=Bidding!$D$11,Raw_hydro_bm!I10,"")</f>
        <v>55.0</v>
      </c>
      <c r="I10" s="16">
        <f t="shared" si="0"/>
        <v>55</v>
      </c>
    </row>
    <row r="11" spans="1:9" x14ac:dyDescent="0.3">
      <c r="A11" t="str">
        <f>IF(ROW(A11)&lt;=Bidding!$D$11,Raw_hydro_bm!B11,"")</f>
        <v>production</v>
      </c>
      <c r="B11" t="str">
        <f>IF(ROW(B11)&lt;=Bidding!$D$11,Raw_hydro_bm!C11,"")</f>
        <v>quantity</v>
      </c>
      <c r="C11" t="str">
        <f>IF(ROW(C11)&lt;=Bidding!$D$11,Raw_hydro_bm!D11,"")</f>
        <v>X</v>
      </c>
      <c r="D11" t="str">
        <f>IF(ROW(D11)&lt;=Bidding!$D$11,Raw_hydro_bm!E11,"")</f>
        <v>X</v>
      </c>
      <c r="E11">
        <f>IF(ROW(E11)&lt;=Bidding!$D$11,Raw_hydro_bm!F11,"")</f>
        <v>0</v>
      </c>
      <c r="F11">
        <f>IF(ROW(F11)&lt;=Bidding!$D$11,Raw_hydro_bm!G11,"")</f>
        <v>3</v>
      </c>
      <c r="G11">
        <f>IF(ROW(G11)&lt;=Bidding!$D$11,Raw_hydro_bm!H11,"")</f>
        <v>1</v>
      </c>
      <c r="H11" t="str">
        <f>IF(ROW(H11)&lt;=Bidding!$D$11,Raw_hydro_bm!I11,"")</f>
        <v>50.0</v>
      </c>
      <c r="I11" s="16">
        <f t="shared" si="0"/>
        <v>50</v>
      </c>
    </row>
    <row r="12" spans="1:9" x14ac:dyDescent="0.3">
      <c r="A12" t="str">
        <f>IF(ROW(A12)&lt;=Bidding!$D$11,Raw_hydro_bm!B12,"")</f>
        <v>production</v>
      </c>
      <c r="B12" t="str">
        <f>IF(ROW(B12)&lt;=Bidding!$D$11,Raw_hydro_bm!C12,"")</f>
        <v>quantity</v>
      </c>
      <c r="C12" t="str">
        <f>IF(ROW(C12)&lt;=Bidding!$D$11,Raw_hydro_bm!D12,"")</f>
        <v>X</v>
      </c>
      <c r="D12" t="str">
        <f>IF(ROW(D12)&lt;=Bidding!$D$11,Raw_hydro_bm!E12,"")</f>
        <v>X</v>
      </c>
      <c r="E12">
        <f>IF(ROW(E12)&lt;=Bidding!$D$11,Raw_hydro_bm!F12,"")</f>
        <v>0</v>
      </c>
      <c r="F12">
        <f>IF(ROW(F12)&lt;=Bidding!$D$11,Raw_hydro_bm!G12,"")</f>
        <v>3</v>
      </c>
      <c r="G12">
        <f>IF(ROW(G12)&lt;=Bidding!$D$11,Raw_hydro_bm!H12,"")</f>
        <v>2</v>
      </c>
      <c r="H12" t="str">
        <f>IF(ROW(H12)&lt;=Bidding!$D$11,Raw_hydro_bm!I12,"")</f>
        <v>0.0</v>
      </c>
      <c r="I12" s="16">
        <f t="shared" si="0"/>
        <v>0</v>
      </c>
    </row>
    <row r="13" spans="1:9" x14ac:dyDescent="0.3">
      <c r="A13" t="str">
        <f>IF(ROW(A13)&lt;=Bidding!$D$11,Raw_hydro_bm!B13,"")</f>
        <v>production</v>
      </c>
      <c r="B13" t="str">
        <f>IF(ROW(B13)&lt;=Bidding!$D$11,Raw_hydro_bm!C13,"")</f>
        <v>quantity</v>
      </c>
      <c r="C13" t="str">
        <f>IF(ROW(C13)&lt;=Bidding!$D$11,Raw_hydro_bm!D13,"")</f>
        <v>X</v>
      </c>
      <c r="D13" t="str">
        <f>IF(ROW(D13)&lt;=Bidding!$D$11,Raw_hydro_bm!E13,"")</f>
        <v>X</v>
      </c>
      <c r="E13">
        <f>IF(ROW(E13)&lt;=Bidding!$D$11,Raw_hydro_bm!F13,"")</f>
        <v>0</v>
      </c>
      <c r="F13">
        <f>IF(ROW(F13)&lt;=Bidding!$D$11,Raw_hydro_bm!G13,"")</f>
        <v>4</v>
      </c>
      <c r="G13">
        <f>IF(ROW(G13)&lt;=Bidding!$D$11,Raw_hydro_bm!H13,"")</f>
        <v>0</v>
      </c>
      <c r="H13" t="str">
        <f>IF(ROW(H13)&lt;=Bidding!$D$11,Raw_hydro_bm!I13,"")</f>
        <v>60.0</v>
      </c>
      <c r="I13" s="16">
        <f t="shared" si="0"/>
        <v>60</v>
      </c>
    </row>
    <row r="14" spans="1:9" x14ac:dyDescent="0.3">
      <c r="A14" t="str">
        <f>IF(ROW(A14)&lt;=Bidding!$D$11,Raw_hydro_bm!B14,"")</f>
        <v>production</v>
      </c>
      <c r="B14" t="str">
        <f>IF(ROW(B14)&lt;=Bidding!$D$11,Raw_hydro_bm!C14,"")</f>
        <v>quantity</v>
      </c>
      <c r="C14" t="str">
        <f>IF(ROW(C14)&lt;=Bidding!$D$11,Raw_hydro_bm!D14,"")</f>
        <v>X</v>
      </c>
      <c r="D14" t="str">
        <f>IF(ROW(D14)&lt;=Bidding!$D$11,Raw_hydro_bm!E14,"")</f>
        <v>X</v>
      </c>
      <c r="E14">
        <f>IF(ROW(E14)&lt;=Bidding!$D$11,Raw_hydro_bm!F14,"")</f>
        <v>0</v>
      </c>
      <c r="F14">
        <f>IF(ROW(F14)&lt;=Bidding!$D$11,Raw_hydro_bm!G14,"")</f>
        <v>4</v>
      </c>
      <c r="G14">
        <f>IF(ROW(G14)&lt;=Bidding!$D$11,Raw_hydro_bm!H14,"")</f>
        <v>1</v>
      </c>
      <c r="H14" t="str">
        <f>IF(ROW(H14)&lt;=Bidding!$D$11,Raw_hydro_bm!I14,"")</f>
        <v>50.0</v>
      </c>
      <c r="I14" s="16">
        <f t="shared" si="0"/>
        <v>50</v>
      </c>
    </row>
    <row r="15" spans="1:9" x14ac:dyDescent="0.3">
      <c r="A15" t="str">
        <f>IF(ROW(A15)&lt;=Bidding!$D$11,Raw_hydro_bm!B15,"")</f>
        <v>production</v>
      </c>
      <c r="B15" t="str">
        <f>IF(ROW(B15)&lt;=Bidding!$D$11,Raw_hydro_bm!C15,"")</f>
        <v>quantity</v>
      </c>
      <c r="C15" t="str">
        <f>IF(ROW(C15)&lt;=Bidding!$D$11,Raw_hydro_bm!D15,"")</f>
        <v>X</v>
      </c>
      <c r="D15" t="str">
        <f>IF(ROW(D15)&lt;=Bidding!$D$11,Raw_hydro_bm!E15,"")</f>
        <v>X</v>
      </c>
      <c r="E15">
        <f>IF(ROW(E15)&lt;=Bidding!$D$11,Raw_hydro_bm!F15,"")</f>
        <v>0</v>
      </c>
      <c r="F15">
        <f>IF(ROW(F15)&lt;=Bidding!$D$11,Raw_hydro_bm!G15,"")</f>
        <v>4</v>
      </c>
      <c r="G15">
        <f>IF(ROW(G15)&lt;=Bidding!$D$11,Raw_hydro_bm!H15,"")</f>
        <v>2</v>
      </c>
      <c r="H15" t="str">
        <f>IF(ROW(H15)&lt;=Bidding!$D$11,Raw_hydro_bm!I15,"")</f>
        <v>0.0</v>
      </c>
      <c r="I15" s="16">
        <f t="shared" si="0"/>
        <v>0</v>
      </c>
    </row>
    <row r="16" spans="1:9" x14ac:dyDescent="0.3">
      <c r="A16" t="str">
        <f>IF(ROW(A16)&lt;=Bidding!$D$11,Raw_hydro_bm!B16,"")</f>
        <v>production</v>
      </c>
      <c r="B16" t="str">
        <f>IF(ROW(B16)&lt;=Bidding!$D$11,Raw_hydro_bm!C16,"")</f>
        <v>quantity</v>
      </c>
      <c r="C16" t="str">
        <f>IF(ROW(C16)&lt;=Bidding!$D$11,Raw_hydro_bm!D16,"")</f>
        <v>X</v>
      </c>
      <c r="D16" t="str">
        <f>IF(ROW(D16)&lt;=Bidding!$D$11,Raw_hydro_bm!E16,"")</f>
        <v>X</v>
      </c>
      <c r="E16">
        <f>IF(ROW(E16)&lt;=Bidding!$D$11,Raw_hydro_bm!F16,"")</f>
        <v>0</v>
      </c>
      <c r="F16">
        <f>IF(ROW(F16)&lt;=Bidding!$D$11,Raw_hydro_bm!G16,"")</f>
        <v>5</v>
      </c>
      <c r="G16">
        <f>IF(ROW(G16)&lt;=Bidding!$D$11,Raw_hydro_bm!H16,"")</f>
        <v>0</v>
      </c>
      <c r="H16" t="str">
        <f>IF(ROW(H16)&lt;=Bidding!$D$11,Raw_hydro_bm!I16,"")</f>
        <v>65.0</v>
      </c>
      <c r="I16" s="16">
        <f t="shared" si="0"/>
        <v>65</v>
      </c>
    </row>
    <row r="17" spans="1:9" x14ac:dyDescent="0.3">
      <c r="A17" t="str">
        <f>IF(ROW(A17)&lt;=Bidding!$D$11,Raw_hydro_bm!B17,"")</f>
        <v>production</v>
      </c>
      <c r="B17" t="str">
        <f>IF(ROW(B17)&lt;=Bidding!$D$11,Raw_hydro_bm!C17,"")</f>
        <v>quantity</v>
      </c>
      <c r="C17" t="str">
        <f>IF(ROW(C17)&lt;=Bidding!$D$11,Raw_hydro_bm!D17,"")</f>
        <v>X</v>
      </c>
      <c r="D17" t="str">
        <f>IF(ROW(D17)&lt;=Bidding!$D$11,Raw_hydro_bm!E17,"")</f>
        <v>X</v>
      </c>
      <c r="E17">
        <f>IF(ROW(E17)&lt;=Bidding!$D$11,Raw_hydro_bm!F17,"")</f>
        <v>0</v>
      </c>
      <c r="F17">
        <f>IF(ROW(F17)&lt;=Bidding!$D$11,Raw_hydro_bm!G17,"")</f>
        <v>5</v>
      </c>
      <c r="G17">
        <f>IF(ROW(G17)&lt;=Bidding!$D$11,Raw_hydro_bm!H17,"")</f>
        <v>1</v>
      </c>
      <c r="H17" t="str">
        <f>IF(ROW(H17)&lt;=Bidding!$D$11,Raw_hydro_bm!I17,"")</f>
        <v>50.0</v>
      </c>
      <c r="I17" s="16">
        <f t="shared" si="0"/>
        <v>50</v>
      </c>
    </row>
    <row r="18" spans="1:9" x14ac:dyDescent="0.3">
      <c r="A18" t="str">
        <f>IF(ROW(A18)&lt;=Bidding!$D$11,Raw_hydro_bm!B18,"")</f>
        <v>production</v>
      </c>
      <c r="B18" t="str">
        <f>IF(ROW(B18)&lt;=Bidding!$D$11,Raw_hydro_bm!C18,"")</f>
        <v>quantity</v>
      </c>
      <c r="C18" t="str">
        <f>IF(ROW(C18)&lt;=Bidding!$D$11,Raw_hydro_bm!D18,"")</f>
        <v>X</v>
      </c>
      <c r="D18" t="str">
        <f>IF(ROW(D18)&lt;=Bidding!$D$11,Raw_hydro_bm!E18,"")</f>
        <v>X</v>
      </c>
      <c r="E18">
        <f>IF(ROW(E18)&lt;=Bidding!$D$11,Raw_hydro_bm!F18,"")</f>
        <v>0</v>
      </c>
      <c r="F18">
        <f>IF(ROW(F18)&lt;=Bidding!$D$11,Raw_hydro_bm!G18,"")</f>
        <v>5</v>
      </c>
      <c r="G18">
        <f>IF(ROW(G18)&lt;=Bidding!$D$11,Raw_hydro_bm!H18,"")</f>
        <v>2</v>
      </c>
      <c r="H18" t="str">
        <f>IF(ROW(H18)&lt;=Bidding!$D$11,Raw_hydro_bm!I18,"")</f>
        <v>0.0</v>
      </c>
      <c r="I18" s="16">
        <f t="shared" si="0"/>
        <v>0</v>
      </c>
    </row>
    <row r="19" spans="1:9" x14ac:dyDescent="0.3">
      <c r="A19" t="str">
        <f>IF(ROW(A19)&lt;=Bidding!$D$11,Raw_hydro_bm!B19,"")</f>
        <v>production</v>
      </c>
      <c r="B19" t="str">
        <f>IF(ROW(B19)&lt;=Bidding!$D$11,Raw_hydro_bm!C19,"")</f>
        <v>quantity</v>
      </c>
      <c r="C19" t="str">
        <f>IF(ROW(C19)&lt;=Bidding!$D$11,Raw_hydro_bm!D19,"")</f>
        <v>X</v>
      </c>
      <c r="D19" t="str">
        <f>IF(ROW(D19)&lt;=Bidding!$D$11,Raw_hydro_bm!E19,"")</f>
        <v>X</v>
      </c>
      <c r="E19">
        <f>IF(ROW(E19)&lt;=Bidding!$D$11,Raw_hydro_bm!F19,"")</f>
        <v>0</v>
      </c>
      <c r="F19">
        <f>IF(ROW(F19)&lt;=Bidding!$D$11,Raw_hydro_bm!G19,"")</f>
        <v>6</v>
      </c>
      <c r="G19">
        <f>IF(ROW(G19)&lt;=Bidding!$D$11,Raw_hydro_bm!H19,"")</f>
        <v>0</v>
      </c>
      <c r="H19" t="str">
        <f>IF(ROW(H19)&lt;=Bidding!$D$11,Raw_hydro_bm!I19,"")</f>
        <v>70.0</v>
      </c>
      <c r="I19" s="16">
        <f t="shared" si="0"/>
        <v>70</v>
      </c>
    </row>
    <row r="20" spans="1:9" x14ac:dyDescent="0.3">
      <c r="A20" t="str">
        <f>IF(ROW(A20)&lt;=Bidding!$D$11,Raw_hydro_bm!B20,"")</f>
        <v>production</v>
      </c>
      <c r="B20" t="str">
        <f>IF(ROW(B20)&lt;=Bidding!$D$11,Raw_hydro_bm!C20,"")</f>
        <v>quantity</v>
      </c>
      <c r="C20" t="str">
        <f>IF(ROW(C20)&lt;=Bidding!$D$11,Raw_hydro_bm!D20,"")</f>
        <v>X</v>
      </c>
      <c r="D20" t="str">
        <f>IF(ROW(D20)&lt;=Bidding!$D$11,Raw_hydro_bm!E20,"")</f>
        <v>X</v>
      </c>
      <c r="E20">
        <f>IF(ROW(E20)&lt;=Bidding!$D$11,Raw_hydro_bm!F20,"")</f>
        <v>0</v>
      </c>
      <c r="F20">
        <f>IF(ROW(F20)&lt;=Bidding!$D$11,Raw_hydro_bm!G20,"")</f>
        <v>6</v>
      </c>
      <c r="G20">
        <f>IF(ROW(G20)&lt;=Bidding!$D$11,Raw_hydro_bm!H20,"")</f>
        <v>1</v>
      </c>
      <c r="H20" t="str">
        <f>IF(ROW(H20)&lt;=Bidding!$D$11,Raw_hydro_bm!I20,"")</f>
        <v>50.0</v>
      </c>
      <c r="I20" s="16">
        <f t="shared" si="0"/>
        <v>50</v>
      </c>
    </row>
    <row r="21" spans="1:9" x14ac:dyDescent="0.3">
      <c r="A21" t="str">
        <f>IF(ROW(A21)&lt;=Bidding!$D$11,Raw_hydro_bm!B21,"")</f>
        <v>production</v>
      </c>
      <c r="B21" t="str">
        <f>IF(ROW(B21)&lt;=Bidding!$D$11,Raw_hydro_bm!C21,"")</f>
        <v>quantity</v>
      </c>
      <c r="C21" t="str">
        <f>IF(ROW(C21)&lt;=Bidding!$D$11,Raw_hydro_bm!D21,"")</f>
        <v>X</v>
      </c>
      <c r="D21" t="str">
        <f>IF(ROW(D21)&lt;=Bidding!$D$11,Raw_hydro_bm!E21,"")</f>
        <v>X</v>
      </c>
      <c r="E21">
        <f>IF(ROW(E21)&lt;=Bidding!$D$11,Raw_hydro_bm!F21,"")</f>
        <v>0</v>
      </c>
      <c r="F21">
        <f>IF(ROW(F21)&lt;=Bidding!$D$11,Raw_hydro_bm!G21,"")</f>
        <v>6</v>
      </c>
      <c r="G21">
        <f>IF(ROW(G21)&lt;=Bidding!$D$11,Raw_hydro_bm!H21,"")</f>
        <v>2</v>
      </c>
      <c r="H21" t="str">
        <f>IF(ROW(H21)&lt;=Bidding!$D$11,Raw_hydro_bm!I21,"")</f>
        <v>0.0</v>
      </c>
      <c r="I21" s="16">
        <f t="shared" si="0"/>
        <v>0</v>
      </c>
    </row>
    <row r="22" spans="1:9" x14ac:dyDescent="0.3">
      <c r="A22" t="str">
        <f>IF(ROW(A22)&lt;=Bidding!$D$11,Raw_hydro_bm!B22,"")</f>
        <v>production</v>
      </c>
      <c r="B22" t="str">
        <f>IF(ROW(B22)&lt;=Bidding!$D$11,Raw_hydro_bm!C22,"")</f>
        <v>quantity</v>
      </c>
      <c r="C22" t="str">
        <f>IF(ROW(C22)&lt;=Bidding!$D$11,Raw_hydro_bm!D22,"")</f>
        <v>X</v>
      </c>
      <c r="D22" t="str">
        <f>IF(ROW(D22)&lt;=Bidding!$D$11,Raw_hydro_bm!E22,"")</f>
        <v>X</v>
      </c>
      <c r="E22">
        <f>IF(ROW(E22)&lt;=Bidding!$D$11,Raw_hydro_bm!F22,"")</f>
        <v>0</v>
      </c>
      <c r="F22">
        <f>IF(ROW(F22)&lt;=Bidding!$D$11,Raw_hydro_bm!G22,"")</f>
        <v>7</v>
      </c>
      <c r="G22">
        <f>IF(ROW(G22)&lt;=Bidding!$D$11,Raw_hydro_bm!H22,"")</f>
        <v>0</v>
      </c>
      <c r="H22" t="str">
        <f>IF(ROW(H22)&lt;=Bidding!$D$11,Raw_hydro_bm!I22,"")</f>
        <v>75.0</v>
      </c>
      <c r="I22" s="16">
        <f t="shared" si="0"/>
        <v>75</v>
      </c>
    </row>
    <row r="23" spans="1:9" x14ac:dyDescent="0.3">
      <c r="A23" t="str">
        <f>IF(ROW(A23)&lt;=Bidding!$D$11,Raw_hydro_bm!B23,"")</f>
        <v>production</v>
      </c>
      <c r="B23" t="str">
        <f>IF(ROW(B23)&lt;=Bidding!$D$11,Raw_hydro_bm!C23,"")</f>
        <v>quantity</v>
      </c>
      <c r="C23" t="str">
        <f>IF(ROW(C23)&lt;=Bidding!$D$11,Raw_hydro_bm!D23,"")</f>
        <v>X</v>
      </c>
      <c r="D23" t="str">
        <f>IF(ROW(D23)&lt;=Bidding!$D$11,Raw_hydro_bm!E23,"")</f>
        <v>X</v>
      </c>
      <c r="E23">
        <f>IF(ROW(E23)&lt;=Bidding!$D$11,Raw_hydro_bm!F23,"")</f>
        <v>0</v>
      </c>
      <c r="F23">
        <f>IF(ROW(F23)&lt;=Bidding!$D$11,Raw_hydro_bm!G23,"")</f>
        <v>7</v>
      </c>
      <c r="G23">
        <f>IF(ROW(G23)&lt;=Bidding!$D$11,Raw_hydro_bm!H23,"")</f>
        <v>1</v>
      </c>
      <c r="H23" t="str">
        <f>IF(ROW(H23)&lt;=Bidding!$D$11,Raw_hydro_bm!I23,"")</f>
        <v>45.0</v>
      </c>
      <c r="I23" s="16">
        <f t="shared" si="0"/>
        <v>45</v>
      </c>
    </row>
    <row r="24" spans="1:9" x14ac:dyDescent="0.3">
      <c r="A24" t="str">
        <f>IF(ROW(A24)&lt;=Bidding!$D$11,Raw_hydro_bm!B24,"")</f>
        <v>production</v>
      </c>
      <c r="B24" t="str">
        <f>IF(ROW(B24)&lt;=Bidding!$D$11,Raw_hydro_bm!C24,"")</f>
        <v>quantity</v>
      </c>
      <c r="C24" t="str">
        <f>IF(ROW(C24)&lt;=Bidding!$D$11,Raw_hydro_bm!D24,"")</f>
        <v>X</v>
      </c>
      <c r="D24" t="str">
        <f>IF(ROW(D24)&lt;=Bidding!$D$11,Raw_hydro_bm!E24,"")</f>
        <v>X</v>
      </c>
      <c r="E24">
        <f>IF(ROW(E24)&lt;=Bidding!$D$11,Raw_hydro_bm!F24,"")</f>
        <v>0</v>
      </c>
      <c r="F24">
        <f>IF(ROW(F24)&lt;=Bidding!$D$11,Raw_hydro_bm!G24,"")</f>
        <v>7</v>
      </c>
      <c r="G24">
        <f>IF(ROW(G24)&lt;=Bidding!$D$11,Raw_hydro_bm!H24,"")</f>
        <v>2</v>
      </c>
      <c r="H24" t="str">
        <f>IF(ROW(H24)&lt;=Bidding!$D$11,Raw_hydro_bm!I24,"")</f>
        <v>0.0</v>
      </c>
      <c r="I24" s="16">
        <f t="shared" si="0"/>
        <v>0</v>
      </c>
    </row>
    <row r="25" spans="1:9" x14ac:dyDescent="0.3">
      <c r="A25" t="str">
        <f>IF(ROW(A25)&lt;=Bidding!$D$11,Raw_hydro_bm!B25,"")</f>
        <v>production</v>
      </c>
      <c r="B25" t="str">
        <f>IF(ROW(B25)&lt;=Bidding!$D$11,Raw_hydro_bm!C25,"")</f>
        <v>quantity</v>
      </c>
      <c r="C25" t="str">
        <f>IF(ROW(C25)&lt;=Bidding!$D$11,Raw_hydro_bm!D25,"")</f>
        <v>X</v>
      </c>
      <c r="D25" t="str">
        <f>IF(ROW(D25)&lt;=Bidding!$D$11,Raw_hydro_bm!E25,"")</f>
        <v>X</v>
      </c>
      <c r="E25">
        <f>IF(ROW(E25)&lt;=Bidding!$D$11,Raw_hydro_bm!F25,"")</f>
        <v>0</v>
      </c>
      <c r="F25">
        <f>IF(ROW(F25)&lt;=Bidding!$D$11,Raw_hydro_bm!G25,"")</f>
        <v>8</v>
      </c>
      <c r="G25">
        <f>IF(ROW(G25)&lt;=Bidding!$D$11,Raw_hydro_bm!H25,"")</f>
        <v>0</v>
      </c>
      <c r="H25" t="str">
        <f>IF(ROW(H25)&lt;=Bidding!$D$11,Raw_hydro_bm!I25,"")</f>
        <v>80.0</v>
      </c>
      <c r="I25" s="16">
        <f t="shared" si="0"/>
        <v>80</v>
      </c>
    </row>
    <row r="26" spans="1:9" x14ac:dyDescent="0.3">
      <c r="A26" t="str">
        <f>IF(ROW(A26)&lt;=Bidding!$D$11,Raw_hydro_bm!B26,"")</f>
        <v>production</v>
      </c>
      <c r="B26" t="str">
        <f>IF(ROW(B26)&lt;=Bidding!$D$11,Raw_hydro_bm!C26,"")</f>
        <v>quantity</v>
      </c>
      <c r="C26" t="str">
        <f>IF(ROW(C26)&lt;=Bidding!$D$11,Raw_hydro_bm!D26,"")</f>
        <v>X</v>
      </c>
      <c r="D26" t="str">
        <f>IF(ROW(D26)&lt;=Bidding!$D$11,Raw_hydro_bm!E26,"")</f>
        <v>X</v>
      </c>
      <c r="E26">
        <f>IF(ROW(E26)&lt;=Bidding!$D$11,Raw_hydro_bm!F26,"")</f>
        <v>0</v>
      </c>
      <c r="F26">
        <f>IF(ROW(F26)&lt;=Bidding!$D$11,Raw_hydro_bm!G26,"")</f>
        <v>8</v>
      </c>
      <c r="G26">
        <f>IF(ROW(G26)&lt;=Bidding!$D$11,Raw_hydro_bm!H26,"")</f>
        <v>1</v>
      </c>
      <c r="H26" t="str">
        <f>IF(ROW(H26)&lt;=Bidding!$D$11,Raw_hydro_bm!I26,"")</f>
        <v>40.0</v>
      </c>
      <c r="I26" s="16">
        <f t="shared" si="0"/>
        <v>40</v>
      </c>
    </row>
    <row r="27" spans="1:9" x14ac:dyDescent="0.3">
      <c r="A27" t="str">
        <f>IF(ROW(A27)&lt;=Bidding!$D$11,Raw_hydro_bm!B27,"")</f>
        <v>production</v>
      </c>
      <c r="B27" t="str">
        <f>IF(ROW(B27)&lt;=Bidding!$D$11,Raw_hydro_bm!C27,"")</f>
        <v>quantity</v>
      </c>
      <c r="C27" t="str">
        <f>IF(ROW(C27)&lt;=Bidding!$D$11,Raw_hydro_bm!D27,"")</f>
        <v>X</v>
      </c>
      <c r="D27" t="str">
        <f>IF(ROW(D27)&lt;=Bidding!$D$11,Raw_hydro_bm!E27,"")</f>
        <v>X</v>
      </c>
      <c r="E27">
        <f>IF(ROW(E27)&lt;=Bidding!$D$11,Raw_hydro_bm!F27,"")</f>
        <v>0</v>
      </c>
      <c r="F27">
        <f>IF(ROW(F27)&lt;=Bidding!$D$11,Raw_hydro_bm!G27,"")</f>
        <v>8</v>
      </c>
      <c r="G27">
        <f>IF(ROW(G27)&lt;=Bidding!$D$11,Raw_hydro_bm!H27,"")</f>
        <v>2</v>
      </c>
      <c r="H27" t="str">
        <f>IF(ROW(H27)&lt;=Bidding!$D$11,Raw_hydro_bm!I27,"")</f>
        <v>0.0</v>
      </c>
      <c r="I27" s="16">
        <f t="shared" si="0"/>
        <v>0</v>
      </c>
    </row>
    <row r="28" spans="1:9" x14ac:dyDescent="0.3">
      <c r="A28" t="str">
        <f>IF(ROW(A28)&lt;=Bidding!$D$11,Raw_hydro_bm!B28,"")</f>
        <v>production</v>
      </c>
      <c r="B28" t="str">
        <f>IF(ROW(B28)&lt;=Bidding!$D$11,Raw_hydro_bm!C28,"")</f>
        <v>quantity</v>
      </c>
      <c r="C28" t="str">
        <f>IF(ROW(C28)&lt;=Bidding!$D$11,Raw_hydro_bm!D28,"")</f>
        <v>X</v>
      </c>
      <c r="D28" t="str">
        <f>IF(ROW(D28)&lt;=Bidding!$D$11,Raw_hydro_bm!E28,"")</f>
        <v>X</v>
      </c>
      <c r="E28">
        <f>IF(ROW(E28)&lt;=Bidding!$D$11,Raw_hydro_bm!F28,"")</f>
        <v>0</v>
      </c>
      <c r="F28">
        <f>IF(ROW(F28)&lt;=Bidding!$D$11,Raw_hydro_bm!G28,"")</f>
        <v>9</v>
      </c>
      <c r="G28">
        <f>IF(ROW(G28)&lt;=Bidding!$D$11,Raw_hydro_bm!H28,"")</f>
        <v>0</v>
      </c>
      <c r="H28" t="str">
        <f>IF(ROW(H28)&lt;=Bidding!$D$11,Raw_hydro_bm!I28,"")</f>
        <v>85.0</v>
      </c>
      <c r="I28" s="16">
        <f t="shared" si="0"/>
        <v>85</v>
      </c>
    </row>
    <row r="29" spans="1:9" x14ac:dyDescent="0.3">
      <c r="A29" t="str">
        <f>IF(ROW(A29)&lt;=Bidding!$D$11,Raw_hydro_bm!B29,"")</f>
        <v>production</v>
      </c>
      <c r="B29" t="str">
        <f>IF(ROW(B29)&lt;=Bidding!$D$11,Raw_hydro_bm!C29,"")</f>
        <v>quantity</v>
      </c>
      <c r="C29" t="str">
        <f>IF(ROW(C29)&lt;=Bidding!$D$11,Raw_hydro_bm!D29,"")</f>
        <v>X</v>
      </c>
      <c r="D29" t="str">
        <f>IF(ROW(D29)&lt;=Bidding!$D$11,Raw_hydro_bm!E29,"")</f>
        <v>X</v>
      </c>
      <c r="E29">
        <f>IF(ROW(E29)&lt;=Bidding!$D$11,Raw_hydro_bm!F29,"")</f>
        <v>0</v>
      </c>
      <c r="F29">
        <f>IF(ROW(F29)&lt;=Bidding!$D$11,Raw_hydro_bm!G29,"")</f>
        <v>9</v>
      </c>
      <c r="G29">
        <f>IF(ROW(G29)&lt;=Bidding!$D$11,Raw_hydro_bm!H29,"")</f>
        <v>1</v>
      </c>
      <c r="H29" t="str">
        <f>IF(ROW(H29)&lt;=Bidding!$D$11,Raw_hydro_bm!I29,"")</f>
        <v>35.0</v>
      </c>
      <c r="I29" s="16">
        <f t="shared" si="0"/>
        <v>35</v>
      </c>
    </row>
    <row r="30" spans="1:9" x14ac:dyDescent="0.3">
      <c r="A30" t="str">
        <f>IF(ROW(A30)&lt;=Bidding!$D$11,Raw_hydro_bm!B30,"")</f>
        <v>production</v>
      </c>
      <c r="B30" t="str">
        <f>IF(ROW(B30)&lt;=Bidding!$D$11,Raw_hydro_bm!C30,"")</f>
        <v>quantity</v>
      </c>
      <c r="C30" t="str">
        <f>IF(ROW(C30)&lt;=Bidding!$D$11,Raw_hydro_bm!D30,"")</f>
        <v>X</v>
      </c>
      <c r="D30" t="str">
        <f>IF(ROW(D30)&lt;=Bidding!$D$11,Raw_hydro_bm!E30,"")</f>
        <v>X</v>
      </c>
      <c r="E30">
        <f>IF(ROW(E30)&lt;=Bidding!$D$11,Raw_hydro_bm!F30,"")</f>
        <v>0</v>
      </c>
      <c r="F30">
        <f>IF(ROW(F30)&lt;=Bidding!$D$11,Raw_hydro_bm!G30,"")</f>
        <v>9</v>
      </c>
      <c r="G30">
        <f>IF(ROW(G30)&lt;=Bidding!$D$11,Raw_hydro_bm!H30,"")</f>
        <v>2</v>
      </c>
      <c r="H30" t="str">
        <f>IF(ROW(H30)&lt;=Bidding!$D$11,Raw_hydro_bm!I30,"")</f>
        <v>0.0</v>
      </c>
      <c r="I30" s="16">
        <f t="shared" si="0"/>
        <v>0</v>
      </c>
    </row>
    <row r="31" spans="1:9" x14ac:dyDescent="0.3">
      <c r="A31" t="str">
        <f>IF(ROW(A31)&lt;=Bidding!$D$11,Raw_hydro_bm!B31,"")</f>
        <v>production</v>
      </c>
      <c r="B31" t="str">
        <f>IF(ROW(B31)&lt;=Bidding!$D$11,Raw_hydro_bm!C31,"")</f>
        <v>quantity</v>
      </c>
      <c r="C31" t="str">
        <f>IF(ROW(C31)&lt;=Bidding!$D$11,Raw_hydro_bm!D31,"")</f>
        <v>X</v>
      </c>
      <c r="D31" t="str">
        <f>IF(ROW(D31)&lt;=Bidding!$D$11,Raw_hydro_bm!E31,"")</f>
        <v>X</v>
      </c>
      <c r="E31">
        <f>IF(ROW(E31)&lt;=Bidding!$D$11,Raw_hydro_bm!F31,"")</f>
        <v>1</v>
      </c>
      <c r="F31">
        <f>IF(ROW(F31)&lt;=Bidding!$D$11,Raw_hydro_bm!G31,"")</f>
        <v>0</v>
      </c>
      <c r="G31">
        <f>IF(ROW(G31)&lt;=Bidding!$D$11,Raw_hydro_bm!H31,"")</f>
        <v>0</v>
      </c>
      <c r="H31" t="str">
        <f>IF(ROW(H31)&lt;=Bidding!$D$11,Raw_hydro_bm!I31,"")</f>
        <v>40.0</v>
      </c>
      <c r="I31" s="16">
        <f t="shared" si="0"/>
        <v>40</v>
      </c>
    </row>
    <row r="32" spans="1:9" x14ac:dyDescent="0.3">
      <c r="A32" t="str">
        <f>IF(ROW(A32)&lt;=Bidding!$D$11,Raw_hydro_bm!B32,"")</f>
        <v>production</v>
      </c>
      <c r="B32" t="str">
        <f>IF(ROW(B32)&lt;=Bidding!$D$11,Raw_hydro_bm!C32,"")</f>
        <v>quantity</v>
      </c>
      <c r="C32" t="str">
        <f>IF(ROW(C32)&lt;=Bidding!$D$11,Raw_hydro_bm!D32,"")</f>
        <v>X</v>
      </c>
      <c r="D32" t="str">
        <f>IF(ROW(D32)&lt;=Bidding!$D$11,Raw_hydro_bm!E32,"")</f>
        <v>X</v>
      </c>
      <c r="E32">
        <f>IF(ROW(E32)&lt;=Bidding!$D$11,Raw_hydro_bm!F32,"")</f>
        <v>1</v>
      </c>
      <c r="F32">
        <f>IF(ROW(F32)&lt;=Bidding!$D$11,Raw_hydro_bm!G32,"")</f>
        <v>0</v>
      </c>
      <c r="G32">
        <f>IF(ROW(G32)&lt;=Bidding!$D$11,Raw_hydro_bm!H32,"")</f>
        <v>1</v>
      </c>
      <c r="H32" t="str">
        <f>IF(ROW(H32)&lt;=Bidding!$D$11,Raw_hydro_bm!I32,"")</f>
        <v>50.0</v>
      </c>
      <c r="I32" s="16">
        <f t="shared" si="0"/>
        <v>50</v>
      </c>
    </row>
    <row r="33" spans="1:9" x14ac:dyDescent="0.3">
      <c r="A33" t="str">
        <f>IF(ROW(A33)&lt;=Bidding!$D$11,Raw_hydro_bm!B33,"")</f>
        <v>production</v>
      </c>
      <c r="B33" t="str">
        <f>IF(ROW(B33)&lt;=Bidding!$D$11,Raw_hydro_bm!C33,"")</f>
        <v>quantity</v>
      </c>
      <c r="C33" t="str">
        <f>IF(ROW(C33)&lt;=Bidding!$D$11,Raw_hydro_bm!D33,"")</f>
        <v>X</v>
      </c>
      <c r="D33" t="str">
        <f>IF(ROW(D33)&lt;=Bidding!$D$11,Raw_hydro_bm!E33,"")</f>
        <v>X</v>
      </c>
      <c r="E33">
        <f>IF(ROW(E33)&lt;=Bidding!$D$11,Raw_hydro_bm!F33,"")</f>
        <v>1</v>
      </c>
      <c r="F33">
        <f>IF(ROW(F33)&lt;=Bidding!$D$11,Raw_hydro_bm!G33,"")</f>
        <v>0</v>
      </c>
      <c r="G33">
        <f>IF(ROW(G33)&lt;=Bidding!$D$11,Raw_hydro_bm!H33,"")</f>
        <v>2</v>
      </c>
      <c r="H33" t="str">
        <f>IF(ROW(H33)&lt;=Bidding!$D$11,Raw_hydro_bm!I33,"")</f>
        <v>30.0</v>
      </c>
      <c r="I33" s="16">
        <f t="shared" si="0"/>
        <v>30</v>
      </c>
    </row>
    <row r="34" spans="1:9" x14ac:dyDescent="0.3">
      <c r="A34" t="str">
        <f>IF(ROW(A34)&lt;=Bidding!$D$11,Raw_hydro_bm!B34,"")</f>
        <v>production</v>
      </c>
      <c r="B34" t="str">
        <f>IF(ROW(B34)&lt;=Bidding!$D$11,Raw_hydro_bm!C34,"")</f>
        <v>quantity</v>
      </c>
      <c r="C34" t="str">
        <f>IF(ROW(C34)&lt;=Bidding!$D$11,Raw_hydro_bm!D34,"")</f>
        <v>X</v>
      </c>
      <c r="D34" t="str">
        <f>IF(ROW(D34)&lt;=Bidding!$D$11,Raw_hydro_bm!E34,"")</f>
        <v>X</v>
      </c>
      <c r="E34">
        <f>IF(ROW(E34)&lt;=Bidding!$D$11,Raw_hydro_bm!F34,"")</f>
        <v>1</v>
      </c>
      <c r="F34">
        <f>IF(ROW(F34)&lt;=Bidding!$D$11,Raw_hydro_bm!G34,"")</f>
        <v>1</v>
      </c>
      <c r="G34">
        <f>IF(ROW(G34)&lt;=Bidding!$D$11,Raw_hydro_bm!H34,"")</f>
        <v>0</v>
      </c>
      <c r="H34" t="str">
        <f>IF(ROW(H34)&lt;=Bidding!$D$11,Raw_hydro_bm!I34,"")</f>
        <v>45.0</v>
      </c>
      <c r="I34" s="16">
        <f t="shared" si="0"/>
        <v>45</v>
      </c>
    </row>
    <row r="35" spans="1:9" x14ac:dyDescent="0.3">
      <c r="A35" t="str">
        <f>IF(ROW(A35)&lt;=Bidding!$D$11,Raw_hydro_bm!B35,"")</f>
        <v>production</v>
      </c>
      <c r="B35" t="str">
        <f>IF(ROW(B35)&lt;=Bidding!$D$11,Raw_hydro_bm!C35,"")</f>
        <v>quantity</v>
      </c>
      <c r="C35" t="str">
        <f>IF(ROW(C35)&lt;=Bidding!$D$11,Raw_hydro_bm!D35,"")</f>
        <v>X</v>
      </c>
      <c r="D35" t="str">
        <f>IF(ROW(D35)&lt;=Bidding!$D$11,Raw_hydro_bm!E35,"")</f>
        <v>X</v>
      </c>
      <c r="E35">
        <f>IF(ROW(E35)&lt;=Bidding!$D$11,Raw_hydro_bm!F35,"")</f>
        <v>1</v>
      </c>
      <c r="F35">
        <f>IF(ROW(F35)&lt;=Bidding!$D$11,Raw_hydro_bm!G35,"")</f>
        <v>1</v>
      </c>
      <c r="G35">
        <f>IF(ROW(G35)&lt;=Bidding!$D$11,Raw_hydro_bm!H35,"")</f>
        <v>1</v>
      </c>
      <c r="H35" t="str">
        <f>IF(ROW(H35)&lt;=Bidding!$D$11,Raw_hydro_bm!I35,"")</f>
        <v>50.0</v>
      </c>
      <c r="I35" s="16">
        <f t="shared" si="0"/>
        <v>50</v>
      </c>
    </row>
    <row r="36" spans="1:9" x14ac:dyDescent="0.3">
      <c r="A36" t="str">
        <f>IF(ROW(A36)&lt;=Bidding!$D$11,Raw_hydro_bm!B36,"")</f>
        <v>production</v>
      </c>
      <c r="B36" t="str">
        <f>IF(ROW(B36)&lt;=Bidding!$D$11,Raw_hydro_bm!C36,"")</f>
        <v>quantity</v>
      </c>
      <c r="C36" t="str">
        <f>IF(ROW(C36)&lt;=Bidding!$D$11,Raw_hydro_bm!D36,"")</f>
        <v>X</v>
      </c>
      <c r="D36" t="str">
        <f>IF(ROW(D36)&lt;=Bidding!$D$11,Raw_hydro_bm!E36,"")</f>
        <v>X</v>
      </c>
      <c r="E36">
        <f>IF(ROW(E36)&lt;=Bidding!$D$11,Raw_hydro_bm!F36,"")</f>
        <v>1</v>
      </c>
      <c r="F36">
        <f>IF(ROW(F36)&lt;=Bidding!$D$11,Raw_hydro_bm!G36,"")</f>
        <v>1</v>
      </c>
      <c r="G36">
        <f>IF(ROW(G36)&lt;=Bidding!$D$11,Raw_hydro_bm!H36,"")</f>
        <v>2</v>
      </c>
      <c r="H36" t="str">
        <f>IF(ROW(H36)&lt;=Bidding!$D$11,Raw_hydro_bm!I36,"")</f>
        <v>25.0</v>
      </c>
      <c r="I36" s="16">
        <f t="shared" si="0"/>
        <v>25</v>
      </c>
    </row>
    <row r="37" spans="1:9" x14ac:dyDescent="0.3">
      <c r="A37" t="str">
        <f>IF(ROW(A37)&lt;=Bidding!$D$11,Raw_hydro_bm!B37,"")</f>
        <v>production</v>
      </c>
      <c r="B37" t="str">
        <f>IF(ROW(B37)&lt;=Bidding!$D$11,Raw_hydro_bm!C37,"")</f>
        <v>quantity</v>
      </c>
      <c r="C37" t="str">
        <f>IF(ROW(C37)&lt;=Bidding!$D$11,Raw_hydro_bm!D37,"")</f>
        <v>X</v>
      </c>
      <c r="D37" t="str">
        <f>IF(ROW(D37)&lt;=Bidding!$D$11,Raw_hydro_bm!E37,"")</f>
        <v>X</v>
      </c>
      <c r="E37">
        <f>IF(ROW(E37)&lt;=Bidding!$D$11,Raw_hydro_bm!F37,"")</f>
        <v>1</v>
      </c>
      <c r="F37">
        <f>IF(ROW(F37)&lt;=Bidding!$D$11,Raw_hydro_bm!G37,"")</f>
        <v>2</v>
      </c>
      <c r="G37">
        <f>IF(ROW(G37)&lt;=Bidding!$D$11,Raw_hydro_bm!H37,"")</f>
        <v>0</v>
      </c>
      <c r="H37" t="str">
        <f>IF(ROW(H37)&lt;=Bidding!$D$11,Raw_hydro_bm!I37,"")</f>
        <v>50.0</v>
      </c>
      <c r="I37" s="16">
        <f t="shared" si="0"/>
        <v>50</v>
      </c>
    </row>
    <row r="38" spans="1:9" x14ac:dyDescent="0.3">
      <c r="A38" t="str">
        <f>IF(ROW(A38)&lt;=Bidding!$D$11,Raw_hydro_bm!B38,"")</f>
        <v>production</v>
      </c>
      <c r="B38" t="str">
        <f>IF(ROW(B38)&lt;=Bidding!$D$11,Raw_hydro_bm!C38,"")</f>
        <v>quantity</v>
      </c>
      <c r="C38" t="str">
        <f>IF(ROW(C38)&lt;=Bidding!$D$11,Raw_hydro_bm!D38,"")</f>
        <v>X</v>
      </c>
      <c r="D38" t="str">
        <f>IF(ROW(D38)&lt;=Bidding!$D$11,Raw_hydro_bm!E38,"")</f>
        <v>X</v>
      </c>
      <c r="E38">
        <f>IF(ROW(E38)&lt;=Bidding!$D$11,Raw_hydro_bm!F38,"")</f>
        <v>1</v>
      </c>
      <c r="F38">
        <f>IF(ROW(F38)&lt;=Bidding!$D$11,Raw_hydro_bm!G38,"")</f>
        <v>2</v>
      </c>
      <c r="G38">
        <f>IF(ROW(G38)&lt;=Bidding!$D$11,Raw_hydro_bm!H38,"")</f>
        <v>1</v>
      </c>
      <c r="H38" t="str">
        <f>IF(ROW(H38)&lt;=Bidding!$D$11,Raw_hydro_bm!I38,"")</f>
        <v>50.0</v>
      </c>
      <c r="I38" s="16">
        <f t="shared" si="0"/>
        <v>50</v>
      </c>
    </row>
    <row r="39" spans="1:9" x14ac:dyDescent="0.3">
      <c r="A39" t="str">
        <f>IF(ROW(A39)&lt;=Bidding!$D$11,Raw_hydro_bm!B39,"")</f>
        <v>production</v>
      </c>
      <c r="B39" t="str">
        <f>IF(ROW(B39)&lt;=Bidding!$D$11,Raw_hydro_bm!C39,"")</f>
        <v>quantity</v>
      </c>
      <c r="C39" t="str">
        <f>IF(ROW(C39)&lt;=Bidding!$D$11,Raw_hydro_bm!D39,"")</f>
        <v>X</v>
      </c>
      <c r="D39" t="str">
        <f>IF(ROW(D39)&lt;=Bidding!$D$11,Raw_hydro_bm!E39,"")</f>
        <v>X</v>
      </c>
      <c r="E39">
        <f>IF(ROW(E39)&lt;=Bidding!$D$11,Raw_hydro_bm!F39,"")</f>
        <v>1</v>
      </c>
      <c r="F39">
        <f>IF(ROW(F39)&lt;=Bidding!$D$11,Raw_hydro_bm!G39,"")</f>
        <v>2</v>
      </c>
      <c r="G39">
        <f>IF(ROW(G39)&lt;=Bidding!$D$11,Raw_hydro_bm!H39,"")</f>
        <v>2</v>
      </c>
      <c r="H39" t="str">
        <f>IF(ROW(H39)&lt;=Bidding!$D$11,Raw_hydro_bm!I39,"")</f>
        <v>20.0</v>
      </c>
      <c r="I39" s="16">
        <f t="shared" si="0"/>
        <v>20</v>
      </c>
    </row>
    <row r="40" spans="1:9" x14ac:dyDescent="0.3">
      <c r="A40" t="str">
        <f>IF(ROW(A40)&lt;=Bidding!$D$11,Raw_hydro_bm!B40,"")</f>
        <v>production</v>
      </c>
      <c r="B40" t="str">
        <f>IF(ROW(B40)&lt;=Bidding!$D$11,Raw_hydro_bm!C40,"")</f>
        <v>quantity</v>
      </c>
      <c r="C40" t="str">
        <f>IF(ROW(C40)&lt;=Bidding!$D$11,Raw_hydro_bm!D40,"")</f>
        <v>X</v>
      </c>
      <c r="D40" t="str">
        <f>IF(ROW(D40)&lt;=Bidding!$D$11,Raw_hydro_bm!E40,"")</f>
        <v>X</v>
      </c>
      <c r="E40">
        <f>IF(ROW(E40)&lt;=Bidding!$D$11,Raw_hydro_bm!F40,"")</f>
        <v>1</v>
      </c>
      <c r="F40">
        <f>IF(ROW(F40)&lt;=Bidding!$D$11,Raw_hydro_bm!G40,"")</f>
        <v>3</v>
      </c>
      <c r="G40">
        <f>IF(ROW(G40)&lt;=Bidding!$D$11,Raw_hydro_bm!H40,"")</f>
        <v>0</v>
      </c>
      <c r="H40" t="str">
        <f>IF(ROW(H40)&lt;=Bidding!$D$11,Raw_hydro_bm!I40,"")</f>
        <v>55.0</v>
      </c>
      <c r="I40" s="16">
        <f t="shared" si="0"/>
        <v>55</v>
      </c>
    </row>
    <row r="41" spans="1:9" x14ac:dyDescent="0.3">
      <c r="A41" t="str">
        <f>IF(ROW(A41)&lt;=Bidding!$D$11,Raw_hydro_bm!B41,"")</f>
        <v>production</v>
      </c>
      <c r="B41" t="str">
        <f>IF(ROW(B41)&lt;=Bidding!$D$11,Raw_hydro_bm!C41,"")</f>
        <v>quantity</v>
      </c>
      <c r="C41" t="str">
        <f>IF(ROW(C41)&lt;=Bidding!$D$11,Raw_hydro_bm!D41,"")</f>
        <v>X</v>
      </c>
      <c r="D41" t="str">
        <f>IF(ROW(D41)&lt;=Bidding!$D$11,Raw_hydro_bm!E41,"")</f>
        <v>X</v>
      </c>
      <c r="E41">
        <f>IF(ROW(E41)&lt;=Bidding!$D$11,Raw_hydro_bm!F41,"")</f>
        <v>1</v>
      </c>
      <c r="F41">
        <f>IF(ROW(F41)&lt;=Bidding!$D$11,Raw_hydro_bm!G41,"")</f>
        <v>3</v>
      </c>
      <c r="G41">
        <f>IF(ROW(G41)&lt;=Bidding!$D$11,Raw_hydro_bm!H41,"")</f>
        <v>1</v>
      </c>
      <c r="H41" t="str">
        <f>IF(ROW(H41)&lt;=Bidding!$D$11,Raw_hydro_bm!I41,"")</f>
        <v>50.0</v>
      </c>
      <c r="I41" s="16">
        <f t="shared" si="0"/>
        <v>50</v>
      </c>
    </row>
    <row r="42" spans="1:9" x14ac:dyDescent="0.3">
      <c r="A42" t="str">
        <f>IF(ROW(A42)&lt;=Bidding!$D$11,Raw_hydro_bm!B42,"")</f>
        <v>production</v>
      </c>
      <c r="B42" t="str">
        <f>IF(ROW(B42)&lt;=Bidding!$D$11,Raw_hydro_bm!C42,"")</f>
        <v>quantity</v>
      </c>
      <c r="C42" t="str">
        <f>IF(ROW(C42)&lt;=Bidding!$D$11,Raw_hydro_bm!D42,"")</f>
        <v>X</v>
      </c>
      <c r="D42" t="str">
        <f>IF(ROW(D42)&lt;=Bidding!$D$11,Raw_hydro_bm!E42,"")</f>
        <v>X</v>
      </c>
      <c r="E42">
        <f>IF(ROW(E42)&lt;=Bidding!$D$11,Raw_hydro_bm!F42,"")</f>
        <v>1</v>
      </c>
      <c r="F42">
        <f>IF(ROW(F42)&lt;=Bidding!$D$11,Raw_hydro_bm!G42,"")</f>
        <v>3</v>
      </c>
      <c r="G42">
        <f>IF(ROW(G42)&lt;=Bidding!$D$11,Raw_hydro_bm!H42,"")</f>
        <v>2</v>
      </c>
      <c r="H42" t="str">
        <f>IF(ROW(H42)&lt;=Bidding!$D$11,Raw_hydro_bm!I42,"")</f>
        <v>0.0</v>
      </c>
      <c r="I42" s="16">
        <f t="shared" si="0"/>
        <v>0</v>
      </c>
    </row>
    <row r="43" spans="1:9" x14ac:dyDescent="0.3">
      <c r="A43" t="str">
        <f>IF(ROW(A43)&lt;=Bidding!$D$11,Raw_hydro_bm!B43,"")</f>
        <v>production</v>
      </c>
      <c r="B43" t="str">
        <f>IF(ROW(B43)&lt;=Bidding!$D$11,Raw_hydro_bm!C43,"")</f>
        <v>quantity</v>
      </c>
      <c r="C43" t="str">
        <f>IF(ROW(C43)&lt;=Bidding!$D$11,Raw_hydro_bm!D43,"")</f>
        <v>X</v>
      </c>
      <c r="D43" t="str">
        <f>IF(ROW(D43)&lt;=Bidding!$D$11,Raw_hydro_bm!E43,"")</f>
        <v>X</v>
      </c>
      <c r="E43">
        <f>IF(ROW(E43)&lt;=Bidding!$D$11,Raw_hydro_bm!F43,"")</f>
        <v>1</v>
      </c>
      <c r="F43">
        <f>IF(ROW(F43)&lt;=Bidding!$D$11,Raw_hydro_bm!G43,"")</f>
        <v>4</v>
      </c>
      <c r="G43">
        <f>IF(ROW(G43)&lt;=Bidding!$D$11,Raw_hydro_bm!H43,"")</f>
        <v>0</v>
      </c>
      <c r="H43" t="str">
        <f>IF(ROW(H43)&lt;=Bidding!$D$11,Raw_hydro_bm!I43,"")</f>
        <v>60.0</v>
      </c>
      <c r="I43" s="16">
        <f t="shared" si="0"/>
        <v>60</v>
      </c>
    </row>
    <row r="44" spans="1:9" x14ac:dyDescent="0.3">
      <c r="A44" t="str">
        <f>IF(ROW(A44)&lt;=Bidding!$D$11,Raw_hydro_bm!B44,"")</f>
        <v>production</v>
      </c>
      <c r="B44" t="str">
        <f>IF(ROW(B44)&lt;=Bidding!$D$11,Raw_hydro_bm!C44,"")</f>
        <v>quantity</v>
      </c>
      <c r="C44" t="str">
        <f>IF(ROW(C44)&lt;=Bidding!$D$11,Raw_hydro_bm!D44,"")</f>
        <v>X</v>
      </c>
      <c r="D44" t="str">
        <f>IF(ROW(D44)&lt;=Bidding!$D$11,Raw_hydro_bm!E44,"")</f>
        <v>X</v>
      </c>
      <c r="E44">
        <f>IF(ROW(E44)&lt;=Bidding!$D$11,Raw_hydro_bm!F44,"")</f>
        <v>1</v>
      </c>
      <c r="F44">
        <f>IF(ROW(F44)&lt;=Bidding!$D$11,Raw_hydro_bm!G44,"")</f>
        <v>4</v>
      </c>
      <c r="G44">
        <f>IF(ROW(G44)&lt;=Bidding!$D$11,Raw_hydro_bm!H44,"")</f>
        <v>1</v>
      </c>
      <c r="H44" t="str">
        <f>IF(ROW(H44)&lt;=Bidding!$D$11,Raw_hydro_bm!I44,"")</f>
        <v>50.0</v>
      </c>
      <c r="I44" s="16">
        <f t="shared" si="0"/>
        <v>50</v>
      </c>
    </row>
    <row r="45" spans="1:9" x14ac:dyDescent="0.3">
      <c r="A45" t="str">
        <f>IF(ROW(A45)&lt;=Bidding!$D$11,Raw_hydro_bm!B45,"")</f>
        <v>production</v>
      </c>
      <c r="B45" t="str">
        <f>IF(ROW(B45)&lt;=Bidding!$D$11,Raw_hydro_bm!C45,"")</f>
        <v>quantity</v>
      </c>
      <c r="C45" t="str">
        <f>IF(ROW(C45)&lt;=Bidding!$D$11,Raw_hydro_bm!D45,"")</f>
        <v>X</v>
      </c>
      <c r="D45" t="str">
        <f>IF(ROW(D45)&lt;=Bidding!$D$11,Raw_hydro_bm!E45,"")</f>
        <v>X</v>
      </c>
      <c r="E45">
        <f>IF(ROW(E45)&lt;=Bidding!$D$11,Raw_hydro_bm!F45,"")</f>
        <v>1</v>
      </c>
      <c r="F45">
        <f>IF(ROW(F45)&lt;=Bidding!$D$11,Raw_hydro_bm!G45,"")</f>
        <v>4</v>
      </c>
      <c r="G45">
        <f>IF(ROW(G45)&lt;=Bidding!$D$11,Raw_hydro_bm!H45,"")</f>
        <v>2</v>
      </c>
      <c r="H45" t="str">
        <f>IF(ROW(H45)&lt;=Bidding!$D$11,Raw_hydro_bm!I45,"")</f>
        <v>0.0</v>
      </c>
      <c r="I45" s="16">
        <f t="shared" si="0"/>
        <v>0</v>
      </c>
    </row>
    <row r="46" spans="1:9" x14ac:dyDescent="0.3">
      <c r="A46" t="str">
        <f>IF(ROW(A46)&lt;=Bidding!$D$11,Raw_hydro_bm!B46,"")</f>
        <v>production</v>
      </c>
      <c r="B46" t="str">
        <f>IF(ROW(B46)&lt;=Bidding!$D$11,Raw_hydro_bm!C46,"")</f>
        <v>quantity</v>
      </c>
      <c r="C46" t="str">
        <f>IF(ROW(C46)&lt;=Bidding!$D$11,Raw_hydro_bm!D46,"")</f>
        <v>X</v>
      </c>
      <c r="D46" t="str">
        <f>IF(ROW(D46)&lt;=Bidding!$D$11,Raw_hydro_bm!E46,"")</f>
        <v>X</v>
      </c>
      <c r="E46">
        <f>IF(ROW(E46)&lt;=Bidding!$D$11,Raw_hydro_bm!F46,"")</f>
        <v>1</v>
      </c>
      <c r="F46">
        <f>IF(ROW(F46)&lt;=Bidding!$D$11,Raw_hydro_bm!G46,"")</f>
        <v>5</v>
      </c>
      <c r="G46">
        <f>IF(ROW(G46)&lt;=Bidding!$D$11,Raw_hydro_bm!H46,"")</f>
        <v>0</v>
      </c>
      <c r="H46" t="str">
        <f>IF(ROW(H46)&lt;=Bidding!$D$11,Raw_hydro_bm!I46,"")</f>
        <v>65.0</v>
      </c>
      <c r="I46" s="16">
        <f t="shared" si="0"/>
        <v>65</v>
      </c>
    </row>
    <row r="47" spans="1:9" x14ac:dyDescent="0.3">
      <c r="A47" t="str">
        <f>IF(ROW(A47)&lt;=Bidding!$D$11,Raw_hydro_bm!B47,"")</f>
        <v>production</v>
      </c>
      <c r="B47" t="str">
        <f>IF(ROW(B47)&lt;=Bidding!$D$11,Raw_hydro_bm!C47,"")</f>
        <v>quantity</v>
      </c>
      <c r="C47" t="str">
        <f>IF(ROW(C47)&lt;=Bidding!$D$11,Raw_hydro_bm!D47,"")</f>
        <v>X</v>
      </c>
      <c r="D47" t="str">
        <f>IF(ROW(D47)&lt;=Bidding!$D$11,Raw_hydro_bm!E47,"")</f>
        <v>X</v>
      </c>
      <c r="E47">
        <f>IF(ROW(E47)&lt;=Bidding!$D$11,Raw_hydro_bm!F47,"")</f>
        <v>1</v>
      </c>
      <c r="F47">
        <f>IF(ROW(F47)&lt;=Bidding!$D$11,Raw_hydro_bm!G47,"")</f>
        <v>5</v>
      </c>
      <c r="G47">
        <f>IF(ROW(G47)&lt;=Bidding!$D$11,Raw_hydro_bm!H47,"")</f>
        <v>1</v>
      </c>
      <c r="H47" t="str">
        <f>IF(ROW(H47)&lt;=Bidding!$D$11,Raw_hydro_bm!I47,"")</f>
        <v>50.0</v>
      </c>
      <c r="I47" s="16">
        <f t="shared" si="0"/>
        <v>50</v>
      </c>
    </row>
    <row r="48" spans="1:9" x14ac:dyDescent="0.3">
      <c r="A48" t="str">
        <f>IF(ROW(A48)&lt;=Bidding!$D$11,Raw_hydro_bm!B48,"")</f>
        <v>production</v>
      </c>
      <c r="B48" t="str">
        <f>IF(ROW(B48)&lt;=Bidding!$D$11,Raw_hydro_bm!C48,"")</f>
        <v>quantity</v>
      </c>
      <c r="C48" t="str">
        <f>IF(ROW(C48)&lt;=Bidding!$D$11,Raw_hydro_bm!D48,"")</f>
        <v>X</v>
      </c>
      <c r="D48" t="str">
        <f>IF(ROW(D48)&lt;=Bidding!$D$11,Raw_hydro_bm!E48,"")</f>
        <v>X</v>
      </c>
      <c r="E48">
        <f>IF(ROW(E48)&lt;=Bidding!$D$11,Raw_hydro_bm!F48,"")</f>
        <v>1</v>
      </c>
      <c r="F48">
        <f>IF(ROW(F48)&lt;=Bidding!$D$11,Raw_hydro_bm!G48,"")</f>
        <v>5</v>
      </c>
      <c r="G48">
        <f>IF(ROW(G48)&lt;=Bidding!$D$11,Raw_hydro_bm!H48,"")</f>
        <v>2</v>
      </c>
      <c r="H48" t="str">
        <f>IF(ROW(H48)&lt;=Bidding!$D$11,Raw_hydro_bm!I48,"")</f>
        <v>0.0</v>
      </c>
      <c r="I48" s="16">
        <f t="shared" si="0"/>
        <v>0</v>
      </c>
    </row>
    <row r="49" spans="1:9" x14ac:dyDescent="0.3">
      <c r="A49" t="str">
        <f>IF(ROW(A49)&lt;=Bidding!$D$11,Raw_hydro_bm!B49,"")</f>
        <v>production</v>
      </c>
      <c r="B49" t="str">
        <f>IF(ROW(B49)&lt;=Bidding!$D$11,Raw_hydro_bm!C49,"")</f>
        <v>quantity</v>
      </c>
      <c r="C49" t="str">
        <f>IF(ROW(C49)&lt;=Bidding!$D$11,Raw_hydro_bm!D49,"")</f>
        <v>X</v>
      </c>
      <c r="D49" t="str">
        <f>IF(ROW(D49)&lt;=Bidding!$D$11,Raw_hydro_bm!E49,"")</f>
        <v>X</v>
      </c>
      <c r="E49">
        <f>IF(ROW(E49)&lt;=Bidding!$D$11,Raw_hydro_bm!F49,"")</f>
        <v>1</v>
      </c>
      <c r="F49">
        <f>IF(ROW(F49)&lt;=Bidding!$D$11,Raw_hydro_bm!G49,"")</f>
        <v>6</v>
      </c>
      <c r="G49">
        <f>IF(ROW(G49)&lt;=Bidding!$D$11,Raw_hydro_bm!H49,"")</f>
        <v>0</v>
      </c>
      <c r="H49" t="str">
        <f>IF(ROW(H49)&lt;=Bidding!$D$11,Raw_hydro_bm!I49,"")</f>
        <v>70.0</v>
      </c>
      <c r="I49" s="16">
        <f t="shared" si="0"/>
        <v>70</v>
      </c>
    </row>
    <row r="50" spans="1:9" x14ac:dyDescent="0.3">
      <c r="A50" t="str">
        <f>IF(ROW(A50)&lt;=Bidding!$D$11,Raw_hydro_bm!B50,"")</f>
        <v>production</v>
      </c>
      <c r="B50" t="str">
        <f>IF(ROW(B50)&lt;=Bidding!$D$11,Raw_hydro_bm!C50,"")</f>
        <v>quantity</v>
      </c>
      <c r="C50" t="str">
        <f>IF(ROW(C50)&lt;=Bidding!$D$11,Raw_hydro_bm!D50,"")</f>
        <v>X</v>
      </c>
      <c r="D50" t="str">
        <f>IF(ROW(D50)&lt;=Bidding!$D$11,Raw_hydro_bm!E50,"")</f>
        <v>X</v>
      </c>
      <c r="E50">
        <f>IF(ROW(E50)&lt;=Bidding!$D$11,Raw_hydro_bm!F50,"")</f>
        <v>1</v>
      </c>
      <c r="F50">
        <f>IF(ROW(F50)&lt;=Bidding!$D$11,Raw_hydro_bm!G50,"")</f>
        <v>6</v>
      </c>
      <c r="G50">
        <f>IF(ROW(G50)&lt;=Bidding!$D$11,Raw_hydro_bm!H50,"")</f>
        <v>1</v>
      </c>
      <c r="H50" t="str">
        <f>IF(ROW(H50)&lt;=Bidding!$D$11,Raw_hydro_bm!I50,"")</f>
        <v>50.0</v>
      </c>
      <c r="I50" s="16">
        <f t="shared" si="0"/>
        <v>50</v>
      </c>
    </row>
    <row r="51" spans="1:9" x14ac:dyDescent="0.3">
      <c r="A51" t="str">
        <f>IF(ROW(A51)&lt;=Bidding!$D$11,Raw_hydro_bm!B51,"")</f>
        <v>production</v>
      </c>
      <c r="B51" t="str">
        <f>IF(ROW(B51)&lt;=Bidding!$D$11,Raw_hydro_bm!C51,"")</f>
        <v>quantity</v>
      </c>
      <c r="C51" t="str">
        <f>IF(ROW(C51)&lt;=Bidding!$D$11,Raw_hydro_bm!D51,"")</f>
        <v>X</v>
      </c>
      <c r="D51" t="str">
        <f>IF(ROW(D51)&lt;=Bidding!$D$11,Raw_hydro_bm!E51,"")</f>
        <v>X</v>
      </c>
      <c r="E51">
        <f>IF(ROW(E51)&lt;=Bidding!$D$11,Raw_hydro_bm!F51,"")</f>
        <v>1</v>
      </c>
      <c r="F51">
        <f>IF(ROW(F51)&lt;=Bidding!$D$11,Raw_hydro_bm!G51,"")</f>
        <v>6</v>
      </c>
      <c r="G51">
        <f>IF(ROW(G51)&lt;=Bidding!$D$11,Raw_hydro_bm!H51,"")</f>
        <v>2</v>
      </c>
      <c r="H51" t="str">
        <f>IF(ROW(H51)&lt;=Bidding!$D$11,Raw_hydro_bm!I51,"")</f>
        <v>0.0</v>
      </c>
      <c r="I51" s="16">
        <f t="shared" si="0"/>
        <v>0</v>
      </c>
    </row>
    <row r="52" spans="1:9" x14ac:dyDescent="0.3">
      <c r="A52" t="str">
        <f>IF(ROW(A52)&lt;=Bidding!$D$11,Raw_hydro_bm!B52,"")</f>
        <v>production</v>
      </c>
      <c r="B52" t="str">
        <f>IF(ROW(B52)&lt;=Bidding!$D$11,Raw_hydro_bm!C52,"")</f>
        <v>quantity</v>
      </c>
      <c r="C52" t="str">
        <f>IF(ROW(C52)&lt;=Bidding!$D$11,Raw_hydro_bm!D52,"")</f>
        <v>X</v>
      </c>
      <c r="D52" t="str">
        <f>IF(ROW(D52)&lt;=Bidding!$D$11,Raw_hydro_bm!E52,"")</f>
        <v>X</v>
      </c>
      <c r="E52">
        <f>IF(ROW(E52)&lt;=Bidding!$D$11,Raw_hydro_bm!F52,"")</f>
        <v>1</v>
      </c>
      <c r="F52">
        <f>IF(ROW(F52)&lt;=Bidding!$D$11,Raw_hydro_bm!G52,"")</f>
        <v>7</v>
      </c>
      <c r="G52">
        <f>IF(ROW(G52)&lt;=Bidding!$D$11,Raw_hydro_bm!H52,"")</f>
        <v>0</v>
      </c>
      <c r="H52" t="str">
        <f>IF(ROW(H52)&lt;=Bidding!$D$11,Raw_hydro_bm!I52,"")</f>
        <v>75.0</v>
      </c>
      <c r="I52" s="16">
        <f t="shared" si="0"/>
        <v>75</v>
      </c>
    </row>
    <row r="53" spans="1:9" x14ac:dyDescent="0.3">
      <c r="A53" t="str">
        <f>IF(ROW(A53)&lt;=Bidding!$D$11,Raw_hydro_bm!B53,"")</f>
        <v>production</v>
      </c>
      <c r="B53" t="str">
        <f>IF(ROW(B53)&lt;=Bidding!$D$11,Raw_hydro_bm!C53,"")</f>
        <v>quantity</v>
      </c>
      <c r="C53" t="str">
        <f>IF(ROW(C53)&lt;=Bidding!$D$11,Raw_hydro_bm!D53,"")</f>
        <v>X</v>
      </c>
      <c r="D53" t="str">
        <f>IF(ROW(D53)&lt;=Bidding!$D$11,Raw_hydro_bm!E53,"")</f>
        <v>X</v>
      </c>
      <c r="E53">
        <f>IF(ROW(E53)&lt;=Bidding!$D$11,Raw_hydro_bm!F53,"")</f>
        <v>1</v>
      </c>
      <c r="F53">
        <f>IF(ROW(F53)&lt;=Bidding!$D$11,Raw_hydro_bm!G53,"")</f>
        <v>7</v>
      </c>
      <c r="G53">
        <f>IF(ROW(G53)&lt;=Bidding!$D$11,Raw_hydro_bm!H53,"")</f>
        <v>1</v>
      </c>
      <c r="H53" t="str">
        <f>IF(ROW(H53)&lt;=Bidding!$D$11,Raw_hydro_bm!I53,"")</f>
        <v>45.0</v>
      </c>
      <c r="I53" s="16">
        <f t="shared" si="0"/>
        <v>45</v>
      </c>
    </row>
    <row r="54" spans="1:9" x14ac:dyDescent="0.3">
      <c r="A54" t="str">
        <f>IF(ROW(A54)&lt;=Bidding!$D$11,Raw_hydro_bm!B54,"")</f>
        <v>production</v>
      </c>
      <c r="B54" t="str">
        <f>IF(ROW(B54)&lt;=Bidding!$D$11,Raw_hydro_bm!C54,"")</f>
        <v>quantity</v>
      </c>
      <c r="C54" t="str">
        <f>IF(ROW(C54)&lt;=Bidding!$D$11,Raw_hydro_bm!D54,"")</f>
        <v>X</v>
      </c>
      <c r="D54" t="str">
        <f>IF(ROW(D54)&lt;=Bidding!$D$11,Raw_hydro_bm!E54,"")</f>
        <v>X</v>
      </c>
      <c r="E54">
        <f>IF(ROW(E54)&lt;=Bidding!$D$11,Raw_hydro_bm!F54,"")</f>
        <v>1</v>
      </c>
      <c r="F54">
        <f>IF(ROW(F54)&lt;=Bidding!$D$11,Raw_hydro_bm!G54,"")</f>
        <v>7</v>
      </c>
      <c r="G54">
        <f>IF(ROW(G54)&lt;=Bidding!$D$11,Raw_hydro_bm!H54,"")</f>
        <v>2</v>
      </c>
      <c r="H54" t="str">
        <f>IF(ROW(H54)&lt;=Bidding!$D$11,Raw_hydro_bm!I54,"")</f>
        <v>0.0</v>
      </c>
      <c r="I54" s="16">
        <f t="shared" si="0"/>
        <v>0</v>
      </c>
    </row>
    <row r="55" spans="1:9" x14ac:dyDescent="0.3">
      <c r="A55" t="str">
        <f>IF(ROW(A55)&lt;=Bidding!$D$11,Raw_hydro_bm!B55,"")</f>
        <v>production</v>
      </c>
      <c r="B55" t="str">
        <f>IF(ROW(B55)&lt;=Bidding!$D$11,Raw_hydro_bm!C55,"")</f>
        <v>quantity</v>
      </c>
      <c r="C55" t="str">
        <f>IF(ROW(C55)&lt;=Bidding!$D$11,Raw_hydro_bm!D55,"")</f>
        <v>X</v>
      </c>
      <c r="D55" t="str">
        <f>IF(ROW(D55)&lt;=Bidding!$D$11,Raw_hydro_bm!E55,"")</f>
        <v>X</v>
      </c>
      <c r="E55">
        <f>IF(ROW(E55)&lt;=Bidding!$D$11,Raw_hydro_bm!F55,"")</f>
        <v>1</v>
      </c>
      <c r="F55">
        <f>IF(ROW(F55)&lt;=Bidding!$D$11,Raw_hydro_bm!G55,"")</f>
        <v>8</v>
      </c>
      <c r="G55">
        <f>IF(ROW(G55)&lt;=Bidding!$D$11,Raw_hydro_bm!H55,"")</f>
        <v>0</v>
      </c>
      <c r="H55" t="str">
        <f>IF(ROW(H55)&lt;=Bidding!$D$11,Raw_hydro_bm!I55,"")</f>
        <v>80.0</v>
      </c>
      <c r="I55" s="16">
        <f t="shared" si="0"/>
        <v>80</v>
      </c>
    </row>
    <row r="56" spans="1:9" x14ac:dyDescent="0.3">
      <c r="A56" t="str">
        <f>IF(ROW(A56)&lt;=Bidding!$D$11,Raw_hydro_bm!B56,"")</f>
        <v>production</v>
      </c>
      <c r="B56" t="str">
        <f>IF(ROW(B56)&lt;=Bidding!$D$11,Raw_hydro_bm!C56,"")</f>
        <v>quantity</v>
      </c>
      <c r="C56" t="str">
        <f>IF(ROW(C56)&lt;=Bidding!$D$11,Raw_hydro_bm!D56,"")</f>
        <v>X</v>
      </c>
      <c r="D56" t="str">
        <f>IF(ROW(D56)&lt;=Bidding!$D$11,Raw_hydro_bm!E56,"")</f>
        <v>X</v>
      </c>
      <c r="E56">
        <f>IF(ROW(E56)&lt;=Bidding!$D$11,Raw_hydro_bm!F56,"")</f>
        <v>1</v>
      </c>
      <c r="F56">
        <f>IF(ROW(F56)&lt;=Bidding!$D$11,Raw_hydro_bm!G56,"")</f>
        <v>8</v>
      </c>
      <c r="G56">
        <f>IF(ROW(G56)&lt;=Bidding!$D$11,Raw_hydro_bm!H56,"")</f>
        <v>1</v>
      </c>
      <c r="H56" t="str">
        <f>IF(ROW(H56)&lt;=Bidding!$D$11,Raw_hydro_bm!I56,"")</f>
        <v>40.0</v>
      </c>
      <c r="I56" s="16">
        <f t="shared" si="0"/>
        <v>40</v>
      </c>
    </row>
    <row r="57" spans="1:9" x14ac:dyDescent="0.3">
      <c r="A57" t="str">
        <f>IF(ROW(A57)&lt;=Bidding!$D$11,Raw_hydro_bm!B57,"")</f>
        <v>production</v>
      </c>
      <c r="B57" t="str">
        <f>IF(ROW(B57)&lt;=Bidding!$D$11,Raw_hydro_bm!C57,"")</f>
        <v>quantity</v>
      </c>
      <c r="C57" t="str">
        <f>IF(ROW(C57)&lt;=Bidding!$D$11,Raw_hydro_bm!D57,"")</f>
        <v>X</v>
      </c>
      <c r="D57" t="str">
        <f>IF(ROW(D57)&lt;=Bidding!$D$11,Raw_hydro_bm!E57,"")</f>
        <v>X</v>
      </c>
      <c r="E57">
        <f>IF(ROW(E57)&lt;=Bidding!$D$11,Raw_hydro_bm!F57,"")</f>
        <v>1</v>
      </c>
      <c r="F57">
        <f>IF(ROW(F57)&lt;=Bidding!$D$11,Raw_hydro_bm!G57,"")</f>
        <v>8</v>
      </c>
      <c r="G57">
        <f>IF(ROW(G57)&lt;=Bidding!$D$11,Raw_hydro_bm!H57,"")</f>
        <v>2</v>
      </c>
      <c r="H57" t="str">
        <f>IF(ROW(H57)&lt;=Bidding!$D$11,Raw_hydro_bm!I57,"")</f>
        <v>0.0</v>
      </c>
      <c r="I57" s="16">
        <f t="shared" si="0"/>
        <v>0</v>
      </c>
    </row>
    <row r="58" spans="1:9" x14ac:dyDescent="0.3">
      <c r="A58" t="str">
        <f>IF(ROW(A58)&lt;=Bidding!$D$11,Raw_hydro_bm!B58,"")</f>
        <v>production</v>
      </c>
      <c r="B58" t="str">
        <f>IF(ROW(B58)&lt;=Bidding!$D$11,Raw_hydro_bm!C58,"")</f>
        <v>quantity</v>
      </c>
      <c r="C58" t="str">
        <f>IF(ROW(C58)&lt;=Bidding!$D$11,Raw_hydro_bm!D58,"")</f>
        <v>X</v>
      </c>
      <c r="D58" t="str">
        <f>IF(ROW(D58)&lt;=Bidding!$D$11,Raw_hydro_bm!E58,"")</f>
        <v>X</v>
      </c>
      <c r="E58">
        <f>IF(ROW(E58)&lt;=Bidding!$D$11,Raw_hydro_bm!F58,"")</f>
        <v>1</v>
      </c>
      <c r="F58">
        <f>IF(ROW(F58)&lt;=Bidding!$D$11,Raw_hydro_bm!G58,"")</f>
        <v>9</v>
      </c>
      <c r="G58">
        <f>IF(ROW(G58)&lt;=Bidding!$D$11,Raw_hydro_bm!H58,"")</f>
        <v>0</v>
      </c>
      <c r="H58" t="str">
        <f>IF(ROW(H58)&lt;=Bidding!$D$11,Raw_hydro_bm!I58,"")</f>
        <v>85.0</v>
      </c>
      <c r="I58" s="16">
        <f t="shared" si="0"/>
        <v>85</v>
      </c>
    </row>
    <row r="59" spans="1:9" x14ac:dyDescent="0.3">
      <c r="A59" t="str">
        <f>IF(ROW(A59)&lt;=Bidding!$D$11,Raw_hydro_bm!B59,"")</f>
        <v>production</v>
      </c>
      <c r="B59" t="str">
        <f>IF(ROW(B59)&lt;=Bidding!$D$11,Raw_hydro_bm!C59,"")</f>
        <v>quantity</v>
      </c>
      <c r="C59" t="str">
        <f>IF(ROW(C59)&lt;=Bidding!$D$11,Raw_hydro_bm!D59,"")</f>
        <v>X</v>
      </c>
      <c r="D59" t="str">
        <f>IF(ROW(D59)&lt;=Bidding!$D$11,Raw_hydro_bm!E59,"")</f>
        <v>X</v>
      </c>
      <c r="E59">
        <f>IF(ROW(E59)&lt;=Bidding!$D$11,Raw_hydro_bm!F59,"")</f>
        <v>1</v>
      </c>
      <c r="F59">
        <f>IF(ROW(F59)&lt;=Bidding!$D$11,Raw_hydro_bm!G59,"")</f>
        <v>9</v>
      </c>
      <c r="G59">
        <f>IF(ROW(G59)&lt;=Bidding!$D$11,Raw_hydro_bm!H59,"")</f>
        <v>1</v>
      </c>
      <c r="H59" t="str">
        <f>IF(ROW(H59)&lt;=Bidding!$D$11,Raw_hydro_bm!I59,"")</f>
        <v>35.0</v>
      </c>
      <c r="I59" s="16">
        <f t="shared" si="0"/>
        <v>35</v>
      </c>
    </row>
    <row r="60" spans="1:9" x14ac:dyDescent="0.3">
      <c r="A60" t="str">
        <f>IF(ROW(A60)&lt;=Bidding!$D$11,Raw_hydro_bm!B60,"")</f>
        <v>production</v>
      </c>
      <c r="B60" t="str">
        <f>IF(ROW(B60)&lt;=Bidding!$D$11,Raw_hydro_bm!C60,"")</f>
        <v>quantity</v>
      </c>
      <c r="C60" t="str">
        <f>IF(ROW(C60)&lt;=Bidding!$D$11,Raw_hydro_bm!D60,"")</f>
        <v>X</v>
      </c>
      <c r="D60" t="str">
        <f>IF(ROW(D60)&lt;=Bidding!$D$11,Raw_hydro_bm!E60,"")</f>
        <v>X</v>
      </c>
      <c r="E60">
        <f>IF(ROW(E60)&lt;=Bidding!$D$11,Raw_hydro_bm!F60,"")</f>
        <v>1</v>
      </c>
      <c r="F60">
        <f>IF(ROW(F60)&lt;=Bidding!$D$11,Raw_hydro_bm!G60,"")</f>
        <v>9</v>
      </c>
      <c r="G60">
        <f>IF(ROW(G60)&lt;=Bidding!$D$11,Raw_hydro_bm!H60,"")</f>
        <v>2</v>
      </c>
      <c r="H60" t="str">
        <f>IF(ROW(H60)&lt;=Bidding!$D$11,Raw_hydro_bm!I60,"")</f>
        <v>0.0</v>
      </c>
      <c r="I60" s="16">
        <f t="shared" si="0"/>
        <v>0</v>
      </c>
    </row>
    <row r="61" spans="1:9" x14ac:dyDescent="0.3">
      <c r="A61" t="str">
        <f>IF(ROW(A61)&lt;=Bidding!$D$11,Raw_hydro_bm!B61,"")</f>
        <v>production</v>
      </c>
      <c r="B61" t="str">
        <f>IF(ROW(B61)&lt;=Bidding!$D$11,Raw_hydro_bm!C61,"")</f>
        <v>quantity</v>
      </c>
      <c r="C61" t="str">
        <f>IF(ROW(C61)&lt;=Bidding!$D$11,Raw_hydro_bm!D61,"")</f>
        <v>X</v>
      </c>
      <c r="D61" t="str">
        <f>IF(ROW(D61)&lt;=Bidding!$D$11,Raw_hydro_bm!E61,"")</f>
        <v>X</v>
      </c>
      <c r="E61">
        <f>IF(ROW(E61)&lt;=Bidding!$D$11,Raw_hydro_bm!F61,"")</f>
        <v>2</v>
      </c>
      <c r="F61">
        <f>IF(ROW(F61)&lt;=Bidding!$D$11,Raw_hydro_bm!G61,"")</f>
        <v>0</v>
      </c>
      <c r="G61">
        <f>IF(ROW(G61)&lt;=Bidding!$D$11,Raw_hydro_bm!H61,"")</f>
        <v>0</v>
      </c>
      <c r="H61" t="str">
        <f>IF(ROW(H61)&lt;=Bidding!$D$11,Raw_hydro_bm!I61,"")</f>
        <v>40.0</v>
      </c>
      <c r="I61" s="16">
        <f t="shared" si="0"/>
        <v>40</v>
      </c>
    </row>
    <row r="62" spans="1:9" x14ac:dyDescent="0.3">
      <c r="A62" t="str">
        <f>IF(ROW(A62)&lt;=Bidding!$D$11,Raw_hydro_bm!B62,"")</f>
        <v>production</v>
      </c>
      <c r="B62" t="str">
        <f>IF(ROW(B62)&lt;=Bidding!$D$11,Raw_hydro_bm!C62,"")</f>
        <v>quantity</v>
      </c>
      <c r="C62" t="str">
        <f>IF(ROW(C62)&lt;=Bidding!$D$11,Raw_hydro_bm!D62,"")</f>
        <v>X</v>
      </c>
      <c r="D62" t="str">
        <f>IF(ROW(D62)&lt;=Bidding!$D$11,Raw_hydro_bm!E62,"")</f>
        <v>X</v>
      </c>
      <c r="E62">
        <f>IF(ROW(E62)&lt;=Bidding!$D$11,Raw_hydro_bm!F62,"")</f>
        <v>2</v>
      </c>
      <c r="F62">
        <f>IF(ROW(F62)&lt;=Bidding!$D$11,Raw_hydro_bm!G62,"")</f>
        <v>0</v>
      </c>
      <c r="G62">
        <f>IF(ROW(G62)&lt;=Bidding!$D$11,Raw_hydro_bm!H62,"")</f>
        <v>1</v>
      </c>
      <c r="H62" t="str">
        <f>IF(ROW(H62)&lt;=Bidding!$D$11,Raw_hydro_bm!I62,"")</f>
        <v>50.0</v>
      </c>
      <c r="I62" s="16">
        <f t="shared" si="0"/>
        <v>50</v>
      </c>
    </row>
    <row r="63" spans="1:9" x14ac:dyDescent="0.3">
      <c r="A63" t="str">
        <f>IF(ROW(A63)&lt;=Bidding!$D$11,Raw_hydro_bm!B63,"")</f>
        <v>production</v>
      </c>
      <c r="B63" t="str">
        <f>IF(ROW(B63)&lt;=Bidding!$D$11,Raw_hydro_bm!C63,"")</f>
        <v>quantity</v>
      </c>
      <c r="C63" t="str">
        <f>IF(ROW(C63)&lt;=Bidding!$D$11,Raw_hydro_bm!D63,"")</f>
        <v>X</v>
      </c>
      <c r="D63" t="str">
        <f>IF(ROW(D63)&lt;=Bidding!$D$11,Raw_hydro_bm!E63,"")</f>
        <v>X</v>
      </c>
      <c r="E63">
        <f>IF(ROW(E63)&lt;=Bidding!$D$11,Raw_hydro_bm!F63,"")</f>
        <v>2</v>
      </c>
      <c r="F63">
        <f>IF(ROW(F63)&lt;=Bidding!$D$11,Raw_hydro_bm!G63,"")</f>
        <v>0</v>
      </c>
      <c r="G63">
        <f>IF(ROW(G63)&lt;=Bidding!$D$11,Raw_hydro_bm!H63,"")</f>
        <v>2</v>
      </c>
      <c r="H63" t="str">
        <f>IF(ROW(H63)&lt;=Bidding!$D$11,Raw_hydro_bm!I63,"")</f>
        <v>30.0</v>
      </c>
      <c r="I63" s="16">
        <f t="shared" si="0"/>
        <v>30</v>
      </c>
    </row>
    <row r="64" spans="1:9" x14ac:dyDescent="0.3">
      <c r="A64" t="str">
        <f>IF(ROW(A64)&lt;=Bidding!$D$11,Raw_hydro_bm!B64,"")</f>
        <v>production</v>
      </c>
      <c r="B64" t="str">
        <f>IF(ROW(B64)&lt;=Bidding!$D$11,Raw_hydro_bm!C64,"")</f>
        <v>quantity</v>
      </c>
      <c r="C64" t="str">
        <f>IF(ROW(C64)&lt;=Bidding!$D$11,Raw_hydro_bm!D64,"")</f>
        <v>X</v>
      </c>
      <c r="D64" t="str">
        <f>IF(ROW(D64)&lt;=Bidding!$D$11,Raw_hydro_bm!E64,"")</f>
        <v>X</v>
      </c>
      <c r="E64">
        <f>IF(ROW(E64)&lt;=Bidding!$D$11,Raw_hydro_bm!F64,"")</f>
        <v>2</v>
      </c>
      <c r="F64">
        <f>IF(ROW(F64)&lt;=Bidding!$D$11,Raw_hydro_bm!G64,"")</f>
        <v>1</v>
      </c>
      <c r="G64">
        <f>IF(ROW(G64)&lt;=Bidding!$D$11,Raw_hydro_bm!H64,"")</f>
        <v>0</v>
      </c>
      <c r="H64" t="str">
        <f>IF(ROW(H64)&lt;=Bidding!$D$11,Raw_hydro_bm!I64,"")</f>
        <v>45.0</v>
      </c>
      <c r="I64" s="16">
        <f t="shared" si="0"/>
        <v>45</v>
      </c>
    </row>
    <row r="65" spans="1:9" x14ac:dyDescent="0.3">
      <c r="A65" t="str">
        <f>IF(ROW(A65)&lt;=Bidding!$D$11,Raw_hydro_bm!B65,"")</f>
        <v>production</v>
      </c>
      <c r="B65" t="str">
        <f>IF(ROW(B65)&lt;=Bidding!$D$11,Raw_hydro_bm!C65,"")</f>
        <v>quantity</v>
      </c>
      <c r="C65" t="str">
        <f>IF(ROW(C65)&lt;=Bidding!$D$11,Raw_hydro_bm!D65,"")</f>
        <v>X</v>
      </c>
      <c r="D65" t="str">
        <f>IF(ROW(D65)&lt;=Bidding!$D$11,Raw_hydro_bm!E65,"")</f>
        <v>X</v>
      </c>
      <c r="E65">
        <f>IF(ROW(E65)&lt;=Bidding!$D$11,Raw_hydro_bm!F65,"")</f>
        <v>2</v>
      </c>
      <c r="F65">
        <f>IF(ROW(F65)&lt;=Bidding!$D$11,Raw_hydro_bm!G65,"")</f>
        <v>1</v>
      </c>
      <c r="G65">
        <f>IF(ROW(G65)&lt;=Bidding!$D$11,Raw_hydro_bm!H65,"")</f>
        <v>1</v>
      </c>
      <c r="H65" t="str">
        <f>IF(ROW(H65)&lt;=Bidding!$D$11,Raw_hydro_bm!I65,"")</f>
        <v>50.0</v>
      </c>
      <c r="I65" s="16">
        <f t="shared" si="0"/>
        <v>50</v>
      </c>
    </row>
    <row r="66" spans="1:9" x14ac:dyDescent="0.3">
      <c r="A66" t="str">
        <f>IF(ROW(A66)&lt;=Bidding!$D$11,Raw_hydro_bm!B66,"")</f>
        <v>production</v>
      </c>
      <c r="B66" t="str">
        <f>IF(ROW(B66)&lt;=Bidding!$D$11,Raw_hydro_bm!C66,"")</f>
        <v>quantity</v>
      </c>
      <c r="C66" t="str">
        <f>IF(ROW(C66)&lt;=Bidding!$D$11,Raw_hydro_bm!D66,"")</f>
        <v>X</v>
      </c>
      <c r="D66" t="str">
        <f>IF(ROW(D66)&lt;=Bidding!$D$11,Raw_hydro_bm!E66,"")</f>
        <v>X</v>
      </c>
      <c r="E66">
        <f>IF(ROW(E66)&lt;=Bidding!$D$11,Raw_hydro_bm!F66,"")</f>
        <v>2</v>
      </c>
      <c r="F66">
        <f>IF(ROW(F66)&lt;=Bidding!$D$11,Raw_hydro_bm!G66,"")</f>
        <v>1</v>
      </c>
      <c r="G66">
        <f>IF(ROW(G66)&lt;=Bidding!$D$11,Raw_hydro_bm!H66,"")</f>
        <v>2</v>
      </c>
      <c r="H66" t="str">
        <f>IF(ROW(H66)&lt;=Bidding!$D$11,Raw_hydro_bm!I66,"")</f>
        <v>5.0</v>
      </c>
      <c r="I66" s="16">
        <f t="shared" ref="I66:I129" si="1">IF(IFERROR(FIND("e",H66),-1)&lt;0,IFERROR(_xlfn.NUMBERVALUE(LEFT(H66,FIND(".",H66)-1))+_xlfn.NUMBERVALUE("0,"&amp;RIGHT(H66,LEN(H66)-FIND(".",H66))),""),0)</f>
        <v>5</v>
      </c>
    </row>
    <row r="67" spans="1:9" x14ac:dyDescent="0.3">
      <c r="A67" t="str">
        <f>IF(ROW(A67)&lt;=Bidding!$D$11,Raw_hydro_bm!B67,"")</f>
        <v>production</v>
      </c>
      <c r="B67" t="str">
        <f>IF(ROW(B67)&lt;=Bidding!$D$11,Raw_hydro_bm!C67,"")</f>
        <v>quantity</v>
      </c>
      <c r="C67" t="str">
        <f>IF(ROW(C67)&lt;=Bidding!$D$11,Raw_hydro_bm!D67,"")</f>
        <v>X</v>
      </c>
      <c r="D67" t="str">
        <f>IF(ROW(D67)&lt;=Bidding!$D$11,Raw_hydro_bm!E67,"")</f>
        <v>X</v>
      </c>
      <c r="E67">
        <f>IF(ROW(E67)&lt;=Bidding!$D$11,Raw_hydro_bm!F67,"")</f>
        <v>2</v>
      </c>
      <c r="F67">
        <f>IF(ROW(F67)&lt;=Bidding!$D$11,Raw_hydro_bm!G67,"")</f>
        <v>2</v>
      </c>
      <c r="G67">
        <f>IF(ROW(G67)&lt;=Bidding!$D$11,Raw_hydro_bm!H67,"")</f>
        <v>0</v>
      </c>
      <c r="H67" t="str">
        <f>IF(ROW(H67)&lt;=Bidding!$D$11,Raw_hydro_bm!I67,"")</f>
        <v>50.0</v>
      </c>
      <c r="I67" s="16">
        <f t="shared" si="1"/>
        <v>50</v>
      </c>
    </row>
    <row r="68" spans="1:9" x14ac:dyDescent="0.3">
      <c r="A68" t="str">
        <f>IF(ROW(A68)&lt;=Bidding!$D$11,Raw_hydro_bm!B68,"")</f>
        <v>production</v>
      </c>
      <c r="B68" t="str">
        <f>IF(ROW(B68)&lt;=Bidding!$D$11,Raw_hydro_bm!C68,"")</f>
        <v>quantity</v>
      </c>
      <c r="C68" t="str">
        <f>IF(ROW(C68)&lt;=Bidding!$D$11,Raw_hydro_bm!D68,"")</f>
        <v>X</v>
      </c>
      <c r="D68" t="str">
        <f>IF(ROW(D68)&lt;=Bidding!$D$11,Raw_hydro_bm!E68,"")</f>
        <v>X</v>
      </c>
      <c r="E68">
        <f>IF(ROW(E68)&lt;=Bidding!$D$11,Raw_hydro_bm!F68,"")</f>
        <v>2</v>
      </c>
      <c r="F68">
        <f>IF(ROW(F68)&lt;=Bidding!$D$11,Raw_hydro_bm!G68,"")</f>
        <v>2</v>
      </c>
      <c r="G68">
        <f>IF(ROW(G68)&lt;=Bidding!$D$11,Raw_hydro_bm!H68,"")</f>
        <v>1</v>
      </c>
      <c r="H68" t="str">
        <f>IF(ROW(H68)&lt;=Bidding!$D$11,Raw_hydro_bm!I68,"")</f>
        <v>50.0</v>
      </c>
      <c r="I68" s="16">
        <f t="shared" si="1"/>
        <v>50</v>
      </c>
    </row>
    <row r="69" spans="1:9" x14ac:dyDescent="0.3">
      <c r="A69" t="str">
        <f>IF(ROW(A69)&lt;=Bidding!$D$11,Raw_hydro_bm!B69,"")</f>
        <v>production</v>
      </c>
      <c r="B69" t="str">
        <f>IF(ROW(B69)&lt;=Bidding!$D$11,Raw_hydro_bm!C69,"")</f>
        <v>quantity</v>
      </c>
      <c r="C69" t="str">
        <f>IF(ROW(C69)&lt;=Bidding!$D$11,Raw_hydro_bm!D69,"")</f>
        <v>X</v>
      </c>
      <c r="D69" t="str">
        <f>IF(ROW(D69)&lt;=Bidding!$D$11,Raw_hydro_bm!E69,"")</f>
        <v>X</v>
      </c>
      <c r="E69">
        <f>IF(ROW(E69)&lt;=Bidding!$D$11,Raw_hydro_bm!F69,"")</f>
        <v>2</v>
      </c>
      <c r="F69">
        <f>IF(ROW(F69)&lt;=Bidding!$D$11,Raw_hydro_bm!G69,"")</f>
        <v>2</v>
      </c>
      <c r="G69">
        <f>IF(ROW(G69)&lt;=Bidding!$D$11,Raw_hydro_bm!H69,"")</f>
        <v>2</v>
      </c>
      <c r="H69" t="str">
        <f>IF(ROW(H69)&lt;=Bidding!$D$11,Raw_hydro_bm!I69,"")</f>
        <v>15.0</v>
      </c>
      <c r="I69" s="16">
        <f t="shared" si="1"/>
        <v>15</v>
      </c>
    </row>
    <row r="70" spans="1:9" x14ac:dyDescent="0.3">
      <c r="A70" t="str">
        <f>IF(ROW(A70)&lt;=Bidding!$D$11,Raw_hydro_bm!B70,"")</f>
        <v>production</v>
      </c>
      <c r="B70" t="str">
        <f>IF(ROW(B70)&lt;=Bidding!$D$11,Raw_hydro_bm!C70,"")</f>
        <v>quantity</v>
      </c>
      <c r="C70" t="str">
        <f>IF(ROW(C70)&lt;=Bidding!$D$11,Raw_hydro_bm!D70,"")</f>
        <v>X</v>
      </c>
      <c r="D70" t="str">
        <f>IF(ROW(D70)&lt;=Bidding!$D$11,Raw_hydro_bm!E70,"")</f>
        <v>X</v>
      </c>
      <c r="E70">
        <f>IF(ROW(E70)&lt;=Bidding!$D$11,Raw_hydro_bm!F70,"")</f>
        <v>2</v>
      </c>
      <c r="F70">
        <f>IF(ROW(F70)&lt;=Bidding!$D$11,Raw_hydro_bm!G70,"")</f>
        <v>3</v>
      </c>
      <c r="G70">
        <f>IF(ROW(G70)&lt;=Bidding!$D$11,Raw_hydro_bm!H70,"")</f>
        <v>0</v>
      </c>
      <c r="H70" t="str">
        <f>IF(ROW(H70)&lt;=Bidding!$D$11,Raw_hydro_bm!I70,"")</f>
        <v>55.0</v>
      </c>
      <c r="I70" s="16">
        <f t="shared" si="1"/>
        <v>55</v>
      </c>
    </row>
    <row r="71" spans="1:9" x14ac:dyDescent="0.3">
      <c r="A71" t="str">
        <f>IF(ROW(A71)&lt;=Bidding!$D$11,Raw_hydro_bm!B71,"")</f>
        <v>production</v>
      </c>
      <c r="B71" t="str">
        <f>IF(ROW(B71)&lt;=Bidding!$D$11,Raw_hydro_bm!C71,"")</f>
        <v>quantity</v>
      </c>
      <c r="C71" t="str">
        <f>IF(ROW(C71)&lt;=Bidding!$D$11,Raw_hydro_bm!D71,"")</f>
        <v>X</v>
      </c>
      <c r="D71" t="str">
        <f>IF(ROW(D71)&lt;=Bidding!$D$11,Raw_hydro_bm!E71,"")</f>
        <v>X</v>
      </c>
      <c r="E71">
        <f>IF(ROW(E71)&lt;=Bidding!$D$11,Raw_hydro_bm!F71,"")</f>
        <v>2</v>
      </c>
      <c r="F71">
        <f>IF(ROW(F71)&lt;=Bidding!$D$11,Raw_hydro_bm!G71,"")</f>
        <v>3</v>
      </c>
      <c r="G71">
        <f>IF(ROW(G71)&lt;=Bidding!$D$11,Raw_hydro_bm!H71,"")</f>
        <v>1</v>
      </c>
      <c r="H71" t="str">
        <f>IF(ROW(H71)&lt;=Bidding!$D$11,Raw_hydro_bm!I71,"")</f>
        <v>50.0</v>
      </c>
      <c r="I71" s="16">
        <f t="shared" si="1"/>
        <v>50</v>
      </c>
    </row>
    <row r="72" spans="1:9" x14ac:dyDescent="0.3">
      <c r="A72" t="str">
        <f>IF(ROW(A72)&lt;=Bidding!$D$11,Raw_hydro_bm!B72,"")</f>
        <v>production</v>
      </c>
      <c r="B72" t="str">
        <f>IF(ROW(B72)&lt;=Bidding!$D$11,Raw_hydro_bm!C72,"")</f>
        <v>quantity</v>
      </c>
      <c r="C72" t="str">
        <f>IF(ROW(C72)&lt;=Bidding!$D$11,Raw_hydro_bm!D72,"")</f>
        <v>X</v>
      </c>
      <c r="D72" t="str">
        <f>IF(ROW(D72)&lt;=Bidding!$D$11,Raw_hydro_bm!E72,"")</f>
        <v>X</v>
      </c>
      <c r="E72">
        <f>IF(ROW(E72)&lt;=Bidding!$D$11,Raw_hydro_bm!F72,"")</f>
        <v>2</v>
      </c>
      <c r="F72">
        <f>IF(ROW(F72)&lt;=Bidding!$D$11,Raw_hydro_bm!G72,"")</f>
        <v>3</v>
      </c>
      <c r="G72">
        <f>IF(ROW(G72)&lt;=Bidding!$D$11,Raw_hydro_bm!H72,"")</f>
        <v>2</v>
      </c>
      <c r="H72" t="str">
        <f>IF(ROW(H72)&lt;=Bidding!$D$11,Raw_hydro_bm!I72,"")</f>
        <v>0.0</v>
      </c>
      <c r="I72" s="16">
        <f t="shared" si="1"/>
        <v>0</v>
      </c>
    </row>
    <row r="73" spans="1:9" x14ac:dyDescent="0.3">
      <c r="A73" t="str">
        <f>IF(ROW(A73)&lt;=Bidding!$D$11,Raw_hydro_bm!B73,"")</f>
        <v>production</v>
      </c>
      <c r="B73" t="str">
        <f>IF(ROW(B73)&lt;=Bidding!$D$11,Raw_hydro_bm!C73,"")</f>
        <v>quantity</v>
      </c>
      <c r="C73" t="str">
        <f>IF(ROW(C73)&lt;=Bidding!$D$11,Raw_hydro_bm!D73,"")</f>
        <v>X</v>
      </c>
      <c r="D73" t="str">
        <f>IF(ROW(D73)&lt;=Bidding!$D$11,Raw_hydro_bm!E73,"")</f>
        <v>X</v>
      </c>
      <c r="E73">
        <f>IF(ROW(E73)&lt;=Bidding!$D$11,Raw_hydro_bm!F73,"")</f>
        <v>2</v>
      </c>
      <c r="F73">
        <f>IF(ROW(F73)&lt;=Bidding!$D$11,Raw_hydro_bm!G73,"")</f>
        <v>4</v>
      </c>
      <c r="G73">
        <f>IF(ROW(G73)&lt;=Bidding!$D$11,Raw_hydro_bm!H73,"")</f>
        <v>0</v>
      </c>
      <c r="H73" t="str">
        <f>IF(ROW(H73)&lt;=Bidding!$D$11,Raw_hydro_bm!I73,"")</f>
        <v>60.0</v>
      </c>
      <c r="I73" s="16">
        <f t="shared" si="1"/>
        <v>60</v>
      </c>
    </row>
    <row r="74" spans="1:9" x14ac:dyDescent="0.3">
      <c r="A74" t="str">
        <f>IF(ROW(A74)&lt;=Bidding!$D$11,Raw_hydro_bm!B74,"")</f>
        <v>production</v>
      </c>
      <c r="B74" t="str">
        <f>IF(ROW(B74)&lt;=Bidding!$D$11,Raw_hydro_bm!C74,"")</f>
        <v>quantity</v>
      </c>
      <c r="C74" t="str">
        <f>IF(ROW(C74)&lt;=Bidding!$D$11,Raw_hydro_bm!D74,"")</f>
        <v>X</v>
      </c>
      <c r="D74" t="str">
        <f>IF(ROW(D74)&lt;=Bidding!$D$11,Raw_hydro_bm!E74,"")</f>
        <v>X</v>
      </c>
      <c r="E74">
        <f>IF(ROW(E74)&lt;=Bidding!$D$11,Raw_hydro_bm!F74,"")</f>
        <v>2</v>
      </c>
      <c r="F74">
        <f>IF(ROW(F74)&lt;=Bidding!$D$11,Raw_hydro_bm!G74,"")</f>
        <v>4</v>
      </c>
      <c r="G74">
        <f>IF(ROW(G74)&lt;=Bidding!$D$11,Raw_hydro_bm!H74,"")</f>
        <v>1</v>
      </c>
      <c r="H74" t="str">
        <f>IF(ROW(H74)&lt;=Bidding!$D$11,Raw_hydro_bm!I74,"")</f>
        <v>50.0</v>
      </c>
      <c r="I74" s="16">
        <f t="shared" si="1"/>
        <v>50</v>
      </c>
    </row>
    <row r="75" spans="1:9" x14ac:dyDescent="0.3">
      <c r="A75" t="str">
        <f>IF(ROW(A75)&lt;=Bidding!$D$11,Raw_hydro_bm!B75,"")</f>
        <v>production</v>
      </c>
      <c r="B75" t="str">
        <f>IF(ROW(B75)&lt;=Bidding!$D$11,Raw_hydro_bm!C75,"")</f>
        <v>quantity</v>
      </c>
      <c r="C75" t="str">
        <f>IF(ROW(C75)&lt;=Bidding!$D$11,Raw_hydro_bm!D75,"")</f>
        <v>X</v>
      </c>
      <c r="D75" t="str">
        <f>IF(ROW(D75)&lt;=Bidding!$D$11,Raw_hydro_bm!E75,"")</f>
        <v>X</v>
      </c>
      <c r="E75">
        <f>IF(ROW(E75)&lt;=Bidding!$D$11,Raw_hydro_bm!F75,"")</f>
        <v>2</v>
      </c>
      <c r="F75">
        <f>IF(ROW(F75)&lt;=Bidding!$D$11,Raw_hydro_bm!G75,"")</f>
        <v>4</v>
      </c>
      <c r="G75">
        <f>IF(ROW(G75)&lt;=Bidding!$D$11,Raw_hydro_bm!H75,"")</f>
        <v>2</v>
      </c>
      <c r="H75" t="str">
        <f>IF(ROW(H75)&lt;=Bidding!$D$11,Raw_hydro_bm!I75,"")</f>
        <v>0.0</v>
      </c>
      <c r="I75" s="16">
        <f t="shared" si="1"/>
        <v>0</v>
      </c>
    </row>
    <row r="76" spans="1:9" x14ac:dyDescent="0.3">
      <c r="A76" t="str">
        <f>IF(ROW(A76)&lt;=Bidding!$D$11,Raw_hydro_bm!B76,"")</f>
        <v>production</v>
      </c>
      <c r="B76" t="str">
        <f>IF(ROW(B76)&lt;=Bidding!$D$11,Raw_hydro_bm!C76,"")</f>
        <v>quantity</v>
      </c>
      <c r="C76" t="str">
        <f>IF(ROW(C76)&lt;=Bidding!$D$11,Raw_hydro_bm!D76,"")</f>
        <v>X</v>
      </c>
      <c r="D76" t="str">
        <f>IF(ROW(D76)&lt;=Bidding!$D$11,Raw_hydro_bm!E76,"")</f>
        <v>X</v>
      </c>
      <c r="E76">
        <f>IF(ROW(E76)&lt;=Bidding!$D$11,Raw_hydro_bm!F76,"")</f>
        <v>2</v>
      </c>
      <c r="F76">
        <f>IF(ROW(F76)&lt;=Bidding!$D$11,Raw_hydro_bm!G76,"")</f>
        <v>5</v>
      </c>
      <c r="G76">
        <f>IF(ROW(G76)&lt;=Bidding!$D$11,Raw_hydro_bm!H76,"")</f>
        <v>0</v>
      </c>
      <c r="H76" t="str">
        <f>IF(ROW(H76)&lt;=Bidding!$D$11,Raw_hydro_bm!I76,"")</f>
        <v>65.0</v>
      </c>
      <c r="I76" s="16">
        <f t="shared" si="1"/>
        <v>65</v>
      </c>
    </row>
    <row r="77" spans="1:9" x14ac:dyDescent="0.3">
      <c r="A77" t="str">
        <f>IF(ROW(A77)&lt;=Bidding!$D$11,Raw_hydro_bm!B77,"")</f>
        <v>production</v>
      </c>
      <c r="B77" t="str">
        <f>IF(ROW(B77)&lt;=Bidding!$D$11,Raw_hydro_bm!C77,"")</f>
        <v>quantity</v>
      </c>
      <c r="C77" t="str">
        <f>IF(ROW(C77)&lt;=Bidding!$D$11,Raw_hydro_bm!D77,"")</f>
        <v>X</v>
      </c>
      <c r="D77" t="str">
        <f>IF(ROW(D77)&lt;=Bidding!$D$11,Raw_hydro_bm!E77,"")</f>
        <v>X</v>
      </c>
      <c r="E77">
        <f>IF(ROW(E77)&lt;=Bidding!$D$11,Raw_hydro_bm!F77,"")</f>
        <v>2</v>
      </c>
      <c r="F77">
        <f>IF(ROW(F77)&lt;=Bidding!$D$11,Raw_hydro_bm!G77,"")</f>
        <v>5</v>
      </c>
      <c r="G77">
        <f>IF(ROW(G77)&lt;=Bidding!$D$11,Raw_hydro_bm!H77,"")</f>
        <v>1</v>
      </c>
      <c r="H77" t="str">
        <f>IF(ROW(H77)&lt;=Bidding!$D$11,Raw_hydro_bm!I77,"")</f>
        <v>50.0</v>
      </c>
      <c r="I77" s="16">
        <f t="shared" si="1"/>
        <v>50</v>
      </c>
    </row>
    <row r="78" spans="1:9" x14ac:dyDescent="0.3">
      <c r="A78" t="str">
        <f>IF(ROW(A78)&lt;=Bidding!$D$11,Raw_hydro_bm!B78,"")</f>
        <v>production</v>
      </c>
      <c r="B78" t="str">
        <f>IF(ROW(B78)&lt;=Bidding!$D$11,Raw_hydro_bm!C78,"")</f>
        <v>quantity</v>
      </c>
      <c r="C78" t="str">
        <f>IF(ROW(C78)&lt;=Bidding!$D$11,Raw_hydro_bm!D78,"")</f>
        <v>X</v>
      </c>
      <c r="D78" t="str">
        <f>IF(ROW(D78)&lt;=Bidding!$D$11,Raw_hydro_bm!E78,"")</f>
        <v>X</v>
      </c>
      <c r="E78">
        <f>IF(ROW(E78)&lt;=Bidding!$D$11,Raw_hydro_bm!F78,"")</f>
        <v>2</v>
      </c>
      <c r="F78">
        <f>IF(ROW(F78)&lt;=Bidding!$D$11,Raw_hydro_bm!G78,"")</f>
        <v>5</v>
      </c>
      <c r="G78">
        <f>IF(ROW(G78)&lt;=Bidding!$D$11,Raw_hydro_bm!H78,"")</f>
        <v>2</v>
      </c>
      <c r="H78" t="str">
        <f>IF(ROW(H78)&lt;=Bidding!$D$11,Raw_hydro_bm!I78,"")</f>
        <v>0.0</v>
      </c>
      <c r="I78" s="16">
        <f t="shared" si="1"/>
        <v>0</v>
      </c>
    </row>
    <row r="79" spans="1:9" x14ac:dyDescent="0.3">
      <c r="A79" t="str">
        <f>IF(ROW(A79)&lt;=Bidding!$D$11,Raw_hydro_bm!B79,"")</f>
        <v>production</v>
      </c>
      <c r="B79" t="str">
        <f>IF(ROW(B79)&lt;=Bidding!$D$11,Raw_hydro_bm!C79,"")</f>
        <v>quantity</v>
      </c>
      <c r="C79" t="str">
        <f>IF(ROW(C79)&lt;=Bidding!$D$11,Raw_hydro_bm!D79,"")</f>
        <v>X</v>
      </c>
      <c r="D79" t="str">
        <f>IF(ROW(D79)&lt;=Bidding!$D$11,Raw_hydro_bm!E79,"")</f>
        <v>X</v>
      </c>
      <c r="E79">
        <f>IF(ROW(E79)&lt;=Bidding!$D$11,Raw_hydro_bm!F79,"")</f>
        <v>2</v>
      </c>
      <c r="F79">
        <f>IF(ROW(F79)&lt;=Bidding!$D$11,Raw_hydro_bm!G79,"")</f>
        <v>6</v>
      </c>
      <c r="G79">
        <f>IF(ROW(G79)&lt;=Bidding!$D$11,Raw_hydro_bm!H79,"")</f>
        <v>0</v>
      </c>
      <c r="H79" t="str">
        <f>IF(ROW(H79)&lt;=Bidding!$D$11,Raw_hydro_bm!I79,"")</f>
        <v>70.0</v>
      </c>
      <c r="I79" s="16">
        <f t="shared" si="1"/>
        <v>70</v>
      </c>
    </row>
    <row r="80" spans="1:9" x14ac:dyDescent="0.3">
      <c r="A80" t="str">
        <f>IF(ROW(A80)&lt;=Bidding!$D$11,Raw_hydro_bm!B80,"")</f>
        <v>production</v>
      </c>
      <c r="B80" t="str">
        <f>IF(ROW(B80)&lt;=Bidding!$D$11,Raw_hydro_bm!C80,"")</f>
        <v>quantity</v>
      </c>
      <c r="C80" t="str">
        <f>IF(ROW(C80)&lt;=Bidding!$D$11,Raw_hydro_bm!D80,"")</f>
        <v>X</v>
      </c>
      <c r="D80" t="str">
        <f>IF(ROW(D80)&lt;=Bidding!$D$11,Raw_hydro_bm!E80,"")</f>
        <v>X</v>
      </c>
      <c r="E80">
        <f>IF(ROW(E80)&lt;=Bidding!$D$11,Raw_hydro_bm!F80,"")</f>
        <v>2</v>
      </c>
      <c r="F80">
        <f>IF(ROW(F80)&lt;=Bidding!$D$11,Raw_hydro_bm!G80,"")</f>
        <v>6</v>
      </c>
      <c r="G80">
        <f>IF(ROW(G80)&lt;=Bidding!$D$11,Raw_hydro_bm!H80,"")</f>
        <v>1</v>
      </c>
      <c r="H80" t="str">
        <f>IF(ROW(H80)&lt;=Bidding!$D$11,Raw_hydro_bm!I80,"")</f>
        <v>50.0</v>
      </c>
      <c r="I80" s="16">
        <f t="shared" si="1"/>
        <v>50</v>
      </c>
    </row>
    <row r="81" spans="1:9" x14ac:dyDescent="0.3">
      <c r="A81" t="str">
        <f>IF(ROW(A81)&lt;=Bidding!$D$11,Raw_hydro_bm!B81,"")</f>
        <v>production</v>
      </c>
      <c r="B81" t="str">
        <f>IF(ROW(B81)&lt;=Bidding!$D$11,Raw_hydro_bm!C81,"")</f>
        <v>quantity</v>
      </c>
      <c r="C81" t="str">
        <f>IF(ROW(C81)&lt;=Bidding!$D$11,Raw_hydro_bm!D81,"")</f>
        <v>X</v>
      </c>
      <c r="D81" t="str">
        <f>IF(ROW(D81)&lt;=Bidding!$D$11,Raw_hydro_bm!E81,"")</f>
        <v>X</v>
      </c>
      <c r="E81">
        <f>IF(ROW(E81)&lt;=Bidding!$D$11,Raw_hydro_bm!F81,"")</f>
        <v>2</v>
      </c>
      <c r="F81">
        <f>IF(ROW(F81)&lt;=Bidding!$D$11,Raw_hydro_bm!G81,"")</f>
        <v>6</v>
      </c>
      <c r="G81">
        <f>IF(ROW(G81)&lt;=Bidding!$D$11,Raw_hydro_bm!H81,"")</f>
        <v>2</v>
      </c>
      <c r="H81" t="str">
        <f>IF(ROW(H81)&lt;=Bidding!$D$11,Raw_hydro_bm!I81,"")</f>
        <v>0.0</v>
      </c>
      <c r="I81" s="16">
        <f t="shared" si="1"/>
        <v>0</v>
      </c>
    </row>
    <row r="82" spans="1:9" x14ac:dyDescent="0.3">
      <c r="A82" t="str">
        <f>IF(ROW(A82)&lt;=Bidding!$D$11,Raw_hydro_bm!B82,"")</f>
        <v>production</v>
      </c>
      <c r="B82" t="str">
        <f>IF(ROW(B82)&lt;=Bidding!$D$11,Raw_hydro_bm!C82,"")</f>
        <v>quantity</v>
      </c>
      <c r="C82" t="str">
        <f>IF(ROW(C82)&lt;=Bidding!$D$11,Raw_hydro_bm!D82,"")</f>
        <v>X</v>
      </c>
      <c r="D82" t="str">
        <f>IF(ROW(D82)&lt;=Bidding!$D$11,Raw_hydro_bm!E82,"")</f>
        <v>X</v>
      </c>
      <c r="E82">
        <f>IF(ROW(E82)&lt;=Bidding!$D$11,Raw_hydro_bm!F82,"")</f>
        <v>2</v>
      </c>
      <c r="F82">
        <f>IF(ROW(F82)&lt;=Bidding!$D$11,Raw_hydro_bm!G82,"")</f>
        <v>7</v>
      </c>
      <c r="G82">
        <f>IF(ROW(G82)&lt;=Bidding!$D$11,Raw_hydro_bm!H82,"")</f>
        <v>0</v>
      </c>
      <c r="H82" t="str">
        <f>IF(ROW(H82)&lt;=Bidding!$D$11,Raw_hydro_bm!I82,"")</f>
        <v>75.0</v>
      </c>
      <c r="I82" s="16">
        <f t="shared" si="1"/>
        <v>75</v>
      </c>
    </row>
    <row r="83" spans="1:9" x14ac:dyDescent="0.3">
      <c r="A83" t="str">
        <f>IF(ROW(A83)&lt;=Bidding!$D$11,Raw_hydro_bm!B83,"")</f>
        <v>production</v>
      </c>
      <c r="B83" t="str">
        <f>IF(ROW(B83)&lt;=Bidding!$D$11,Raw_hydro_bm!C83,"")</f>
        <v>quantity</v>
      </c>
      <c r="C83" t="str">
        <f>IF(ROW(C83)&lt;=Bidding!$D$11,Raw_hydro_bm!D83,"")</f>
        <v>X</v>
      </c>
      <c r="D83" t="str">
        <f>IF(ROW(D83)&lt;=Bidding!$D$11,Raw_hydro_bm!E83,"")</f>
        <v>X</v>
      </c>
      <c r="E83">
        <f>IF(ROW(E83)&lt;=Bidding!$D$11,Raw_hydro_bm!F83,"")</f>
        <v>2</v>
      </c>
      <c r="F83">
        <f>IF(ROW(F83)&lt;=Bidding!$D$11,Raw_hydro_bm!G83,"")</f>
        <v>7</v>
      </c>
      <c r="G83">
        <f>IF(ROW(G83)&lt;=Bidding!$D$11,Raw_hydro_bm!H83,"")</f>
        <v>1</v>
      </c>
      <c r="H83" t="str">
        <f>IF(ROW(H83)&lt;=Bidding!$D$11,Raw_hydro_bm!I83,"")</f>
        <v>45.0</v>
      </c>
      <c r="I83" s="16">
        <f t="shared" si="1"/>
        <v>45</v>
      </c>
    </row>
    <row r="84" spans="1:9" x14ac:dyDescent="0.3">
      <c r="A84" t="str">
        <f>IF(ROW(A84)&lt;=Bidding!$D$11,Raw_hydro_bm!B84,"")</f>
        <v>production</v>
      </c>
      <c r="B84" t="str">
        <f>IF(ROW(B84)&lt;=Bidding!$D$11,Raw_hydro_bm!C84,"")</f>
        <v>quantity</v>
      </c>
      <c r="C84" t="str">
        <f>IF(ROW(C84)&lt;=Bidding!$D$11,Raw_hydro_bm!D84,"")</f>
        <v>X</v>
      </c>
      <c r="D84" t="str">
        <f>IF(ROW(D84)&lt;=Bidding!$D$11,Raw_hydro_bm!E84,"")</f>
        <v>X</v>
      </c>
      <c r="E84">
        <f>IF(ROW(E84)&lt;=Bidding!$D$11,Raw_hydro_bm!F84,"")</f>
        <v>2</v>
      </c>
      <c r="F84">
        <f>IF(ROW(F84)&lt;=Bidding!$D$11,Raw_hydro_bm!G84,"")</f>
        <v>7</v>
      </c>
      <c r="G84">
        <f>IF(ROW(G84)&lt;=Bidding!$D$11,Raw_hydro_bm!H84,"")</f>
        <v>2</v>
      </c>
      <c r="H84" t="str">
        <f>IF(ROW(H84)&lt;=Bidding!$D$11,Raw_hydro_bm!I84,"")</f>
        <v>0.0</v>
      </c>
      <c r="I84" s="16">
        <f t="shared" si="1"/>
        <v>0</v>
      </c>
    </row>
    <row r="85" spans="1:9" x14ac:dyDescent="0.3">
      <c r="A85" t="str">
        <f>IF(ROW(A85)&lt;=Bidding!$D$11,Raw_hydro_bm!B85,"")</f>
        <v>production</v>
      </c>
      <c r="B85" t="str">
        <f>IF(ROW(B85)&lt;=Bidding!$D$11,Raw_hydro_bm!C85,"")</f>
        <v>quantity</v>
      </c>
      <c r="C85" t="str">
        <f>IF(ROW(C85)&lt;=Bidding!$D$11,Raw_hydro_bm!D85,"")</f>
        <v>X</v>
      </c>
      <c r="D85" t="str">
        <f>IF(ROW(D85)&lt;=Bidding!$D$11,Raw_hydro_bm!E85,"")</f>
        <v>X</v>
      </c>
      <c r="E85">
        <f>IF(ROW(E85)&lt;=Bidding!$D$11,Raw_hydro_bm!F85,"")</f>
        <v>2</v>
      </c>
      <c r="F85">
        <f>IF(ROW(F85)&lt;=Bidding!$D$11,Raw_hydro_bm!G85,"")</f>
        <v>8</v>
      </c>
      <c r="G85">
        <f>IF(ROW(G85)&lt;=Bidding!$D$11,Raw_hydro_bm!H85,"")</f>
        <v>0</v>
      </c>
      <c r="H85" t="str">
        <f>IF(ROW(H85)&lt;=Bidding!$D$11,Raw_hydro_bm!I85,"")</f>
        <v>80.0</v>
      </c>
      <c r="I85" s="16">
        <f t="shared" si="1"/>
        <v>80</v>
      </c>
    </row>
    <row r="86" spans="1:9" x14ac:dyDescent="0.3">
      <c r="A86" t="str">
        <f>IF(ROW(A86)&lt;=Bidding!$D$11,Raw_hydro_bm!B86,"")</f>
        <v>production</v>
      </c>
      <c r="B86" t="str">
        <f>IF(ROW(B86)&lt;=Bidding!$D$11,Raw_hydro_bm!C86,"")</f>
        <v>quantity</v>
      </c>
      <c r="C86" t="str">
        <f>IF(ROW(C86)&lt;=Bidding!$D$11,Raw_hydro_bm!D86,"")</f>
        <v>X</v>
      </c>
      <c r="D86" t="str">
        <f>IF(ROW(D86)&lt;=Bidding!$D$11,Raw_hydro_bm!E86,"")</f>
        <v>X</v>
      </c>
      <c r="E86">
        <f>IF(ROW(E86)&lt;=Bidding!$D$11,Raw_hydro_bm!F86,"")</f>
        <v>2</v>
      </c>
      <c r="F86">
        <f>IF(ROW(F86)&lt;=Bidding!$D$11,Raw_hydro_bm!G86,"")</f>
        <v>8</v>
      </c>
      <c r="G86">
        <f>IF(ROW(G86)&lt;=Bidding!$D$11,Raw_hydro_bm!H86,"")</f>
        <v>1</v>
      </c>
      <c r="H86" t="str">
        <f>IF(ROW(H86)&lt;=Bidding!$D$11,Raw_hydro_bm!I86,"")</f>
        <v>40.0</v>
      </c>
      <c r="I86" s="16">
        <f t="shared" si="1"/>
        <v>40</v>
      </c>
    </row>
    <row r="87" spans="1:9" x14ac:dyDescent="0.3">
      <c r="A87" t="str">
        <f>IF(ROW(A87)&lt;=Bidding!$D$11,Raw_hydro_bm!B87,"")</f>
        <v>production</v>
      </c>
      <c r="B87" t="str">
        <f>IF(ROW(B87)&lt;=Bidding!$D$11,Raw_hydro_bm!C87,"")</f>
        <v>quantity</v>
      </c>
      <c r="C87" t="str">
        <f>IF(ROW(C87)&lt;=Bidding!$D$11,Raw_hydro_bm!D87,"")</f>
        <v>X</v>
      </c>
      <c r="D87" t="str">
        <f>IF(ROW(D87)&lt;=Bidding!$D$11,Raw_hydro_bm!E87,"")</f>
        <v>X</v>
      </c>
      <c r="E87">
        <f>IF(ROW(E87)&lt;=Bidding!$D$11,Raw_hydro_bm!F87,"")</f>
        <v>2</v>
      </c>
      <c r="F87">
        <f>IF(ROW(F87)&lt;=Bidding!$D$11,Raw_hydro_bm!G87,"")</f>
        <v>8</v>
      </c>
      <c r="G87">
        <f>IF(ROW(G87)&lt;=Bidding!$D$11,Raw_hydro_bm!H87,"")</f>
        <v>2</v>
      </c>
      <c r="H87" t="str">
        <f>IF(ROW(H87)&lt;=Bidding!$D$11,Raw_hydro_bm!I87,"")</f>
        <v>0.0</v>
      </c>
      <c r="I87" s="16">
        <f t="shared" si="1"/>
        <v>0</v>
      </c>
    </row>
    <row r="88" spans="1:9" x14ac:dyDescent="0.3">
      <c r="A88" t="str">
        <f>IF(ROW(A88)&lt;=Bidding!$D$11,Raw_hydro_bm!B88,"")</f>
        <v>production</v>
      </c>
      <c r="B88" t="str">
        <f>IF(ROW(B88)&lt;=Bidding!$D$11,Raw_hydro_bm!C88,"")</f>
        <v>quantity</v>
      </c>
      <c r="C88" t="str">
        <f>IF(ROW(C88)&lt;=Bidding!$D$11,Raw_hydro_bm!D88,"")</f>
        <v>X</v>
      </c>
      <c r="D88" t="str">
        <f>IF(ROW(D88)&lt;=Bidding!$D$11,Raw_hydro_bm!E88,"")</f>
        <v>X</v>
      </c>
      <c r="E88">
        <f>IF(ROW(E88)&lt;=Bidding!$D$11,Raw_hydro_bm!F88,"")</f>
        <v>2</v>
      </c>
      <c r="F88">
        <f>IF(ROW(F88)&lt;=Bidding!$D$11,Raw_hydro_bm!G88,"")</f>
        <v>9</v>
      </c>
      <c r="G88">
        <f>IF(ROW(G88)&lt;=Bidding!$D$11,Raw_hydro_bm!H88,"")</f>
        <v>0</v>
      </c>
      <c r="H88" t="str">
        <f>IF(ROW(H88)&lt;=Bidding!$D$11,Raw_hydro_bm!I88,"")</f>
        <v>85.0</v>
      </c>
      <c r="I88" s="16">
        <f t="shared" si="1"/>
        <v>85</v>
      </c>
    </row>
    <row r="89" spans="1:9" x14ac:dyDescent="0.3">
      <c r="A89" t="str">
        <f>IF(ROW(A89)&lt;=Bidding!$D$11,Raw_hydro_bm!B89,"")</f>
        <v>production</v>
      </c>
      <c r="B89" t="str">
        <f>IF(ROW(B89)&lt;=Bidding!$D$11,Raw_hydro_bm!C89,"")</f>
        <v>quantity</v>
      </c>
      <c r="C89" t="str">
        <f>IF(ROW(C89)&lt;=Bidding!$D$11,Raw_hydro_bm!D89,"")</f>
        <v>X</v>
      </c>
      <c r="D89" t="str">
        <f>IF(ROW(D89)&lt;=Bidding!$D$11,Raw_hydro_bm!E89,"")</f>
        <v>X</v>
      </c>
      <c r="E89">
        <f>IF(ROW(E89)&lt;=Bidding!$D$11,Raw_hydro_bm!F89,"")</f>
        <v>2</v>
      </c>
      <c r="F89">
        <f>IF(ROW(F89)&lt;=Bidding!$D$11,Raw_hydro_bm!G89,"")</f>
        <v>9</v>
      </c>
      <c r="G89">
        <f>IF(ROW(G89)&lt;=Bidding!$D$11,Raw_hydro_bm!H89,"")</f>
        <v>1</v>
      </c>
      <c r="H89" t="str">
        <f>IF(ROW(H89)&lt;=Bidding!$D$11,Raw_hydro_bm!I89,"")</f>
        <v>35.0</v>
      </c>
      <c r="I89" s="16">
        <f t="shared" si="1"/>
        <v>35</v>
      </c>
    </row>
    <row r="90" spans="1:9" x14ac:dyDescent="0.3">
      <c r="A90" t="str">
        <f>IF(ROW(A90)&lt;=Bidding!$D$11,Raw_hydro_bm!B90,"")</f>
        <v>production</v>
      </c>
      <c r="B90" t="str">
        <f>IF(ROW(B90)&lt;=Bidding!$D$11,Raw_hydro_bm!C90,"")</f>
        <v>quantity</v>
      </c>
      <c r="C90" t="str">
        <f>IF(ROW(C90)&lt;=Bidding!$D$11,Raw_hydro_bm!D90,"")</f>
        <v>X</v>
      </c>
      <c r="D90" t="str">
        <f>IF(ROW(D90)&lt;=Bidding!$D$11,Raw_hydro_bm!E90,"")</f>
        <v>X</v>
      </c>
      <c r="E90">
        <f>IF(ROW(E90)&lt;=Bidding!$D$11,Raw_hydro_bm!F90,"")</f>
        <v>2</v>
      </c>
      <c r="F90">
        <f>IF(ROW(F90)&lt;=Bidding!$D$11,Raw_hydro_bm!G90,"")</f>
        <v>9</v>
      </c>
      <c r="G90">
        <f>IF(ROW(G90)&lt;=Bidding!$D$11,Raw_hydro_bm!H90,"")</f>
        <v>2</v>
      </c>
      <c r="H90" t="str">
        <f>IF(ROW(H90)&lt;=Bidding!$D$11,Raw_hydro_bm!I90,"")</f>
        <v>0.0</v>
      </c>
      <c r="I90" s="16">
        <f t="shared" si="1"/>
        <v>0</v>
      </c>
    </row>
    <row r="91" spans="1:9" x14ac:dyDescent="0.3">
      <c r="A91" t="str">
        <f>IF(ROW(A91)&lt;=Bidding!$D$11,Raw_hydro_bm!B91,"")</f>
        <v>storage</v>
      </c>
      <c r="B91" t="str">
        <f>IF(ROW(B91)&lt;=Bidding!$D$11,Raw_hydro_bm!C91,"")</f>
        <v>volume</v>
      </c>
      <c r="C91" t="str">
        <f>IF(ROW(C91)&lt;=Bidding!$D$11,Raw_hydro_bm!D91,"")</f>
        <v>X</v>
      </c>
      <c r="D91" t="str">
        <f>IF(ROW(D91)&lt;=Bidding!$D$11,Raw_hydro_bm!E91,"")</f>
        <v>X</v>
      </c>
      <c r="E91" t="str">
        <f>IF(ROW(E91)&lt;=Bidding!$D$11,Raw_hydro_bm!F91,"")</f>
        <v>X</v>
      </c>
      <c r="F91">
        <f>IF(ROW(F91)&lt;=Bidding!$D$11,Raw_hydro_bm!G91,"")</f>
        <v>0</v>
      </c>
      <c r="G91">
        <f>IF(ROW(G91)&lt;=Bidding!$D$11,Raw_hydro_bm!H91,"")</f>
        <v>0</v>
      </c>
      <c r="H91" t="str">
        <f>IF(ROW(H91)&lt;=Bidding!$D$11,Raw_hydro_bm!I91,"")</f>
        <v>180.0</v>
      </c>
      <c r="I91" s="16">
        <f t="shared" si="1"/>
        <v>180</v>
      </c>
    </row>
    <row r="92" spans="1:9" x14ac:dyDescent="0.3">
      <c r="A92" t="str">
        <f>IF(ROW(A92)&lt;=Bidding!$D$11,Raw_hydro_bm!B92,"")</f>
        <v>storage</v>
      </c>
      <c r="B92" t="str">
        <f>IF(ROW(B92)&lt;=Bidding!$D$11,Raw_hydro_bm!C92,"")</f>
        <v>volume</v>
      </c>
      <c r="C92" t="str">
        <f>IF(ROW(C92)&lt;=Bidding!$D$11,Raw_hydro_bm!D92,"")</f>
        <v>X</v>
      </c>
      <c r="D92" t="str">
        <f>IF(ROW(D92)&lt;=Bidding!$D$11,Raw_hydro_bm!E92,"")</f>
        <v>X</v>
      </c>
      <c r="E92" t="str">
        <f>IF(ROW(E92)&lt;=Bidding!$D$11,Raw_hydro_bm!F92,"")</f>
        <v>X</v>
      </c>
      <c r="F92">
        <f>IF(ROW(F92)&lt;=Bidding!$D$11,Raw_hydro_bm!G92,"")</f>
        <v>0</v>
      </c>
      <c r="G92">
        <f>IF(ROW(G92)&lt;=Bidding!$D$11,Raw_hydro_bm!H92,"")</f>
        <v>1</v>
      </c>
      <c r="H92" t="str">
        <f>IF(ROW(H92)&lt;=Bidding!$D$11,Raw_hydro_bm!I92,"")</f>
        <v>160.0</v>
      </c>
      <c r="I92" s="16">
        <f t="shared" si="1"/>
        <v>160</v>
      </c>
    </row>
    <row r="93" spans="1:9" x14ac:dyDescent="0.3">
      <c r="A93" t="str">
        <f>IF(ROW(A93)&lt;=Bidding!$D$11,Raw_hydro_bm!B93,"")</f>
        <v>storage</v>
      </c>
      <c r="B93" t="str">
        <f>IF(ROW(B93)&lt;=Bidding!$D$11,Raw_hydro_bm!C93,"")</f>
        <v>volume</v>
      </c>
      <c r="C93" t="str">
        <f>IF(ROW(C93)&lt;=Bidding!$D$11,Raw_hydro_bm!D93,"")</f>
        <v>X</v>
      </c>
      <c r="D93" t="str">
        <f>IF(ROW(D93)&lt;=Bidding!$D$11,Raw_hydro_bm!E93,"")</f>
        <v>X</v>
      </c>
      <c r="E93" t="str">
        <f>IF(ROW(E93)&lt;=Bidding!$D$11,Raw_hydro_bm!F93,"")</f>
        <v>X</v>
      </c>
      <c r="F93">
        <f>IF(ROW(F93)&lt;=Bidding!$D$11,Raw_hydro_bm!G93,"")</f>
        <v>0</v>
      </c>
      <c r="G93">
        <f>IF(ROW(G93)&lt;=Bidding!$D$11,Raw_hydro_bm!H93,"")</f>
        <v>2</v>
      </c>
      <c r="H93" t="str">
        <f>IF(ROW(H93)&lt;=Bidding!$D$11,Raw_hydro_bm!I93,"")</f>
        <v>165.0</v>
      </c>
      <c r="I93" s="16">
        <f t="shared" si="1"/>
        <v>165</v>
      </c>
    </row>
    <row r="94" spans="1:9" x14ac:dyDescent="0.3">
      <c r="A94" t="str">
        <f>IF(ROW(A94)&lt;=Bidding!$D$11,Raw_hydro_bm!B94,"")</f>
        <v>storage</v>
      </c>
      <c r="B94" t="str">
        <f>IF(ROW(B94)&lt;=Bidding!$D$11,Raw_hydro_bm!C94,"")</f>
        <v>volume</v>
      </c>
      <c r="C94" t="str">
        <f>IF(ROW(C94)&lt;=Bidding!$D$11,Raw_hydro_bm!D94,"")</f>
        <v>X</v>
      </c>
      <c r="D94" t="str">
        <f>IF(ROW(D94)&lt;=Bidding!$D$11,Raw_hydro_bm!E94,"")</f>
        <v>X</v>
      </c>
      <c r="E94" t="str">
        <f>IF(ROW(E94)&lt;=Bidding!$D$11,Raw_hydro_bm!F94,"")</f>
        <v>X</v>
      </c>
      <c r="F94">
        <f>IF(ROW(F94)&lt;=Bidding!$D$11,Raw_hydro_bm!G94,"")</f>
        <v>0</v>
      </c>
      <c r="G94">
        <f>IF(ROW(G94)&lt;=Bidding!$D$11,Raw_hydro_bm!H94,"")</f>
        <v>3</v>
      </c>
      <c r="H94" t="str">
        <f>IF(ROW(H94)&lt;=Bidding!$D$11,Raw_hydro_bm!I94,"")</f>
        <v>180.0</v>
      </c>
      <c r="I94" s="16">
        <f t="shared" si="1"/>
        <v>180</v>
      </c>
    </row>
    <row r="95" spans="1:9" x14ac:dyDescent="0.3">
      <c r="A95" t="str">
        <f>IF(ROW(A95)&lt;=Bidding!$D$11,Raw_hydro_bm!B95,"")</f>
        <v>storage</v>
      </c>
      <c r="B95" t="str">
        <f>IF(ROW(B95)&lt;=Bidding!$D$11,Raw_hydro_bm!C95,"")</f>
        <v>volume</v>
      </c>
      <c r="C95" t="str">
        <f>IF(ROW(C95)&lt;=Bidding!$D$11,Raw_hydro_bm!D95,"")</f>
        <v>X</v>
      </c>
      <c r="D95" t="str">
        <f>IF(ROW(D95)&lt;=Bidding!$D$11,Raw_hydro_bm!E95,"")</f>
        <v>X</v>
      </c>
      <c r="E95" t="str">
        <f>IF(ROW(E95)&lt;=Bidding!$D$11,Raw_hydro_bm!F95,"")</f>
        <v>X</v>
      </c>
      <c r="F95">
        <f>IF(ROW(F95)&lt;=Bidding!$D$11,Raw_hydro_bm!G95,"")</f>
        <v>0</v>
      </c>
      <c r="G95">
        <f>IF(ROW(G95)&lt;=Bidding!$D$11,Raw_hydro_bm!H95,"")</f>
        <v>4</v>
      </c>
      <c r="H95" t="str">
        <f>IF(ROW(H95)&lt;=Bidding!$D$11,Raw_hydro_bm!I95,"")</f>
        <v>180.0</v>
      </c>
      <c r="I95" s="16">
        <f t="shared" si="1"/>
        <v>180</v>
      </c>
    </row>
    <row r="96" spans="1:9" x14ac:dyDescent="0.3">
      <c r="A96" t="str">
        <f>IF(ROW(A96)&lt;=Bidding!$D$11,Raw_hydro_bm!B96,"")</f>
        <v>storage</v>
      </c>
      <c r="B96" t="str">
        <f>IF(ROW(B96)&lt;=Bidding!$D$11,Raw_hydro_bm!C96,"")</f>
        <v>volume</v>
      </c>
      <c r="C96" t="str">
        <f>IF(ROW(C96)&lt;=Bidding!$D$11,Raw_hydro_bm!D96,"")</f>
        <v>X</v>
      </c>
      <c r="D96" t="str">
        <f>IF(ROW(D96)&lt;=Bidding!$D$11,Raw_hydro_bm!E96,"")</f>
        <v>X</v>
      </c>
      <c r="E96" t="str">
        <f>IF(ROW(E96)&lt;=Bidding!$D$11,Raw_hydro_bm!F96,"")</f>
        <v>X</v>
      </c>
      <c r="F96">
        <f>IF(ROW(F96)&lt;=Bidding!$D$11,Raw_hydro_bm!G96,"")</f>
        <v>0</v>
      </c>
      <c r="G96">
        <f>IF(ROW(G96)&lt;=Bidding!$D$11,Raw_hydro_bm!H96,"")</f>
        <v>5</v>
      </c>
      <c r="H96" t="str">
        <f>IF(ROW(H96)&lt;=Bidding!$D$11,Raw_hydro_bm!I96,"")</f>
        <v>175.0</v>
      </c>
      <c r="I96" s="16">
        <f t="shared" si="1"/>
        <v>175</v>
      </c>
    </row>
    <row r="97" spans="1:9" x14ac:dyDescent="0.3">
      <c r="A97" t="str">
        <f>IF(ROW(A97)&lt;=Bidding!$D$11,Raw_hydro_bm!B97,"")</f>
        <v>storage</v>
      </c>
      <c r="B97" t="str">
        <f>IF(ROW(B97)&lt;=Bidding!$D$11,Raw_hydro_bm!C97,"")</f>
        <v>volume</v>
      </c>
      <c r="C97" t="str">
        <f>IF(ROW(C97)&lt;=Bidding!$D$11,Raw_hydro_bm!D97,"")</f>
        <v>X</v>
      </c>
      <c r="D97" t="str">
        <f>IF(ROW(D97)&lt;=Bidding!$D$11,Raw_hydro_bm!E97,"")</f>
        <v>X</v>
      </c>
      <c r="E97" t="str">
        <f>IF(ROW(E97)&lt;=Bidding!$D$11,Raw_hydro_bm!F97,"")</f>
        <v>X</v>
      </c>
      <c r="F97">
        <f>IF(ROW(F97)&lt;=Bidding!$D$11,Raw_hydro_bm!G97,"")</f>
        <v>0</v>
      </c>
      <c r="G97">
        <f>IF(ROW(G97)&lt;=Bidding!$D$11,Raw_hydro_bm!H97,"")</f>
        <v>6</v>
      </c>
      <c r="H97" t="str">
        <f>IF(ROW(H97)&lt;=Bidding!$D$11,Raw_hydro_bm!I97,"")</f>
        <v>175.0</v>
      </c>
      <c r="I97" s="16">
        <f t="shared" si="1"/>
        <v>175</v>
      </c>
    </row>
    <row r="98" spans="1:9" x14ac:dyDescent="0.3">
      <c r="A98" t="str">
        <f>IF(ROW(A98)&lt;=Bidding!$D$11,Raw_hydro_bm!B98,"")</f>
        <v>storage</v>
      </c>
      <c r="B98" t="str">
        <f>IF(ROW(B98)&lt;=Bidding!$D$11,Raw_hydro_bm!C98,"")</f>
        <v>volume</v>
      </c>
      <c r="C98" t="str">
        <f>IF(ROW(C98)&lt;=Bidding!$D$11,Raw_hydro_bm!D98,"")</f>
        <v>X</v>
      </c>
      <c r="D98" t="str">
        <f>IF(ROW(D98)&lt;=Bidding!$D$11,Raw_hydro_bm!E98,"")</f>
        <v>X</v>
      </c>
      <c r="E98" t="str">
        <f>IF(ROW(E98)&lt;=Bidding!$D$11,Raw_hydro_bm!F98,"")</f>
        <v>X</v>
      </c>
      <c r="F98">
        <f>IF(ROW(F98)&lt;=Bidding!$D$11,Raw_hydro_bm!G98,"")</f>
        <v>0</v>
      </c>
      <c r="G98">
        <f>IF(ROW(G98)&lt;=Bidding!$D$11,Raw_hydro_bm!H98,"")</f>
        <v>7</v>
      </c>
      <c r="H98" t="str">
        <f>IF(ROW(H98)&lt;=Bidding!$D$11,Raw_hydro_bm!I98,"")</f>
        <v>175.0</v>
      </c>
      <c r="I98" s="16">
        <f t="shared" si="1"/>
        <v>175</v>
      </c>
    </row>
    <row r="99" spans="1:9" x14ac:dyDescent="0.3">
      <c r="A99" t="str">
        <f>IF(ROW(A99)&lt;=Bidding!$D$11,Raw_hydro_bm!B99,"")</f>
        <v>storage</v>
      </c>
      <c r="B99" t="str">
        <f>IF(ROW(B99)&lt;=Bidding!$D$11,Raw_hydro_bm!C99,"")</f>
        <v>volume</v>
      </c>
      <c r="C99" t="str">
        <f>IF(ROW(C99)&lt;=Bidding!$D$11,Raw_hydro_bm!D99,"")</f>
        <v>X</v>
      </c>
      <c r="D99" t="str">
        <f>IF(ROW(D99)&lt;=Bidding!$D$11,Raw_hydro_bm!E99,"")</f>
        <v>X</v>
      </c>
      <c r="E99" t="str">
        <f>IF(ROW(E99)&lt;=Bidding!$D$11,Raw_hydro_bm!F99,"")</f>
        <v>X</v>
      </c>
      <c r="F99">
        <f>IF(ROW(F99)&lt;=Bidding!$D$11,Raw_hydro_bm!G99,"")</f>
        <v>0</v>
      </c>
      <c r="G99">
        <f>IF(ROW(G99)&lt;=Bidding!$D$11,Raw_hydro_bm!H99,"")</f>
        <v>8</v>
      </c>
      <c r="H99" t="str">
        <f>IF(ROW(H99)&lt;=Bidding!$D$11,Raw_hydro_bm!I99,"")</f>
        <v>180.0</v>
      </c>
      <c r="I99" s="16">
        <f t="shared" si="1"/>
        <v>180</v>
      </c>
    </row>
    <row r="100" spans="1:9" x14ac:dyDescent="0.3">
      <c r="A100" t="str">
        <f>IF(ROW(A100)&lt;=Bidding!$D$11,Raw_hydro_bm!B100,"")</f>
        <v>storage</v>
      </c>
      <c r="B100" t="str">
        <f>IF(ROW(B100)&lt;=Bidding!$D$11,Raw_hydro_bm!C100,"")</f>
        <v>volume</v>
      </c>
      <c r="C100" t="str">
        <f>IF(ROW(C100)&lt;=Bidding!$D$11,Raw_hydro_bm!D100,"")</f>
        <v>X</v>
      </c>
      <c r="D100" t="str">
        <f>IF(ROW(D100)&lt;=Bidding!$D$11,Raw_hydro_bm!E100,"")</f>
        <v>X</v>
      </c>
      <c r="E100" t="str">
        <f>IF(ROW(E100)&lt;=Bidding!$D$11,Raw_hydro_bm!F100,"")</f>
        <v>X</v>
      </c>
      <c r="F100">
        <f>IF(ROW(F100)&lt;=Bidding!$D$11,Raw_hydro_bm!G100,"")</f>
        <v>0</v>
      </c>
      <c r="G100">
        <f>IF(ROW(G100)&lt;=Bidding!$D$11,Raw_hydro_bm!H100,"")</f>
        <v>9</v>
      </c>
      <c r="H100" t="str">
        <f>IF(ROW(H100)&lt;=Bidding!$D$11,Raw_hydro_bm!I100,"")</f>
        <v>180.0</v>
      </c>
      <c r="I100" s="16">
        <f t="shared" si="1"/>
        <v>180</v>
      </c>
    </row>
    <row r="101" spans="1:9" x14ac:dyDescent="0.3">
      <c r="A101" t="str">
        <f>IF(ROW(A101)&lt;=Bidding!$D$11,Raw_hydro_bm!B101,"")</f>
        <v>storage</v>
      </c>
      <c r="B101" t="str">
        <f>IF(ROW(B101)&lt;=Bidding!$D$11,Raw_hydro_bm!C101,"")</f>
        <v>volume</v>
      </c>
      <c r="C101" t="str">
        <f>IF(ROW(C101)&lt;=Bidding!$D$11,Raw_hydro_bm!D101,"")</f>
        <v>X</v>
      </c>
      <c r="D101" t="str">
        <f>IF(ROW(D101)&lt;=Bidding!$D$11,Raw_hydro_bm!E101,"")</f>
        <v>X</v>
      </c>
      <c r="E101" t="str">
        <f>IF(ROW(E101)&lt;=Bidding!$D$11,Raw_hydro_bm!F101,"")</f>
        <v>X</v>
      </c>
      <c r="F101">
        <f>IF(ROW(F101)&lt;=Bidding!$D$11,Raw_hydro_bm!G101,"")</f>
        <v>1</v>
      </c>
      <c r="G101">
        <f>IF(ROW(G101)&lt;=Bidding!$D$11,Raw_hydro_bm!H101,"")</f>
        <v>0</v>
      </c>
      <c r="H101" t="str">
        <f>IF(ROW(H101)&lt;=Bidding!$D$11,Raw_hydro_bm!I101,"")</f>
        <v>90.0</v>
      </c>
      <c r="I101" s="16">
        <f t="shared" si="1"/>
        <v>90</v>
      </c>
    </row>
    <row r="102" spans="1:9" x14ac:dyDescent="0.3">
      <c r="A102" t="str">
        <f>IF(ROW(A102)&lt;=Bidding!$D$11,Raw_hydro_bm!B102,"")</f>
        <v>storage</v>
      </c>
      <c r="B102" t="str">
        <f>IF(ROW(B102)&lt;=Bidding!$D$11,Raw_hydro_bm!C102,"")</f>
        <v>volume</v>
      </c>
      <c r="C102" t="str">
        <f>IF(ROW(C102)&lt;=Bidding!$D$11,Raw_hydro_bm!D102,"")</f>
        <v>X</v>
      </c>
      <c r="D102" t="str">
        <f>IF(ROW(D102)&lt;=Bidding!$D$11,Raw_hydro_bm!E102,"")</f>
        <v>X</v>
      </c>
      <c r="E102" t="str">
        <f>IF(ROW(E102)&lt;=Bidding!$D$11,Raw_hydro_bm!F102,"")</f>
        <v>X</v>
      </c>
      <c r="F102">
        <f>IF(ROW(F102)&lt;=Bidding!$D$11,Raw_hydro_bm!G102,"")</f>
        <v>1</v>
      </c>
      <c r="G102">
        <f>IF(ROW(G102)&lt;=Bidding!$D$11,Raw_hydro_bm!H102,"")</f>
        <v>1</v>
      </c>
      <c r="H102" t="str">
        <f>IF(ROW(H102)&lt;=Bidding!$D$11,Raw_hydro_bm!I102,"")</f>
        <v>70.0</v>
      </c>
      <c r="I102" s="16">
        <f t="shared" si="1"/>
        <v>70</v>
      </c>
    </row>
    <row r="103" spans="1:9" x14ac:dyDescent="0.3">
      <c r="A103" t="str">
        <f>IF(ROW(A103)&lt;=Bidding!$D$11,Raw_hydro_bm!B103,"")</f>
        <v>storage</v>
      </c>
      <c r="B103" t="str">
        <f>IF(ROW(B103)&lt;=Bidding!$D$11,Raw_hydro_bm!C103,"")</f>
        <v>volume</v>
      </c>
      <c r="C103" t="str">
        <f>IF(ROW(C103)&lt;=Bidding!$D$11,Raw_hydro_bm!D103,"")</f>
        <v>X</v>
      </c>
      <c r="D103" t="str">
        <f>IF(ROW(D103)&lt;=Bidding!$D$11,Raw_hydro_bm!E103,"")</f>
        <v>X</v>
      </c>
      <c r="E103" t="str">
        <f>IF(ROW(E103)&lt;=Bidding!$D$11,Raw_hydro_bm!F103,"")</f>
        <v>X</v>
      </c>
      <c r="F103">
        <f>IF(ROW(F103)&lt;=Bidding!$D$11,Raw_hydro_bm!G103,"")</f>
        <v>1</v>
      </c>
      <c r="G103">
        <f>IF(ROW(G103)&lt;=Bidding!$D$11,Raw_hydro_bm!H103,"")</f>
        <v>2</v>
      </c>
      <c r="H103" t="str">
        <f>IF(ROW(H103)&lt;=Bidding!$D$11,Raw_hydro_bm!I103,"")</f>
        <v>80.0</v>
      </c>
      <c r="I103" s="16">
        <f t="shared" si="1"/>
        <v>80</v>
      </c>
    </row>
    <row r="104" spans="1:9" x14ac:dyDescent="0.3">
      <c r="A104" t="str">
        <f>IF(ROW(A104)&lt;=Bidding!$D$11,Raw_hydro_bm!B104,"")</f>
        <v>storage</v>
      </c>
      <c r="B104" t="str">
        <f>IF(ROW(B104)&lt;=Bidding!$D$11,Raw_hydro_bm!C104,"")</f>
        <v>volume</v>
      </c>
      <c r="C104" t="str">
        <f>IF(ROW(C104)&lt;=Bidding!$D$11,Raw_hydro_bm!D104,"")</f>
        <v>X</v>
      </c>
      <c r="D104" t="str">
        <f>IF(ROW(D104)&lt;=Bidding!$D$11,Raw_hydro_bm!E104,"")</f>
        <v>X</v>
      </c>
      <c r="E104" t="str">
        <f>IF(ROW(E104)&lt;=Bidding!$D$11,Raw_hydro_bm!F104,"")</f>
        <v>X</v>
      </c>
      <c r="F104">
        <f>IF(ROW(F104)&lt;=Bidding!$D$11,Raw_hydro_bm!G104,"")</f>
        <v>1</v>
      </c>
      <c r="G104">
        <f>IF(ROW(G104)&lt;=Bidding!$D$11,Raw_hydro_bm!H104,"")</f>
        <v>3</v>
      </c>
      <c r="H104" t="str">
        <f>IF(ROW(H104)&lt;=Bidding!$D$11,Raw_hydro_bm!I104,"")</f>
        <v>110.0</v>
      </c>
      <c r="I104" s="16">
        <f t="shared" si="1"/>
        <v>110</v>
      </c>
    </row>
    <row r="105" spans="1:9" x14ac:dyDescent="0.3">
      <c r="A105" t="str">
        <f>IF(ROW(A105)&lt;=Bidding!$D$11,Raw_hydro_bm!B105,"")</f>
        <v>storage</v>
      </c>
      <c r="B105" t="str">
        <f>IF(ROW(B105)&lt;=Bidding!$D$11,Raw_hydro_bm!C105,"")</f>
        <v>volume</v>
      </c>
      <c r="C105" t="str">
        <f>IF(ROW(C105)&lt;=Bidding!$D$11,Raw_hydro_bm!D105,"")</f>
        <v>X</v>
      </c>
      <c r="D105" t="str">
        <f>IF(ROW(D105)&lt;=Bidding!$D$11,Raw_hydro_bm!E105,"")</f>
        <v>X</v>
      </c>
      <c r="E105" t="str">
        <f>IF(ROW(E105)&lt;=Bidding!$D$11,Raw_hydro_bm!F105,"")</f>
        <v>X</v>
      </c>
      <c r="F105">
        <f>IF(ROW(F105)&lt;=Bidding!$D$11,Raw_hydro_bm!G105,"")</f>
        <v>1</v>
      </c>
      <c r="G105">
        <f>IF(ROW(G105)&lt;=Bidding!$D$11,Raw_hydro_bm!H105,"")</f>
        <v>4</v>
      </c>
      <c r="H105" t="str">
        <f>IF(ROW(H105)&lt;=Bidding!$D$11,Raw_hydro_bm!I105,"")</f>
        <v>110.0</v>
      </c>
      <c r="I105" s="16">
        <f t="shared" si="1"/>
        <v>110</v>
      </c>
    </row>
    <row r="106" spans="1:9" x14ac:dyDescent="0.3">
      <c r="A106" t="str">
        <f>IF(ROW(A106)&lt;=Bidding!$D$11,Raw_hydro_bm!B106,"")</f>
        <v>storage</v>
      </c>
      <c r="B106" t="str">
        <f>IF(ROW(B106)&lt;=Bidding!$D$11,Raw_hydro_bm!C106,"")</f>
        <v>volume</v>
      </c>
      <c r="C106" t="str">
        <f>IF(ROW(C106)&lt;=Bidding!$D$11,Raw_hydro_bm!D106,"")</f>
        <v>X</v>
      </c>
      <c r="D106" t="str">
        <f>IF(ROW(D106)&lt;=Bidding!$D$11,Raw_hydro_bm!E106,"")</f>
        <v>X</v>
      </c>
      <c r="E106" t="str">
        <f>IF(ROW(E106)&lt;=Bidding!$D$11,Raw_hydro_bm!F106,"")</f>
        <v>X</v>
      </c>
      <c r="F106">
        <f>IF(ROW(F106)&lt;=Bidding!$D$11,Raw_hydro_bm!G106,"")</f>
        <v>1</v>
      </c>
      <c r="G106">
        <f>IF(ROW(G106)&lt;=Bidding!$D$11,Raw_hydro_bm!H106,"")</f>
        <v>5</v>
      </c>
      <c r="H106" t="str">
        <f>IF(ROW(H106)&lt;=Bidding!$D$11,Raw_hydro_bm!I106,"")</f>
        <v>100.0</v>
      </c>
      <c r="I106" s="16">
        <f t="shared" si="1"/>
        <v>100</v>
      </c>
    </row>
    <row r="107" spans="1:9" x14ac:dyDescent="0.3">
      <c r="A107" t="str">
        <f>IF(ROW(A107)&lt;=Bidding!$D$11,Raw_hydro_bm!B107,"")</f>
        <v>storage</v>
      </c>
      <c r="B107" t="str">
        <f>IF(ROW(B107)&lt;=Bidding!$D$11,Raw_hydro_bm!C107,"")</f>
        <v>volume</v>
      </c>
      <c r="C107" t="str">
        <f>IF(ROW(C107)&lt;=Bidding!$D$11,Raw_hydro_bm!D107,"")</f>
        <v>X</v>
      </c>
      <c r="D107" t="str">
        <f>IF(ROW(D107)&lt;=Bidding!$D$11,Raw_hydro_bm!E107,"")</f>
        <v>X</v>
      </c>
      <c r="E107" t="str">
        <f>IF(ROW(E107)&lt;=Bidding!$D$11,Raw_hydro_bm!F107,"")</f>
        <v>X</v>
      </c>
      <c r="F107">
        <f>IF(ROW(F107)&lt;=Bidding!$D$11,Raw_hydro_bm!G107,"")</f>
        <v>1</v>
      </c>
      <c r="G107">
        <f>IF(ROW(G107)&lt;=Bidding!$D$11,Raw_hydro_bm!H107,"")</f>
        <v>6</v>
      </c>
      <c r="H107" t="str">
        <f>IF(ROW(H107)&lt;=Bidding!$D$11,Raw_hydro_bm!I107,"")</f>
        <v>100.0</v>
      </c>
      <c r="I107" s="16">
        <f t="shared" si="1"/>
        <v>100</v>
      </c>
    </row>
    <row r="108" spans="1:9" x14ac:dyDescent="0.3">
      <c r="A108" t="str">
        <f>IF(ROW(A108)&lt;=Bidding!$D$11,Raw_hydro_bm!B108,"")</f>
        <v>storage</v>
      </c>
      <c r="B108" t="str">
        <f>IF(ROW(B108)&lt;=Bidding!$D$11,Raw_hydro_bm!C108,"")</f>
        <v>volume</v>
      </c>
      <c r="C108" t="str">
        <f>IF(ROW(C108)&lt;=Bidding!$D$11,Raw_hydro_bm!D108,"")</f>
        <v>X</v>
      </c>
      <c r="D108" t="str">
        <f>IF(ROW(D108)&lt;=Bidding!$D$11,Raw_hydro_bm!E108,"")</f>
        <v>X</v>
      </c>
      <c r="E108" t="str">
        <f>IF(ROW(E108)&lt;=Bidding!$D$11,Raw_hydro_bm!F108,"")</f>
        <v>X</v>
      </c>
      <c r="F108">
        <f>IF(ROW(F108)&lt;=Bidding!$D$11,Raw_hydro_bm!G108,"")</f>
        <v>1</v>
      </c>
      <c r="G108">
        <f>IF(ROW(G108)&lt;=Bidding!$D$11,Raw_hydro_bm!H108,"")</f>
        <v>7</v>
      </c>
      <c r="H108" t="str">
        <f>IF(ROW(H108)&lt;=Bidding!$D$11,Raw_hydro_bm!I108,"")</f>
        <v>100.0</v>
      </c>
      <c r="I108" s="16">
        <f t="shared" si="1"/>
        <v>100</v>
      </c>
    </row>
    <row r="109" spans="1:9" x14ac:dyDescent="0.3">
      <c r="A109" t="str">
        <f>IF(ROW(A109)&lt;=Bidding!$D$11,Raw_hydro_bm!B109,"")</f>
        <v>storage</v>
      </c>
      <c r="B109" t="str">
        <f>IF(ROW(B109)&lt;=Bidding!$D$11,Raw_hydro_bm!C109,"")</f>
        <v>volume</v>
      </c>
      <c r="C109" t="str">
        <f>IF(ROW(C109)&lt;=Bidding!$D$11,Raw_hydro_bm!D109,"")</f>
        <v>X</v>
      </c>
      <c r="D109" t="str">
        <f>IF(ROW(D109)&lt;=Bidding!$D$11,Raw_hydro_bm!E109,"")</f>
        <v>X</v>
      </c>
      <c r="E109" t="str">
        <f>IF(ROW(E109)&lt;=Bidding!$D$11,Raw_hydro_bm!F109,"")</f>
        <v>X</v>
      </c>
      <c r="F109">
        <f>IF(ROW(F109)&lt;=Bidding!$D$11,Raw_hydro_bm!G109,"")</f>
        <v>1</v>
      </c>
      <c r="G109">
        <f>IF(ROW(G109)&lt;=Bidding!$D$11,Raw_hydro_bm!H109,"")</f>
        <v>8</v>
      </c>
      <c r="H109" t="str">
        <f>IF(ROW(H109)&lt;=Bidding!$D$11,Raw_hydro_bm!I109,"")</f>
        <v>110.0</v>
      </c>
      <c r="I109" s="16">
        <f t="shared" si="1"/>
        <v>110</v>
      </c>
    </row>
    <row r="110" spans="1:9" x14ac:dyDescent="0.3">
      <c r="A110" t="str">
        <f>IF(ROW(A110)&lt;=Bidding!$D$11,Raw_hydro_bm!B110,"")</f>
        <v>storage</v>
      </c>
      <c r="B110" t="str">
        <f>IF(ROW(B110)&lt;=Bidding!$D$11,Raw_hydro_bm!C110,"")</f>
        <v>volume</v>
      </c>
      <c r="C110" t="str">
        <f>IF(ROW(C110)&lt;=Bidding!$D$11,Raw_hydro_bm!D110,"")</f>
        <v>X</v>
      </c>
      <c r="D110" t="str">
        <f>IF(ROW(D110)&lt;=Bidding!$D$11,Raw_hydro_bm!E110,"")</f>
        <v>X</v>
      </c>
      <c r="E110" t="str">
        <f>IF(ROW(E110)&lt;=Bidding!$D$11,Raw_hydro_bm!F110,"")</f>
        <v>X</v>
      </c>
      <c r="F110">
        <f>IF(ROW(F110)&lt;=Bidding!$D$11,Raw_hydro_bm!G110,"")</f>
        <v>1</v>
      </c>
      <c r="G110">
        <f>IF(ROW(G110)&lt;=Bidding!$D$11,Raw_hydro_bm!H110,"")</f>
        <v>9</v>
      </c>
      <c r="H110" t="str">
        <f>IF(ROW(H110)&lt;=Bidding!$D$11,Raw_hydro_bm!I110,"")</f>
        <v>110.0</v>
      </c>
      <c r="I110" s="16">
        <f t="shared" si="1"/>
        <v>110</v>
      </c>
    </row>
    <row r="111" spans="1:9" x14ac:dyDescent="0.3">
      <c r="A111" t="str">
        <f>IF(ROW(A111)&lt;=Bidding!$D$11,Raw_hydro_bm!B111,"")</f>
        <v>storage</v>
      </c>
      <c r="B111" t="str">
        <f>IF(ROW(B111)&lt;=Bidding!$D$11,Raw_hydro_bm!C111,"")</f>
        <v>volume</v>
      </c>
      <c r="C111" t="str">
        <f>IF(ROW(C111)&lt;=Bidding!$D$11,Raw_hydro_bm!D111,"")</f>
        <v>X</v>
      </c>
      <c r="D111" t="str">
        <f>IF(ROW(D111)&lt;=Bidding!$D$11,Raw_hydro_bm!E111,"")</f>
        <v>X</v>
      </c>
      <c r="E111" t="str">
        <f>IF(ROW(E111)&lt;=Bidding!$D$11,Raw_hydro_bm!F111,"")</f>
        <v>X</v>
      </c>
      <c r="F111">
        <f>IF(ROW(F111)&lt;=Bidding!$D$11,Raw_hydro_bm!G111,"")</f>
        <v>2</v>
      </c>
      <c r="G111">
        <f>IF(ROW(G111)&lt;=Bidding!$D$11,Raw_hydro_bm!H111,"")</f>
        <v>0</v>
      </c>
      <c r="H111" t="str">
        <f>IF(ROW(H111)&lt;=Bidding!$D$11,Raw_hydro_bm!I111,"")</f>
        <v>0.0</v>
      </c>
      <c r="I111" s="16">
        <f t="shared" si="1"/>
        <v>0</v>
      </c>
    </row>
    <row r="112" spans="1:9" x14ac:dyDescent="0.3">
      <c r="A112" t="str">
        <f>IF(ROW(A112)&lt;=Bidding!$D$11,Raw_hydro_bm!B112,"")</f>
        <v>storage</v>
      </c>
      <c r="B112" t="str">
        <f>IF(ROW(B112)&lt;=Bidding!$D$11,Raw_hydro_bm!C112,"")</f>
        <v>volume</v>
      </c>
      <c r="C112" t="str">
        <f>IF(ROW(C112)&lt;=Bidding!$D$11,Raw_hydro_bm!D112,"")</f>
        <v>X</v>
      </c>
      <c r="D112" t="str">
        <f>IF(ROW(D112)&lt;=Bidding!$D$11,Raw_hydro_bm!E112,"")</f>
        <v>X</v>
      </c>
      <c r="E112" t="str">
        <f>IF(ROW(E112)&lt;=Bidding!$D$11,Raw_hydro_bm!F112,"")</f>
        <v>X</v>
      </c>
      <c r="F112">
        <f>IF(ROW(F112)&lt;=Bidding!$D$11,Raw_hydro_bm!G112,"")</f>
        <v>2</v>
      </c>
      <c r="G112">
        <f>IF(ROW(G112)&lt;=Bidding!$D$11,Raw_hydro_bm!H112,"")</f>
        <v>1</v>
      </c>
      <c r="H112" t="str">
        <f>IF(ROW(H112)&lt;=Bidding!$D$11,Raw_hydro_bm!I112,"")</f>
        <v>0.0</v>
      </c>
      <c r="I112" s="16">
        <f t="shared" si="1"/>
        <v>0</v>
      </c>
    </row>
    <row r="113" spans="1:9" x14ac:dyDescent="0.3">
      <c r="A113" t="str">
        <f>IF(ROW(A113)&lt;=Bidding!$D$11,Raw_hydro_bm!B113,"")</f>
        <v>storage</v>
      </c>
      <c r="B113" t="str">
        <f>IF(ROW(B113)&lt;=Bidding!$D$11,Raw_hydro_bm!C113,"")</f>
        <v>volume</v>
      </c>
      <c r="C113" t="str">
        <f>IF(ROW(C113)&lt;=Bidding!$D$11,Raw_hydro_bm!D113,"")</f>
        <v>X</v>
      </c>
      <c r="D113" t="str">
        <f>IF(ROW(D113)&lt;=Bidding!$D$11,Raw_hydro_bm!E113,"")</f>
        <v>X</v>
      </c>
      <c r="E113" t="str">
        <f>IF(ROW(E113)&lt;=Bidding!$D$11,Raw_hydro_bm!F113,"")</f>
        <v>X</v>
      </c>
      <c r="F113">
        <f>IF(ROW(F113)&lt;=Bidding!$D$11,Raw_hydro_bm!G113,"")</f>
        <v>2</v>
      </c>
      <c r="G113">
        <f>IF(ROW(G113)&lt;=Bidding!$D$11,Raw_hydro_bm!H113,"")</f>
        <v>2</v>
      </c>
      <c r="H113" t="str">
        <f>IF(ROW(H113)&lt;=Bidding!$D$11,Raw_hydro_bm!I113,"")</f>
        <v>0.0</v>
      </c>
      <c r="I113" s="16">
        <f t="shared" si="1"/>
        <v>0</v>
      </c>
    </row>
    <row r="114" spans="1:9" x14ac:dyDescent="0.3">
      <c r="A114" t="str">
        <f>IF(ROW(A114)&lt;=Bidding!$D$11,Raw_hydro_bm!B114,"")</f>
        <v>storage</v>
      </c>
      <c r="B114" t="str">
        <f>IF(ROW(B114)&lt;=Bidding!$D$11,Raw_hydro_bm!C114,"")</f>
        <v>volume</v>
      </c>
      <c r="C114" t="str">
        <f>IF(ROW(C114)&lt;=Bidding!$D$11,Raw_hydro_bm!D114,"")</f>
        <v>X</v>
      </c>
      <c r="D114" t="str">
        <f>IF(ROW(D114)&lt;=Bidding!$D$11,Raw_hydro_bm!E114,"")</f>
        <v>X</v>
      </c>
      <c r="E114" t="str">
        <f>IF(ROW(E114)&lt;=Bidding!$D$11,Raw_hydro_bm!F114,"")</f>
        <v>X</v>
      </c>
      <c r="F114">
        <f>IF(ROW(F114)&lt;=Bidding!$D$11,Raw_hydro_bm!G114,"")</f>
        <v>2</v>
      </c>
      <c r="G114">
        <f>IF(ROW(G114)&lt;=Bidding!$D$11,Raw_hydro_bm!H114,"")</f>
        <v>3</v>
      </c>
      <c r="H114" t="str">
        <f>IF(ROW(H114)&lt;=Bidding!$D$11,Raw_hydro_bm!I114,"")</f>
        <v>40.0</v>
      </c>
      <c r="I114" s="16">
        <f t="shared" si="1"/>
        <v>40</v>
      </c>
    </row>
    <row r="115" spans="1:9" x14ac:dyDescent="0.3">
      <c r="A115" t="str">
        <f>IF(ROW(A115)&lt;=Bidding!$D$11,Raw_hydro_bm!B115,"")</f>
        <v>storage</v>
      </c>
      <c r="B115" t="str">
        <f>IF(ROW(B115)&lt;=Bidding!$D$11,Raw_hydro_bm!C115,"")</f>
        <v>volume</v>
      </c>
      <c r="C115" t="str">
        <f>IF(ROW(C115)&lt;=Bidding!$D$11,Raw_hydro_bm!D115,"")</f>
        <v>X</v>
      </c>
      <c r="D115" t="str">
        <f>IF(ROW(D115)&lt;=Bidding!$D$11,Raw_hydro_bm!E115,"")</f>
        <v>X</v>
      </c>
      <c r="E115" t="str">
        <f>IF(ROW(E115)&lt;=Bidding!$D$11,Raw_hydro_bm!F115,"")</f>
        <v>X</v>
      </c>
      <c r="F115">
        <f>IF(ROW(F115)&lt;=Bidding!$D$11,Raw_hydro_bm!G115,"")</f>
        <v>2</v>
      </c>
      <c r="G115">
        <f>IF(ROW(G115)&lt;=Bidding!$D$11,Raw_hydro_bm!H115,"")</f>
        <v>4</v>
      </c>
      <c r="H115" t="str">
        <f>IF(ROW(H115)&lt;=Bidding!$D$11,Raw_hydro_bm!I115,"")</f>
        <v>40.0</v>
      </c>
      <c r="I115" s="16">
        <f t="shared" si="1"/>
        <v>40</v>
      </c>
    </row>
    <row r="116" spans="1:9" x14ac:dyDescent="0.3">
      <c r="A116" t="str">
        <f>IF(ROW(A116)&lt;=Bidding!$D$11,Raw_hydro_bm!B116,"")</f>
        <v>storage</v>
      </c>
      <c r="B116" t="str">
        <f>IF(ROW(B116)&lt;=Bidding!$D$11,Raw_hydro_bm!C116,"")</f>
        <v>volume</v>
      </c>
      <c r="C116" t="str">
        <f>IF(ROW(C116)&lt;=Bidding!$D$11,Raw_hydro_bm!D116,"")</f>
        <v>X</v>
      </c>
      <c r="D116" t="str">
        <f>IF(ROW(D116)&lt;=Bidding!$D$11,Raw_hydro_bm!E116,"")</f>
        <v>X</v>
      </c>
      <c r="E116" t="str">
        <f>IF(ROW(E116)&lt;=Bidding!$D$11,Raw_hydro_bm!F116,"")</f>
        <v>X</v>
      </c>
      <c r="F116">
        <f>IF(ROW(F116)&lt;=Bidding!$D$11,Raw_hydro_bm!G116,"")</f>
        <v>2</v>
      </c>
      <c r="G116">
        <f>IF(ROW(G116)&lt;=Bidding!$D$11,Raw_hydro_bm!H116,"")</f>
        <v>5</v>
      </c>
      <c r="H116" t="str">
        <f>IF(ROW(H116)&lt;=Bidding!$D$11,Raw_hydro_bm!I116,"")</f>
        <v>25.0</v>
      </c>
      <c r="I116" s="16">
        <f t="shared" si="1"/>
        <v>25</v>
      </c>
    </row>
    <row r="117" spans="1:9" x14ac:dyDescent="0.3">
      <c r="A117" t="str">
        <f>IF(ROW(A117)&lt;=Bidding!$D$11,Raw_hydro_bm!B117,"")</f>
        <v>storage</v>
      </c>
      <c r="B117" t="str">
        <f>IF(ROW(B117)&lt;=Bidding!$D$11,Raw_hydro_bm!C117,"")</f>
        <v>volume</v>
      </c>
      <c r="C117" t="str">
        <f>IF(ROW(C117)&lt;=Bidding!$D$11,Raw_hydro_bm!D117,"")</f>
        <v>X</v>
      </c>
      <c r="D117" t="str">
        <f>IF(ROW(D117)&lt;=Bidding!$D$11,Raw_hydro_bm!E117,"")</f>
        <v>X</v>
      </c>
      <c r="E117" t="str">
        <f>IF(ROW(E117)&lt;=Bidding!$D$11,Raw_hydro_bm!F117,"")</f>
        <v>X</v>
      </c>
      <c r="F117">
        <f>IF(ROW(F117)&lt;=Bidding!$D$11,Raw_hydro_bm!G117,"")</f>
        <v>2</v>
      </c>
      <c r="G117">
        <f>IF(ROW(G117)&lt;=Bidding!$D$11,Raw_hydro_bm!H117,"")</f>
        <v>6</v>
      </c>
      <c r="H117" t="str">
        <f>IF(ROW(H117)&lt;=Bidding!$D$11,Raw_hydro_bm!I117,"")</f>
        <v>25.0</v>
      </c>
      <c r="I117" s="16">
        <f t="shared" si="1"/>
        <v>25</v>
      </c>
    </row>
    <row r="118" spans="1:9" x14ac:dyDescent="0.3">
      <c r="A118" t="str">
        <f>IF(ROW(A118)&lt;=Bidding!$D$11,Raw_hydro_bm!B118,"")</f>
        <v>storage</v>
      </c>
      <c r="B118" t="str">
        <f>IF(ROW(B118)&lt;=Bidding!$D$11,Raw_hydro_bm!C118,"")</f>
        <v>volume</v>
      </c>
      <c r="C118" t="str">
        <f>IF(ROW(C118)&lt;=Bidding!$D$11,Raw_hydro_bm!D118,"")</f>
        <v>X</v>
      </c>
      <c r="D118" t="str">
        <f>IF(ROW(D118)&lt;=Bidding!$D$11,Raw_hydro_bm!E118,"")</f>
        <v>X</v>
      </c>
      <c r="E118" t="str">
        <f>IF(ROW(E118)&lt;=Bidding!$D$11,Raw_hydro_bm!F118,"")</f>
        <v>X</v>
      </c>
      <c r="F118">
        <f>IF(ROW(F118)&lt;=Bidding!$D$11,Raw_hydro_bm!G118,"")</f>
        <v>2</v>
      </c>
      <c r="G118">
        <f>IF(ROW(G118)&lt;=Bidding!$D$11,Raw_hydro_bm!H118,"")</f>
        <v>7</v>
      </c>
      <c r="H118" t="str">
        <f>IF(ROW(H118)&lt;=Bidding!$D$11,Raw_hydro_bm!I118,"")</f>
        <v>25.0</v>
      </c>
      <c r="I118" s="16">
        <f t="shared" si="1"/>
        <v>25</v>
      </c>
    </row>
    <row r="119" spans="1:9" x14ac:dyDescent="0.3">
      <c r="A119" t="str">
        <f>IF(ROW(A119)&lt;=Bidding!$D$11,Raw_hydro_bm!B119,"")</f>
        <v>storage</v>
      </c>
      <c r="B119" t="str">
        <f>IF(ROW(B119)&lt;=Bidding!$D$11,Raw_hydro_bm!C119,"")</f>
        <v>volume</v>
      </c>
      <c r="C119" t="str">
        <f>IF(ROW(C119)&lt;=Bidding!$D$11,Raw_hydro_bm!D119,"")</f>
        <v>X</v>
      </c>
      <c r="D119" t="str">
        <f>IF(ROW(D119)&lt;=Bidding!$D$11,Raw_hydro_bm!E119,"")</f>
        <v>X</v>
      </c>
      <c r="E119" t="str">
        <f>IF(ROW(E119)&lt;=Bidding!$D$11,Raw_hydro_bm!F119,"")</f>
        <v>X</v>
      </c>
      <c r="F119">
        <f>IF(ROW(F119)&lt;=Bidding!$D$11,Raw_hydro_bm!G119,"")</f>
        <v>2</v>
      </c>
      <c r="G119">
        <f>IF(ROW(G119)&lt;=Bidding!$D$11,Raw_hydro_bm!H119,"")</f>
        <v>8</v>
      </c>
      <c r="H119" t="str">
        <f>IF(ROW(H119)&lt;=Bidding!$D$11,Raw_hydro_bm!I119,"")</f>
        <v>40.0</v>
      </c>
      <c r="I119" s="16">
        <f t="shared" si="1"/>
        <v>40</v>
      </c>
    </row>
    <row r="120" spans="1:9" x14ac:dyDescent="0.3">
      <c r="A120" t="str">
        <f>IF(ROW(A120)&lt;=Bidding!$D$11,Raw_hydro_bm!B120,"")</f>
        <v>storage</v>
      </c>
      <c r="B120" t="str">
        <f>IF(ROW(B120)&lt;=Bidding!$D$11,Raw_hydro_bm!C120,"")</f>
        <v>volume</v>
      </c>
      <c r="C120" t="str">
        <f>IF(ROW(C120)&lt;=Bidding!$D$11,Raw_hydro_bm!D120,"")</f>
        <v>X</v>
      </c>
      <c r="D120" t="str">
        <f>IF(ROW(D120)&lt;=Bidding!$D$11,Raw_hydro_bm!E120,"")</f>
        <v>X</v>
      </c>
      <c r="E120" t="str">
        <f>IF(ROW(E120)&lt;=Bidding!$D$11,Raw_hydro_bm!F120,"")</f>
        <v>X</v>
      </c>
      <c r="F120">
        <f>IF(ROW(F120)&lt;=Bidding!$D$11,Raw_hydro_bm!G120,"")</f>
        <v>2</v>
      </c>
      <c r="G120">
        <f>IF(ROW(G120)&lt;=Bidding!$D$11,Raw_hydro_bm!H120,"")</f>
        <v>9</v>
      </c>
      <c r="H120" t="str">
        <f>IF(ROW(H120)&lt;=Bidding!$D$11,Raw_hydro_bm!I120,"")</f>
        <v>40.0</v>
      </c>
      <c r="I120" s="16">
        <f t="shared" si="1"/>
        <v>40</v>
      </c>
    </row>
    <row r="121" spans="1:9" x14ac:dyDescent="0.3">
      <c r="A121" t="str">
        <f>IF(ROW(A121)&lt;=Bidding!$D$11,Raw_hydro_bm!B121,"")</f>
        <v>imbalance</v>
      </c>
      <c r="B121" t="str">
        <f>IF(ROW(B121)&lt;=Bidding!$D$11,Raw_hydro_bm!C121,"")</f>
        <v>volume</v>
      </c>
      <c r="C121" t="str">
        <f>IF(ROW(C121)&lt;=Bidding!$D$11,Raw_hydro_bm!D121,"")</f>
        <v>X</v>
      </c>
      <c r="D121" t="str">
        <f>IF(ROW(D121)&lt;=Bidding!$D$11,Raw_hydro_bm!E121,"")</f>
        <v>X</v>
      </c>
      <c r="E121" t="str">
        <f>IF(ROW(E121)&lt;=Bidding!$D$11,Raw_hydro_bm!F121,"")</f>
        <v>X</v>
      </c>
      <c r="F121">
        <f>IF(ROW(F121)&lt;=Bidding!$D$11,Raw_hydro_bm!G121,"")</f>
        <v>0</v>
      </c>
      <c r="G121">
        <f>IF(ROW(G121)&lt;=Bidding!$D$11,Raw_hydro_bm!H121,"")</f>
        <v>0</v>
      </c>
      <c r="H121" t="str">
        <f>IF(ROW(H121)&lt;=Bidding!$D$11,Raw_hydro_bm!I121,"")</f>
        <v>0.0</v>
      </c>
      <c r="I121" s="16">
        <f t="shared" si="1"/>
        <v>0</v>
      </c>
    </row>
    <row r="122" spans="1:9" x14ac:dyDescent="0.3">
      <c r="A122" t="str">
        <f>IF(ROW(A122)&lt;=Bidding!$D$11,Raw_hydro_bm!B122,"")</f>
        <v>imbalance</v>
      </c>
      <c r="B122" t="str">
        <f>IF(ROW(B122)&lt;=Bidding!$D$11,Raw_hydro_bm!C122,"")</f>
        <v>volume</v>
      </c>
      <c r="C122" t="str">
        <f>IF(ROW(C122)&lt;=Bidding!$D$11,Raw_hydro_bm!D122,"")</f>
        <v>X</v>
      </c>
      <c r="D122" t="str">
        <f>IF(ROW(D122)&lt;=Bidding!$D$11,Raw_hydro_bm!E122,"")</f>
        <v>X</v>
      </c>
      <c r="E122" t="str">
        <f>IF(ROW(E122)&lt;=Bidding!$D$11,Raw_hydro_bm!F122,"")</f>
        <v>X</v>
      </c>
      <c r="F122">
        <f>IF(ROW(F122)&lt;=Bidding!$D$11,Raw_hydro_bm!G122,"")</f>
        <v>0</v>
      </c>
      <c r="G122">
        <f>IF(ROW(G122)&lt;=Bidding!$D$11,Raw_hydro_bm!H122,"")</f>
        <v>1</v>
      </c>
      <c r="H122" t="str">
        <f>IF(ROW(H122)&lt;=Bidding!$D$11,Raw_hydro_bm!I122,"")</f>
        <v>0.0</v>
      </c>
      <c r="I122" s="16">
        <f t="shared" si="1"/>
        <v>0</v>
      </c>
    </row>
    <row r="123" spans="1:9" x14ac:dyDescent="0.3">
      <c r="A123" t="str">
        <f>IF(ROW(A123)&lt;=Bidding!$D$11,Raw_hydro_bm!B123,"")</f>
        <v>imbalance</v>
      </c>
      <c r="B123" t="str">
        <f>IF(ROW(B123)&lt;=Bidding!$D$11,Raw_hydro_bm!C123,"")</f>
        <v>volume</v>
      </c>
      <c r="C123" t="str">
        <f>IF(ROW(C123)&lt;=Bidding!$D$11,Raw_hydro_bm!D123,"")</f>
        <v>X</v>
      </c>
      <c r="D123" t="str">
        <f>IF(ROW(D123)&lt;=Bidding!$D$11,Raw_hydro_bm!E123,"")</f>
        <v>X</v>
      </c>
      <c r="E123" t="str">
        <f>IF(ROW(E123)&lt;=Bidding!$D$11,Raw_hydro_bm!F123,"")</f>
        <v>X</v>
      </c>
      <c r="F123">
        <f>IF(ROW(F123)&lt;=Bidding!$D$11,Raw_hydro_bm!G123,"")</f>
        <v>0</v>
      </c>
      <c r="G123">
        <f>IF(ROW(G123)&lt;=Bidding!$D$11,Raw_hydro_bm!H123,"")</f>
        <v>2</v>
      </c>
      <c r="H123" t="str">
        <f>IF(ROW(H123)&lt;=Bidding!$D$11,Raw_hydro_bm!I123,"")</f>
        <v>0.0</v>
      </c>
      <c r="I123" s="16">
        <f t="shared" si="1"/>
        <v>0</v>
      </c>
    </row>
    <row r="124" spans="1:9" x14ac:dyDescent="0.3">
      <c r="A124" t="str">
        <f>IF(ROW(A124)&lt;=Bidding!$D$11,Raw_hydro_bm!B124,"")</f>
        <v>imbalance</v>
      </c>
      <c r="B124" t="str">
        <f>IF(ROW(B124)&lt;=Bidding!$D$11,Raw_hydro_bm!C124,"")</f>
        <v>volume</v>
      </c>
      <c r="C124" t="str">
        <f>IF(ROW(C124)&lt;=Bidding!$D$11,Raw_hydro_bm!D124,"")</f>
        <v>X</v>
      </c>
      <c r="D124" t="str">
        <f>IF(ROW(D124)&lt;=Bidding!$D$11,Raw_hydro_bm!E124,"")</f>
        <v>X</v>
      </c>
      <c r="E124" t="str">
        <f>IF(ROW(E124)&lt;=Bidding!$D$11,Raw_hydro_bm!F124,"")</f>
        <v>X</v>
      </c>
      <c r="F124">
        <f>IF(ROW(F124)&lt;=Bidding!$D$11,Raw_hydro_bm!G124,"")</f>
        <v>0</v>
      </c>
      <c r="G124">
        <f>IF(ROW(G124)&lt;=Bidding!$D$11,Raw_hydro_bm!H124,"")</f>
        <v>3</v>
      </c>
      <c r="H124" t="str">
        <f>IF(ROW(H124)&lt;=Bidding!$D$11,Raw_hydro_bm!I124,"")</f>
        <v>0.0</v>
      </c>
      <c r="I124" s="16">
        <f t="shared" si="1"/>
        <v>0</v>
      </c>
    </row>
    <row r="125" spans="1:9" x14ac:dyDescent="0.3">
      <c r="A125" t="str">
        <f>IF(ROW(A125)&lt;=Bidding!$D$11,Raw_hydro_bm!B125,"")</f>
        <v>imbalance</v>
      </c>
      <c r="B125" t="str">
        <f>IF(ROW(B125)&lt;=Bidding!$D$11,Raw_hydro_bm!C125,"")</f>
        <v>volume</v>
      </c>
      <c r="C125" t="str">
        <f>IF(ROW(C125)&lt;=Bidding!$D$11,Raw_hydro_bm!D125,"")</f>
        <v>X</v>
      </c>
      <c r="D125" t="str">
        <f>IF(ROW(D125)&lt;=Bidding!$D$11,Raw_hydro_bm!E125,"")</f>
        <v>X</v>
      </c>
      <c r="E125" t="str">
        <f>IF(ROW(E125)&lt;=Bidding!$D$11,Raw_hydro_bm!F125,"")</f>
        <v>X</v>
      </c>
      <c r="F125">
        <f>IF(ROW(F125)&lt;=Bidding!$D$11,Raw_hydro_bm!G125,"")</f>
        <v>0</v>
      </c>
      <c r="G125">
        <f>IF(ROW(G125)&lt;=Bidding!$D$11,Raw_hydro_bm!H125,"")</f>
        <v>4</v>
      </c>
      <c r="H125" t="str">
        <f>IF(ROW(H125)&lt;=Bidding!$D$11,Raw_hydro_bm!I125,"")</f>
        <v>0.0</v>
      </c>
      <c r="I125" s="16">
        <f t="shared" si="1"/>
        <v>0</v>
      </c>
    </row>
    <row r="126" spans="1:9" x14ac:dyDescent="0.3">
      <c r="A126" t="str">
        <f>IF(ROW(A126)&lt;=Bidding!$D$11,Raw_hydro_bm!B126,"")</f>
        <v>imbalance</v>
      </c>
      <c r="B126" t="str">
        <f>IF(ROW(B126)&lt;=Bidding!$D$11,Raw_hydro_bm!C126,"")</f>
        <v>volume</v>
      </c>
      <c r="C126" t="str">
        <f>IF(ROW(C126)&lt;=Bidding!$D$11,Raw_hydro_bm!D126,"")</f>
        <v>X</v>
      </c>
      <c r="D126" t="str">
        <f>IF(ROW(D126)&lt;=Bidding!$D$11,Raw_hydro_bm!E126,"")</f>
        <v>X</v>
      </c>
      <c r="E126" t="str">
        <f>IF(ROW(E126)&lt;=Bidding!$D$11,Raw_hydro_bm!F126,"")</f>
        <v>X</v>
      </c>
      <c r="F126">
        <f>IF(ROW(F126)&lt;=Bidding!$D$11,Raw_hydro_bm!G126,"")</f>
        <v>0</v>
      </c>
      <c r="G126">
        <f>IF(ROW(G126)&lt;=Bidding!$D$11,Raw_hydro_bm!H126,"")</f>
        <v>5</v>
      </c>
      <c r="H126" t="str">
        <f>IF(ROW(H126)&lt;=Bidding!$D$11,Raw_hydro_bm!I126,"")</f>
        <v>0.0</v>
      </c>
      <c r="I126" s="16">
        <f t="shared" si="1"/>
        <v>0</v>
      </c>
    </row>
    <row r="127" spans="1:9" x14ac:dyDescent="0.3">
      <c r="A127" t="str">
        <f>IF(ROW(A127)&lt;=Bidding!$D$11,Raw_hydro_bm!B127,"")</f>
        <v>imbalance</v>
      </c>
      <c r="B127" t="str">
        <f>IF(ROW(B127)&lt;=Bidding!$D$11,Raw_hydro_bm!C127,"")</f>
        <v>volume</v>
      </c>
      <c r="C127" t="str">
        <f>IF(ROW(C127)&lt;=Bidding!$D$11,Raw_hydro_bm!D127,"")</f>
        <v>X</v>
      </c>
      <c r="D127" t="str">
        <f>IF(ROW(D127)&lt;=Bidding!$D$11,Raw_hydro_bm!E127,"")</f>
        <v>X</v>
      </c>
      <c r="E127" t="str">
        <f>IF(ROW(E127)&lt;=Bidding!$D$11,Raw_hydro_bm!F127,"")</f>
        <v>X</v>
      </c>
      <c r="F127">
        <f>IF(ROW(F127)&lt;=Bidding!$D$11,Raw_hydro_bm!G127,"")</f>
        <v>0</v>
      </c>
      <c r="G127">
        <f>IF(ROW(G127)&lt;=Bidding!$D$11,Raw_hydro_bm!H127,"")</f>
        <v>6</v>
      </c>
      <c r="H127" t="str">
        <f>IF(ROW(H127)&lt;=Bidding!$D$11,Raw_hydro_bm!I127,"")</f>
        <v>0.0</v>
      </c>
      <c r="I127" s="16">
        <f t="shared" si="1"/>
        <v>0</v>
      </c>
    </row>
    <row r="128" spans="1:9" x14ac:dyDescent="0.3">
      <c r="A128" t="str">
        <f>IF(ROW(A128)&lt;=Bidding!$D$11,Raw_hydro_bm!B128,"")</f>
        <v>imbalance</v>
      </c>
      <c r="B128" t="str">
        <f>IF(ROW(B128)&lt;=Bidding!$D$11,Raw_hydro_bm!C128,"")</f>
        <v>volume</v>
      </c>
      <c r="C128" t="str">
        <f>IF(ROW(C128)&lt;=Bidding!$D$11,Raw_hydro_bm!D128,"")</f>
        <v>X</v>
      </c>
      <c r="D128" t="str">
        <f>IF(ROW(D128)&lt;=Bidding!$D$11,Raw_hydro_bm!E128,"")</f>
        <v>X</v>
      </c>
      <c r="E128" t="str">
        <f>IF(ROW(E128)&lt;=Bidding!$D$11,Raw_hydro_bm!F128,"")</f>
        <v>X</v>
      </c>
      <c r="F128">
        <f>IF(ROW(F128)&lt;=Bidding!$D$11,Raw_hydro_bm!G128,"")</f>
        <v>0</v>
      </c>
      <c r="G128">
        <f>IF(ROW(G128)&lt;=Bidding!$D$11,Raw_hydro_bm!H128,"")</f>
        <v>7</v>
      </c>
      <c r="H128" t="str">
        <f>IF(ROW(H128)&lt;=Bidding!$D$11,Raw_hydro_bm!I128,"")</f>
        <v>0.0</v>
      </c>
      <c r="I128" s="16">
        <f t="shared" si="1"/>
        <v>0</v>
      </c>
    </row>
    <row r="129" spans="1:9" x14ac:dyDescent="0.3">
      <c r="A129" t="str">
        <f>IF(ROW(A129)&lt;=Bidding!$D$11,Raw_hydro_bm!B129,"")</f>
        <v>imbalance</v>
      </c>
      <c r="B129" t="str">
        <f>IF(ROW(B129)&lt;=Bidding!$D$11,Raw_hydro_bm!C129,"")</f>
        <v>volume</v>
      </c>
      <c r="C129" t="str">
        <f>IF(ROW(C129)&lt;=Bidding!$D$11,Raw_hydro_bm!D129,"")</f>
        <v>X</v>
      </c>
      <c r="D129" t="str">
        <f>IF(ROW(D129)&lt;=Bidding!$D$11,Raw_hydro_bm!E129,"")</f>
        <v>X</v>
      </c>
      <c r="E129" t="str">
        <f>IF(ROW(E129)&lt;=Bidding!$D$11,Raw_hydro_bm!F129,"")</f>
        <v>X</v>
      </c>
      <c r="F129">
        <f>IF(ROW(F129)&lt;=Bidding!$D$11,Raw_hydro_bm!G129,"")</f>
        <v>0</v>
      </c>
      <c r="G129">
        <f>IF(ROW(G129)&lt;=Bidding!$D$11,Raw_hydro_bm!H129,"")</f>
        <v>8</v>
      </c>
      <c r="H129" t="str">
        <f>IF(ROW(H129)&lt;=Bidding!$D$11,Raw_hydro_bm!I129,"")</f>
        <v>0.0</v>
      </c>
      <c r="I129" s="16">
        <f t="shared" si="1"/>
        <v>0</v>
      </c>
    </row>
    <row r="130" spans="1:9" x14ac:dyDescent="0.3">
      <c r="A130" t="str">
        <f>IF(ROW(A130)&lt;=Bidding!$D$11,Raw_hydro_bm!B130,"")</f>
        <v>imbalance</v>
      </c>
      <c r="B130" t="str">
        <f>IF(ROW(B130)&lt;=Bidding!$D$11,Raw_hydro_bm!C130,"")</f>
        <v>volume</v>
      </c>
      <c r="C130" t="str">
        <f>IF(ROW(C130)&lt;=Bidding!$D$11,Raw_hydro_bm!D130,"")</f>
        <v>X</v>
      </c>
      <c r="D130" t="str">
        <f>IF(ROW(D130)&lt;=Bidding!$D$11,Raw_hydro_bm!E130,"")</f>
        <v>X</v>
      </c>
      <c r="E130" t="str">
        <f>IF(ROW(E130)&lt;=Bidding!$D$11,Raw_hydro_bm!F130,"")</f>
        <v>X</v>
      </c>
      <c r="F130">
        <f>IF(ROW(F130)&lt;=Bidding!$D$11,Raw_hydro_bm!G130,"")</f>
        <v>0</v>
      </c>
      <c r="G130">
        <f>IF(ROW(G130)&lt;=Bidding!$D$11,Raw_hydro_bm!H130,"")</f>
        <v>9</v>
      </c>
      <c r="H130" t="str">
        <f>IF(ROW(H130)&lt;=Bidding!$D$11,Raw_hydro_bm!I130,"")</f>
        <v>0.0</v>
      </c>
      <c r="I130" s="16">
        <f t="shared" ref="I130:I193" si="2">IF(IFERROR(FIND("e",H130),-1)&lt;0,IFERROR(_xlfn.NUMBERVALUE(LEFT(H130,FIND(".",H130)-1))+_xlfn.NUMBERVALUE("0,"&amp;RIGHT(H130,LEN(H130)-FIND(".",H130))),""),0)</f>
        <v>0</v>
      </c>
    </row>
    <row r="131" spans="1:9" x14ac:dyDescent="0.3">
      <c r="A131" t="str">
        <f>IF(ROW(A131)&lt;=Bidding!$D$11,Raw_hydro_bm!B131,"")</f>
        <v>imbalance</v>
      </c>
      <c r="B131" t="str">
        <f>IF(ROW(B131)&lt;=Bidding!$D$11,Raw_hydro_bm!C131,"")</f>
        <v>volume</v>
      </c>
      <c r="C131" t="str">
        <f>IF(ROW(C131)&lt;=Bidding!$D$11,Raw_hydro_bm!D131,"")</f>
        <v>X</v>
      </c>
      <c r="D131" t="str">
        <f>IF(ROW(D131)&lt;=Bidding!$D$11,Raw_hydro_bm!E131,"")</f>
        <v>X</v>
      </c>
      <c r="E131" t="str">
        <f>IF(ROW(E131)&lt;=Bidding!$D$11,Raw_hydro_bm!F131,"")</f>
        <v>X</v>
      </c>
      <c r="F131">
        <f>IF(ROW(F131)&lt;=Bidding!$D$11,Raw_hydro_bm!G131,"")</f>
        <v>1</v>
      </c>
      <c r="G131">
        <f>IF(ROW(G131)&lt;=Bidding!$D$11,Raw_hydro_bm!H131,"")</f>
        <v>0</v>
      </c>
      <c r="H131" t="str">
        <f>IF(ROW(H131)&lt;=Bidding!$D$11,Raw_hydro_bm!I131,"")</f>
        <v>0.0</v>
      </c>
      <c r="I131" s="16">
        <f t="shared" si="2"/>
        <v>0</v>
      </c>
    </row>
    <row r="132" spans="1:9" x14ac:dyDescent="0.3">
      <c r="A132" t="str">
        <f>IF(ROW(A132)&lt;=Bidding!$D$11,Raw_hydro_bm!B132,"")</f>
        <v>imbalance</v>
      </c>
      <c r="B132" t="str">
        <f>IF(ROW(B132)&lt;=Bidding!$D$11,Raw_hydro_bm!C132,"")</f>
        <v>volume</v>
      </c>
      <c r="C132" t="str">
        <f>IF(ROW(C132)&lt;=Bidding!$D$11,Raw_hydro_bm!D132,"")</f>
        <v>X</v>
      </c>
      <c r="D132" t="str">
        <f>IF(ROW(D132)&lt;=Bidding!$D$11,Raw_hydro_bm!E132,"")</f>
        <v>X</v>
      </c>
      <c r="E132" t="str">
        <f>IF(ROW(E132)&lt;=Bidding!$D$11,Raw_hydro_bm!F132,"")</f>
        <v>X</v>
      </c>
      <c r="F132">
        <f>IF(ROW(F132)&lt;=Bidding!$D$11,Raw_hydro_bm!G132,"")</f>
        <v>1</v>
      </c>
      <c r="G132">
        <f>IF(ROW(G132)&lt;=Bidding!$D$11,Raw_hydro_bm!H132,"")</f>
        <v>1</v>
      </c>
      <c r="H132" t="str">
        <f>IF(ROW(H132)&lt;=Bidding!$D$11,Raw_hydro_bm!I132,"")</f>
        <v>0.0</v>
      </c>
      <c r="I132" s="16">
        <f t="shared" si="2"/>
        <v>0</v>
      </c>
    </row>
    <row r="133" spans="1:9" x14ac:dyDescent="0.3">
      <c r="A133" t="str">
        <f>IF(ROW(A133)&lt;=Bidding!$D$11,Raw_hydro_bm!B133,"")</f>
        <v>imbalance</v>
      </c>
      <c r="B133" t="str">
        <f>IF(ROW(B133)&lt;=Bidding!$D$11,Raw_hydro_bm!C133,"")</f>
        <v>volume</v>
      </c>
      <c r="C133" t="str">
        <f>IF(ROW(C133)&lt;=Bidding!$D$11,Raw_hydro_bm!D133,"")</f>
        <v>X</v>
      </c>
      <c r="D133" t="str">
        <f>IF(ROW(D133)&lt;=Bidding!$D$11,Raw_hydro_bm!E133,"")</f>
        <v>X</v>
      </c>
      <c r="E133" t="str">
        <f>IF(ROW(E133)&lt;=Bidding!$D$11,Raw_hydro_bm!F133,"")</f>
        <v>X</v>
      </c>
      <c r="F133">
        <f>IF(ROW(F133)&lt;=Bidding!$D$11,Raw_hydro_bm!G133,"")</f>
        <v>1</v>
      </c>
      <c r="G133">
        <f>IF(ROW(G133)&lt;=Bidding!$D$11,Raw_hydro_bm!H133,"")</f>
        <v>2</v>
      </c>
      <c r="H133" t="str">
        <f>IF(ROW(H133)&lt;=Bidding!$D$11,Raw_hydro_bm!I133,"")</f>
        <v>0.0</v>
      </c>
      <c r="I133" s="16">
        <f t="shared" si="2"/>
        <v>0</v>
      </c>
    </row>
    <row r="134" spans="1:9" x14ac:dyDescent="0.3">
      <c r="A134" t="str">
        <f>IF(ROW(A134)&lt;=Bidding!$D$11,Raw_hydro_bm!B134,"")</f>
        <v>imbalance</v>
      </c>
      <c r="B134" t="str">
        <f>IF(ROW(B134)&lt;=Bidding!$D$11,Raw_hydro_bm!C134,"")</f>
        <v>volume</v>
      </c>
      <c r="C134" t="str">
        <f>IF(ROW(C134)&lt;=Bidding!$D$11,Raw_hydro_bm!D134,"")</f>
        <v>X</v>
      </c>
      <c r="D134" t="str">
        <f>IF(ROW(D134)&lt;=Bidding!$D$11,Raw_hydro_bm!E134,"")</f>
        <v>X</v>
      </c>
      <c r="E134" t="str">
        <f>IF(ROW(E134)&lt;=Bidding!$D$11,Raw_hydro_bm!F134,"")</f>
        <v>X</v>
      </c>
      <c r="F134">
        <f>IF(ROW(F134)&lt;=Bidding!$D$11,Raw_hydro_bm!G134,"")</f>
        <v>1</v>
      </c>
      <c r="G134">
        <f>IF(ROW(G134)&lt;=Bidding!$D$11,Raw_hydro_bm!H134,"")</f>
        <v>3</v>
      </c>
      <c r="H134" t="str">
        <f>IF(ROW(H134)&lt;=Bidding!$D$11,Raw_hydro_bm!I134,"")</f>
        <v>0.0</v>
      </c>
      <c r="I134" s="16">
        <f t="shared" si="2"/>
        <v>0</v>
      </c>
    </row>
    <row r="135" spans="1:9" x14ac:dyDescent="0.3">
      <c r="A135" t="str">
        <f>IF(ROW(A135)&lt;=Bidding!$D$11,Raw_hydro_bm!B135,"")</f>
        <v>imbalance</v>
      </c>
      <c r="B135" t="str">
        <f>IF(ROW(B135)&lt;=Bidding!$D$11,Raw_hydro_bm!C135,"")</f>
        <v>volume</v>
      </c>
      <c r="C135" t="str">
        <f>IF(ROW(C135)&lt;=Bidding!$D$11,Raw_hydro_bm!D135,"")</f>
        <v>X</v>
      </c>
      <c r="D135" t="str">
        <f>IF(ROW(D135)&lt;=Bidding!$D$11,Raw_hydro_bm!E135,"")</f>
        <v>X</v>
      </c>
      <c r="E135" t="str">
        <f>IF(ROW(E135)&lt;=Bidding!$D$11,Raw_hydro_bm!F135,"")</f>
        <v>X</v>
      </c>
      <c r="F135">
        <f>IF(ROW(F135)&lt;=Bidding!$D$11,Raw_hydro_bm!G135,"")</f>
        <v>1</v>
      </c>
      <c r="G135">
        <f>IF(ROW(G135)&lt;=Bidding!$D$11,Raw_hydro_bm!H135,"")</f>
        <v>4</v>
      </c>
      <c r="H135" t="str">
        <f>IF(ROW(H135)&lt;=Bidding!$D$11,Raw_hydro_bm!I135,"")</f>
        <v>0.0</v>
      </c>
      <c r="I135" s="16">
        <f t="shared" si="2"/>
        <v>0</v>
      </c>
    </row>
    <row r="136" spans="1:9" x14ac:dyDescent="0.3">
      <c r="A136" t="str">
        <f>IF(ROW(A136)&lt;=Bidding!$D$11,Raw_hydro_bm!B136,"")</f>
        <v>imbalance</v>
      </c>
      <c r="B136" t="str">
        <f>IF(ROW(B136)&lt;=Bidding!$D$11,Raw_hydro_bm!C136,"")</f>
        <v>volume</v>
      </c>
      <c r="C136" t="str">
        <f>IF(ROW(C136)&lt;=Bidding!$D$11,Raw_hydro_bm!D136,"")</f>
        <v>X</v>
      </c>
      <c r="D136" t="str">
        <f>IF(ROW(D136)&lt;=Bidding!$D$11,Raw_hydro_bm!E136,"")</f>
        <v>X</v>
      </c>
      <c r="E136" t="str">
        <f>IF(ROW(E136)&lt;=Bidding!$D$11,Raw_hydro_bm!F136,"")</f>
        <v>X</v>
      </c>
      <c r="F136">
        <f>IF(ROW(F136)&lt;=Bidding!$D$11,Raw_hydro_bm!G136,"")</f>
        <v>1</v>
      </c>
      <c r="G136">
        <f>IF(ROW(G136)&lt;=Bidding!$D$11,Raw_hydro_bm!H136,"")</f>
        <v>5</v>
      </c>
      <c r="H136" t="str">
        <f>IF(ROW(H136)&lt;=Bidding!$D$11,Raw_hydro_bm!I136,"")</f>
        <v>0.0</v>
      </c>
      <c r="I136" s="16">
        <f t="shared" si="2"/>
        <v>0</v>
      </c>
    </row>
    <row r="137" spans="1:9" x14ac:dyDescent="0.3">
      <c r="A137" t="str">
        <f>IF(ROW(A137)&lt;=Bidding!$D$11,Raw_hydro_bm!B137,"")</f>
        <v>imbalance</v>
      </c>
      <c r="B137" t="str">
        <f>IF(ROW(B137)&lt;=Bidding!$D$11,Raw_hydro_bm!C137,"")</f>
        <v>volume</v>
      </c>
      <c r="C137" t="str">
        <f>IF(ROW(C137)&lt;=Bidding!$D$11,Raw_hydro_bm!D137,"")</f>
        <v>X</v>
      </c>
      <c r="D137" t="str">
        <f>IF(ROW(D137)&lt;=Bidding!$D$11,Raw_hydro_bm!E137,"")</f>
        <v>X</v>
      </c>
      <c r="E137" t="str">
        <f>IF(ROW(E137)&lt;=Bidding!$D$11,Raw_hydro_bm!F137,"")</f>
        <v>X</v>
      </c>
      <c r="F137">
        <f>IF(ROW(F137)&lt;=Bidding!$D$11,Raw_hydro_bm!G137,"")</f>
        <v>1</v>
      </c>
      <c r="G137">
        <f>IF(ROW(G137)&lt;=Bidding!$D$11,Raw_hydro_bm!H137,"")</f>
        <v>6</v>
      </c>
      <c r="H137" t="str">
        <f>IF(ROW(H137)&lt;=Bidding!$D$11,Raw_hydro_bm!I137,"")</f>
        <v>0.0</v>
      </c>
      <c r="I137" s="16">
        <f t="shared" si="2"/>
        <v>0</v>
      </c>
    </row>
    <row r="138" spans="1:9" x14ac:dyDescent="0.3">
      <c r="A138" t="str">
        <f>IF(ROW(A138)&lt;=Bidding!$D$11,Raw_hydro_bm!B138,"")</f>
        <v>imbalance</v>
      </c>
      <c r="B138" t="str">
        <f>IF(ROW(B138)&lt;=Bidding!$D$11,Raw_hydro_bm!C138,"")</f>
        <v>volume</v>
      </c>
      <c r="C138" t="str">
        <f>IF(ROW(C138)&lt;=Bidding!$D$11,Raw_hydro_bm!D138,"")</f>
        <v>X</v>
      </c>
      <c r="D138" t="str">
        <f>IF(ROW(D138)&lt;=Bidding!$D$11,Raw_hydro_bm!E138,"")</f>
        <v>X</v>
      </c>
      <c r="E138" t="str">
        <f>IF(ROW(E138)&lt;=Bidding!$D$11,Raw_hydro_bm!F138,"")</f>
        <v>X</v>
      </c>
      <c r="F138">
        <f>IF(ROW(F138)&lt;=Bidding!$D$11,Raw_hydro_bm!G138,"")</f>
        <v>1</v>
      </c>
      <c r="G138">
        <f>IF(ROW(G138)&lt;=Bidding!$D$11,Raw_hydro_bm!H138,"")</f>
        <v>7</v>
      </c>
      <c r="H138" t="str">
        <f>IF(ROW(H138)&lt;=Bidding!$D$11,Raw_hydro_bm!I138,"")</f>
        <v>0.0</v>
      </c>
      <c r="I138" s="16">
        <f t="shared" si="2"/>
        <v>0</v>
      </c>
    </row>
    <row r="139" spans="1:9" x14ac:dyDescent="0.3">
      <c r="A139" t="str">
        <f>IF(ROW(A139)&lt;=Bidding!$D$11,Raw_hydro_bm!B139,"")</f>
        <v>imbalance</v>
      </c>
      <c r="B139" t="str">
        <f>IF(ROW(B139)&lt;=Bidding!$D$11,Raw_hydro_bm!C139,"")</f>
        <v>volume</v>
      </c>
      <c r="C139" t="str">
        <f>IF(ROW(C139)&lt;=Bidding!$D$11,Raw_hydro_bm!D139,"")</f>
        <v>X</v>
      </c>
      <c r="D139" t="str">
        <f>IF(ROW(D139)&lt;=Bidding!$D$11,Raw_hydro_bm!E139,"")</f>
        <v>X</v>
      </c>
      <c r="E139" t="str">
        <f>IF(ROW(E139)&lt;=Bidding!$D$11,Raw_hydro_bm!F139,"")</f>
        <v>X</v>
      </c>
      <c r="F139">
        <f>IF(ROW(F139)&lt;=Bidding!$D$11,Raw_hydro_bm!G139,"")</f>
        <v>1</v>
      </c>
      <c r="G139">
        <f>IF(ROW(G139)&lt;=Bidding!$D$11,Raw_hydro_bm!H139,"")</f>
        <v>8</v>
      </c>
      <c r="H139" t="str">
        <f>IF(ROW(H139)&lt;=Bidding!$D$11,Raw_hydro_bm!I139,"")</f>
        <v>0.0</v>
      </c>
      <c r="I139" s="16">
        <f t="shared" si="2"/>
        <v>0</v>
      </c>
    </row>
    <row r="140" spans="1:9" x14ac:dyDescent="0.3">
      <c r="A140" t="str">
        <f>IF(ROW(A140)&lt;=Bidding!$D$11,Raw_hydro_bm!B140,"")</f>
        <v>imbalance</v>
      </c>
      <c r="B140" t="str">
        <f>IF(ROW(B140)&lt;=Bidding!$D$11,Raw_hydro_bm!C140,"")</f>
        <v>volume</v>
      </c>
      <c r="C140" t="str">
        <f>IF(ROW(C140)&lt;=Bidding!$D$11,Raw_hydro_bm!D140,"")</f>
        <v>X</v>
      </c>
      <c r="D140" t="str">
        <f>IF(ROW(D140)&lt;=Bidding!$D$11,Raw_hydro_bm!E140,"")</f>
        <v>X</v>
      </c>
      <c r="E140" t="str">
        <f>IF(ROW(E140)&lt;=Bidding!$D$11,Raw_hydro_bm!F140,"")</f>
        <v>X</v>
      </c>
      <c r="F140">
        <f>IF(ROW(F140)&lt;=Bidding!$D$11,Raw_hydro_bm!G140,"")</f>
        <v>1</v>
      </c>
      <c r="G140">
        <f>IF(ROW(G140)&lt;=Bidding!$D$11,Raw_hydro_bm!H140,"")</f>
        <v>9</v>
      </c>
      <c r="H140" t="str">
        <f>IF(ROW(H140)&lt;=Bidding!$D$11,Raw_hydro_bm!I140,"")</f>
        <v>0.0</v>
      </c>
      <c r="I140" s="16">
        <f t="shared" si="2"/>
        <v>0</v>
      </c>
    </row>
    <row r="141" spans="1:9" x14ac:dyDescent="0.3">
      <c r="A141" t="str">
        <f>IF(ROW(A141)&lt;=Bidding!$D$11,Raw_hydro_bm!B141,"")</f>
        <v>imbalance</v>
      </c>
      <c r="B141" t="str">
        <f>IF(ROW(B141)&lt;=Bidding!$D$11,Raw_hydro_bm!C141,"")</f>
        <v>volume</v>
      </c>
      <c r="C141" t="str">
        <f>IF(ROW(C141)&lt;=Bidding!$D$11,Raw_hydro_bm!D141,"")</f>
        <v>X</v>
      </c>
      <c r="D141" t="str">
        <f>IF(ROW(D141)&lt;=Bidding!$D$11,Raw_hydro_bm!E141,"")</f>
        <v>X</v>
      </c>
      <c r="E141" t="str">
        <f>IF(ROW(E141)&lt;=Bidding!$D$11,Raw_hydro_bm!F141,"")</f>
        <v>X</v>
      </c>
      <c r="F141">
        <f>IF(ROW(F141)&lt;=Bidding!$D$11,Raw_hydro_bm!G141,"")</f>
        <v>2</v>
      </c>
      <c r="G141">
        <f>IF(ROW(G141)&lt;=Bidding!$D$11,Raw_hydro_bm!H141,"")</f>
        <v>0</v>
      </c>
      <c r="H141" t="str">
        <f>IF(ROW(H141)&lt;=Bidding!$D$11,Raw_hydro_bm!I141,"")</f>
        <v>0.0</v>
      </c>
      <c r="I141" s="16">
        <f t="shared" si="2"/>
        <v>0</v>
      </c>
    </row>
    <row r="142" spans="1:9" x14ac:dyDescent="0.3">
      <c r="A142" t="str">
        <f>IF(ROW(A142)&lt;=Bidding!$D$11,Raw_hydro_bm!B142,"")</f>
        <v>imbalance</v>
      </c>
      <c r="B142" t="str">
        <f>IF(ROW(B142)&lt;=Bidding!$D$11,Raw_hydro_bm!C142,"")</f>
        <v>volume</v>
      </c>
      <c r="C142" t="str">
        <f>IF(ROW(C142)&lt;=Bidding!$D$11,Raw_hydro_bm!D142,"")</f>
        <v>X</v>
      </c>
      <c r="D142" t="str">
        <f>IF(ROW(D142)&lt;=Bidding!$D$11,Raw_hydro_bm!E142,"")</f>
        <v>X</v>
      </c>
      <c r="E142" t="str">
        <f>IF(ROW(E142)&lt;=Bidding!$D$11,Raw_hydro_bm!F142,"")</f>
        <v>X</v>
      </c>
      <c r="F142">
        <f>IF(ROW(F142)&lt;=Bidding!$D$11,Raw_hydro_bm!G142,"")</f>
        <v>2</v>
      </c>
      <c r="G142">
        <f>IF(ROW(G142)&lt;=Bidding!$D$11,Raw_hydro_bm!H142,"")</f>
        <v>1</v>
      </c>
      <c r="H142" t="str">
        <f>IF(ROW(H142)&lt;=Bidding!$D$11,Raw_hydro_bm!I142,"")</f>
        <v>0.0</v>
      </c>
      <c r="I142" s="16">
        <f t="shared" si="2"/>
        <v>0</v>
      </c>
    </row>
    <row r="143" spans="1:9" x14ac:dyDescent="0.3">
      <c r="A143" t="str">
        <f>IF(ROW(A143)&lt;=Bidding!$D$11,Raw_hydro_bm!B143,"")</f>
        <v>imbalance</v>
      </c>
      <c r="B143" t="str">
        <f>IF(ROW(B143)&lt;=Bidding!$D$11,Raw_hydro_bm!C143,"")</f>
        <v>volume</v>
      </c>
      <c r="C143" t="str">
        <f>IF(ROW(C143)&lt;=Bidding!$D$11,Raw_hydro_bm!D143,"")</f>
        <v>X</v>
      </c>
      <c r="D143" t="str">
        <f>IF(ROW(D143)&lt;=Bidding!$D$11,Raw_hydro_bm!E143,"")</f>
        <v>X</v>
      </c>
      <c r="E143" t="str">
        <f>IF(ROW(E143)&lt;=Bidding!$D$11,Raw_hydro_bm!F143,"")</f>
        <v>X</v>
      </c>
      <c r="F143">
        <f>IF(ROW(F143)&lt;=Bidding!$D$11,Raw_hydro_bm!G143,"")</f>
        <v>2</v>
      </c>
      <c r="G143">
        <f>IF(ROW(G143)&lt;=Bidding!$D$11,Raw_hydro_bm!H143,"")</f>
        <v>2</v>
      </c>
      <c r="H143" t="str">
        <f>IF(ROW(H143)&lt;=Bidding!$D$11,Raw_hydro_bm!I143,"")</f>
        <v>0.0</v>
      </c>
      <c r="I143" s="16">
        <f t="shared" si="2"/>
        <v>0</v>
      </c>
    </row>
    <row r="144" spans="1:9" x14ac:dyDescent="0.3">
      <c r="A144" t="str">
        <f>IF(ROW(A144)&lt;=Bidding!$D$11,Raw_hydro_bm!B144,"")</f>
        <v>imbalance</v>
      </c>
      <c r="B144" t="str">
        <f>IF(ROW(B144)&lt;=Bidding!$D$11,Raw_hydro_bm!C144,"")</f>
        <v>volume</v>
      </c>
      <c r="C144" t="str">
        <f>IF(ROW(C144)&lt;=Bidding!$D$11,Raw_hydro_bm!D144,"")</f>
        <v>X</v>
      </c>
      <c r="D144" t="str">
        <f>IF(ROW(D144)&lt;=Bidding!$D$11,Raw_hydro_bm!E144,"")</f>
        <v>X</v>
      </c>
      <c r="E144" t="str">
        <f>IF(ROW(E144)&lt;=Bidding!$D$11,Raw_hydro_bm!F144,"")</f>
        <v>X</v>
      </c>
      <c r="F144">
        <f>IF(ROW(F144)&lt;=Bidding!$D$11,Raw_hydro_bm!G144,"")</f>
        <v>2</v>
      </c>
      <c r="G144">
        <f>IF(ROW(G144)&lt;=Bidding!$D$11,Raw_hydro_bm!H144,"")</f>
        <v>3</v>
      </c>
      <c r="H144" t="str">
        <f>IF(ROW(H144)&lt;=Bidding!$D$11,Raw_hydro_bm!I144,"")</f>
        <v>0.0</v>
      </c>
      <c r="I144" s="16">
        <f t="shared" si="2"/>
        <v>0</v>
      </c>
    </row>
    <row r="145" spans="1:9" x14ac:dyDescent="0.3">
      <c r="A145" t="str">
        <f>IF(ROW(A145)&lt;=Bidding!$D$11,Raw_hydro_bm!B145,"")</f>
        <v>imbalance</v>
      </c>
      <c r="B145" t="str">
        <f>IF(ROW(B145)&lt;=Bidding!$D$11,Raw_hydro_bm!C145,"")</f>
        <v>volume</v>
      </c>
      <c r="C145" t="str">
        <f>IF(ROW(C145)&lt;=Bidding!$D$11,Raw_hydro_bm!D145,"")</f>
        <v>X</v>
      </c>
      <c r="D145" t="str">
        <f>IF(ROW(D145)&lt;=Bidding!$D$11,Raw_hydro_bm!E145,"")</f>
        <v>X</v>
      </c>
      <c r="E145" t="str">
        <f>IF(ROW(E145)&lt;=Bidding!$D$11,Raw_hydro_bm!F145,"")</f>
        <v>X</v>
      </c>
      <c r="F145">
        <f>IF(ROW(F145)&lt;=Bidding!$D$11,Raw_hydro_bm!G145,"")</f>
        <v>2</v>
      </c>
      <c r="G145">
        <f>IF(ROW(G145)&lt;=Bidding!$D$11,Raw_hydro_bm!H145,"")</f>
        <v>4</v>
      </c>
      <c r="H145" t="str">
        <f>IF(ROW(H145)&lt;=Bidding!$D$11,Raw_hydro_bm!I145,"")</f>
        <v>0.0</v>
      </c>
      <c r="I145" s="16">
        <f t="shared" si="2"/>
        <v>0</v>
      </c>
    </row>
    <row r="146" spans="1:9" x14ac:dyDescent="0.3">
      <c r="A146" t="str">
        <f>IF(ROW(A146)&lt;=Bidding!$D$11,Raw_hydro_bm!B146,"")</f>
        <v>imbalance</v>
      </c>
      <c r="B146" t="str">
        <f>IF(ROW(B146)&lt;=Bidding!$D$11,Raw_hydro_bm!C146,"")</f>
        <v>volume</v>
      </c>
      <c r="C146" t="str">
        <f>IF(ROW(C146)&lt;=Bidding!$D$11,Raw_hydro_bm!D146,"")</f>
        <v>X</v>
      </c>
      <c r="D146" t="str">
        <f>IF(ROW(D146)&lt;=Bidding!$D$11,Raw_hydro_bm!E146,"")</f>
        <v>X</v>
      </c>
      <c r="E146" t="str">
        <f>IF(ROW(E146)&lt;=Bidding!$D$11,Raw_hydro_bm!F146,"")</f>
        <v>X</v>
      </c>
      <c r="F146">
        <f>IF(ROW(F146)&lt;=Bidding!$D$11,Raw_hydro_bm!G146,"")</f>
        <v>2</v>
      </c>
      <c r="G146">
        <f>IF(ROW(G146)&lt;=Bidding!$D$11,Raw_hydro_bm!H146,"")</f>
        <v>5</v>
      </c>
      <c r="H146" t="str">
        <f>IF(ROW(H146)&lt;=Bidding!$D$11,Raw_hydro_bm!I146,"")</f>
        <v>0.0</v>
      </c>
      <c r="I146" s="16">
        <f t="shared" si="2"/>
        <v>0</v>
      </c>
    </row>
    <row r="147" spans="1:9" x14ac:dyDescent="0.3">
      <c r="A147" t="str">
        <f>IF(ROW(A147)&lt;=Bidding!$D$11,Raw_hydro_bm!B147,"")</f>
        <v>imbalance</v>
      </c>
      <c r="B147" t="str">
        <f>IF(ROW(B147)&lt;=Bidding!$D$11,Raw_hydro_bm!C147,"")</f>
        <v>volume</v>
      </c>
      <c r="C147" t="str">
        <f>IF(ROW(C147)&lt;=Bidding!$D$11,Raw_hydro_bm!D147,"")</f>
        <v>X</v>
      </c>
      <c r="D147" t="str">
        <f>IF(ROW(D147)&lt;=Bidding!$D$11,Raw_hydro_bm!E147,"")</f>
        <v>X</v>
      </c>
      <c r="E147" t="str">
        <f>IF(ROW(E147)&lt;=Bidding!$D$11,Raw_hydro_bm!F147,"")</f>
        <v>X</v>
      </c>
      <c r="F147">
        <f>IF(ROW(F147)&lt;=Bidding!$D$11,Raw_hydro_bm!G147,"")</f>
        <v>2</v>
      </c>
      <c r="G147">
        <f>IF(ROW(G147)&lt;=Bidding!$D$11,Raw_hydro_bm!H147,"")</f>
        <v>6</v>
      </c>
      <c r="H147" t="str">
        <f>IF(ROW(H147)&lt;=Bidding!$D$11,Raw_hydro_bm!I147,"")</f>
        <v>0.0</v>
      </c>
      <c r="I147" s="16">
        <f t="shared" si="2"/>
        <v>0</v>
      </c>
    </row>
    <row r="148" spans="1:9" x14ac:dyDescent="0.3">
      <c r="A148" t="str">
        <f>IF(ROW(A148)&lt;=Bidding!$D$11,Raw_hydro_bm!B148,"")</f>
        <v>imbalance</v>
      </c>
      <c r="B148" t="str">
        <f>IF(ROW(B148)&lt;=Bidding!$D$11,Raw_hydro_bm!C148,"")</f>
        <v>volume</v>
      </c>
      <c r="C148" t="str">
        <f>IF(ROW(C148)&lt;=Bidding!$D$11,Raw_hydro_bm!D148,"")</f>
        <v>X</v>
      </c>
      <c r="D148" t="str">
        <f>IF(ROW(D148)&lt;=Bidding!$D$11,Raw_hydro_bm!E148,"")</f>
        <v>X</v>
      </c>
      <c r="E148" t="str">
        <f>IF(ROW(E148)&lt;=Bidding!$D$11,Raw_hydro_bm!F148,"")</f>
        <v>X</v>
      </c>
      <c r="F148">
        <f>IF(ROW(F148)&lt;=Bidding!$D$11,Raw_hydro_bm!G148,"")</f>
        <v>2</v>
      </c>
      <c r="G148">
        <f>IF(ROW(G148)&lt;=Bidding!$D$11,Raw_hydro_bm!H148,"")</f>
        <v>7</v>
      </c>
      <c r="H148" t="str">
        <f>IF(ROW(H148)&lt;=Bidding!$D$11,Raw_hydro_bm!I148,"")</f>
        <v>0.0</v>
      </c>
      <c r="I148" s="16">
        <f t="shared" si="2"/>
        <v>0</v>
      </c>
    </row>
    <row r="149" spans="1:9" x14ac:dyDescent="0.3">
      <c r="A149" t="str">
        <f>IF(ROW(A149)&lt;=Bidding!$D$11,Raw_hydro_bm!B149,"")</f>
        <v>imbalance</v>
      </c>
      <c r="B149" t="str">
        <f>IF(ROW(B149)&lt;=Bidding!$D$11,Raw_hydro_bm!C149,"")</f>
        <v>volume</v>
      </c>
      <c r="C149" t="str">
        <f>IF(ROW(C149)&lt;=Bidding!$D$11,Raw_hydro_bm!D149,"")</f>
        <v>X</v>
      </c>
      <c r="D149" t="str">
        <f>IF(ROW(D149)&lt;=Bidding!$D$11,Raw_hydro_bm!E149,"")</f>
        <v>X</v>
      </c>
      <c r="E149" t="str">
        <f>IF(ROW(E149)&lt;=Bidding!$D$11,Raw_hydro_bm!F149,"")</f>
        <v>X</v>
      </c>
      <c r="F149">
        <f>IF(ROW(F149)&lt;=Bidding!$D$11,Raw_hydro_bm!G149,"")</f>
        <v>2</v>
      </c>
      <c r="G149">
        <f>IF(ROW(G149)&lt;=Bidding!$D$11,Raw_hydro_bm!H149,"")</f>
        <v>8</v>
      </c>
      <c r="H149" t="str">
        <f>IF(ROW(H149)&lt;=Bidding!$D$11,Raw_hydro_bm!I149,"")</f>
        <v>0.0</v>
      </c>
      <c r="I149" s="16">
        <f t="shared" si="2"/>
        <v>0</v>
      </c>
    </row>
    <row r="150" spans="1:9" x14ac:dyDescent="0.3">
      <c r="A150" t="str">
        <f>IF(ROW(A150)&lt;=Bidding!$D$11,Raw_hydro_bm!B150,"")</f>
        <v>imbalance</v>
      </c>
      <c r="B150" t="str">
        <f>IF(ROW(B150)&lt;=Bidding!$D$11,Raw_hydro_bm!C150,"")</f>
        <v>volume</v>
      </c>
      <c r="C150" t="str">
        <f>IF(ROW(C150)&lt;=Bidding!$D$11,Raw_hydro_bm!D150,"")</f>
        <v>X</v>
      </c>
      <c r="D150" t="str">
        <f>IF(ROW(D150)&lt;=Bidding!$D$11,Raw_hydro_bm!E150,"")</f>
        <v>X</v>
      </c>
      <c r="E150" t="str">
        <f>IF(ROW(E150)&lt;=Bidding!$D$11,Raw_hydro_bm!F150,"")</f>
        <v>X</v>
      </c>
      <c r="F150">
        <f>IF(ROW(F150)&lt;=Bidding!$D$11,Raw_hydro_bm!G150,"")</f>
        <v>2</v>
      </c>
      <c r="G150">
        <f>IF(ROW(G150)&lt;=Bidding!$D$11,Raw_hydro_bm!H150,"")</f>
        <v>9</v>
      </c>
      <c r="H150" t="str">
        <f>IF(ROW(H150)&lt;=Bidding!$D$11,Raw_hydro_bm!I150,"")</f>
        <v>0.0</v>
      </c>
      <c r="I150" s="16">
        <f t="shared" si="2"/>
        <v>0</v>
      </c>
    </row>
    <row r="151" spans="1:9" x14ac:dyDescent="0.3">
      <c r="A151" t="str">
        <f>IF(ROW(A151)&lt;=Bidding!$D$11,Raw_hydro_bm!B151,"")</f>
        <v>b</v>
      </c>
      <c r="B151" t="str">
        <f>IF(ROW(B151)&lt;=Bidding!$D$11,Raw_hydro_bm!C151,"")</f>
        <v>v</v>
      </c>
      <c r="C151" t="str">
        <f>IF(ROW(C151)&lt;=Bidding!$D$11,Raw_hydro_bm!D151,"")</f>
        <v>X</v>
      </c>
      <c r="D151">
        <f>IF(ROW(D151)&lt;=Bidding!$D$11,Raw_hydro_bm!E151,"")</f>
        <v>0</v>
      </c>
      <c r="E151">
        <f>IF(ROW(E151)&lt;=Bidding!$D$11,Raw_hydro_bm!F151,"")</f>
        <v>0</v>
      </c>
      <c r="F151">
        <f>IF(ROW(F151)&lt;=Bidding!$D$11,Raw_hydro_bm!G151,"")</f>
        <v>0</v>
      </c>
      <c r="G151">
        <f>IF(ROW(G151)&lt;=Bidding!$D$11,Raw_hydro_bm!H151,"")</f>
        <v>0</v>
      </c>
      <c r="H151" t="str">
        <f>IF(ROW(H151)&lt;=Bidding!$D$11,Raw_hydro_bm!I151,"")</f>
        <v>0.0</v>
      </c>
      <c r="I151" s="16">
        <f t="shared" si="2"/>
        <v>0</v>
      </c>
    </row>
    <row r="152" spans="1:9" x14ac:dyDescent="0.3">
      <c r="A152" t="str">
        <f>IF(ROW(A152)&lt;=Bidding!$D$11,Raw_hydro_bm!B152,"")</f>
        <v>b</v>
      </c>
      <c r="B152" t="str">
        <f>IF(ROW(B152)&lt;=Bidding!$D$11,Raw_hydro_bm!C152,"")</f>
        <v>v</v>
      </c>
      <c r="C152" t="str">
        <f>IF(ROW(C152)&lt;=Bidding!$D$11,Raw_hydro_bm!D152,"")</f>
        <v>X</v>
      </c>
      <c r="D152">
        <f>IF(ROW(D152)&lt;=Bidding!$D$11,Raw_hydro_bm!E152,"")</f>
        <v>0</v>
      </c>
      <c r="E152">
        <f>IF(ROW(E152)&lt;=Bidding!$D$11,Raw_hydro_bm!F152,"")</f>
        <v>0</v>
      </c>
      <c r="F152">
        <f>IF(ROW(F152)&lt;=Bidding!$D$11,Raw_hydro_bm!G152,"")</f>
        <v>0</v>
      </c>
      <c r="G152">
        <f>IF(ROW(G152)&lt;=Bidding!$D$11,Raw_hydro_bm!H152,"")</f>
        <v>1</v>
      </c>
      <c r="H152" t="str">
        <f>IF(ROW(H152)&lt;=Bidding!$D$11,Raw_hydro_bm!I152,"")</f>
        <v>0.0</v>
      </c>
      <c r="I152" s="16">
        <f t="shared" si="2"/>
        <v>0</v>
      </c>
    </row>
    <row r="153" spans="1:9" x14ac:dyDescent="0.3">
      <c r="A153" t="str">
        <f>IF(ROW(A153)&lt;=Bidding!$D$11,Raw_hydro_bm!B153,"")</f>
        <v>b</v>
      </c>
      <c r="B153" t="str">
        <f>IF(ROW(B153)&lt;=Bidding!$D$11,Raw_hydro_bm!C153,"")</f>
        <v>v</v>
      </c>
      <c r="C153" t="str">
        <f>IF(ROW(C153)&lt;=Bidding!$D$11,Raw_hydro_bm!D153,"")</f>
        <v>X</v>
      </c>
      <c r="D153">
        <f>IF(ROW(D153)&lt;=Bidding!$D$11,Raw_hydro_bm!E153,"")</f>
        <v>0</v>
      </c>
      <c r="E153">
        <f>IF(ROW(E153)&lt;=Bidding!$D$11,Raw_hydro_bm!F153,"")</f>
        <v>0</v>
      </c>
      <c r="F153">
        <f>IF(ROW(F153)&lt;=Bidding!$D$11,Raw_hydro_bm!G153,"")</f>
        <v>0</v>
      </c>
      <c r="G153">
        <f>IF(ROW(G153)&lt;=Bidding!$D$11,Raw_hydro_bm!H153,"")</f>
        <v>2</v>
      </c>
      <c r="H153" t="str">
        <f>IF(ROW(H153)&lt;=Bidding!$D$11,Raw_hydro_bm!I153,"")</f>
        <v>40.0</v>
      </c>
      <c r="I153" s="16">
        <f t="shared" si="2"/>
        <v>40</v>
      </c>
    </row>
    <row r="154" spans="1:9" x14ac:dyDescent="0.3">
      <c r="A154" t="str">
        <f>IF(ROW(A154)&lt;=Bidding!$D$11,Raw_hydro_bm!B154,"")</f>
        <v>p</v>
      </c>
      <c r="B154" t="str">
        <f>IF(ROW(B154)&lt;=Bidding!$D$11,Raw_hydro_bm!C154,"")</f>
        <v>c</v>
      </c>
      <c r="C154">
        <f>IF(ROW(C154)&lt;=Bidding!$D$11,Raw_hydro_bm!D154,"")</f>
        <v>0</v>
      </c>
      <c r="D154">
        <f>IF(ROW(D154)&lt;=Bidding!$D$11,Raw_hydro_bm!E154,"")</f>
        <v>0</v>
      </c>
      <c r="E154">
        <f>IF(ROW(E154)&lt;=Bidding!$D$11,Raw_hydro_bm!F154,"")</f>
        <v>0</v>
      </c>
      <c r="F154">
        <f>IF(ROW(F154)&lt;=Bidding!$D$11,Raw_hydro_bm!G154,"")</f>
        <v>0</v>
      </c>
      <c r="G154">
        <f>IF(ROW(G154)&lt;=Bidding!$D$11,Raw_hydro_bm!H154,"")</f>
        <v>0</v>
      </c>
      <c r="H154" t="str">
        <f>IF(ROW(H154)&lt;=Bidding!$D$11,Raw_hydro_bm!I154,"")</f>
        <v>0.0</v>
      </c>
      <c r="I154" s="16">
        <f t="shared" si="2"/>
        <v>0</v>
      </c>
    </row>
    <row r="155" spans="1:9" x14ac:dyDescent="0.3">
      <c r="A155" t="str">
        <f>IF(ROW(A155)&lt;=Bidding!$D$11,Raw_hydro_bm!B155,"")</f>
        <v>v</v>
      </c>
      <c r="B155" t="str">
        <f>IF(ROW(B155)&lt;=Bidding!$D$11,Raw_hydro_bm!C155,"")</f>
        <v>c</v>
      </c>
      <c r="C155">
        <f>IF(ROW(C155)&lt;=Bidding!$D$11,Raw_hydro_bm!D155,"")</f>
        <v>0</v>
      </c>
      <c r="D155">
        <f>IF(ROW(D155)&lt;=Bidding!$D$11,Raw_hydro_bm!E155,"")</f>
        <v>0</v>
      </c>
      <c r="E155">
        <f>IF(ROW(E155)&lt;=Bidding!$D$11,Raw_hydro_bm!F155,"")</f>
        <v>0</v>
      </c>
      <c r="F155">
        <f>IF(ROW(F155)&lt;=Bidding!$D$11,Raw_hydro_bm!G155,"")</f>
        <v>0</v>
      </c>
      <c r="G155">
        <f>IF(ROW(G155)&lt;=Bidding!$D$11,Raw_hydro_bm!H155,"")</f>
        <v>0</v>
      </c>
      <c r="H155" t="str">
        <f>IF(ROW(H155)&lt;=Bidding!$D$11,Raw_hydro_bm!I155,"")</f>
        <v>10.0</v>
      </c>
      <c r="I155" s="16">
        <f t="shared" si="2"/>
        <v>10</v>
      </c>
    </row>
    <row r="156" spans="1:9" x14ac:dyDescent="0.3">
      <c r="A156" t="str">
        <f>IF(ROW(A156)&lt;=Bidding!$D$11,Raw_hydro_bm!B156,"")</f>
        <v>p</v>
      </c>
      <c r="B156" t="str">
        <f>IF(ROW(B156)&lt;=Bidding!$D$11,Raw_hydro_bm!C156,"")</f>
        <v>c</v>
      </c>
      <c r="C156">
        <f>IF(ROW(C156)&lt;=Bidding!$D$11,Raw_hydro_bm!D156,"")</f>
        <v>0</v>
      </c>
      <c r="D156">
        <f>IF(ROW(D156)&lt;=Bidding!$D$11,Raw_hydro_bm!E156,"")</f>
        <v>0</v>
      </c>
      <c r="E156">
        <f>IF(ROW(E156)&lt;=Bidding!$D$11,Raw_hydro_bm!F156,"")</f>
        <v>0</v>
      </c>
      <c r="F156">
        <f>IF(ROW(F156)&lt;=Bidding!$D$11,Raw_hydro_bm!G156,"")</f>
        <v>0</v>
      </c>
      <c r="G156">
        <f>IF(ROW(G156)&lt;=Bidding!$D$11,Raw_hydro_bm!H156,"")</f>
        <v>1</v>
      </c>
      <c r="H156" t="str">
        <f>IF(ROW(H156)&lt;=Bidding!$D$11,Raw_hydro_bm!I156,"")</f>
        <v>0.0</v>
      </c>
      <c r="I156" s="16">
        <f t="shared" si="2"/>
        <v>0</v>
      </c>
    </row>
    <row r="157" spans="1:9" x14ac:dyDescent="0.3">
      <c r="A157" t="str">
        <f>IF(ROW(A157)&lt;=Bidding!$D$11,Raw_hydro_bm!B157,"")</f>
        <v>v</v>
      </c>
      <c r="B157" t="str">
        <f>IF(ROW(B157)&lt;=Bidding!$D$11,Raw_hydro_bm!C157,"")</f>
        <v>c</v>
      </c>
      <c r="C157">
        <f>IF(ROW(C157)&lt;=Bidding!$D$11,Raw_hydro_bm!D157,"")</f>
        <v>0</v>
      </c>
      <c r="D157">
        <f>IF(ROW(D157)&lt;=Bidding!$D$11,Raw_hydro_bm!E157,"")</f>
        <v>0</v>
      </c>
      <c r="E157">
        <f>IF(ROW(E157)&lt;=Bidding!$D$11,Raw_hydro_bm!F157,"")</f>
        <v>0</v>
      </c>
      <c r="F157">
        <f>IF(ROW(F157)&lt;=Bidding!$D$11,Raw_hydro_bm!G157,"")</f>
        <v>0</v>
      </c>
      <c r="G157">
        <f>IF(ROW(G157)&lt;=Bidding!$D$11,Raw_hydro_bm!H157,"")</f>
        <v>1</v>
      </c>
      <c r="H157" t="str">
        <f>IF(ROW(H157)&lt;=Bidding!$D$11,Raw_hydro_bm!I157,"")</f>
        <v>20.0</v>
      </c>
      <c r="I157" s="16">
        <f t="shared" si="2"/>
        <v>20</v>
      </c>
    </row>
    <row r="158" spans="1:9" x14ac:dyDescent="0.3">
      <c r="A158" t="str">
        <f>IF(ROW(A158)&lt;=Bidding!$D$11,Raw_hydro_bm!B158,"")</f>
        <v>p</v>
      </c>
      <c r="B158" t="str">
        <f>IF(ROW(B158)&lt;=Bidding!$D$11,Raw_hydro_bm!C158,"")</f>
        <v>c</v>
      </c>
      <c r="C158">
        <f>IF(ROW(C158)&lt;=Bidding!$D$11,Raw_hydro_bm!D158,"")</f>
        <v>0</v>
      </c>
      <c r="D158">
        <f>IF(ROW(D158)&lt;=Bidding!$D$11,Raw_hydro_bm!E158,"")</f>
        <v>0</v>
      </c>
      <c r="E158">
        <f>IF(ROW(E158)&lt;=Bidding!$D$11,Raw_hydro_bm!F158,"")</f>
        <v>0</v>
      </c>
      <c r="F158">
        <f>IF(ROW(F158)&lt;=Bidding!$D$11,Raw_hydro_bm!G158,"")</f>
        <v>0</v>
      </c>
      <c r="G158">
        <f>IF(ROW(G158)&lt;=Bidding!$D$11,Raw_hydro_bm!H158,"")</f>
        <v>2</v>
      </c>
      <c r="H158" t="str">
        <f>IF(ROW(H158)&lt;=Bidding!$D$11,Raw_hydro_bm!I158,"")</f>
        <v>0.0</v>
      </c>
      <c r="I158" s="16">
        <f t="shared" si="2"/>
        <v>0</v>
      </c>
    </row>
    <row r="159" spans="1:9" x14ac:dyDescent="0.3">
      <c r="A159" t="str">
        <f>IF(ROW(A159)&lt;=Bidding!$D$11,Raw_hydro_bm!B159,"")</f>
        <v>v</v>
      </c>
      <c r="B159" t="str">
        <f>IF(ROW(B159)&lt;=Bidding!$D$11,Raw_hydro_bm!C159,"")</f>
        <v>c</v>
      </c>
      <c r="C159">
        <f>IF(ROW(C159)&lt;=Bidding!$D$11,Raw_hydro_bm!D159,"")</f>
        <v>0</v>
      </c>
      <c r="D159">
        <f>IF(ROW(D159)&lt;=Bidding!$D$11,Raw_hydro_bm!E159,"")</f>
        <v>0</v>
      </c>
      <c r="E159">
        <f>IF(ROW(E159)&lt;=Bidding!$D$11,Raw_hydro_bm!F159,"")</f>
        <v>0</v>
      </c>
      <c r="F159">
        <f>IF(ROW(F159)&lt;=Bidding!$D$11,Raw_hydro_bm!G159,"")</f>
        <v>0</v>
      </c>
      <c r="G159">
        <f>IF(ROW(G159)&lt;=Bidding!$D$11,Raw_hydro_bm!H159,"")</f>
        <v>2</v>
      </c>
      <c r="H159" t="str">
        <f>IF(ROW(H159)&lt;=Bidding!$D$11,Raw_hydro_bm!I159,"")</f>
        <v>10.0</v>
      </c>
      <c r="I159" s="16">
        <f t="shared" si="2"/>
        <v>10</v>
      </c>
    </row>
    <row r="160" spans="1:9" x14ac:dyDescent="0.3">
      <c r="A160" t="str">
        <f>IF(ROW(A160)&lt;=Bidding!$D$11,Raw_hydro_bm!B160,"")</f>
        <v>p</v>
      </c>
      <c r="B160" t="str">
        <f>IF(ROW(B160)&lt;=Bidding!$D$11,Raw_hydro_bm!C160,"")</f>
        <v>c</v>
      </c>
      <c r="C160">
        <f>IF(ROW(C160)&lt;=Bidding!$D$11,Raw_hydro_bm!D160,"")</f>
        <v>0</v>
      </c>
      <c r="D160">
        <f>IF(ROW(D160)&lt;=Bidding!$D$11,Raw_hydro_bm!E160,"")</f>
        <v>0</v>
      </c>
      <c r="E160">
        <f>IF(ROW(E160)&lt;=Bidding!$D$11,Raw_hydro_bm!F160,"")</f>
        <v>0</v>
      </c>
      <c r="F160">
        <f>IF(ROW(F160)&lt;=Bidding!$D$11,Raw_hydro_bm!G160,"")</f>
        <v>1</v>
      </c>
      <c r="G160">
        <f>IF(ROW(G160)&lt;=Bidding!$D$11,Raw_hydro_bm!H160,"")</f>
        <v>0</v>
      </c>
      <c r="H160" t="str">
        <f>IF(ROW(H160)&lt;=Bidding!$D$11,Raw_hydro_bm!I160,"")</f>
        <v>0.0</v>
      </c>
      <c r="I160" s="16">
        <f t="shared" si="2"/>
        <v>0</v>
      </c>
    </row>
    <row r="161" spans="1:9" x14ac:dyDescent="0.3">
      <c r="A161" t="str">
        <f>IF(ROW(A161)&lt;=Bidding!$D$11,Raw_hydro_bm!B161,"")</f>
        <v>v</v>
      </c>
      <c r="B161" t="str">
        <f>IF(ROW(B161)&lt;=Bidding!$D$11,Raw_hydro_bm!C161,"")</f>
        <v>c</v>
      </c>
      <c r="C161">
        <f>IF(ROW(C161)&lt;=Bidding!$D$11,Raw_hydro_bm!D161,"")</f>
        <v>0</v>
      </c>
      <c r="D161">
        <f>IF(ROW(D161)&lt;=Bidding!$D$11,Raw_hydro_bm!E161,"")</f>
        <v>0</v>
      </c>
      <c r="E161">
        <f>IF(ROW(E161)&lt;=Bidding!$D$11,Raw_hydro_bm!F161,"")</f>
        <v>0</v>
      </c>
      <c r="F161">
        <f>IF(ROW(F161)&lt;=Bidding!$D$11,Raw_hydro_bm!G161,"")</f>
        <v>1</v>
      </c>
      <c r="G161">
        <f>IF(ROW(G161)&lt;=Bidding!$D$11,Raw_hydro_bm!H161,"")</f>
        <v>0</v>
      </c>
      <c r="H161" t="str">
        <f>IF(ROW(H161)&lt;=Bidding!$D$11,Raw_hydro_bm!I161,"")</f>
        <v>0.0</v>
      </c>
      <c r="I161" s="16">
        <f t="shared" si="2"/>
        <v>0</v>
      </c>
    </row>
    <row r="162" spans="1:9" x14ac:dyDescent="0.3">
      <c r="A162" t="str">
        <f>IF(ROW(A162)&lt;=Bidding!$D$11,Raw_hydro_bm!B162,"")</f>
        <v>p</v>
      </c>
      <c r="B162" t="str">
        <f>IF(ROW(B162)&lt;=Bidding!$D$11,Raw_hydro_bm!C162,"")</f>
        <v>c</v>
      </c>
      <c r="C162">
        <f>IF(ROW(C162)&lt;=Bidding!$D$11,Raw_hydro_bm!D162,"")</f>
        <v>0</v>
      </c>
      <c r="D162">
        <f>IF(ROW(D162)&lt;=Bidding!$D$11,Raw_hydro_bm!E162,"")</f>
        <v>0</v>
      </c>
      <c r="E162">
        <f>IF(ROW(E162)&lt;=Bidding!$D$11,Raw_hydro_bm!F162,"")</f>
        <v>0</v>
      </c>
      <c r="F162">
        <f>IF(ROW(F162)&lt;=Bidding!$D$11,Raw_hydro_bm!G162,"")</f>
        <v>1</v>
      </c>
      <c r="G162">
        <f>IF(ROW(G162)&lt;=Bidding!$D$11,Raw_hydro_bm!H162,"")</f>
        <v>1</v>
      </c>
      <c r="H162" t="str">
        <f>IF(ROW(H162)&lt;=Bidding!$D$11,Raw_hydro_bm!I162,"")</f>
        <v>0.0</v>
      </c>
      <c r="I162" s="16">
        <f t="shared" si="2"/>
        <v>0</v>
      </c>
    </row>
    <row r="163" spans="1:9" x14ac:dyDescent="0.3">
      <c r="A163" t="str">
        <f>IF(ROW(A163)&lt;=Bidding!$D$11,Raw_hydro_bm!B163,"")</f>
        <v>v</v>
      </c>
      <c r="B163" t="str">
        <f>IF(ROW(B163)&lt;=Bidding!$D$11,Raw_hydro_bm!C163,"")</f>
        <v>c</v>
      </c>
      <c r="C163">
        <f>IF(ROW(C163)&lt;=Bidding!$D$11,Raw_hydro_bm!D163,"")</f>
        <v>0</v>
      </c>
      <c r="D163">
        <f>IF(ROW(D163)&lt;=Bidding!$D$11,Raw_hydro_bm!E163,"")</f>
        <v>0</v>
      </c>
      <c r="E163">
        <f>IF(ROW(E163)&lt;=Bidding!$D$11,Raw_hydro_bm!F163,"")</f>
        <v>0</v>
      </c>
      <c r="F163">
        <f>IF(ROW(F163)&lt;=Bidding!$D$11,Raw_hydro_bm!G163,"")</f>
        <v>1</v>
      </c>
      <c r="G163">
        <f>IF(ROW(G163)&lt;=Bidding!$D$11,Raw_hydro_bm!H163,"")</f>
        <v>1</v>
      </c>
      <c r="H163" t="str">
        <f>IF(ROW(H163)&lt;=Bidding!$D$11,Raw_hydro_bm!I163,"")</f>
        <v>0.0</v>
      </c>
      <c r="I163" s="16">
        <f t="shared" si="2"/>
        <v>0</v>
      </c>
    </row>
    <row r="164" spans="1:9" x14ac:dyDescent="0.3">
      <c r="A164" t="str">
        <f>IF(ROW(A164)&lt;=Bidding!$D$11,Raw_hydro_bm!B164,"")</f>
        <v>p</v>
      </c>
      <c r="B164" t="str">
        <f>IF(ROW(B164)&lt;=Bidding!$D$11,Raw_hydro_bm!C164,"")</f>
        <v>c</v>
      </c>
      <c r="C164">
        <f>IF(ROW(C164)&lt;=Bidding!$D$11,Raw_hydro_bm!D164,"")</f>
        <v>0</v>
      </c>
      <c r="D164">
        <f>IF(ROW(D164)&lt;=Bidding!$D$11,Raw_hydro_bm!E164,"")</f>
        <v>0</v>
      </c>
      <c r="E164">
        <f>IF(ROW(E164)&lt;=Bidding!$D$11,Raw_hydro_bm!F164,"")</f>
        <v>0</v>
      </c>
      <c r="F164">
        <f>IF(ROW(F164)&lt;=Bidding!$D$11,Raw_hydro_bm!G164,"")</f>
        <v>1</v>
      </c>
      <c r="G164">
        <f>IF(ROW(G164)&lt;=Bidding!$D$11,Raw_hydro_bm!H164,"")</f>
        <v>2</v>
      </c>
      <c r="H164" t="str">
        <f>IF(ROW(H164)&lt;=Bidding!$D$11,Raw_hydro_bm!I164,"")</f>
        <v>0.0</v>
      </c>
      <c r="I164" s="16">
        <f t="shared" si="2"/>
        <v>0</v>
      </c>
    </row>
    <row r="165" spans="1:9" x14ac:dyDescent="0.3">
      <c r="A165" t="str">
        <f>IF(ROW(A165)&lt;=Bidding!$D$11,Raw_hydro_bm!B165,"")</f>
        <v>v</v>
      </c>
      <c r="B165" t="str">
        <f>IF(ROW(B165)&lt;=Bidding!$D$11,Raw_hydro_bm!C165,"")</f>
        <v>c</v>
      </c>
      <c r="C165">
        <f>IF(ROW(C165)&lt;=Bidding!$D$11,Raw_hydro_bm!D165,"")</f>
        <v>0</v>
      </c>
      <c r="D165">
        <f>IF(ROW(D165)&lt;=Bidding!$D$11,Raw_hydro_bm!E165,"")</f>
        <v>0</v>
      </c>
      <c r="E165">
        <f>IF(ROW(E165)&lt;=Bidding!$D$11,Raw_hydro_bm!F165,"")</f>
        <v>0</v>
      </c>
      <c r="F165">
        <f>IF(ROW(F165)&lt;=Bidding!$D$11,Raw_hydro_bm!G165,"")</f>
        <v>1</v>
      </c>
      <c r="G165">
        <f>IF(ROW(G165)&lt;=Bidding!$D$11,Raw_hydro_bm!H165,"")</f>
        <v>2</v>
      </c>
      <c r="H165" t="str">
        <f>IF(ROW(H165)&lt;=Bidding!$D$11,Raw_hydro_bm!I165,"")</f>
        <v>0.0</v>
      </c>
      <c r="I165" s="16">
        <f t="shared" si="2"/>
        <v>0</v>
      </c>
    </row>
    <row r="166" spans="1:9" x14ac:dyDescent="0.3">
      <c r="A166" t="str">
        <f>IF(ROW(A166)&lt;=Bidding!$D$11,Raw_hydro_bm!B166,"")</f>
        <v>b</v>
      </c>
      <c r="B166" t="str">
        <f>IF(ROW(B166)&lt;=Bidding!$D$11,Raw_hydro_bm!C166,"")</f>
        <v>v</v>
      </c>
      <c r="C166" t="str">
        <f>IF(ROW(C166)&lt;=Bidding!$D$11,Raw_hydro_bm!D166,"")</f>
        <v>X</v>
      </c>
      <c r="D166">
        <f>IF(ROW(D166)&lt;=Bidding!$D$11,Raw_hydro_bm!E166,"")</f>
        <v>0</v>
      </c>
      <c r="E166">
        <f>IF(ROW(E166)&lt;=Bidding!$D$11,Raw_hydro_bm!F166,"")</f>
        <v>0</v>
      </c>
      <c r="F166">
        <f>IF(ROW(F166)&lt;=Bidding!$D$11,Raw_hydro_bm!G166,"")</f>
        <v>1</v>
      </c>
      <c r="G166">
        <f>IF(ROW(G166)&lt;=Bidding!$D$11,Raw_hydro_bm!H166,"")</f>
        <v>0</v>
      </c>
      <c r="H166" t="str">
        <f>IF(ROW(H166)&lt;=Bidding!$D$11,Raw_hydro_bm!I166,"")</f>
        <v>0.0</v>
      </c>
      <c r="I166" s="16">
        <f t="shared" si="2"/>
        <v>0</v>
      </c>
    </row>
    <row r="167" spans="1:9" x14ac:dyDescent="0.3">
      <c r="A167" t="str">
        <f>IF(ROW(A167)&lt;=Bidding!$D$11,Raw_hydro_bm!B167,"")</f>
        <v>b</v>
      </c>
      <c r="B167" t="str">
        <f>IF(ROW(B167)&lt;=Bidding!$D$11,Raw_hydro_bm!C167,"")</f>
        <v>v</v>
      </c>
      <c r="C167" t="str">
        <f>IF(ROW(C167)&lt;=Bidding!$D$11,Raw_hydro_bm!D167,"")</f>
        <v>X</v>
      </c>
      <c r="D167">
        <f>IF(ROW(D167)&lt;=Bidding!$D$11,Raw_hydro_bm!E167,"")</f>
        <v>0</v>
      </c>
      <c r="E167">
        <f>IF(ROW(E167)&lt;=Bidding!$D$11,Raw_hydro_bm!F167,"")</f>
        <v>0</v>
      </c>
      <c r="F167">
        <f>IF(ROW(F167)&lt;=Bidding!$D$11,Raw_hydro_bm!G167,"")</f>
        <v>1</v>
      </c>
      <c r="G167">
        <f>IF(ROW(G167)&lt;=Bidding!$D$11,Raw_hydro_bm!H167,"")</f>
        <v>1</v>
      </c>
      <c r="H167" t="str">
        <f>IF(ROW(H167)&lt;=Bidding!$D$11,Raw_hydro_bm!I167,"")</f>
        <v>0.0</v>
      </c>
      <c r="I167" s="16">
        <f t="shared" si="2"/>
        <v>0</v>
      </c>
    </row>
    <row r="168" spans="1:9" x14ac:dyDescent="0.3">
      <c r="A168" t="str">
        <f>IF(ROW(A168)&lt;=Bidding!$D$11,Raw_hydro_bm!B168,"")</f>
        <v>b</v>
      </c>
      <c r="B168" t="str">
        <f>IF(ROW(B168)&lt;=Bidding!$D$11,Raw_hydro_bm!C168,"")</f>
        <v>v</v>
      </c>
      <c r="C168" t="str">
        <f>IF(ROW(C168)&lt;=Bidding!$D$11,Raw_hydro_bm!D168,"")</f>
        <v>X</v>
      </c>
      <c r="D168">
        <f>IF(ROW(D168)&lt;=Bidding!$D$11,Raw_hydro_bm!E168,"")</f>
        <v>0</v>
      </c>
      <c r="E168">
        <f>IF(ROW(E168)&lt;=Bidding!$D$11,Raw_hydro_bm!F168,"")</f>
        <v>0</v>
      </c>
      <c r="F168">
        <f>IF(ROW(F168)&lt;=Bidding!$D$11,Raw_hydro_bm!G168,"")</f>
        <v>1</v>
      </c>
      <c r="G168">
        <f>IF(ROW(G168)&lt;=Bidding!$D$11,Raw_hydro_bm!H168,"")</f>
        <v>2</v>
      </c>
      <c r="H168" t="str">
        <f>IF(ROW(H168)&lt;=Bidding!$D$11,Raw_hydro_bm!I168,"")</f>
        <v>60.0</v>
      </c>
      <c r="I168" s="16">
        <f t="shared" si="2"/>
        <v>60</v>
      </c>
    </row>
    <row r="169" spans="1:9" x14ac:dyDescent="0.3">
      <c r="A169" t="str">
        <f>IF(ROW(A169)&lt;=Bidding!$D$11,Raw_hydro_bm!B169,"")</f>
        <v>p</v>
      </c>
      <c r="B169" t="str">
        <f>IF(ROW(B169)&lt;=Bidding!$D$11,Raw_hydro_bm!C169,"")</f>
        <v>c</v>
      </c>
      <c r="C169">
        <f>IF(ROW(C169)&lt;=Bidding!$D$11,Raw_hydro_bm!D169,"")</f>
        <v>0</v>
      </c>
      <c r="D169">
        <f>IF(ROW(D169)&lt;=Bidding!$D$11,Raw_hydro_bm!E169,"")</f>
        <v>0</v>
      </c>
      <c r="E169">
        <f>IF(ROW(E169)&lt;=Bidding!$D$11,Raw_hydro_bm!F169,"")</f>
        <v>1</v>
      </c>
      <c r="F169">
        <f>IF(ROW(F169)&lt;=Bidding!$D$11,Raw_hydro_bm!G169,"")</f>
        <v>0</v>
      </c>
      <c r="G169">
        <f>IF(ROW(G169)&lt;=Bidding!$D$11,Raw_hydro_bm!H169,"")</f>
        <v>0</v>
      </c>
      <c r="H169" t="str">
        <f>IF(ROW(H169)&lt;=Bidding!$D$11,Raw_hydro_bm!I169,"")</f>
        <v>0.0</v>
      </c>
      <c r="I169" s="16">
        <f t="shared" si="2"/>
        <v>0</v>
      </c>
    </row>
    <row r="170" spans="1:9" x14ac:dyDescent="0.3">
      <c r="A170" t="str">
        <f>IF(ROW(A170)&lt;=Bidding!$D$11,Raw_hydro_bm!B170,"")</f>
        <v>v</v>
      </c>
      <c r="B170" t="str">
        <f>IF(ROW(B170)&lt;=Bidding!$D$11,Raw_hydro_bm!C170,"")</f>
        <v>c</v>
      </c>
      <c r="C170">
        <f>IF(ROW(C170)&lt;=Bidding!$D$11,Raw_hydro_bm!D170,"")</f>
        <v>0</v>
      </c>
      <c r="D170">
        <f>IF(ROW(D170)&lt;=Bidding!$D$11,Raw_hydro_bm!E170,"")</f>
        <v>0</v>
      </c>
      <c r="E170">
        <f>IF(ROW(E170)&lt;=Bidding!$D$11,Raw_hydro_bm!F170,"")</f>
        <v>1</v>
      </c>
      <c r="F170">
        <f>IF(ROW(F170)&lt;=Bidding!$D$11,Raw_hydro_bm!G170,"")</f>
        <v>0</v>
      </c>
      <c r="G170">
        <f>IF(ROW(G170)&lt;=Bidding!$D$11,Raw_hydro_bm!H170,"")</f>
        <v>0</v>
      </c>
      <c r="H170" t="str">
        <f>IF(ROW(H170)&lt;=Bidding!$D$11,Raw_hydro_bm!I170,"")</f>
        <v>0.0</v>
      </c>
      <c r="I170" s="16">
        <f t="shared" si="2"/>
        <v>0</v>
      </c>
    </row>
    <row r="171" spans="1:9" x14ac:dyDescent="0.3">
      <c r="A171" t="str">
        <f>IF(ROW(A171)&lt;=Bidding!$D$11,Raw_hydro_bm!B171,"")</f>
        <v>p</v>
      </c>
      <c r="B171" t="str">
        <f>IF(ROW(B171)&lt;=Bidding!$D$11,Raw_hydro_bm!C171,"")</f>
        <v>c</v>
      </c>
      <c r="C171">
        <f>IF(ROW(C171)&lt;=Bidding!$D$11,Raw_hydro_bm!D171,"")</f>
        <v>0</v>
      </c>
      <c r="D171">
        <f>IF(ROW(D171)&lt;=Bidding!$D$11,Raw_hydro_bm!E171,"")</f>
        <v>0</v>
      </c>
      <c r="E171">
        <f>IF(ROW(E171)&lt;=Bidding!$D$11,Raw_hydro_bm!F171,"")</f>
        <v>1</v>
      </c>
      <c r="F171">
        <f>IF(ROW(F171)&lt;=Bidding!$D$11,Raw_hydro_bm!G171,"")</f>
        <v>0</v>
      </c>
      <c r="G171">
        <f>IF(ROW(G171)&lt;=Bidding!$D$11,Raw_hydro_bm!H171,"")</f>
        <v>1</v>
      </c>
      <c r="H171" t="str">
        <f>IF(ROW(H171)&lt;=Bidding!$D$11,Raw_hydro_bm!I171,"")</f>
        <v>0.0</v>
      </c>
      <c r="I171" s="16">
        <f t="shared" si="2"/>
        <v>0</v>
      </c>
    </row>
    <row r="172" spans="1:9" x14ac:dyDescent="0.3">
      <c r="A172" t="str">
        <f>IF(ROW(A172)&lt;=Bidding!$D$11,Raw_hydro_bm!B172,"")</f>
        <v>v</v>
      </c>
      <c r="B172" t="str">
        <f>IF(ROW(B172)&lt;=Bidding!$D$11,Raw_hydro_bm!C172,"")</f>
        <v>c</v>
      </c>
      <c r="C172">
        <f>IF(ROW(C172)&lt;=Bidding!$D$11,Raw_hydro_bm!D172,"")</f>
        <v>0</v>
      </c>
      <c r="D172">
        <f>IF(ROW(D172)&lt;=Bidding!$D$11,Raw_hydro_bm!E172,"")</f>
        <v>0</v>
      </c>
      <c r="E172">
        <f>IF(ROW(E172)&lt;=Bidding!$D$11,Raw_hydro_bm!F172,"")</f>
        <v>1</v>
      </c>
      <c r="F172">
        <f>IF(ROW(F172)&lt;=Bidding!$D$11,Raw_hydro_bm!G172,"")</f>
        <v>0</v>
      </c>
      <c r="G172">
        <f>IF(ROW(G172)&lt;=Bidding!$D$11,Raw_hydro_bm!H172,"")</f>
        <v>1</v>
      </c>
      <c r="H172" t="str">
        <f>IF(ROW(H172)&lt;=Bidding!$D$11,Raw_hydro_bm!I172,"")</f>
        <v>0.0</v>
      </c>
      <c r="I172" s="16">
        <f t="shared" si="2"/>
        <v>0</v>
      </c>
    </row>
    <row r="173" spans="1:9" x14ac:dyDescent="0.3">
      <c r="A173" t="str">
        <f>IF(ROW(A173)&lt;=Bidding!$D$11,Raw_hydro_bm!B173,"")</f>
        <v>p</v>
      </c>
      <c r="B173" t="str">
        <f>IF(ROW(B173)&lt;=Bidding!$D$11,Raw_hydro_bm!C173,"")</f>
        <v>c</v>
      </c>
      <c r="C173">
        <f>IF(ROW(C173)&lt;=Bidding!$D$11,Raw_hydro_bm!D173,"")</f>
        <v>0</v>
      </c>
      <c r="D173">
        <f>IF(ROW(D173)&lt;=Bidding!$D$11,Raw_hydro_bm!E173,"")</f>
        <v>0</v>
      </c>
      <c r="E173">
        <f>IF(ROW(E173)&lt;=Bidding!$D$11,Raw_hydro_bm!F173,"")</f>
        <v>1</v>
      </c>
      <c r="F173">
        <f>IF(ROW(F173)&lt;=Bidding!$D$11,Raw_hydro_bm!G173,"")</f>
        <v>0</v>
      </c>
      <c r="G173">
        <f>IF(ROW(G173)&lt;=Bidding!$D$11,Raw_hydro_bm!H173,"")</f>
        <v>2</v>
      </c>
      <c r="H173" t="str">
        <f>IF(ROW(H173)&lt;=Bidding!$D$11,Raw_hydro_bm!I173,"")</f>
        <v>0.0</v>
      </c>
      <c r="I173" s="16">
        <f t="shared" si="2"/>
        <v>0</v>
      </c>
    </row>
    <row r="174" spans="1:9" x14ac:dyDescent="0.3">
      <c r="A174" t="str">
        <f>IF(ROW(A174)&lt;=Bidding!$D$11,Raw_hydro_bm!B174,"")</f>
        <v>v</v>
      </c>
      <c r="B174" t="str">
        <f>IF(ROW(B174)&lt;=Bidding!$D$11,Raw_hydro_bm!C174,"")</f>
        <v>c</v>
      </c>
      <c r="C174">
        <f>IF(ROW(C174)&lt;=Bidding!$D$11,Raw_hydro_bm!D174,"")</f>
        <v>0</v>
      </c>
      <c r="D174">
        <f>IF(ROW(D174)&lt;=Bidding!$D$11,Raw_hydro_bm!E174,"")</f>
        <v>0</v>
      </c>
      <c r="E174">
        <f>IF(ROW(E174)&lt;=Bidding!$D$11,Raw_hydro_bm!F174,"")</f>
        <v>1</v>
      </c>
      <c r="F174">
        <f>IF(ROW(F174)&lt;=Bidding!$D$11,Raw_hydro_bm!G174,"")</f>
        <v>0</v>
      </c>
      <c r="G174">
        <f>IF(ROW(G174)&lt;=Bidding!$D$11,Raw_hydro_bm!H174,"")</f>
        <v>2</v>
      </c>
      <c r="H174" t="str">
        <f>IF(ROW(H174)&lt;=Bidding!$D$11,Raw_hydro_bm!I174,"")</f>
        <v>0.0</v>
      </c>
      <c r="I174" s="16">
        <f t="shared" si="2"/>
        <v>0</v>
      </c>
    </row>
    <row r="175" spans="1:9" x14ac:dyDescent="0.3">
      <c r="A175" t="str">
        <f>IF(ROW(A175)&lt;=Bidding!$D$11,Raw_hydro_bm!B175,"")</f>
        <v>p</v>
      </c>
      <c r="B175" t="str">
        <f>IF(ROW(B175)&lt;=Bidding!$D$11,Raw_hydro_bm!C175,"")</f>
        <v>c</v>
      </c>
      <c r="C175">
        <f>IF(ROW(C175)&lt;=Bidding!$D$11,Raw_hydro_bm!D175,"")</f>
        <v>0</v>
      </c>
      <c r="D175">
        <f>IF(ROW(D175)&lt;=Bidding!$D$11,Raw_hydro_bm!E175,"")</f>
        <v>0</v>
      </c>
      <c r="E175">
        <f>IF(ROW(E175)&lt;=Bidding!$D$11,Raw_hydro_bm!F175,"")</f>
        <v>1</v>
      </c>
      <c r="F175">
        <f>IF(ROW(F175)&lt;=Bidding!$D$11,Raw_hydro_bm!G175,"")</f>
        <v>1</v>
      </c>
      <c r="G175">
        <f>IF(ROW(G175)&lt;=Bidding!$D$11,Raw_hydro_bm!H175,"")</f>
        <v>0</v>
      </c>
      <c r="H175" t="str">
        <f>IF(ROW(H175)&lt;=Bidding!$D$11,Raw_hydro_bm!I175,"")</f>
        <v>0.0</v>
      </c>
      <c r="I175" s="16">
        <f t="shared" si="2"/>
        <v>0</v>
      </c>
    </row>
    <row r="176" spans="1:9" x14ac:dyDescent="0.3">
      <c r="A176" t="str">
        <f>IF(ROW(A176)&lt;=Bidding!$D$11,Raw_hydro_bm!B176,"")</f>
        <v>v</v>
      </c>
      <c r="B176" t="str">
        <f>IF(ROW(B176)&lt;=Bidding!$D$11,Raw_hydro_bm!C176,"")</f>
        <v>c</v>
      </c>
      <c r="C176">
        <f>IF(ROW(C176)&lt;=Bidding!$D$11,Raw_hydro_bm!D176,"")</f>
        <v>0</v>
      </c>
      <c r="D176">
        <f>IF(ROW(D176)&lt;=Bidding!$D$11,Raw_hydro_bm!E176,"")</f>
        <v>0</v>
      </c>
      <c r="E176">
        <f>IF(ROW(E176)&lt;=Bidding!$D$11,Raw_hydro_bm!F176,"")</f>
        <v>1</v>
      </c>
      <c r="F176">
        <f>IF(ROW(F176)&lt;=Bidding!$D$11,Raw_hydro_bm!G176,"")</f>
        <v>1</v>
      </c>
      <c r="G176">
        <f>IF(ROW(G176)&lt;=Bidding!$D$11,Raw_hydro_bm!H176,"")</f>
        <v>0</v>
      </c>
      <c r="H176" t="str">
        <f>IF(ROW(H176)&lt;=Bidding!$D$11,Raw_hydro_bm!I176,"")</f>
        <v>30.0</v>
      </c>
      <c r="I176" s="16">
        <f t="shared" si="2"/>
        <v>30</v>
      </c>
    </row>
    <row r="177" spans="1:9" x14ac:dyDescent="0.3">
      <c r="A177" t="str">
        <f>IF(ROW(A177)&lt;=Bidding!$D$11,Raw_hydro_bm!B177,"")</f>
        <v>p</v>
      </c>
      <c r="B177" t="str">
        <f>IF(ROW(B177)&lt;=Bidding!$D$11,Raw_hydro_bm!C177,"")</f>
        <v>c</v>
      </c>
      <c r="C177">
        <f>IF(ROW(C177)&lt;=Bidding!$D$11,Raw_hydro_bm!D177,"")</f>
        <v>0</v>
      </c>
      <c r="D177">
        <f>IF(ROW(D177)&lt;=Bidding!$D$11,Raw_hydro_bm!E177,"")</f>
        <v>0</v>
      </c>
      <c r="E177">
        <f>IF(ROW(E177)&lt;=Bidding!$D$11,Raw_hydro_bm!F177,"")</f>
        <v>1</v>
      </c>
      <c r="F177">
        <f>IF(ROW(F177)&lt;=Bidding!$D$11,Raw_hydro_bm!G177,"")</f>
        <v>1</v>
      </c>
      <c r="G177">
        <f>IF(ROW(G177)&lt;=Bidding!$D$11,Raw_hydro_bm!H177,"")</f>
        <v>1</v>
      </c>
      <c r="H177" t="str">
        <f>IF(ROW(H177)&lt;=Bidding!$D$11,Raw_hydro_bm!I177,"")</f>
        <v>0.0</v>
      </c>
      <c r="I177" s="16">
        <f t="shared" si="2"/>
        <v>0</v>
      </c>
    </row>
    <row r="178" spans="1:9" x14ac:dyDescent="0.3">
      <c r="A178" t="str">
        <f>IF(ROW(A178)&lt;=Bidding!$D$11,Raw_hydro_bm!B178,"")</f>
        <v>v</v>
      </c>
      <c r="B178" t="str">
        <f>IF(ROW(B178)&lt;=Bidding!$D$11,Raw_hydro_bm!C178,"")</f>
        <v>c</v>
      </c>
      <c r="C178">
        <f>IF(ROW(C178)&lt;=Bidding!$D$11,Raw_hydro_bm!D178,"")</f>
        <v>0</v>
      </c>
      <c r="D178">
        <f>IF(ROW(D178)&lt;=Bidding!$D$11,Raw_hydro_bm!E178,"")</f>
        <v>0</v>
      </c>
      <c r="E178">
        <f>IF(ROW(E178)&lt;=Bidding!$D$11,Raw_hydro_bm!F178,"")</f>
        <v>1</v>
      </c>
      <c r="F178">
        <f>IF(ROW(F178)&lt;=Bidding!$D$11,Raw_hydro_bm!G178,"")</f>
        <v>1</v>
      </c>
      <c r="G178">
        <f>IF(ROW(G178)&lt;=Bidding!$D$11,Raw_hydro_bm!H178,"")</f>
        <v>1</v>
      </c>
      <c r="H178" t="str">
        <f>IF(ROW(H178)&lt;=Bidding!$D$11,Raw_hydro_bm!I178,"")</f>
        <v>20.0</v>
      </c>
      <c r="I178" s="16">
        <f t="shared" si="2"/>
        <v>20</v>
      </c>
    </row>
    <row r="179" spans="1:9" x14ac:dyDescent="0.3">
      <c r="A179" t="str">
        <f>IF(ROW(A179)&lt;=Bidding!$D$11,Raw_hydro_bm!B179,"")</f>
        <v>p</v>
      </c>
      <c r="B179" t="str">
        <f>IF(ROW(B179)&lt;=Bidding!$D$11,Raw_hydro_bm!C179,"")</f>
        <v>c</v>
      </c>
      <c r="C179">
        <f>IF(ROW(C179)&lt;=Bidding!$D$11,Raw_hydro_bm!D179,"")</f>
        <v>0</v>
      </c>
      <c r="D179">
        <f>IF(ROW(D179)&lt;=Bidding!$D$11,Raw_hydro_bm!E179,"")</f>
        <v>0</v>
      </c>
      <c r="E179">
        <f>IF(ROW(E179)&lt;=Bidding!$D$11,Raw_hydro_bm!F179,"")</f>
        <v>1</v>
      </c>
      <c r="F179">
        <f>IF(ROW(F179)&lt;=Bidding!$D$11,Raw_hydro_bm!G179,"")</f>
        <v>1</v>
      </c>
      <c r="G179">
        <f>IF(ROW(G179)&lt;=Bidding!$D$11,Raw_hydro_bm!H179,"")</f>
        <v>2</v>
      </c>
      <c r="H179" t="str">
        <f>IF(ROW(H179)&lt;=Bidding!$D$11,Raw_hydro_bm!I179,"")</f>
        <v>0.0</v>
      </c>
      <c r="I179" s="16">
        <f t="shared" si="2"/>
        <v>0</v>
      </c>
    </row>
    <row r="180" spans="1:9" x14ac:dyDescent="0.3">
      <c r="A180" t="str">
        <f>IF(ROW(A180)&lt;=Bidding!$D$11,Raw_hydro_bm!B180,"")</f>
        <v>v</v>
      </c>
      <c r="B180" t="str">
        <f>IF(ROW(B180)&lt;=Bidding!$D$11,Raw_hydro_bm!C180,"")</f>
        <v>c</v>
      </c>
      <c r="C180">
        <f>IF(ROW(C180)&lt;=Bidding!$D$11,Raw_hydro_bm!D180,"")</f>
        <v>0</v>
      </c>
      <c r="D180">
        <f>IF(ROW(D180)&lt;=Bidding!$D$11,Raw_hydro_bm!E180,"")</f>
        <v>0</v>
      </c>
      <c r="E180">
        <f>IF(ROW(E180)&lt;=Bidding!$D$11,Raw_hydro_bm!F180,"")</f>
        <v>1</v>
      </c>
      <c r="F180">
        <f>IF(ROW(F180)&lt;=Bidding!$D$11,Raw_hydro_bm!G180,"")</f>
        <v>1</v>
      </c>
      <c r="G180">
        <f>IF(ROW(G180)&lt;=Bidding!$D$11,Raw_hydro_bm!H180,"")</f>
        <v>2</v>
      </c>
      <c r="H180" t="str">
        <f>IF(ROW(H180)&lt;=Bidding!$D$11,Raw_hydro_bm!I180,"")</f>
        <v>10.0</v>
      </c>
      <c r="I180" s="16">
        <f t="shared" si="2"/>
        <v>10</v>
      </c>
    </row>
    <row r="181" spans="1:9" x14ac:dyDescent="0.3">
      <c r="A181" t="str">
        <f>IF(ROW(A181)&lt;=Bidding!$D$11,Raw_hydro_bm!B181,"")</f>
        <v>b</v>
      </c>
      <c r="B181" t="str">
        <f>IF(ROW(B181)&lt;=Bidding!$D$11,Raw_hydro_bm!C181,"")</f>
        <v>v</v>
      </c>
      <c r="C181" t="str">
        <f>IF(ROW(C181)&lt;=Bidding!$D$11,Raw_hydro_bm!D181,"")</f>
        <v>X</v>
      </c>
      <c r="D181">
        <f>IF(ROW(D181)&lt;=Bidding!$D$11,Raw_hydro_bm!E181,"")</f>
        <v>0</v>
      </c>
      <c r="E181">
        <f>IF(ROW(E181)&lt;=Bidding!$D$11,Raw_hydro_bm!F181,"")</f>
        <v>1</v>
      </c>
      <c r="F181">
        <f>IF(ROW(F181)&lt;=Bidding!$D$11,Raw_hydro_bm!G181,"")</f>
        <v>0</v>
      </c>
      <c r="G181">
        <f>IF(ROW(G181)&lt;=Bidding!$D$11,Raw_hydro_bm!H181,"")</f>
        <v>0</v>
      </c>
      <c r="H181" t="str">
        <f>IF(ROW(H181)&lt;=Bidding!$D$11,Raw_hydro_bm!I181,"")</f>
        <v>0.0</v>
      </c>
      <c r="I181" s="16">
        <f t="shared" si="2"/>
        <v>0</v>
      </c>
    </row>
    <row r="182" spans="1:9" x14ac:dyDescent="0.3">
      <c r="A182" t="str">
        <f>IF(ROW(A182)&lt;=Bidding!$D$11,Raw_hydro_bm!B182,"")</f>
        <v>b</v>
      </c>
      <c r="B182" t="str">
        <f>IF(ROW(B182)&lt;=Bidding!$D$11,Raw_hydro_bm!C182,"")</f>
        <v>v</v>
      </c>
      <c r="C182" t="str">
        <f>IF(ROW(C182)&lt;=Bidding!$D$11,Raw_hydro_bm!D182,"")</f>
        <v>X</v>
      </c>
      <c r="D182">
        <f>IF(ROW(D182)&lt;=Bidding!$D$11,Raw_hydro_bm!E182,"")</f>
        <v>0</v>
      </c>
      <c r="E182">
        <f>IF(ROW(E182)&lt;=Bidding!$D$11,Raw_hydro_bm!F182,"")</f>
        <v>1</v>
      </c>
      <c r="F182">
        <f>IF(ROW(F182)&lt;=Bidding!$D$11,Raw_hydro_bm!G182,"")</f>
        <v>0</v>
      </c>
      <c r="G182">
        <f>IF(ROW(G182)&lt;=Bidding!$D$11,Raw_hydro_bm!H182,"")</f>
        <v>1</v>
      </c>
      <c r="H182" t="str">
        <f>IF(ROW(H182)&lt;=Bidding!$D$11,Raw_hydro_bm!I182,"")</f>
        <v>0.0</v>
      </c>
      <c r="I182" s="16">
        <f t="shared" si="2"/>
        <v>0</v>
      </c>
    </row>
    <row r="183" spans="1:9" x14ac:dyDescent="0.3">
      <c r="A183" t="str">
        <f>IF(ROW(A183)&lt;=Bidding!$D$11,Raw_hydro_bm!B183,"")</f>
        <v>b</v>
      </c>
      <c r="B183" t="str">
        <f>IF(ROW(B183)&lt;=Bidding!$D$11,Raw_hydro_bm!C183,"")</f>
        <v>v</v>
      </c>
      <c r="C183" t="str">
        <f>IF(ROW(C183)&lt;=Bidding!$D$11,Raw_hydro_bm!D183,"")</f>
        <v>X</v>
      </c>
      <c r="D183">
        <f>IF(ROW(D183)&lt;=Bidding!$D$11,Raw_hydro_bm!E183,"")</f>
        <v>0</v>
      </c>
      <c r="E183">
        <f>IF(ROW(E183)&lt;=Bidding!$D$11,Raw_hydro_bm!F183,"")</f>
        <v>1</v>
      </c>
      <c r="F183">
        <f>IF(ROW(F183)&lt;=Bidding!$D$11,Raw_hydro_bm!G183,"")</f>
        <v>0</v>
      </c>
      <c r="G183">
        <f>IF(ROW(G183)&lt;=Bidding!$D$11,Raw_hydro_bm!H183,"")</f>
        <v>2</v>
      </c>
      <c r="H183" t="str">
        <f>IF(ROW(H183)&lt;=Bidding!$D$11,Raw_hydro_bm!I183,"")</f>
        <v>60.0</v>
      </c>
      <c r="I183" s="16">
        <f t="shared" si="2"/>
        <v>60</v>
      </c>
    </row>
    <row r="184" spans="1:9" x14ac:dyDescent="0.3">
      <c r="A184" t="str">
        <f>IF(ROW(A184)&lt;=Bidding!$D$11,Raw_hydro_bm!B184,"")</f>
        <v>p</v>
      </c>
      <c r="B184" t="str">
        <f>IF(ROW(B184)&lt;=Bidding!$D$11,Raw_hydro_bm!C184,"")</f>
        <v>c</v>
      </c>
      <c r="C184">
        <f>IF(ROW(C184)&lt;=Bidding!$D$11,Raw_hydro_bm!D184,"")</f>
        <v>0</v>
      </c>
      <c r="D184">
        <f>IF(ROW(D184)&lt;=Bidding!$D$11,Raw_hydro_bm!E184,"")</f>
        <v>1</v>
      </c>
      <c r="E184">
        <f>IF(ROW(E184)&lt;=Bidding!$D$11,Raw_hydro_bm!F184,"")</f>
        <v>0</v>
      </c>
      <c r="F184">
        <f>IF(ROW(F184)&lt;=Bidding!$D$11,Raw_hydro_bm!G184,"")</f>
        <v>0</v>
      </c>
      <c r="G184">
        <f>IF(ROW(G184)&lt;=Bidding!$D$11,Raw_hydro_bm!H184,"")</f>
        <v>0</v>
      </c>
      <c r="H184" t="str">
        <f>IF(ROW(H184)&lt;=Bidding!$D$11,Raw_hydro_bm!I184,"")</f>
        <v>0.0</v>
      </c>
      <c r="I184" s="16">
        <f t="shared" si="2"/>
        <v>0</v>
      </c>
    </row>
    <row r="185" spans="1:9" x14ac:dyDescent="0.3">
      <c r="A185" t="str">
        <f>IF(ROW(A185)&lt;=Bidding!$D$11,Raw_hydro_bm!B185,"")</f>
        <v>v</v>
      </c>
      <c r="B185" t="str">
        <f>IF(ROW(B185)&lt;=Bidding!$D$11,Raw_hydro_bm!C185,"")</f>
        <v>c</v>
      </c>
      <c r="C185">
        <f>IF(ROW(C185)&lt;=Bidding!$D$11,Raw_hydro_bm!D185,"")</f>
        <v>0</v>
      </c>
      <c r="D185">
        <f>IF(ROW(D185)&lt;=Bidding!$D$11,Raw_hydro_bm!E185,"")</f>
        <v>1</v>
      </c>
      <c r="E185">
        <f>IF(ROW(E185)&lt;=Bidding!$D$11,Raw_hydro_bm!F185,"")</f>
        <v>0</v>
      </c>
      <c r="F185">
        <f>IF(ROW(F185)&lt;=Bidding!$D$11,Raw_hydro_bm!G185,"")</f>
        <v>0</v>
      </c>
      <c r="G185">
        <f>IF(ROW(G185)&lt;=Bidding!$D$11,Raw_hydro_bm!H185,"")</f>
        <v>0</v>
      </c>
      <c r="H185" t="str">
        <f>IF(ROW(H185)&lt;=Bidding!$D$11,Raw_hydro_bm!I185,"")</f>
        <v>30.0</v>
      </c>
      <c r="I185" s="16">
        <f t="shared" si="2"/>
        <v>30</v>
      </c>
    </row>
    <row r="186" spans="1:9" x14ac:dyDescent="0.3">
      <c r="A186" t="str">
        <f>IF(ROW(A186)&lt;=Bidding!$D$11,Raw_hydro_bm!B186,"")</f>
        <v>p</v>
      </c>
      <c r="B186" t="str">
        <f>IF(ROW(B186)&lt;=Bidding!$D$11,Raw_hydro_bm!C186,"")</f>
        <v>c</v>
      </c>
      <c r="C186">
        <f>IF(ROW(C186)&lt;=Bidding!$D$11,Raw_hydro_bm!D186,"")</f>
        <v>0</v>
      </c>
      <c r="D186">
        <f>IF(ROW(D186)&lt;=Bidding!$D$11,Raw_hydro_bm!E186,"")</f>
        <v>1</v>
      </c>
      <c r="E186">
        <f>IF(ROW(E186)&lt;=Bidding!$D$11,Raw_hydro_bm!F186,"")</f>
        <v>0</v>
      </c>
      <c r="F186">
        <f>IF(ROW(F186)&lt;=Bidding!$D$11,Raw_hydro_bm!G186,"")</f>
        <v>0</v>
      </c>
      <c r="G186">
        <f>IF(ROW(G186)&lt;=Bidding!$D$11,Raw_hydro_bm!H186,"")</f>
        <v>1</v>
      </c>
      <c r="H186" t="str">
        <f>IF(ROW(H186)&lt;=Bidding!$D$11,Raw_hydro_bm!I186,"")</f>
        <v>0.0</v>
      </c>
      <c r="I186" s="16">
        <f t="shared" si="2"/>
        <v>0</v>
      </c>
    </row>
    <row r="187" spans="1:9" x14ac:dyDescent="0.3">
      <c r="A187" t="str">
        <f>IF(ROW(A187)&lt;=Bidding!$D$11,Raw_hydro_bm!B187,"")</f>
        <v>v</v>
      </c>
      <c r="B187" t="str">
        <f>IF(ROW(B187)&lt;=Bidding!$D$11,Raw_hydro_bm!C187,"")</f>
        <v>c</v>
      </c>
      <c r="C187">
        <f>IF(ROW(C187)&lt;=Bidding!$D$11,Raw_hydro_bm!D187,"")</f>
        <v>0</v>
      </c>
      <c r="D187">
        <f>IF(ROW(D187)&lt;=Bidding!$D$11,Raw_hydro_bm!E187,"")</f>
        <v>1</v>
      </c>
      <c r="E187">
        <f>IF(ROW(E187)&lt;=Bidding!$D$11,Raw_hydro_bm!F187,"")</f>
        <v>0</v>
      </c>
      <c r="F187">
        <f>IF(ROW(F187)&lt;=Bidding!$D$11,Raw_hydro_bm!G187,"")</f>
        <v>0</v>
      </c>
      <c r="G187">
        <f>IF(ROW(G187)&lt;=Bidding!$D$11,Raw_hydro_bm!H187,"")</f>
        <v>1</v>
      </c>
      <c r="H187" t="str">
        <f>IF(ROW(H187)&lt;=Bidding!$D$11,Raw_hydro_bm!I187,"")</f>
        <v>20.0</v>
      </c>
      <c r="I187" s="16">
        <f t="shared" si="2"/>
        <v>20</v>
      </c>
    </row>
    <row r="188" spans="1:9" x14ac:dyDescent="0.3">
      <c r="A188" t="str">
        <f>IF(ROW(A188)&lt;=Bidding!$D$11,Raw_hydro_bm!B188,"")</f>
        <v>p</v>
      </c>
      <c r="B188" t="str">
        <f>IF(ROW(B188)&lt;=Bidding!$D$11,Raw_hydro_bm!C188,"")</f>
        <v>c</v>
      </c>
      <c r="C188">
        <f>IF(ROW(C188)&lt;=Bidding!$D$11,Raw_hydro_bm!D188,"")</f>
        <v>0</v>
      </c>
      <c r="D188">
        <f>IF(ROW(D188)&lt;=Bidding!$D$11,Raw_hydro_bm!E188,"")</f>
        <v>1</v>
      </c>
      <c r="E188">
        <f>IF(ROW(E188)&lt;=Bidding!$D$11,Raw_hydro_bm!F188,"")</f>
        <v>0</v>
      </c>
      <c r="F188">
        <f>IF(ROW(F188)&lt;=Bidding!$D$11,Raw_hydro_bm!G188,"")</f>
        <v>0</v>
      </c>
      <c r="G188">
        <f>IF(ROW(G188)&lt;=Bidding!$D$11,Raw_hydro_bm!H188,"")</f>
        <v>2</v>
      </c>
      <c r="H188" t="str">
        <f>IF(ROW(H188)&lt;=Bidding!$D$11,Raw_hydro_bm!I188,"")</f>
        <v>0.0</v>
      </c>
      <c r="I188" s="16">
        <f t="shared" si="2"/>
        <v>0</v>
      </c>
    </row>
    <row r="189" spans="1:9" x14ac:dyDescent="0.3">
      <c r="A189" t="str">
        <f>IF(ROW(A189)&lt;=Bidding!$D$11,Raw_hydro_bm!B189,"")</f>
        <v>v</v>
      </c>
      <c r="B189" t="str">
        <f>IF(ROW(B189)&lt;=Bidding!$D$11,Raw_hydro_bm!C189,"")</f>
        <v>c</v>
      </c>
      <c r="C189">
        <f>IF(ROW(C189)&lt;=Bidding!$D$11,Raw_hydro_bm!D189,"")</f>
        <v>0</v>
      </c>
      <c r="D189">
        <f>IF(ROW(D189)&lt;=Bidding!$D$11,Raw_hydro_bm!E189,"")</f>
        <v>1</v>
      </c>
      <c r="E189">
        <f>IF(ROW(E189)&lt;=Bidding!$D$11,Raw_hydro_bm!F189,"")</f>
        <v>0</v>
      </c>
      <c r="F189">
        <f>IF(ROW(F189)&lt;=Bidding!$D$11,Raw_hydro_bm!G189,"")</f>
        <v>0</v>
      </c>
      <c r="G189">
        <f>IF(ROW(G189)&lt;=Bidding!$D$11,Raw_hydro_bm!H189,"")</f>
        <v>2</v>
      </c>
      <c r="H189" t="str">
        <f>IF(ROW(H189)&lt;=Bidding!$D$11,Raw_hydro_bm!I189,"")</f>
        <v>10.0</v>
      </c>
      <c r="I189" s="16">
        <f t="shared" si="2"/>
        <v>10</v>
      </c>
    </row>
    <row r="190" spans="1:9" x14ac:dyDescent="0.3">
      <c r="A190" t="str">
        <f>IF(ROW(A190)&lt;=Bidding!$D$11,Raw_hydro_bm!B190,"")</f>
        <v>p</v>
      </c>
      <c r="B190" t="str">
        <f>IF(ROW(B190)&lt;=Bidding!$D$11,Raw_hydro_bm!C190,"")</f>
        <v>c</v>
      </c>
      <c r="C190">
        <f>IF(ROW(C190)&lt;=Bidding!$D$11,Raw_hydro_bm!D190,"")</f>
        <v>0</v>
      </c>
      <c r="D190">
        <f>IF(ROW(D190)&lt;=Bidding!$D$11,Raw_hydro_bm!E190,"")</f>
        <v>1</v>
      </c>
      <c r="E190">
        <f>IF(ROW(E190)&lt;=Bidding!$D$11,Raw_hydro_bm!F190,"")</f>
        <v>0</v>
      </c>
      <c r="F190">
        <f>IF(ROW(F190)&lt;=Bidding!$D$11,Raw_hydro_bm!G190,"")</f>
        <v>1</v>
      </c>
      <c r="G190">
        <f>IF(ROW(G190)&lt;=Bidding!$D$11,Raw_hydro_bm!H190,"")</f>
        <v>0</v>
      </c>
      <c r="H190" t="str">
        <f>IF(ROW(H190)&lt;=Bidding!$D$11,Raw_hydro_bm!I190,"")</f>
        <v>0.0</v>
      </c>
      <c r="I190" s="16">
        <f t="shared" si="2"/>
        <v>0</v>
      </c>
    </row>
    <row r="191" spans="1:9" x14ac:dyDescent="0.3">
      <c r="A191" t="str">
        <f>IF(ROW(A191)&lt;=Bidding!$D$11,Raw_hydro_bm!B191,"")</f>
        <v>v</v>
      </c>
      <c r="B191" t="str">
        <f>IF(ROW(B191)&lt;=Bidding!$D$11,Raw_hydro_bm!C191,"")</f>
        <v>c</v>
      </c>
      <c r="C191">
        <f>IF(ROW(C191)&lt;=Bidding!$D$11,Raw_hydro_bm!D191,"")</f>
        <v>0</v>
      </c>
      <c r="D191">
        <f>IF(ROW(D191)&lt;=Bidding!$D$11,Raw_hydro_bm!E191,"")</f>
        <v>1</v>
      </c>
      <c r="E191">
        <f>IF(ROW(E191)&lt;=Bidding!$D$11,Raw_hydro_bm!F191,"")</f>
        <v>0</v>
      </c>
      <c r="F191">
        <f>IF(ROW(F191)&lt;=Bidding!$D$11,Raw_hydro_bm!G191,"")</f>
        <v>1</v>
      </c>
      <c r="G191">
        <f>IF(ROW(G191)&lt;=Bidding!$D$11,Raw_hydro_bm!H191,"")</f>
        <v>0</v>
      </c>
      <c r="H191" t="str">
        <f>IF(ROW(H191)&lt;=Bidding!$D$11,Raw_hydro_bm!I191,"")</f>
        <v>0.0</v>
      </c>
      <c r="I191" s="16">
        <f t="shared" si="2"/>
        <v>0</v>
      </c>
    </row>
    <row r="192" spans="1:9" x14ac:dyDescent="0.3">
      <c r="A192" t="str">
        <f>IF(ROW(A192)&lt;=Bidding!$D$11,Raw_hydro_bm!B192,"")</f>
        <v>p</v>
      </c>
      <c r="B192" t="str">
        <f>IF(ROW(B192)&lt;=Bidding!$D$11,Raw_hydro_bm!C192,"")</f>
        <v>c</v>
      </c>
      <c r="C192">
        <f>IF(ROW(C192)&lt;=Bidding!$D$11,Raw_hydro_bm!D192,"")</f>
        <v>0</v>
      </c>
      <c r="D192">
        <f>IF(ROW(D192)&lt;=Bidding!$D$11,Raw_hydro_bm!E192,"")</f>
        <v>1</v>
      </c>
      <c r="E192">
        <f>IF(ROW(E192)&lt;=Bidding!$D$11,Raw_hydro_bm!F192,"")</f>
        <v>0</v>
      </c>
      <c r="F192">
        <f>IF(ROW(F192)&lt;=Bidding!$D$11,Raw_hydro_bm!G192,"")</f>
        <v>1</v>
      </c>
      <c r="G192">
        <f>IF(ROW(G192)&lt;=Bidding!$D$11,Raw_hydro_bm!H192,"")</f>
        <v>1</v>
      </c>
      <c r="H192" t="str">
        <f>IF(ROW(H192)&lt;=Bidding!$D$11,Raw_hydro_bm!I192,"")</f>
        <v>0.0</v>
      </c>
      <c r="I192" s="16">
        <f t="shared" si="2"/>
        <v>0</v>
      </c>
    </row>
    <row r="193" spans="1:9" x14ac:dyDescent="0.3">
      <c r="A193" t="str">
        <f>IF(ROW(A193)&lt;=Bidding!$D$11,Raw_hydro_bm!B193,"")</f>
        <v>v</v>
      </c>
      <c r="B193" t="str">
        <f>IF(ROW(B193)&lt;=Bidding!$D$11,Raw_hydro_bm!C193,"")</f>
        <v>c</v>
      </c>
      <c r="C193">
        <f>IF(ROW(C193)&lt;=Bidding!$D$11,Raw_hydro_bm!D193,"")</f>
        <v>0</v>
      </c>
      <c r="D193">
        <f>IF(ROW(D193)&lt;=Bidding!$D$11,Raw_hydro_bm!E193,"")</f>
        <v>1</v>
      </c>
      <c r="E193">
        <f>IF(ROW(E193)&lt;=Bidding!$D$11,Raw_hydro_bm!F193,"")</f>
        <v>0</v>
      </c>
      <c r="F193">
        <f>IF(ROW(F193)&lt;=Bidding!$D$11,Raw_hydro_bm!G193,"")</f>
        <v>1</v>
      </c>
      <c r="G193">
        <f>IF(ROW(G193)&lt;=Bidding!$D$11,Raw_hydro_bm!H193,"")</f>
        <v>1</v>
      </c>
      <c r="H193" t="str">
        <f>IF(ROW(H193)&lt;=Bidding!$D$11,Raw_hydro_bm!I193,"")</f>
        <v>0.0</v>
      </c>
      <c r="I193" s="16">
        <f t="shared" si="2"/>
        <v>0</v>
      </c>
    </row>
    <row r="194" spans="1:9" x14ac:dyDescent="0.3">
      <c r="A194" t="str">
        <f>IF(ROW(A194)&lt;=Bidding!$D$11,Raw_hydro_bm!B194,"")</f>
        <v>p</v>
      </c>
      <c r="B194" t="str">
        <f>IF(ROW(B194)&lt;=Bidding!$D$11,Raw_hydro_bm!C194,"")</f>
        <v>c</v>
      </c>
      <c r="C194">
        <f>IF(ROW(C194)&lt;=Bidding!$D$11,Raw_hydro_bm!D194,"")</f>
        <v>0</v>
      </c>
      <c r="D194">
        <f>IF(ROW(D194)&lt;=Bidding!$D$11,Raw_hydro_bm!E194,"")</f>
        <v>1</v>
      </c>
      <c r="E194">
        <f>IF(ROW(E194)&lt;=Bidding!$D$11,Raw_hydro_bm!F194,"")</f>
        <v>0</v>
      </c>
      <c r="F194">
        <f>IF(ROW(F194)&lt;=Bidding!$D$11,Raw_hydro_bm!G194,"")</f>
        <v>1</v>
      </c>
      <c r="G194">
        <f>IF(ROW(G194)&lt;=Bidding!$D$11,Raw_hydro_bm!H194,"")</f>
        <v>2</v>
      </c>
      <c r="H194" t="str">
        <f>IF(ROW(H194)&lt;=Bidding!$D$11,Raw_hydro_bm!I194,"")</f>
        <v>0.0</v>
      </c>
      <c r="I194" s="16">
        <f t="shared" ref="I194:I257" si="3">IF(IFERROR(FIND("e",H194),-1)&lt;0,IFERROR(_xlfn.NUMBERVALUE(LEFT(H194,FIND(".",H194)-1))+_xlfn.NUMBERVALUE("0,"&amp;RIGHT(H194,LEN(H194)-FIND(".",H194))),""),0)</f>
        <v>0</v>
      </c>
    </row>
    <row r="195" spans="1:9" x14ac:dyDescent="0.3">
      <c r="A195" t="str">
        <f>IF(ROW(A195)&lt;=Bidding!$D$11,Raw_hydro_bm!B195,"")</f>
        <v>v</v>
      </c>
      <c r="B195" t="str">
        <f>IF(ROW(B195)&lt;=Bidding!$D$11,Raw_hydro_bm!C195,"")</f>
        <v>c</v>
      </c>
      <c r="C195">
        <f>IF(ROW(C195)&lt;=Bidding!$D$11,Raw_hydro_bm!D195,"")</f>
        <v>0</v>
      </c>
      <c r="D195">
        <f>IF(ROW(D195)&lt;=Bidding!$D$11,Raw_hydro_bm!E195,"")</f>
        <v>1</v>
      </c>
      <c r="E195">
        <f>IF(ROW(E195)&lt;=Bidding!$D$11,Raw_hydro_bm!F195,"")</f>
        <v>0</v>
      </c>
      <c r="F195">
        <f>IF(ROW(F195)&lt;=Bidding!$D$11,Raw_hydro_bm!G195,"")</f>
        <v>1</v>
      </c>
      <c r="G195">
        <f>IF(ROW(G195)&lt;=Bidding!$D$11,Raw_hydro_bm!H195,"")</f>
        <v>2</v>
      </c>
      <c r="H195" t="str">
        <f>IF(ROW(H195)&lt;=Bidding!$D$11,Raw_hydro_bm!I195,"")</f>
        <v>0.0</v>
      </c>
      <c r="I195" s="16">
        <f t="shared" si="3"/>
        <v>0</v>
      </c>
    </row>
    <row r="196" spans="1:9" x14ac:dyDescent="0.3">
      <c r="A196" t="str">
        <f>IF(ROW(A196)&lt;=Bidding!$D$11,Raw_hydro_bm!B196,"")</f>
        <v>b</v>
      </c>
      <c r="B196" t="str">
        <f>IF(ROW(B196)&lt;=Bidding!$D$11,Raw_hydro_bm!C196,"")</f>
        <v>v</v>
      </c>
      <c r="C196" t="str">
        <f>IF(ROW(C196)&lt;=Bidding!$D$11,Raw_hydro_bm!D196,"")</f>
        <v>X</v>
      </c>
      <c r="D196">
        <f>IF(ROW(D196)&lt;=Bidding!$D$11,Raw_hydro_bm!E196,"")</f>
        <v>0</v>
      </c>
      <c r="E196">
        <f>IF(ROW(E196)&lt;=Bidding!$D$11,Raw_hydro_bm!F196,"")</f>
        <v>1</v>
      </c>
      <c r="F196">
        <f>IF(ROW(F196)&lt;=Bidding!$D$11,Raw_hydro_bm!G196,"")</f>
        <v>1</v>
      </c>
      <c r="G196">
        <f>IF(ROW(G196)&lt;=Bidding!$D$11,Raw_hydro_bm!H196,"")</f>
        <v>0</v>
      </c>
      <c r="H196" t="str">
        <f>IF(ROW(H196)&lt;=Bidding!$D$11,Raw_hydro_bm!I196,"")</f>
        <v>0.0</v>
      </c>
      <c r="I196" s="16">
        <f t="shared" si="3"/>
        <v>0</v>
      </c>
    </row>
    <row r="197" spans="1:9" x14ac:dyDescent="0.3">
      <c r="A197" t="str">
        <f>IF(ROW(A197)&lt;=Bidding!$D$11,Raw_hydro_bm!B197,"")</f>
        <v>b</v>
      </c>
      <c r="B197" t="str">
        <f>IF(ROW(B197)&lt;=Bidding!$D$11,Raw_hydro_bm!C197,"")</f>
        <v>v</v>
      </c>
      <c r="C197" t="str">
        <f>IF(ROW(C197)&lt;=Bidding!$D$11,Raw_hydro_bm!D197,"")</f>
        <v>X</v>
      </c>
      <c r="D197">
        <f>IF(ROW(D197)&lt;=Bidding!$D$11,Raw_hydro_bm!E197,"")</f>
        <v>0</v>
      </c>
      <c r="E197">
        <f>IF(ROW(E197)&lt;=Bidding!$D$11,Raw_hydro_bm!F197,"")</f>
        <v>1</v>
      </c>
      <c r="F197">
        <f>IF(ROW(F197)&lt;=Bidding!$D$11,Raw_hydro_bm!G197,"")</f>
        <v>1</v>
      </c>
      <c r="G197">
        <f>IF(ROW(G197)&lt;=Bidding!$D$11,Raw_hydro_bm!H197,"")</f>
        <v>1</v>
      </c>
      <c r="H197" t="str">
        <f>IF(ROW(H197)&lt;=Bidding!$D$11,Raw_hydro_bm!I197,"")</f>
        <v>0.0</v>
      </c>
      <c r="I197" s="16">
        <f t="shared" si="3"/>
        <v>0</v>
      </c>
    </row>
    <row r="198" spans="1:9" x14ac:dyDescent="0.3">
      <c r="A198" t="str">
        <f>IF(ROW(A198)&lt;=Bidding!$D$11,Raw_hydro_bm!B198,"")</f>
        <v>b</v>
      </c>
      <c r="B198" t="str">
        <f>IF(ROW(B198)&lt;=Bidding!$D$11,Raw_hydro_bm!C198,"")</f>
        <v>v</v>
      </c>
      <c r="C198" t="str">
        <f>IF(ROW(C198)&lt;=Bidding!$D$11,Raw_hydro_bm!D198,"")</f>
        <v>X</v>
      </c>
      <c r="D198">
        <f>IF(ROW(D198)&lt;=Bidding!$D$11,Raw_hydro_bm!E198,"")</f>
        <v>0</v>
      </c>
      <c r="E198">
        <f>IF(ROW(E198)&lt;=Bidding!$D$11,Raw_hydro_bm!F198,"")</f>
        <v>1</v>
      </c>
      <c r="F198">
        <f>IF(ROW(F198)&lt;=Bidding!$D$11,Raw_hydro_bm!G198,"")</f>
        <v>1</v>
      </c>
      <c r="G198">
        <f>IF(ROW(G198)&lt;=Bidding!$D$11,Raw_hydro_bm!H198,"")</f>
        <v>2</v>
      </c>
      <c r="H198" t="str">
        <f>IF(ROW(H198)&lt;=Bidding!$D$11,Raw_hydro_bm!I198,"")</f>
        <v>60.0</v>
      </c>
      <c r="I198" s="16">
        <f t="shared" si="3"/>
        <v>60</v>
      </c>
    </row>
    <row r="199" spans="1:9" x14ac:dyDescent="0.3">
      <c r="A199" t="str">
        <f>IF(ROW(A199)&lt;=Bidding!$D$11,Raw_hydro_bm!B199,"")</f>
        <v>p</v>
      </c>
      <c r="B199" t="str">
        <f>IF(ROW(B199)&lt;=Bidding!$D$11,Raw_hydro_bm!C199,"")</f>
        <v>c</v>
      </c>
      <c r="C199">
        <f>IF(ROW(C199)&lt;=Bidding!$D$11,Raw_hydro_bm!D199,"")</f>
        <v>0</v>
      </c>
      <c r="D199">
        <f>IF(ROW(D199)&lt;=Bidding!$D$11,Raw_hydro_bm!E199,"")</f>
        <v>1</v>
      </c>
      <c r="E199">
        <f>IF(ROW(E199)&lt;=Bidding!$D$11,Raw_hydro_bm!F199,"")</f>
        <v>1</v>
      </c>
      <c r="F199">
        <f>IF(ROW(F199)&lt;=Bidding!$D$11,Raw_hydro_bm!G199,"")</f>
        <v>0</v>
      </c>
      <c r="G199">
        <f>IF(ROW(G199)&lt;=Bidding!$D$11,Raw_hydro_bm!H199,"")</f>
        <v>0</v>
      </c>
      <c r="H199" t="str">
        <f>IF(ROW(H199)&lt;=Bidding!$D$11,Raw_hydro_bm!I199,"")</f>
        <v>0.0</v>
      </c>
      <c r="I199" s="16">
        <f t="shared" si="3"/>
        <v>0</v>
      </c>
    </row>
    <row r="200" spans="1:9" x14ac:dyDescent="0.3">
      <c r="A200" t="str">
        <f>IF(ROW(A200)&lt;=Bidding!$D$11,Raw_hydro_bm!B200,"")</f>
        <v>v</v>
      </c>
      <c r="B200" t="str">
        <f>IF(ROW(B200)&lt;=Bidding!$D$11,Raw_hydro_bm!C200,"")</f>
        <v>c</v>
      </c>
      <c r="C200">
        <f>IF(ROW(C200)&lt;=Bidding!$D$11,Raw_hydro_bm!D200,"")</f>
        <v>0</v>
      </c>
      <c r="D200">
        <f>IF(ROW(D200)&lt;=Bidding!$D$11,Raw_hydro_bm!E200,"")</f>
        <v>1</v>
      </c>
      <c r="E200">
        <f>IF(ROW(E200)&lt;=Bidding!$D$11,Raw_hydro_bm!F200,"")</f>
        <v>1</v>
      </c>
      <c r="F200">
        <f>IF(ROW(F200)&lt;=Bidding!$D$11,Raw_hydro_bm!G200,"")</f>
        <v>0</v>
      </c>
      <c r="G200">
        <f>IF(ROW(G200)&lt;=Bidding!$D$11,Raw_hydro_bm!H200,"")</f>
        <v>0</v>
      </c>
      <c r="H200" t="str">
        <f>IF(ROW(H200)&lt;=Bidding!$D$11,Raw_hydro_bm!I200,"")</f>
        <v>0.0</v>
      </c>
      <c r="I200" s="16">
        <f t="shared" si="3"/>
        <v>0</v>
      </c>
    </row>
    <row r="201" spans="1:9" x14ac:dyDescent="0.3">
      <c r="A201" t="str">
        <f>IF(ROW(A201)&lt;=Bidding!$D$11,Raw_hydro_bm!B201,"")</f>
        <v>p</v>
      </c>
      <c r="B201" t="str">
        <f>IF(ROW(B201)&lt;=Bidding!$D$11,Raw_hydro_bm!C201,"")</f>
        <v>c</v>
      </c>
      <c r="C201">
        <f>IF(ROW(C201)&lt;=Bidding!$D$11,Raw_hydro_bm!D201,"")</f>
        <v>0</v>
      </c>
      <c r="D201">
        <f>IF(ROW(D201)&lt;=Bidding!$D$11,Raw_hydro_bm!E201,"")</f>
        <v>1</v>
      </c>
      <c r="E201">
        <f>IF(ROW(E201)&lt;=Bidding!$D$11,Raw_hydro_bm!F201,"")</f>
        <v>1</v>
      </c>
      <c r="F201">
        <f>IF(ROW(F201)&lt;=Bidding!$D$11,Raw_hydro_bm!G201,"")</f>
        <v>0</v>
      </c>
      <c r="G201">
        <f>IF(ROW(G201)&lt;=Bidding!$D$11,Raw_hydro_bm!H201,"")</f>
        <v>1</v>
      </c>
      <c r="H201" t="str">
        <f>IF(ROW(H201)&lt;=Bidding!$D$11,Raw_hydro_bm!I201,"")</f>
        <v>0.0</v>
      </c>
      <c r="I201" s="16">
        <f t="shared" si="3"/>
        <v>0</v>
      </c>
    </row>
    <row r="202" spans="1:9" x14ac:dyDescent="0.3">
      <c r="A202" t="str">
        <f>IF(ROW(A202)&lt;=Bidding!$D$11,Raw_hydro_bm!B202,"")</f>
        <v>v</v>
      </c>
      <c r="B202" t="str">
        <f>IF(ROW(B202)&lt;=Bidding!$D$11,Raw_hydro_bm!C202,"")</f>
        <v>c</v>
      </c>
      <c r="C202">
        <f>IF(ROW(C202)&lt;=Bidding!$D$11,Raw_hydro_bm!D202,"")</f>
        <v>0</v>
      </c>
      <c r="D202">
        <f>IF(ROW(D202)&lt;=Bidding!$D$11,Raw_hydro_bm!E202,"")</f>
        <v>1</v>
      </c>
      <c r="E202">
        <f>IF(ROW(E202)&lt;=Bidding!$D$11,Raw_hydro_bm!F202,"")</f>
        <v>1</v>
      </c>
      <c r="F202">
        <f>IF(ROW(F202)&lt;=Bidding!$D$11,Raw_hydro_bm!G202,"")</f>
        <v>0</v>
      </c>
      <c r="G202">
        <f>IF(ROW(G202)&lt;=Bidding!$D$11,Raw_hydro_bm!H202,"")</f>
        <v>1</v>
      </c>
      <c r="H202" t="str">
        <f>IF(ROW(H202)&lt;=Bidding!$D$11,Raw_hydro_bm!I202,"")</f>
        <v>0.0</v>
      </c>
      <c r="I202" s="16">
        <f t="shared" si="3"/>
        <v>0</v>
      </c>
    </row>
    <row r="203" spans="1:9" x14ac:dyDescent="0.3">
      <c r="A203" t="str">
        <f>IF(ROW(A203)&lt;=Bidding!$D$11,Raw_hydro_bm!B203,"")</f>
        <v>p</v>
      </c>
      <c r="B203" t="str">
        <f>IF(ROW(B203)&lt;=Bidding!$D$11,Raw_hydro_bm!C203,"")</f>
        <v>c</v>
      </c>
      <c r="C203">
        <f>IF(ROW(C203)&lt;=Bidding!$D$11,Raw_hydro_bm!D203,"")</f>
        <v>0</v>
      </c>
      <c r="D203">
        <f>IF(ROW(D203)&lt;=Bidding!$D$11,Raw_hydro_bm!E203,"")</f>
        <v>1</v>
      </c>
      <c r="E203">
        <f>IF(ROW(E203)&lt;=Bidding!$D$11,Raw_hydro_bm!F203,"")</f>
        <v>1</v>
      </c>
      <c r="F203">
        <f>IF(ROW(F203)&lt;=Bidding!$D$11,Raw_hydro_bm!G203,"")</f>
        <v>0</v>
      </c>
      <c r="G203">
        <f>IF(ROW(G203)&lt;=Bidding!$D$11,Raw_hydro_bm!H203,"")</f>
        <v>2</v>
      </c>
      <c r="H203" t="str">
        <f>IF(ROW(H203)&lt;=Bidding!$D$11,Raw_hydro_bm!I203,"")</f>
        <v>0.0</v>
      </c>
      <c r="I203" s="16">
        <f t="shared" si="3"/>
        <v>0</v>
      </c>
    </row>
    <row r="204" spans="1:9" x14ac:dyDescent="0.3">
      <c r="A204" t="str">
        <f>IF(ROW(A204)&lt;=Bidding!$D$11,Raw_hydro_bm!B204,"")</f>
        <v>v</v>
      </c>
      <c r="B204" t="str">
        <f>IF(ROW(B204)&lt;=Bidding!$D$11,Raw_hydro_bm!C204,"")</f>
        <v>c</v>
      </c>
      <c r="C204">
        <f>IF(ROW(C204)&lt;=Bidding!$D$11,Raw_hydro_bm!D204,"")</f>
        <v>0</v>
      </c>
      <c r="D204">
        <f>IF(ROW(D204)&lt;=Bidding!$D$11,Raw_hydro_bm!E204,"")</f>
        <v>1</v>
      </c>
      <c r="E204">
        <f>IF(ROW(E204)&lt;=Bidding!$D$11,Raw_hydro_bm!F204,"")</f>
        <v>1</v>
      </c>
      <c r="F204">
        <f>IF(ROW(F204)&lt;=Bidding!$D$11,Raw_hydro_bm!G204,"")</f>
        <v>0</v>
      </c>
      <c r="G204">
        <f>IF(ROW(G204)&lt;=Bidding!$D$11,Raw_hydro_bm!H204,"")</f>
        <v>2</v>
      </c>
      <c r="H204" t="str">
        <f>IF(ROW(H204)&lt;=Bidding!$D$11,Raw_hydro_bm!I204,"")</f>
        <v>0.0</v>
      </c>
      <c r="I204" s="16">
        <f t="shared" si="3"/>
        <v>0</v>
      </c>
    </row>
    <row r="205" spans="1:9" x14ac:dyDescent="0.3">
      <c r="A205" t="str">
        <f>IF(ROW(A205)&lt;=Bidding!$D$11,Raw_hydro_bm!B205,"")</f>
        <v>p</v>
      </c>
      <c r="B205" t="str">
        <f>IF(ROW(B205)&lt;=Bidding!$D$11,Raw_hydro_bm!C205,"")</f>
        <v>c</v>
      </c>
      <c r="C205">
        <f>IF(ROW(C205)&lt;=Bidding!$D$11,Raw_hydro_bm!D205,"")</f>
        <v>0</v>
      </c>
      <c r="D205">
        <f>IF(ROW(D205)&lt;=Bidding!$D$11,Raw_hydro_bm!E205,"")</f>
        <v>1</v>
      </c>
      <c r="E205">
        <f>IF(ROW(E205)&lt;=Bidding!$D$11,Raw_hydro_bm!F205,"")</f>
        <v>1</v>
      </c>
      <c r="F205">
        <f>IF(ROW(F205)&lt;=Bidding!$D$11,Raw_hydro_bm!G205,"")</f>
        <v>1</v>
      </c>
      <c r="G205">
        <f>IF(ROW(G205)&lt;=Bidding!$D$11,Raw_hydro_bm!H205,"")</f>
        <v>0</v>
      </c>
      <c r="H205" t="str">
        <f>IF(ROW(H205)&lt;=Bidding!$D$11,Raw_hydro_bm!I205,"")</f>
        <v>0.0</v>
      </c>
      <c r="I205" s="16">
        <f t="shared" si="3"/>
        <v>0</v>
      </c>
    </row>
    <row r="206" spans="1:9" x14ac:dyDescent="0.3">
      <c r="A206" t="str">
        <f>IF(ROW(A206)&lt;=Bidding!$D$11,Raw_hydro_bm!B206,"")</f>
        <v>v</v>
      </c>
      <c r="B206" t="str">
        <f>IF(ROW(B206)&lt;=Bidding!$D$11,Raw_hydro_bm!C206,"")</f>
        <v>c</v>
      </c>
      <c r="C206">
        <f>IF(ROW(C206)&lt;=Bidding!$D$11,Raw_hydro_bm!D206,"")</f>
        <v>0</v>
      </c>
      <c r="D206">
        <f>IF(ROW(D206)&lt;=Bidding!$D$11,Raw_hydro_bm!E206,"")</f>
        <v>1</v>
      </c>
      <c r="E206">
        <f>IF(ROW(E206)&lt;=Bidding!$D$11,Raw_hydro_bm!F206,"")</f>
        <v>1</v>
      </c>
      <c r="F206">
        <f>IF(ROW(F206)&lt;=Bidding!$D$11,Raw_hydro_bm!G206,"")</f>
        <v>1</v>
      </c>
      <c r="G206">
        <f>IF(ROW(G206)&lt;=Bidding!$D$11,Raw_hydro_bm!H206,"")</f>
        <v>0</v>
      </c>
      <c r="H206" t="str">
        <f>IF(ROW(H206)&lt;=Bidding!$D$11,Raw_hydro_bm!I206,"")</f>
        <v>30.0</v>
      </c>
      <c r="I206" s="16">
        <f t="shared" si="3"/>
        <v>30</v>
      </c>
    </row>
    <row r="207" spans="1:9" x14ac:dyDescent="0.3">
      <c r="A207" t="str">
        <f>IF(ROW(A207)&lt;=Bidding!$D$11,Raw_hydro_bm!B207,"")</f>
        <v>p</v>
      </c>
      <c r="B207" t="str">
        <f>IF(ROW(B207)&lt;=Bidding!$D$11,Raw_hydro_bm!C207,"")</f>
        <v>c</v>
      </c>
      <c r="C207">
        <f>IF(ROW(C207)&lt;=Bidding!$D$11,Raw_hydro_bm!D207,"")</f>
        <v>0</v>
      </c>
      <c r="D207">
        <f>IF(ROW(D207)&lt;=Bidding!$D$11,Raw_hydro_bm!E207,"")</f>
        <v>1</v>
      </c>
      <c r="E207">
        <f>IF(ROW(E207)&lt;=Bidding!$D$11,Raw_hydro_bm!F207,"")</f>
        <v>1</v>
      </c>
      <c r="F207">
        <f>IF(ROW(F207)&lt;=Bidding!$D$11,Raw_hydro_bm!G207,"")</f>
        <v>1</v>
      </c>
      <c r="G207">
        <f>IF(ROW(G207)&lt;=Bidding!$D$11,Raw_hydro_bm!H207,"")</f>
        <v>1</v>
      </c>
      <c r="H207" t="str">
        <f>IF(ROW(H207)&lt;=Bidding!$D$11,Raw_hydro_bm!I207,"")</f>
        <v>0.0</v>
      </c>
      <c r="I207" s="16">
        <f t="shared" si="3"/>
        <v>0</v>
      </c>
    </row>
    <row r="208" spans="1:9" x14ac:dyDescent="0.3">
      <c r="A208" t="str">
        <f>IF(ROW(A208)&lt;=Bidding!$D$11,Raw_hydro_bm!B208,"")</f>
        <v>v</v>
      </c>
      <c r="B208" t="str">
        <f>IF(ROW(B208)&lt;=Bidding!$D$11,Raw_hydro_bm!C208,"")</f>
        <v>c</v>
      </c>
      <c r="C208">
        <f>IF(ROW(C208)&lt;=Bidding!$D$11,Raw_hydro_bm!D208,"")</f>
        <v>0</v>
      </c>
      <c r="D208">
        <f>IF(ROW(D208)&lt;=Bidding!$D$11,Raw_hydro_bm!E208,"")</f>
        <v>1</v>
      </c>
      <c r="E208">
        <f>IF(ROW(E208)&lt;=Bidding!$D$11,Raw_hydro_bm!F208,"")</f>
        <v>1</v>
      </c>
      <c r="F208">
        <f>IF(ROW(F208)&lt;=Bidding!$D$11,Raw_hydro_bm!G208,"")</f>
        <v>1</v>
      </c>
      <c r="G208">
        <f>IF(ROW(G208)&lt;=Bidding!$D$11,Raw_hydro_bm!H208,"")</f>
        <v>1</v>
      </c>
      <c r="H208" t="str">
        <f>IF(ROW(H208)&lt;=Bidding!$D$11,Raw_hydro_bm!I208,"")</f>
        <v>20.0</v>
      </c>
      <c r="I208" s="16">
        <f t="shared" si="3"/>
        <v>20</v>
      </c>
    </row>
    <row r="209" spans="1:9" x14ac:dyDescent="0.3">
      <c r="A209" t="str">
        <f>IF(ROW(A209)&lt;=Bidding!$D$11,Raw_hydro_bm!B209,"")</f>
        <v>p</v>
      </c>
      <c r="B209" t="str">
        <f>IF(ROW(B209)&lt;=Bidding!$D$11,Raw_hydro_bm!C209,"")</f>
        <v>c</v>
      </c>
      <c r="C209">
        <f>IF(ROW(C209)&lt;=Bidding!$D$11,Raw_hydro_bm!D209,"")</f>
        <v>0</v>
      </c>
      <c r="D209">
        <f>IF(ROW(D209)&lt;=Bidding!$D$11,Raw_hydro_bm!E209,"")</f>
        <v>1</v>
      </c>
      <c r="E209">
        <f>IF(ROW(E209)&lt;=Bidding!$D$11,Raw_hydro_bm!F209,"")</f>
        <v>1</v>
      </c>
      <c r="F209">
        <f>IF(ROW(F209)&lt;=Bidding!$D$11,Raw_hydro_bm!G209,"")</f>
        <v>1</v>
      </c>
      <c r="G209">
        <f>IF(ROW(G209)&lt;=Bidding!$D$11,Raw_hydro_bm!H209,"")</f>
        <v>2</v>
      </c>
      <c r="H209" t="str">
        <f>IF(ROW(H209)&lt;=Bidding!$D$11,Raw_hydro_bm!I209,"")</f>
        <v>0.0</v>
      </c>
      <c r="I209" s="16">
        <f t="shared" si="3"/>
        <v>0</v>
      </c>
    </row>
    <row r="210" spans="1:9" x14ac:dyDescent="0.3">
      <c r="A210" t="str">
        <f>IF(ROW(A210)&lt;=Bidding!$D$11,Raw_hydro_bm!B210,"")</f>
        <v>v</v>
      </c>
      <c r="B210" t="str">
        <f>IF(ROW(B210)&lt;=Bidding!$D$11,Raw_hydro_bm!C210,"")</f>
        <v>c</v>
      </c>
      <c r="C210">
        <f>IF(ROW(C210)&lt;=Bidding!$D$11,Raw_hydro_bm!D210,"")</f>
        <v>0</v>
      </c>
      <c r="D210">
        <f>IF(ROW(D210)&lt;=Bidding!$D$11,Raw_hydro_bm!E210,"")</f>
        <v>1</v>
      </c>
      <c r="E210">
        <f>IF(ROW(E210)&lt;=Bidding!$D$11,Raw_hydro_bm!F210,"")</f>
        <v>1</v>
      </c>
      <c r="F210">
        <f>IF(ROW(F210)&lt;=Bidding!$D$11,Raw_hydro_bm!G210,"")</f>
        <v>1</v>
      </c>
      <c r="G210">
        <f>IF(ROW(G210)&lt;=Bidding!$D$11,Raw_hydro_bm!H210,"")</f>
        <v>2</v>
      </c>
      <c r="H210" t="str">
        <f>IF(ROW(H210)&lt;=Bidding!$D$11,Raw_hydro_bm!I210,"")</f>
        <v>10.0</v>
      </c>
      <c r="I210" s="16">
        <f t="shared" si="3"/>
        <v>10</v>
      </c>
    </row>
    <row r="211" spans="1:9" x14ac:dyDescent="0.3">
      <c r="A211" t="str">
        <f>IF(ROW(A211)&lt;=Bidding!$D$11,Raw_hydro_bm!B211,"")</f>
        <v>b</v>
      </c>
      <c r="B211" t="str">
        <f>IF(ROW(B211)&lt;=Bidding!$D$11,Raw_hydro_bm!C211,"")</f>
        <v>v</v>
      </c>
      <c r="C211" t="str">
        <f>IF(ROW(C211)&lt;=Bidding!$D$11,Raw_hydro_bm!D211,"")</f>
        <v>X</v>
      </c>
      <c r="D211">
        <f>IF(ROW(D211)&lt;=Bidding!$D$11,Raw_hydro_bm!E211,"")</f>
        <v>0</v>
      </c>
      <c r="E211">
        <f>IF(ROW(E211)&lt;=Bidding!$D$11,Raw_hydro_bm!F211,"")</f>
        <v>2</v>
      </c>
      <c r="F211">
        <f>IF(ROW(F211)&lt;=Bidding!$D$11,Raw_hydro_bm!G211,"")</f>
        <v>0</v>
      </c>
      <c r="G211">
        <f>IF(ROW(G211)&lt;=Bidding!$D$11,Raw_hydro_bm!H211,"")</f>
        <v>0</v>
      </c>
      <c r="H211" t="str">
        <f>IF(ROW(H211)&lt;=Bidding!$D$11,Raw_hydro_bm!I211,"")</f>
        <v>0.0</v>
      </c>
      <c r="I211" s="16">
        <f t="shared" si="3"/>
        <v>0</v>
      </c>
    </row>
    <row r="212" spans="1:9" x14ac:dyDescent="0.3">
      <c r="A212" t="str">
        <f>IF(ROW(A212)&lt;=Bidding!$D$11,Raw_hydro_bm!B212,"")</f>
        <v>b</v>
      </c>
      <c r="B212" t="str">
        <f>IF(ROW(B212)&lt;=Bidding!$D$11,Raw_hydro_bm!C212,"")</f>
        <v>v</v>
      </c>
      <c r="C212" t="str">
        <f>IF(ROW(C212)&lt;=Bidding!$D$11,Raw_hydro_bm!D212,"")</f>
        <v>X</v>
      </c>
      <c r="D212">
        <f>IF(ROW(D212)&lt;=Bidding!$D$11,Raw_hydro_bm!E212,"")</f>
        <v>0</v>
      </c>
      <c r="E212">
        <f>IF(ROW(E212)&lt;=Bidding!$D$11,Raw_hydro_bm!F212,"")</f>
        <v>2</v>
      </c>
      <c r="F212">
        <f>IF(ROW(F212)&lt;=Bidding!$D$11,Raw_hydro_bm!G212,"")</f>
        <v>0</v>
      </c>
      <c r="G212">
        <f>IF(ROW(G212)&lt;=Bidding!$D$11,Raw_hydro_bm!H212,"")</f>
        <v>1</v>
      </c>
      <c r="H212" t="str">
        <f>IF(ROW(H212)&lt;=Bidding!$D$11,Raw_hydro_bm!I212,"")</f>
        <v>0.0</v>
      </c>
      <c r="I212" s="16">
        <f t="shared" si="3"/>
        <v>0</v>
      </c>
    </row>
    <row r="213" spans="1:9" x14ac:dyDescent="0.3">
      <c r="A213" t="str">
        <f>IF(ROW(A213)&lt;=Bidding!$D$11,Raw_hydro_bm!B213,"")</f>
        <v>b</v>
      </c>
      <c r="B213" t="str">
        <f>IF(ROW(B213)&lt;=Bidding!$D$11,Raw_hydro_bm!C213,"")</f>
        <v>v</v>
      </c>
      <c r="C213" t="str">
        <f>IF(ROW(C213)&lt;=Bidding!$D$11,Raw_hydro_bm!D213,"")</f>
        <v>X</v>
      </c>
      <c r="D213">
        <f>IF(ROW(D213)&lt;=Bidding!$D$11,Raw_hydro_bm!E213,"")</f>
        <v>0</v>
      </c>
      <c r="E213">
        <f>IF(ROW(E213)&lt;=Bidding!$D$11,Raw_hydro_bm!F213,"")</f>
        <v>2</v>
      </c>
      <c r="F213">
        <f>IF(ROW(F213)&lt;=Bidding!$D$11,Raw_hydro_bm!G213,"")</f>
        <v>0</v>
      </c>
      <c r="G213">
        <f>IF(ROW(G213)&lt;=Bidding!$D$11,Raw_hydro_bm!H213,"")</f>
        <v>2</v>
      </c>
      <c r="H213" t="str">
        <f>IF(ROW(H213)&lt;=Bidding!$D$11,Raw_hydro_bm!I213,"")</f>
        <v>60.0</v>
      </c>
      <c r="I213" s="16">
        <f t="shared" si="3"/>
        <v>60</v>
      </c>
    </row>
    <row r="214" spans="1:9" x14ac:dyDescent="0.3">
      <c r="A214" t="str">
        <f>IF(ROW(A214)&lt;=Bidding!$D$11,Raw_hydro_bm!B214,"")</f>
        <v>p</v>
      </c>
      <c r="B214" t="str">
        <f>IF(ROW(B214)&lt;=Bidding!$D$11,Raw_hydro_bm!C214,"")</f>
        <v>c</v>
      </c>
      <c r="C214">
        <f>IF(ROW(C214)&lt;=Bidding!$D$11,Raw_hydro_bm!D214,"")</f>
        <v>0</v>
      </c>
      <c r="D214">
        <f>IF(ROW(D214)&lt;=Bidding!$D$11,Raw_hydro_bm!E214,"")</f>
        <v>2</v>
      </c>
      <c r="E214">
        <f>IF(ROW(E214)&lt;=Bidding!$D$11,Raw_hydro_bm!F214,"")</f>
        <v>0</v>
      </c>
      <c r="F214">
        <f>IF(ROW(F214)&lt;=Bidding!$D$11,Raw_hydro_bm!G214,"")</f>
        <v>0</v>
      </c>
      <c r="G214">
        <f>IF(ROW(G214)&lt;=Bidding!$D$11,Raw_hydro_bm!H214,"")</f>
        <v>0</v>
      </c>
      <c r="H214" t="str">
        <f>IF(ROW(H214)&lt;=Bidding!$D$11,Raw_hydro_bm!I214,"")</f>
        <v>0.0</v>
      </c>
      <c r="I214" s="16">
        <f t="shared" si="3"/>
        <v>0</v>
      </c>
    </row>
    <row r="215" spans="1:9" x14ac:dyDescent="0.3">
      <c r="A215" t="str">
        <f>IF(ROW(A215)&lt;=Bidding!$D$11,Raw_hydro_bm!B215,"")</f>
        <v>v</v>
      </c>
      <c r="B215" t="str">
        <f>IF(ROW(B215)&lt;=Bidding!$D$11,Raw_hydro_bm!C215,"")</f>
        <v>c</v>
      </c>
      <c r="C215">
        <f>IF(ROW(C215)&lt;=Bidding!$D$11,Raw_hydro_bm!D215,"")</f>
        <v>0</v>
      </c>
      <c r="D215">
        <f>IF(ROW(D215)&lt;=Bidding!$D$11,Raw_hydro_bm!E215,"")</f>
        <v>2</v>
      </c>
      <c r="E215">
        <f>IF(ROW(E215)&lt;=Bidding!$D$11,Raw_hydro_bm!F215,"")</f>
        <v>0</v>
      </c>
      <c r="F215">
        <f>IF(ROW(F215)&lt;=Bidding!$D$11,Raw_hydro_bm!G215,"")</f>
        <v>0</v>
      </c>
      <c r="G215">
        <f>IF(ROW(G215)&lt;=Bidding!$D$11,Raw_hydro_bm!H215,"")</f>
        <v>0</v>
      </c>
      <c r="H215" t="str">
        <f>IF(ROW(H215)&lt;=Bidding!$D$11,Raw_hydro_bm!I215,"")</f>
        <v>30.0</v>
      </c>
      <c r="I215" s="16">
        <f t="shared" si="3"/>
        <v>30</v>
      </c>
    </row>
    <row r="216" spans="1:9" x14ac:dyDescent="0.3">
      <c r="A216" t="str">
        <f>IF(ROW(A216)&lt;=Bidding!$D$11,Raw_hydro_bm!B216,"")</f>
        <v>p</v>
      </c>
      <c r="B216" t="str">
        <f>IF(ROW(B216)&lt;=Bidding!$D$11,Raw_hydro_bm!C216,"")</f>
        <v>c</v>
      </c>
      <c r="C216">
        <f>IF(ROW(C216)&lt;=Bidding!$D$11,Raw_hydro_bm!D216,"")</f>
        <v>0</v>
      </c>
      <c r="D216">
        <f>IF(ROW(D216)&lt;=Bidding!$D$11,Raw_hydro_bm!E216,"")</f>
        <v>2</v>
      </c>
      <c r="E216">
        <f>IF(ROW(E216)&lt;=Bidding!$D$11,Raw_hydro_bm!F216,"")</f>
        <v>0</v>
      </c>
      <c r="F216">
        <f>IF(ROW(F216)&lt;=Bidding!$D$11,Raw_hydro_bm!G216,"")</f>
        <v>0</v>
      </c>
      <c r="G216">
        <f>IF(ROW(G216)&lt;=Bidding!$D$11,Raw_hydro_bm!H216,"")</f>
        <v>1</v>
      </c>
      <c r="H216" t="str">
        <f>IF(ROW(H216)&lt;=Bidding!$D$11,Raw_hydro_bm!I216,"")</f>
        <v>0.0</v>
      </c>
      <c r="I216" s="16">
        <f t="shared" si="3"/>
        <v>0</v>
      </c>
    </row>
    <row r="217" spans="1:9" x14ac:dyDescent="0.3">
      <c r="A217" t="str">
        <f>IF(ROW(A217)&lt;=Bidding!$D$11,Raw_hydro_bm!B217,"")</f>
        <v>v</v>
      </c>
      <c r="B217" t="str">
        <f>IF(ROW(B217)&lt;=Bidding!$D$11,Raw_hydro_bm!C217,"")</f>
        <v>c</v>
      </c>
      <c r="C217">
        <f>IF(ROW(C217)&lt;=Bidding!$D$11,Raw_hydro_bm!D217,"")</f>
        <v>0</v>
      </c>
      <c r="D217">
        <f>IF(ROW(D217)&lt;=Bidding!$D$11,Raw_hydro_bm!E217,"")</f>
        <v>2</v>
      </c>
      <c r="E217">
        <f>IF(ROW(E217)&lt;=Bidding!$D$11,Raw_hydro_bm!F217,"")</f>
        <v>0</v>
      </c>
      <c r="F217">
        <f>IF(ROW(F217)&lt;=Bidding!$D$11,Raw_hydro_bm!G217,"")</f>
        <v>0</v>
      </c>
      <c r="G217">
        <f>IF(ROW(G217)&lt;=Bidding!$D$11,Raw_hydro_bm!H217,"")</f>
        <v>1</v>
      </c>
      <c r="H217" t="str">
        <f>IF(ROW(H217)&lt;=Bidding!$D$11,Raw_hydro_bm!I217,"")</f>
        <v>20.0</v>
      </c>
      <c r="I217" s="16">
        <f t="shared" si="3"/>
        <v>20</v>
      </c>
    </row>
    <row r="218" spans="1:9" x14ac:dyDescent="0.3">
      <c r="A218" t="str">
        <f>IF(ROW(A218)&lt;=Bidding!$D$11,Raw_hydro_bm!B218,"")</f>
        <v>p</v>
      </c>
      <c r="B218" t="str">
        <f>IF(ROW(B218)&lt;=Bidding!$D$11,Raw_hydro_bm!C218,"")</f>
        <v>c</v>
      </c>
      <c r="C218">
        <f>IF(ROW(C218)&lt;=Bidding!$D$11,Raw_hydro_bm!D218,"")</f>
        <v>0</v>
      </c>
      <c r="D218">
        <f>IF(ROW(D218)&lt;=Bidding!$D$11,Raw_hydro_bm!E218,"")</f>
        <v>2</v>
      </c>
      <c r="E218">
        <f>IF(ROW(E218)&lt;=Bidding!$D$11,Raw_hydro_bm!F218,"")</f>
        <v>0</v>
      </c>
      <c r="F218">
        <f>IF(ROW(F218)&lt;=Bidding!$D$11,Raw_hydro_bm!G218,"")</f>
        <v>0</v>
      </c>
      <c r="G218">
        <f>IF(ROW(G218)&lt;=Bidding!$D$11,Raw_hydro_bm!H218,"")</f>
        <v>2</v>
      </c>
      <c r="H218" t="str">
        <f>IF(ROW(H218)&lt;=Bidding!$D$11,Raw_hydro_bm!I218,"")</f>
        <v>0.0</v>
      </c>
      <c r="I218" s="16">
        <f t="shared" si="3"/>
        <v>0</v>
      </c>
    </row>
    <row r="219" spans="1:9" x14ac:dyDescent="0.3">
      <c r="A219" t="str">
        <f>IF(ROW(A219)&lt;=Bidding!$D$11,Raw_hydro_bm!B219,"")</f>
        <v>v</v>
      </c>
      <c r="B219" t="str">
        <f>IF(ROW(B219)&lt;=Bidding!$D$11,Raw_hydro_bm!C219,"")</f>
        <v>c</v>
      </c>
      <c r="C219">
        <f>IF(ROW(C219)&lt;=Bidding!$D$11,Raw_hydro_bm!D219,"")</f>
        <v>0</v>
      </c>
      <c r="D219">
        <f>IF(ROW(D219)&lt;=Bidding!$D$11,Raw_hydro_bm!E219,"")</f>
        <v>2</v>
      </c>
      <c r="E219">
        <f>IF(ROW(E219)&lt;=Bidding!$D$11,Raw_hydro_bm!F219,"")</f>
        <v>0</v>
      </c>
      <c r="F219">
        <f>IF(ROW(F219)&lt;=Bidding!$D$11,Raw_hydro_bm!G219,"")</f>
        <v>0</v>
      </c>
      <c r="G219">
        <f>IF(ROW(G219)&lt;=Bidding!$D$11,Raw_hydro_bm!H219,"")</f>
        <v>2</v>
      </c>
      <c r="H219" t="str">
        <f>IF(ROW(H219)&lt;=Bidding!$D$11,Raw_hydro_bm!I219,"")</f>
        <v>10.0</v>
      </c>
      <c r="I219" s="16">
        <f t="shared" si="3"/>
        <v>10</v>
      </c>
    </row>
    <row r="220" spans="1:9" x14ac:dyDescent="0.3">
      <c r="A220" t="str">
        <f>IF(ROW(A220)&lt;=Bidding!$D$11,Raw_hydro_bm!B220,"")</f>
        <v>p</v>
      </c>
      <c r="B220" t="str">
        <f>IF(ROW(B220)&lt;=Bidding!$D$11,Raw_hydro_bm!C220,"")</f>
        <v>c</v>
      </c>
      <c r="C220">
        <f>IF(ROW(C220)&lt;=Bidding!$D$11,Raw_hydro_bm!D220,"")</f>
        <v>0</v>
      </c>
      <c r="D220">
        <f>IF(ROW(D220)&lt;=Bidding!$D$11,Raw_hydro_bm!E220,"")</f>
        <v>2</v>
      </c>
      <c r="E220">
        <f>IF(ROW(E220)&lt;=Bidding!$D$11,Raw_hydro_bm!F220,"")</f>
        <v>0</v>
      </c>
      <c r="F220">
        <f>IF(ROW(F220)&lt;=Bidding!$D$11,Raw_hydro_bm!G220,"")</f>
        <v>1</v>
      </c>
      <c r="G220">
        <f>IF(ROW(G220)&lt;=Bidding!$D$11,Raw_hydro_bm!H220,"")</f>
        <v>0</v>
      </c>
      <c r="H220" t="str">
        <f>IF(ROW(H220)&lt;=Bidding!$D$11,Raw_hydro_bm!I220,"")</f>
        <v>0.0</v>
      </c>
      <c r="I220" s="16">
        <f t="shared" si="3"/>
        <v>0</v>
      </c>
    </row>
    <row r="221" spans="1:9" x14ac:dyDescent="0.3">
      <c r="A221" t="str">
        <f>IF(ROW(A221)&lt;=Bidding!$D$11,Raw_hydro_bm!B221,"")</f>
        <v>v</v>
      </c>
      <c r="B221" t="str">
        <f>IF(ROW(B221)&lt;=Bidding!$D$11,Raw_hydro_bm!C221,"")</f>
        <v>c</v>
      </c>
      <c r="C221">
        <f>IF(ROW(C221)&lt;=Bidding!$D$11,Raw_hydro_bm!D221,"")</f>
        <v>0</v>
      </c>
      <c r="D221">
        <f>IF(ROW(D221)&lt;=Bidding!$D$11,Raw_hydro_bm!E221,"")</f>
        <v>2</v>
      </c>
      <c r="E221">
        <f>IF(ROW(E221)&lt;=Bidding!$D$11,Raw_hydro_bm!F221,"")</f>
        <v>0</v>
      </c>
      <c r="F221">
        <f>IF(ROW(F221)&lt;=Bidding!$D$11,Raw_hydro_bm!G221,"")</f>
        <v>1</v>
      </c>
      <c r="G221">
        <f>IF(ROW(G221)&lt;=Bidding!$D$11,Raw_hydro_bm!H221,"")</f>
        <v>0</v>
      </c>
      <c r="H221" t="str">
        <f>IF(ROW(H221)&lt;=Bidding!$D$11,Raw_hydro_bm!I221,"")</f>
        <v>0.0</v>
      </c>
      <c r="I221" s="16">
        <f t="shared" si="3"/>
        <v>0</v>
      </c>
    </row>
    <row r="222" spans="1:9" x14ac:dyDescent="0.3">
      <c r="A222" t="str">
        <f>IF(ROW(A222)&lt;=Bidding!$D$11,Raw_hydro_bm!B222,"")</f>
        <v>p</v>
      </c>
      <c r="B222" t="str">
        <f>IF(ROW(B222)&lt;=Bidding!$D$11,Raw_hydro_bm!C222,"")</f>
        <v>c</v>
      </c>
      <c r="C222">
        <f>IF(ROW(C222)&lt;=Bidding!$D$11,Raw_hydro_bm!D222,"")</f>
        <v>0</v>
      </c>
      <c r="D222">
        <f>IF(ROW(D222)&lt;=Bidding!$D$11,Raw_hydro_bm!E222,"")</f>
        <v>2</v>
      </c>
      <c r="E222">
        <f>IF(ROW(E222)&lt;=Bidding!$D$11,Raw_hydro_bm!F222,"")</f>
        <v>0</v>
      </c>
      <c r="F222">
        <f>IF(ROW(F222)&lt;=Bidding!$D$11,Raw_hydro_bm!G222,"")</f>
        <v>1</v>
      </c>
      <c r="G222">
        <f>IF(ROW(G222)&lt;=Bidding!$D$11,Raw_hydro_bm!H222,"")</f>
        <v>1</v>
      </c>
      <c r="H222" t="str">
        <f>IF(ROW(H222)&lt;=Bidding!$D$11,Raw_hydro_bm!I222,"")</f>
        <v>0.0</v>
      </c>
      <c r="I222" s="16">
        <f t="shared" si="3"/>
        <v>0</v>
      </c>
    </row>
    <row r="223" spans="1:9" x14ac:dyDescent="0.3">
      <c r="A223" t="str">
        <f>IF(ROW(A223)&lt;=Bidding!$D$11,Raw_hydro_bm!B223,"")</f>
        <v>v</v>
      </c>
      <c r="B223" t="str">
        <f>IF(ROW(B223)&lt;=Bidding!$D$11,Raw_hydro_bm!C223,"")</f>
        <v>c</v>
      </c>
      <c r="C223">
        <f>IF(ROW(C223)&lt;=Bidding!$D$11,Raw_hydro_bm!D223,"")</f>
        <v>0</v>
      </c>
      <c r="D223">
        <f>IF(ROW(D223)&lt;=Bidding!$D$11,Raw_hydro_bm!E223,"")</f>
        <v>2</v>
      </c>
      <c r="E223">
        <f>IF(ROW(E223)&lt;=Bidding!$D$11,Raw_hydro_bm!F223,"")</f>
        <v>0</v>
      </c>
      <c r="F223">
        <f>IF(ROW(F223)&lt;=Bidding!$D$11,Raw_hydro_bm!G223,"")</f>
        <v>1</v>
      </c>
      <c r="G223">
        <f>IF(ROW(G223)&lt;=Bidding!$D$11,Raw_hydro_bm!H223,"")</f>
        <v>1</v>
      </c>
      <c r="H223" t="str">
        <f>IF(ROW(H223)&lt;=Bidding!$D$11,Raw_hydro_bm!I223,"")</f>
        <v>0.0</v>
      </c>
      <c r="I223" s="16">
        <f t="shared" si="3"/>
        <v>0</v>
      </c>
    </row>
    <row r="224" spans="1:9" x14ac:dyDescent="0.3">
      <c r="A224" t="str">
        <f>IF(ROW(A224)&lt;=Bidding!$D$11,Raw_hydro_bm!B224,"")</f>
        <v>p</v>
      </c>
      <c r="B224" t="str">
        <f>IF(ROW(B224)&lt;=Bidding!$D$11,Raw_hydro_bm!C224,"")</f>
        <v>c</v>
      </c>
      <c r="C224">
        <f>IF(ROW(C224)&lt;=Bidding!$D$11,Raw_hydro_bm!D224,"")</f>
        <v>0</v>
      </c>
      <c r="D224">
        <f>IF(ROW(D224)&lt;=Bidding!$D$11,Raw_hydro_bm!E224,"")</f>
        <v>2</v>
      </c>
      <c r="E224">
        <f>IF(ROW(E224)&lt;=Bidding!$D$11,Raw_hydro_bm!F224,"")</f>
        <v>0</v>
      </c>
      <c r="F224">
        <f>IF(ROW(F224)&lt;=Bidding!$D$11,Raw_hydro_bm!G224,"")</f>
        <v>1</v>
      </c>
      <c r="G224">
        <f>IF(ROW(G224)&lt;=Bidding!$D$11,Raw_hydro_bm!H224,"")</f>
        <v>2</v>
      </c>
      <c r="H224" t="str">
        <f>IF(ROW(H224)&lt;=Bidding!$D$11,Raw_hydro_bm!I224,"")</f>
        <v>0.0</v>
      </c>
      <c r="I224" s="16">
        <f t="shared" si="3"/>
        <v>0</v>
      </c>
    </row>
    <row r="225" spans="1:9" x14ac:dyDescent="0.3">
      <c r="A225" t="str">
        <f>IF(ROW(A225)&lt;=Bidding!$D$11,Raw_hydro_bm!B225,"")</f>
        <v>v</v>
      </c>
      <c r="B225" t="str">
        <f>IF(ROW(B225)&lt;=Bidding!$D$11,Raw_hydro_bm!C225,"")</f>
        <v>c</v>
      </c>
      <c r="C225">
        <f>IF(ROW(C225)&lt;=Bidding!$D$11,Raw_hydro_bm!D225,"")</f>
        <v>0</v>
      </c>
      <c r="D225">
        <f>IF(ROW(D225)&lt;=Bidding!$D$11,Raw_hydro_bm!E225,"")</f>
        <v>2</v>
      </c>
      <c r="E225">
        <f>IF(ROW(E225)&lt;=Bidding!$D$11,Raw_hydro_bm!F225,"")</f>
        <v>0</v>
      </c>
      <c r="F225">
        <f>IF(ROW(F225)&lt;=Bidding!$D$11,Raw_hydro_bm!G225,"")</f>
        <v>1</v>
      </c>
      <c r="G225">
        <f>IF(ROW(G225)&lt;=Bidding!$D$11,Raw_hydro_bm!H225,"")</f>
        <v>2</v>
      </c>
      <c r="H225" t="str">
        <f>IF(ROW(H225)&lt;=Bidding!$D$11,Raw_hydro_bm!I225,"")</f>
        <v>0.0</v>
      </c>
      <c r="I225" s="16">
        <f t="shared" si="3"/>
        <v>0</v>
      </c>
    </row>
    <row r="226" spans="1:9" x14ac:dyDescent="0.3">
      <c r="A226" t="str">
        <f>IF(ROW(A226)&lt;=Bidding!$D$11,Raw_hydro_bm!B226,"")</f>
        <v>b</v>
      </c>
      <c r="B226" t="str">
        <f>IF(ROW(B226)&lt;=Bidding!$D$11,Raw_hydro_bm!C226,"")</f>
        <v>v</v>
      </c>
      <c r="C226" t="str">
        <f>IF(ROW(C226)&lt;=Bidding!$D$11,Raw_hydro_bm!D226,"")</f>
        <v>X</v>
      </c>
      <c r="D226">
        <f>IF(ROW(D226)&lt;=Bidding!$D$11,Raw_hydro_bm!E226,"")</f>
        <v>0</v>
      </c>
      <c r="E226">
        <f>IF(ROW(E226)&lt;=Bidding!$D$11,Raw_hydro_bm!F226,"")</f>
        <v>2</v>
      </c>
      <c r="F226">
        <f>IF(ROW(F226)&lt;=Bidding!$D$11,Raw_hydro_bm!G226,"")</f>
        <v>1</v>
      </c>
      <c r="G226">
        <f>IF(ROW(G226)&lt;=Bidding!$D$11,Raw_hydro_bm!H226,"")</f>
        <v>0</v>
      </c>
      <c r="H226" t="str">
        <f>IF(ROW(H226)&lt;=Bidding!$D$11,Raw_hydro_bm!I226,"")</f>
        <v>0.0</v>
      </c>
      <c r="I226" s="16">
        <f t="shared" si="3"/>
        <v>0</v>
      </c>
    </row>
    <row r="227" spans="1:9" x14ac:dyDescent="0.3">
      <c r="A227" t="str">
        <f>IF(ROW(A227)&lt;=Bidding!$D$11,Raw_hydro_bm!B227,"")</f>
        <v>b</v>
      </c>
      <c r="B227" t="str">
        <f>IF(ROW(B227)&lt;=Bidding!$D$11,Raw_hydro_bm!C227,"")</f>
        <v>v</v>
      </c>
      <c r="C227" t="str">
        <f>IF(ROW(C227)&lt;=Bidding!$D$11,Raw_hydro_bm!D227,"")</f>
        <v>X</v>
      </c>
      <c r="D227">
        <f>IF(ROW(D227)&lt;=Bidding!$D$11,Raw_hydro_bm!E227,"")</f>
        <v>0</v>
      </c>
      <c r="E227">
        <f>IF(ROW(E227)&lt;=Bidding!$D$11,Raw_hydro_bm!F227,"")</f>
        <v>2</v>
      </c>
      <c r="F227">
        <f>IF(ROW(F227)&lt;=Bidding!$D$11,Raw_hydro_bm!G227,"")</f>
        <v>1</v>
      </c>
      <c r="G227">
        <f>IF(ROW(G227)&lt;=Bidding!$D$11,Raw_hydro_bm!H227,"")</f>
        <v>1</v>
      </c>
      <c r="H227" t="str">
        <f>IF(ROW(H227)&lt;=Bidding!$D$11,Raw_hydro_bm!I227,"")</f>
        <v>0.0</v>
      </c>
      <c r="I227" s="16">
        <f t="shared" si="3"/>
        <v>0</v>
      </c>
    </row>
    <row r="228" spans="1:9" x14ac:dyDescent="0.3">
      <c r="A228" t="str">
        <f>IF(ROW(A228)&lt;=Bidding!$D$11,Raw_hydro_bm!B228,"")</f>
        <v>b</v>
      </c>
      <c r="B228" t="str">
        <f>IF(ROW(B228)&lt;=Bidding!$D$11,Raw_hydro_bm!C228,"")</f>
        <v>v</v>
      </c>
      <c r="C228" t="str">
        <f>IF(ROW(C228)&lt;=Bidding!$D$11,Raw_hydro_bm!D228,"")</f>
        <v>X</v>
      </c>
      <c r="D228">
        <f>IF(ROW(D228)&lt;=Bidding!$D$11,Raw_hydro_bm!E228,"")</f>
        <v>0</v>
      </c>
      <c r="E228">
        <f>IF(ROW(E228)&lt;=Bidding!$D$11,Raw_hydro_bm!F228,"")</f>
        <v>2</v>
      </c>
      <c r="F228">
        <f>IF(ROW(F228)&lt;=Bidding!$D$11,Raw_hydro_bm!G228,"")</f>
        <v>1</v>
      </c>
      <c r="G228">
        <f>IF(ROW(G228)&lt;=Bidding!$D$11,Raw_hydro_bm!H228,"")</f>
        <v>2</v>
      </c>
      <c r="H228" t="str">
        <f>IF(ROW(H228)&lt;=Bidding!$D$11,Raw_hydro_bm!I228,"")</f>
        <v>60.0</v>
      </c>
      <c r="I228" s="16">
        <f t="shared" si="3"/>
        <v>60</v>
      </c>
    </row>
    <row r="229" spans="1:9" x14ac:dyDescent="0.3">
      <c r="A229" t="str">
        <f>IF(ROW(A229)&lt;=Bidding!$D$11,Raw_hydro_bm!B229,"")</f>
        <v>p</v>
      </c>
      <c r="B229" t="str">
        <f>IF(ROW(B229)&lt;=Bidding!$D$11,Raw_hydro_bm!C229,"")</f>
        <v>c</v>
      </c>
      <c r="C229">
        <f>IF(ROW(C229)&lt;=Bidding!$D$11,Raw_hydro_bm!D229,"")</f>
        <v>0</v>
      </c>
      <c r="D229">
        <f>IF(ROW(D229)&lt;=Bidding!$D$11,Raw_hydro_bm!E229,"")</f>
        <v>2</v>
      </c>
      <c r="E229">
        <f>IF(ROW(E229)&lt;=Bidding!$D$11,Raw_hydro_bm!F229,"")</f>
        <v>1</v>
      </c>
      <c r="F229">
        <f>IF(ROW(F229)&lt;=Bidding!$D$11,Raw_hydro_bm!G229,"")</f>
        <v>0</v>
      </c>
      <c r="G229">
        <f>IF(ROW(G229)&lt;=Bidding!$D$11,Raw_hydro_bm!H229,"")</f>
        <v>0</v>
      </c>
      <c r="H229" t="str">
        <f>IF(ROW(H229)&lt;=Bidding!$D$11,Raw_hydro_bm!I229,"")</f>
        <v>0.0</v>
      </c>
      <c r="I229" s="16">
        <f t="shared" si="3"/>
        <v>0</v>
      </c>
    </row>
    <row r="230" spans="1:9" x14ac:dyDescent="0.3">
      <c r="A230" t="str">
        <f>IF(ROW(A230)&lt;=Bidding!$D$11,Raw_hydro_bm!B230,"")</f>
        <v>v</v>
      </c>
      <c r="B230" t="str">
        <f>IF(ROW(B230)&lt;=Bidding!$D$11,Raw_hydro_bm!C230,"")</f>
        <v>c</v>
      </c>
      <c r="C230">
        <f>IF(ROW(C230)&lt;=Bidding!$D$11,Raw_hydro_bm!D230,"")</f>
        <v>0</v>
      </c>
      <c r="D230">
        <f>IF(ROW(D230)&lt;=Bidding!$D$11,Raw_hydro_bm!E230,"")</f>
        <v>2</v>
      </c>
      <c r="E230">
        <f>IF(ROW(E230)&lt;=Bidding!$D$11,Raw_hydro_bm!F230,"")</f>
        <v>1</v>
      </c>
      <c r="F230">
        <f>IF(ROW(F230)&lt;=Bidding!$D$11,Raw_hydro_bm!G230,"")</f>
        <v>0</v>
      </c>
      <c r="G230">
        <f>IF(ROW(G230)&lt;=Bidding!$D$11,Raw_hydro_bm!H230,"")</f>
        <v>0</v>
      </c>
      <c r="H230" t="str">
        <f>IF(ROW(H230)&lt;=Bidding!$D$11,Raw_hydro_bm!I230,"")</f>
        <v>0.0</v>
      </c>
      <c r="I230" s="16">
        <f t="shared" si="3"/>
        <v>0</v>
      </c>
    </row>
    <row r="231" spans="1:9" x14ac:dyDescent="0.3">
      <c r="A231" t="str">
        <f>IF(ROW(A231)&lt;=Bidding!$D$11,Raw_hydro_bm!B231,"")</f>
        <v>p</v>
      </c>
      <c r="B231" t="str">
        <f>IF(ROW(B231)&lt;=Bidding!$D$11,Raw_hydro_bm!C231,"")</f>
        <v>c</v>
      </c>
      <c r="C231">
        <f>IF(ROW(C231)&lt;=Bidding!$D$11,Raw_hydro_bm!D231,"")</f>
        <v>0</v>
      </c>
      <c r="D231">
        <f>IF(ROW(D231)&lt;=Bidding!$D$11,Raw_hydro_bm!E231,"")</f>
        <v>2</v>
      </c>
      <c r="E231">
        <f>IF(ROW(E231)&lt;=Bidding!$D$11,Raw_hydro_bm!F231,"")</f>
        <v>1</v>
      </c>
      <c r="F231">
        <f>IF(ROW(F231)&lt;=Bidding!$D$11,Raw_hydro_bm!G231,"")</f>
        <v>0</v>
      </c>
      <c r="G231">
        <f>IF(ROW(G231)&lt;=Bidding!$D$11,Raw_hydro_bm!H231,"")</f>
        <v>1</v>
      </c>
      <c r="H231" t="str">
        <f>IF(ROW(H231)&lt;=Bidding!$D$11,Raw_hydro_bm!I231,"")</f>
        <v>0.0</v>
      </c>
      <c r="I231" s="16">
        <f t="shared" si="3"/>
        <v>0</v>
      </c>
    </row>
    <row r="232" spans="1:9" x14ac:dyDescent="0.3">
      <c r="A232" t="str">
        <f>IF(ROW(A232)&lt;=Bidding!$D$11,Raw_hydro_bm!B232,"")</f>
        <v>v</v>
      </c>
      <c r="B232" t="str">
        <f>IF(ROW(B232)&lt;=Bidding!$D$11,Raw_hydro_bm!C232,"")</f>
        <v>c</v>
      </c>
      <c r="C232">
        <f>IF(ROW(C232)&lt;=Bidding!$D$11,Raw_hydro_bm!D232,"")</f>
        <v>0</v>
      </c>
      <c r="D232">
        <f>IF(ROW(D232)&lt;=Bidding!$D$11,Raw_hydro_bm!E232,"")</f>
        <v>2</v>
      </c>
      <c r="E232">
        <f>IF(ROW(E232)&lt;=Bidding!$D$11,Raw_hydro_bm!F232,"")</f>
        <v>1</v>
      </c>
      <c r="F232">
        <f>IF(ROW(F232)&lt;=Bidding!$D$11,Raw_hydro_bm!G232,"")</f>
        <v>0</v>
      </c>
      <c r="G232">
        <f>IF(ROW(G232)&lt;=Bidding!$D$11,Raw_hydro_bm!H232,"")</f>
        <v>1</v>
      </c>
      <c r="H232" t="str">
        <f>IF(ROW(H232)&lt;=Bidding!$D$11,Raw_hydro_bm!I232,"")</f>
        <v>0.0</v>
      </c>
      <c r="I232" s="16">
        <f t="shared" si="3"/>
        <v>0</v>
      </c>
    </row>
    <row r="233" spans="1:9" x14ac:dyDescent="0.3">
      <c r="A233" t="str">
        <f>IF(ROW(A233)&lt;=Bidding!$D$11,Raw_hydro_bm!B233,"")</f>
        <v>p</v>
      </c>
      <c r="B233" t="str">
        <f>IF(ROW(B233)&lt;=Bidding!$D$11,Raw_hydro_bm!C233,"")</f>
        <v>c</v>
      </c>
      <c r="C233">
        <f>IF(ROW(C233)&lt;=Bidding!$D$11,Raw_hydro_bm!D233,"")</f>
        <v>0</v>
      </c>
      <c r="D233">
        <f>IF(ROW(D233)&lt;=Bidding!$D$11,Raw_hydro_bm!E233,"")</f>
        <v>2</v>
      </c>
      <c r="E233">
        <f>IF(ROW(E233)&lt;=Bidding!$D$11,Raw_hydro_bm!F233,"")</f>
        <v>1</v>
      </c>
      <c r="F233">
        <f>IF(ROW(F233)&lt;=Bidding!$D$11,Raw_hydro_bm!G233,"")</f>
        <v>0</v>
      </c>
      <c r="G233">
        <f>IF(ROW(G233)&lt;=Bidding!$D$11,Raw_hydro_bm!H233,"")</f>
        <v>2</v>
      </c>
      <c r="H233" t="str">
        <f>IF(ROW(H233)&lt;=Bidding!$D$11,Raw_hydro_bm!I233,"")</f>
        <v>0.0</v>
      </c>
      <c r="I233" s="16">
        <f t="shared" si="3"/>
        <v>0</v>
      </c>
    </row>
    <row r="234" spans="1:9" x14ac:dyDescent="0.3">
      <c r="A234" t="str">
        <f>IF(ROW(A234)&lt;=Bidding!$D$11,Raw_hydro_bm!B234,"")</f>
        <v>v</v>
      </c>
      <c r="B234" t="str">
        <f>IF(ROW(B234)&lt;=Bidding!$D$11,Raw_hydro_bm!C234,"")</f>
        <v>c</v>
      </c>
      <c r="C234">
        <f>IF(ROW(C234)&lt;=Bidding!$D$11,Raw_hydro_bm!D234,"")</f>
        <v>0</v>
      </c>
      <c r="D234">
        <f>IF(ROW(D234)&lt;=Bidding!$D$11,Raw_hydro_bm!E234,"")</f>
        <v>2</v>
      </c>
      <c r="E234">
        <f>IF(ROW(E234)&lt;=Bidding!$D$11,Raw_hydro_bm!F234,"")</f>
        <v>1</v>
      </c>
      <c r="F234">
        <f>IF(ROW(F234)&lt;=Bidding!$D$11,Raw_hydro_bm!G234,"")</f>
        <v>0</v>
      </c>
      <c r="G234">
        <f>IF(ROW(G234)&lt;=Bidding!$D$11,Raw_hydro_bm!H234,"")</f>
        <v>2</v>
      </c>
      <c r="H234" t="str">
        <f>IF(ROW(H234)&lt;=Bidding!$D$11,Raw_hydro_bm!I234,"")</f>
        <v>0.0</v>
      </c>
      <c r="I234" s="16">
        <f t="shared" si="3"/>
        <v>0</v>
      </c>
    </row>
    <row r="235" spans="1:9" x14ac:dyDescent="0.3">
      <c r="A235" t="str">
        <f>IF(ROW(A235)&lt;=Bidding!$D$11,Raw_hydro_bm!B235,"")</f>
        <v>p</v>
      </c>
      <c r="B235" t="str">
        <f>IF(ROW(B235)&lt;=Bidding!$D$11,Raw_hydro_bm!C235,"")</f>
        <v>c</v>
      </c>
      <c r="C235">
        <f>IF(ROW(C235)&lt;=Bidding!$D$11,Raw_hydro_bm!D235,"")</f>
        <v>0</v>
      </c>
      <c r="D235">
        <f>IF(ROW(D235)&lt;=Bidding!$D$11,Raw_hydro_bm!E235,"")</f>
        <v>2</v>
      </c>
      <c r="E235">
        <f>IF(ROW(E235)&lt;=Bidding!$D$11,Raw_hydro_bm!F235,"")</f>
        <v>1</v>
      </c>
      <c r="F235">
        <f>IF(ROW(F235)&lt;=Bidding!$D$11,Raw_hydro_bm!G235,"")</f>
        <v>1</v>
      </c>
      <c r="G235">
        <f>IF(ROW(G235)&lt;=Bidding!$D$11,Raw_hydro_bm!H235,"")</f>
        <v>0</v>
      </c>
      <c r="H235" t="str">
        <f>IF(ROW(H235)&lt;=Bidding!$D$11,Raw_hydro_bm!I235,"")</f>
        <v>0.0</v>
      </c>
      <c r="I235" s="16">
        <f t="shared" si="3"/>
        <v>0</v>
      </c>
    </row>
    <row r="236" spans="1:9" x14ac:dyDescent="0.3">
      <c r="A236" t="str">
        <f>IF(ROW(A236)&lt;=Bidding!$D$11,Raw_hydro_bm!B236,"")</f>
        <v>v</v>
      </c>
      <c r="B236" t="str">
        <f>IF(ROW(B236)&lt;=Bidding!$D$11,Raw_hydro_bm!C236,"")</f>
        <v>c</v>
      </c>
      <c r="C236">
        <f>IF(ROW(C236)&lt;=Bidding!$D$11,Raw_hydro_bm!D236,"")</f>
        <v>0</v>
      </c>
      <c r="D236">
        <f>IF(ROW(D236)&lt;=Bidding!$D$11,Raw_hydro_bm!E236,"")</f>
        <v>2</v>
      </c>
      <c r="E236">
        <f>IF(ROW(E236)&lt;=Bidding!$D$11,Raw_hydro_bm!F236,"")</f>
        <v>1</v>
      </c>
      <c r="F236">
        <f>IF(ROW(F236)&lt;=Bidding!$D$11,Raw_hydro_bm!G236,"")</f>
        <v>1</v>
      </c>
      <c r="G236">
        <f>IF(ROW(G236)&lt;=Bidding!$D$11,Raw_hydro_bm!H236,"")</f>
        <v>0</v>
      </c>
      <c r="H236" t="str">
        <f>IF(ROW(H236)&lt;=Bidding!$D$11,Raw_hydro_bm!I236,"")</f>
        <v>30.0</v>
      </c>
      <c r="I236" s="16">
        <f t="shared" si="3"/>
        <v>30</v>
      </c>
    </row>
    <row r="237" spans="1:9" x14ac:dyDescent="0.3">
      <c r="A237" t="str">
        <f>IF(ROW(A237)&lt;=Bidding!$D$11,Raw_hydro_bm!B237,"")</f>
        <v>p</v>
      </c>
      <c r="B237" t="str">
        <f>IF(ROW(B237)&lt;=Bidding!$D$11,Raw_hydro_bm!C237,"")</f>
        <v>c</v>
      </c>
      <c r="C237">
        <f>IF(ROW(C237)&lt;=Bidding!$D$11,Raw_hydro_bm!D237,"")</f>
        <v>0</v>
      </c>
      <c r="D237">
        <f>IF(ROW(D237)&lt;=Bidding!$D$11,Raw_hydro_bm!E237,"")</f>
        <v>2</v>
      </c>
      <c r="E237">
        <f>IF(ROW(E237)&lt;=Bidding!$D$11,Raw_hydro_bm!F237,"")</f>
        <v>1</v>
      </c>
      <c r="F237">
        <f>IF(ROW(F237)&lt;=Bidding!$D$11,Raw_hydro_bm!G237,"")</f>
        <v>1</v>
      </c>
      <c r="G237">
        <f>IF(ROW(G237)&lt;=Bidding!$D$11,Raw_hydro_bm!H237,"")</f>
        <v>1</v>
      </c>
      <c r="H237" t="str">
        <f>IF(ROW(H237)&lt;=Bidding!$D$11,Raw_hydro_bm!I237,"")</f>
        <v>0.0</v>
      </c>
      <c r="I237" s="16">
        <f t="shared" si="3"/>
        <v>0</v>
      </c>
    </row>
    <row r="238" spans="1:9" x14ac:dyDescent="0.3">
      <c r="A238" t="str">
        <f>IF(ROW(A238)&lt;=Bidding!$D$11,Raw_hydro_bm!B238,"")</f>
        <v>v</v>
      </c>
      <c r="B238" t="str">
        <f>IF(ROW(B238)&lt;=Bidding!$D$11,Raw_hydro_bm!C238,"")</f>
        <v>c</v>
      </c>
      <c r="C238">
        <f>IF(ROW(C238)&lt;=Bidding!$D$11,Raw_hydro_bm!D238,"")</f>
        <v>0</v>
      </c>
      <c r="D238">
        <f>IF(ROW(D238)&lt;=Bidding!$D$11,Raw_hydro_bm!E238,"")</f>
        <v>2</v>
      </c>
      <c r="E238">
        <f>IF(ROW(E238)&lt;=Bidding!$D$11,Raw_hydro_bm!F238,"")</f>
        <v>1</v>
      </c>
      <c r="F238">
        <f>IF(ROW(F238)&lt;=Bidding!$D$11,Raw_hydro_bm!G238,"")</f>
        <v>1</v>
      </c>
      <c r="G238">
        <f>IF(ROW(G238)&lt;=Bidding!$D$11,Raw_hydro_bm!H238,"")</f>
        <v>1</v>
      </c>
      <c r="H238" t="str">
        <f>IF(ROW(H238)&lt;=Bidding!$D$11,Raw_hydro_bm!I238,"")</f>
        <v>20.0</v>
      </c>
      <c r="I238" s="16">
        <f t="shared" si="3"/>
        <v>20</v>
      </c>
    </row>
    <row r="239" spans="1:9" x14ac:dyDescent="0.3">
      <c r="A239" t="str">
        <f>IF(ROW(A239)&lt;=Bidding!$D$11,Raw_hydro_bm!B239,"")</f>
        <v>p</v>
      </c>
      <c r="B239" t="str">
        <f>IF(ROW(B239)&lt;=Bidding!$D$11,Raw_hydro_bm!C239,"")</f>
        <v>c</v>
      </c>
      <c r="C239">
        <f>IF(ROW(C239)&lt;=Bidding!$D$11,Raw_hydro_bm!D239,"")</f>
        <v>0</v>
      </c>
      <c r="D239">
        <f>IF(ROW(D239)&lt;=Bidding!$D$11,Raw_hydro_bm!E239,"")</f>
        <v>2</v>
      </c>
      <c r="E239">
        <f>IF(ROW(E239)&lt;=Bidding!$D$11,Raw_hydro_bm!F239,"")</f>
        <v>1</v>
      </c>
      <c r="F239">
        <f>IF(ROW(F239)&lt;=Bidding!$D$11,Raw_hydro_bm!G239,"")</f>
        <v>1</v>
      </c>
      <c r="G239">
        <f>IF(ROW(G239)&lt;=Bidding!$D$11,Raw_hydro_bm!H239,"")</f>
        <v>2</v>
      </c>
      <c r="H239" t="str">
        <f>IF(ROW(H239)&lt;=Bidding!$D$11,Raw_hydro_bm!I239,"")</f>
        <v>0.0</v>
      </c>
      <c r="I239" s="16">
        <f t="shared" si="3"/>
        <v>0</v>
      </c>
    </row>
    <row r="240" spans="1:9" x14ac:dyDescent="0.3">
      <c r="A240" t="str">
        <f>IF(ROW(A240)&lt;=Bidding!$D$11,Raw_hydro_bm!B240,"")</f>
        <v>v</v>
      </c>
      <c r="B240" t="str">
        <f>IF(ROW(B240)&lt;=Bidding!$D$11,Raw_hydro_bm!C240,"")</f>
        <v>c</v>
      </c>
      <c r="C240">
        <f>IF(ROW(C240)&lt;=Bidding!$D$11,Raw_hydro_bm!D240,"")</f>
        <v>0</v>
      </c>
      <c r="D240">
        <f>IF(ROW(D240)&lt;=Bidding!$D$11,Raw_hydro_bm!E240,"")</f>
        <v>2</v>
      </c>
      <c r="E240">
        <f>IF(ROW(E240)&lt;=Bidding!$D$11,Raw_hydro_bm!F240,"")</f>
        <v>1</v>
      </c>
      <c r="F240">
        <f>IF(ROW(F240)&lt;=Bidding!$D$11,Raw_hydro_bm!G240,"")</f>
        <v>1</v>
      </c>
      <c r="G240">
        <f>IF(ROW(G240)&lt;=Bidding!$D$11,Raw_hydro_bm!H240,"")</f>
        <v>2</v>
      </c>
      <c r="H240" t="str">
        <f>IF(ROW(H240)&lt;=Bidding!$D$11,Raw_hydro_bm!I240,"")</f>
        <v>10.0</v>
      </c>
      <c r="I240" s="16">
        <f t="shared" si="3"/>
        <v>10</v>
      </c>
    </row>
    <row r="241" spans="1:9" x14ac:dyDescent="0.3">
      <c r="A241" t="str">
        <f>IF(ROW(A241)&lt;=Bidding!$D$11,Raw_hydro_bm!B241,"")</f>
        <v>b</v>
      </c>
      <c r="B241" t="str">
        <f>IF(ROW(B241)&lt;=Bidding!$D$11,Raw_hydro_bm!C241,"")</f>
        <v>v</v>
      </c>
      <c r="C241" t="str">
        <f>IF(ROW(C241)&lt;=Bidding!$D$11,Raw_hydro_bm!D241,"")</f>
        <v>X</v>
      </c>
      <c r="D241">
        <f>IF(ROW(D241)&lt;=Bidding!$D$11,Raw_hydro_bm!E241,"")</f>
        <v>0</v>
      </c>
      <c r="E241">
        <f>IF(ROW(E241)&lt;=Bidding!$D$11,Raw_hydro_bm!F241,"")</f>
        <v>3</v>
      </c>
      <c r="F241">
        <f>IF(ROW(F241)&lt;=Bidding!$D$11,Raw_hydro_bm!G241,"")</f>
        <v>0</v>
      </c>
      <c r="G241">
        <f>IF(ROW(G241)&lt;=Bidding!$D$11,Raw_hydro_bm!H241,"")</f>
        <v>0</v>
      </c>
      <c r="H241" t="str">
        <f>IF(ROW(H241)&lt;=Bidding!$D$11,Raw_hydro_bm!I241,"")</f>
        <v>0.0</v>
      </c>
      <c r="I241" s="16">
        <f t="shared" si="3"/>
        <v>0</v>
      </c>
    </row>
    <row r="242" spans="1:9" x14ac:dyDescent="0.3">
      <c r="A242" t="str">
        <f>IF(ROW(A242)&lt;=Bidding!$D$11,Raw_hydro_bm!B242,"")</f>
        <v>b</v>
      </c>
      <c r="B242" t="str">
        <f>IF(ROW(B242)&lt;=Bidding!$D$11,Raw_hydro_bm!C242,"")</f>
        <v>v</v>
      </c>
      <c r="C242" t="str">
        <f>IF(ROW(C242)&lt;=Bidding!$D$11,Raw_hydro_bm!D242,"")</f>
        <v>X</v>
      </c>
      <c r="D242">
        <f>IF(ROW(D242)&lt;=Bidding!$D$11,Raw_hydro_bm!E242,"")</f>
        <v>0</v>
      </c>
      <c r="E242">
        <f>IF(ROW(E242)&lt;=Bidding!$D$11,Raw_hydro_bm!F242,"")</f>
        <v>3</v>
      </c>
      <c r="F242">
        <f>IF(ROW(F242)&lt;=Bidding!$D$11,Raw_hydro_bm!G242,"")</f>
        <v>0</v>
      </c>
      <c r="G242">
        <f>IF(ROW(G242)&lt;=Bidding!$D$11,Raw_hydro_bm!H242,"")</f>
        <v>1</v>
      </c>
      <c r="H242" t="str">
        <f>IF(ROW(H242)&lt;=Bidding!$D$11,Raw_hydro_bm!I242,"")</f>
        <v>0.0</v>
      </c>
      <c r="I242" s="16">
        <f t="shared" si="3"/>
        <v>0</v>
      </c>
    </row>
    <row r="243" spans="1:9" x14ac:dyDescent="0.3">
      <c r="A243" t="str">
        <f>IF(ROW(A243)&lt;=Bidding!$D$11,Raw_hydro_bm!B243,"")</f>
        <v>b</v>
      </c>
      <c r="B243" t="str">
        <f>IF(ROW(B243)&lt;=Bidding!$D$11,Raw_hydro_bm!C243,"")</f>
        <v>v</v>
      </c>
      <c r="C243" t="str">
        <f>IF(ROW(C243)&lt;=Bidding!$D$11,Raw_hydro_bm!D243,"")</f>
        <v>X</v>
      </c>
      <c r="D243">
        <f>IF(ROW(D243)&lt;=Bidding!$D$11,Raw_hydro_bm!E243,"")</f>
        <v>0</v>
      </c>
      <c r="E243">
        <f>IF(ROW(E243)&lt;=Bidding!$D$11,Raw_hydro_bm!F243,"")</f>
        <v>3</v>
      </c>
      <c r="F243">
        <f>IF(ROW(F243)&lt;=Bidding!$D$11,Raw_hydro_bm!G243,"")</f>
        <v>0</v>
      </c>
      <c r="G243">
        <f>IF(ROW(G243)&lt;=Bidding!$D$11,Raw_hydro_bm!H243,"")</f>
        <v>2</v>
      </c>
      <c r="H243" t="str">
        <f>IF(ROW(H243)&lt;=Bidding!$D$11,Raw_hydro_bm!I243,"")</f>
        <v>45.0</v>
      </c>
      <c r="I243" s="16">
        <f t="shared" si="3"/>
        <v>45</v>
      </c>
    </row>
    <row r="244" spans="1:9" x14ac:dyDescent="0.3">
      <c r="A244" t="str">
        <f>IF(ROW(A244)&lt;=Bidding!$D$11,Raw_hydro_bm!B244,"")</f>
        <v>p</v>
      </c>
      <c r="B244" t="str">
        <f>IF(ROW(B244)&lt;=Bidding!$D$11,Raw_hydro_bm!C244,"")</f>
        <v>c</v>
      </c>
      <c r="C244">
        <f>IF(ROW(C244)&lt;=Bidding!$D$11,Raw_hydro_bm!D244,"")</f>
        <v>0</v>
      </c>
      <c r="D244">
        <f>IF(ROW(D244)&lt;=Bidding!$D$11,Raw_hydro_bm!E244,"")</f>
        <v>3</v>
      </c>
      <c r="E244">
        <f>IF(ROW(E244)&lt;=Bidding!$D$11,Raw_hydro_bm!F244,"")</f>
        <v>0</v>
      </c>
      <c r="F244">
        <f>IF(ROW(F244)&lt;=Bidding!$D$11,Raw_hydro_bm!G244,"")</f>
        <v>0</v>
      </c>
      <c r="G244">
        <f>IF(ROW(G244)&lt;=Bidding!$D$11,Raw_hydro_bm!H244,"")</f>
        <v>0</v>
      </c>
      <c r="H244" t="str">
        <f>IF(ROW(H244)&lt;=Bidding!$D$11,Raw_hydro_bm!I244,"")</f>
        <v>0.0</v>
      </c>
      <c r="I244" s="16">
        <f t="shared" si="3"/>
        <v>0</v>
      </c>
    </row>
    <row r="245" spans="1:9" x14ac:dyDescent="0.3">
      <c r="A245" t="str">
        <f>IF(ROW(A245)&lt;=Bidding!$D$11,Raw_hydro_bm!B245,"")</f>
        <v>v</v>
      </c>
      <c r="B245" t="str">
        <f>IF(ROW(B245)&lt;=Bidding!$D$11,Raw_hydro_bm!C245,"")</f>
        <v>c</v>
      </c>
      <c r="C245">
        <f>IF(ROW(C245)&lt;=Bidding!$D$11,Raw_hydro_bm!D245,"")</f>
        <v>0</v>
      </c>
      <c r="D245">
        <f>IF(ROW(D245)&lt;=Bidding!$D$11,Raw_hydro_bm!E245,"")</f>
        <v>3</v>
      </c>
      <c r="E245">
        <f>IF(ROW(E245)&lt;=Bidding!$D$11,Raw_hydro_bm!F245,"")</f>
        <v>0</v>
      </c>
      <c r="F245">
        <f>IF(ROW(F245)&lt;=Bidding!$D$11,Raw_hydro_bm!G245,"")</f>
        <v>0</v>
      </c>
      <c r="G245">
        <f>IF(ROW(G245)&lt;=Bidding!$D$11,Raw_hydro_bm!H245,"")</f>
        <v>0</v>
      </c>
      <c r="H245" t="str">
        <f>IF(ROW(H245)&lt;=Bidding!$D$11,Raw_hydro_bm!I245,"")</f>
        <v>15.0</v>
      </c>
      <c r="I245" s="16">
        <f t="shared" si="3"/>
        <v>15</v>
      </c>
    </row>
    <row r="246" spans="1:9" x14ac:dyDescent="0.3">
      <c r="A246" t="str">
        <f>IF(ROW(A246)&lt;=Bidding!$D$11,Raw_hydro_bm!B246,"")</f>
        <v>p</v>
      </c>
      <c r="B246" t="str">
        <f>IF(ROW(B246)&lt;=Bidding!$D$11,Raw_hydro_bm!C246,"")</f>
        <v>c</v>
      </c>
      <c r="C246">
        <f>IF(ROW(C246)&lt;=Bidding!$D$11,Raw_hydro_bm!D246,"")</f>
        <v>0</v>
      </c>
      <c r="D246">
        <f>IF(ROW(D246)&lt;=Bidding!$D$11,Raw_hydro_bm!E246,"")</f>
        <v>3</v>
      </c>
      <c r="E246">
        <f>IF(ROW(E246)&lt;=Bidding!$D$11,Raw_hydro_bm!F246,"")</f>
        <v>0</v>
      </c>
      <c r="F246">
        <f>IF(ROW(F246)&lt;=Bidding!$D$11,Raw_hydro_bm!G246,"")</f>
        <v>0</v>
      </c>
      <c r="G246">
        <f>IF(ROW(G246)&lt;=Bidding!$D$11,Raw_hydro_bm!H246,"")</f>
        <v>1</v>
      </c>
      <c r="H246" t="str">
        <f>IF(ROW(H246)&lt;=Bidding!$D$11,Raw_hydro_bm!I246,"")</f>
        <v>0.0</v>
      </c>
      <c r="I246" s="16">
        <f t="shared" si="3"/>
        <v>0</v>
      </c>
    </row>
    <row r="247" spans="1:9" x14ac:dyDescent="0.3">
      <c r="A247" t="str">
        <f>IF(ROW(A247)&lt;=Bidding!$D$11,Raw_hydro_bm!B247,"")</f>
        <v>v</v>
      </c>
      <c r="B247" t="str">
        <f>IF(ROW(B247)&lt;=Bidding!$D$11,Raw_hydro_bm!C247,"")</f>
        <v>c</v>
      </c>
      <c r="C247">
        <f>IF(ROW(C247)&lt;=Bidding!$D$11,Raw_hydro_bm!D247,"")</f>
        <v>0</v>
      </c>
      <c r="D247">
        <f>IF(ROW(D247)&lt;=Bidding!$D$11,Raw_hydro_bm!E247,"")</f>
        <v>3</v>
      </c>
      <c r="E247">
        <f>IF(ROW(E247)&lt;=Bidding!$D$11,Raw_hydro_bm!F247,"")</f>
        <v>0</v>
      </c>
      <c r="F247">
        <f>IF(ROW(F247)&lt;=Bidding!$D$11,Raw_hydro_bm!G247,"")</f>
        <v>0</v>
      </c>
      <c r="G247">
        <f>IF(ROW(G247)&lt;=Bidding!$D$11,Raw_hydro_bm!H247,"")</f>
        <v>1</v>
      </c>
      <c r="H247" t="str">
        <f>IF(ROW(H247)&lt;=Bidding!$D$11,Raw_hydro_bm!I247,"")</f>
        <v>20.0</v>
      </c>
      <c r="I247" s="16">
        <f t="shared" si="3"/>
        <v>20</v>
      </c>
    </row>
    <row r="248" spans="1:9" x14ac:dyDescent="0.3">
      <c r="A248" t="str">
        <f>IF(ROW(A248)&lt;=Bidding!$D$11,Raw_hydro_bm!B248,"")</f>
        <v>p</v>
      </c>
      <c r="B248" t="str">
        <f>IF(ROW(B248)&lt;=Bidding!$D$11,Raw_hydro_bm!C248,"")</f>
        <v>c</v>
      </c>
      <c r="C248">
        <f>IF(ROW(C248)&lt;=Bidding!$D$11,Raw_hydro_bm!D248,"")</f>
        <v>0</v>
      </c>
      <c r="D248">
        <f>IF(ROW(D248)&lt;=Bidding!$D$11,Raw_hydro_bm!E248,"")</f>
        <v>3</v>
      </c>
      <c r="E248">
        <f>IF(ROW(E248)&lt;=Bidding!$D$11,Raw_hydro_bm!F248,"")</f>
        <v>0</v>
      </c>
      <c r="F248">
        <f>IF(ROW(F248)&lt;=Bidding!$D$11,Raw_hydro_bm!G248,"")</f>
        <v>0</v>
      </c>
      <c r="G248">
        <f>IF(ROW(G248)&lt;=Bidding!$D$11,Raw_hydro_bm!H248,"")</f>
        <v>2</v>
      </c>
      <c r="H248" t="str">
        <f>IF(ROW(H248)&lt;=Bidding!$D$11,Raw_hydro_bm!I248,"")</f>
        <v>0.0</v>
      </c>
      <c r="I248" s="16">
        <f t="shared" si="3"/>
        <v>0</v>
      </c>
    </row>
    <row r="249" spans="1:9" x14ac:dyDescent="0.3">
      <c r="A249" t="str">
        <f>IF(ROW(A249)&lt;=Bidding!$D$11,Raw_hydro_bm!B249,"")</f>
        <v>v</v>
      </c>
      <c r="B249" t="str">
        <f>IF(ROW(B249)&lt;=Bidding!$D$11,Raw_hydro_bm!C249,"")</f>
        <v>c</v>
      </c>
      <c r="C249">
        <f>IF(ROW(C249)&lt;=Bidding!$D$11,Raw_hydro_bm!D249,"")</f>
        <v>0</v>
      </c>
      <c r="D249">
        <f>IF(ROW(D249)&lt;=Bidding!$D$11,Raw_hydro_bm!E249,"")</f>
        <v>3</v>
      </c>
      <c r="E249">
        <f>IF(ROW(E249)&lt;=Bidding!$D$11,Raw_hydro_bm!F249,"")</f>
        <v>0</v>
      </c>
      <c r="F249">
        <f>IF(ROW(F249)&lt;=Bidding!$D$11,Raw_hydro_bm!G249,"")</f>
        <v>0</v>
      </c>
      <c r="G249">
        <f>IF(ROW(G249)&lt;=Bidding!$D$11,Raw_hydro_bm!H249,"")</f>
        <v>2</v>
      </c>
      <c r="H249" t="str">
        <f>IF(ROW(H249)&lt;=Bidding!$D$11,Raw_hydro_bm!I249,"")</f>
        <v>10.0</v>
      </c>
      <c r="I249" s="16">
        <f t="shared" si="3"/>
        <v>10</v>
      </c>
    </row>
    <row r="250" spans="1:9" x14ac:dyDescent="0.3">
      <c r="A250" t="str">
        <f>IF(ROW(A250)&lt;=Bidding!$D$11,Raw_hydro_bm!B250,"")</f>
        <v>p</v>
      </c>
      <c r="B250" t="str">
        <f>IF(ROW(B250)&lt;=Bidding!$D$11,Raw_hydro_bm!C250,"")</f>
        <v>c</v>
      </c>
      <c r="C250">
        <f>IF(ROW(C250)&lt;=Bidding!$D$11,Raw_hydro_bm!D250,"")</f>
        <v>0</v>
      </c>
      <c r="D250">
        <f>IF(ROW(D250)&lt;=Bidding!$D$11,Raw_hydro_bm!E250,"")</f>
        <v>3</v>
      </c>
      <c r="E250">
        <f>IF(ROW(E250)&lt;=Bidding!$D$11,Raw_hydro_bm!F250,"")</f>
        <v>0</v>
      </c>
      <c r="F250">
        <f>IF(ROW(F250)&lt;=Bidding!$D$11,Raw_hydro_bm!G250,"")</f>
        <v>1</v>
      </c>
      <c r="G250">
        <f>IF(ROW(G250)&lt;=Bidding!$D$11,Raw_hydro_bm!H250,"")</f>
        <v>0</v>
      </c>
      <c r="H250" t="str">
        <f>IF(ROW(H250)&lt;=Bidding!$D$11,Raw_hydro_bm!I250,"")</f>
        <v>0.0</v>
      </c>
      <c r="I250" s="16">
        <f t="shared" si="3"/>
        <v>0</v>
      </c>
    </row>
    <row r="251" spans="1:9" x14ac:dyDescent="0.3">
      <c r="A251" t="str">
        <f>IF(ROW(A251)&lt;=Bidding!$D$11,Raw_hydro_bm!B251,"")</f>
        <v>v</v>
      </c>
      <c r="B251" t="str">
        <f>IF(ROW(B251)&lt;=Bidding!$D$11,Raw_hydro_bm!C251,"")</f>
        <v>c</v>
      </c>
      <c r="C251">
        <f>IF(ROW(C251)&lt;=Bidding!$D$11,Raw_hydro_bm!D251,"")</f>
        <v>0</v>
      </c>
      <c r="D251">
        <f>IF(ROW(D251)&lt;=Bidding!$D$11,Raw_hydro_bm!E251,"")</f>
        <v>3</v>
      </c>
      <c r="E251">
        <f>IF(ROW(E251)&lt;=Bidding!$D$11,Raw_hydro_bm!F251,"")</f>
        <v>0</v>
      </c>
      <c r="F251">
        <f>IF(ROW(F251)&lt;=Bidding!$D$11,Raw_hydro_bm!G251,"")</f>
        <v>1</v>
      </c>
      <c r="G251">
        <f>IF(ROW(G251)&lt;=Bidding!$D$11,Raw_hydro_bm!H251,"")</f>
        <v>0</v>
      </c>
      <c r="H251" t="str">
        <f>IF(ROW(H251)&lt;=Bidding!$D$11,Raw_hydro_bm!I251,"")</f>
        <v>0.0</v>
      </c>
      <c r="I251" s="16">
        <f t="shared" si="3"/>
        <v>0</v>
      </c>
    </row>
    <row r="252" spans="1:9" x14ac:dyDescent="0.3">
      <c r="A252" t="str">
        <f>IF(ROW(A252)&lt;=Bidding!$D$11,Raw_hydro_bm!B252,"")</f>
        <v>p</v>
      </c>
      <c r="B252" t="str">
        <f>IF(ROW(B252)&lt;=Bidding!$D$11,Raw_hydro_bm!C252,"")</f>
        <v>c</v>
      </c>
      <c r="C252">
        <f>IF(ROW(C252)&lt;=Bidding!$D$11,Raw_hydro_bm!D252,"")</f>
        <v>0</v>
      </c>
      <c r="D252">
        <f>IF(ROW(D252)&lt;=Bidding!$D$11,Raw_hydro_bm!E252,"")</f>
        <v>3</v>
      </c>
      <c r="E252">
        <f>IF(ROW(E252)&lt;=Bidding!$D$11,Raw_hydro_bm!F252,"")</f>
        <v>0</v>
      </c>
      <c r="F252">
        <f>IF(ROW(F252)&lt;=Bidding!$D$11,Raw_hydro_bm!G252,"")</f>
        <v>1</v>
      </c>
      <c r="G252">
        <f>IF(ROW(G252)&lt;=Bidding!$D$11,Raw_hydro_bm!H252,"")</f>
        <v>1</v>
      </c>
      <c r="H252" t="str">
        <f>IF(ROW(H252)&lt;=Bidding!$D$11,Raw_hydro_bm!I252,"")</f>
        <v>0.0</v>
      </c>
      <c r="I252" s="16">
        <f t="shared" si="3"/>
        <v>0</v>
      </c>
    </row>
    <row r="253" spans="1:9" x14ac:dyDescent="0.3">
      <c r="A253" t="str">
        <f>IF(ROW(A253)&lt;=Bidding!$D$11,Raw_hydro_bm!B253,"")</f>
        <v>v</v>
      </c>
      <c r="B253" t="str">
        <f>IF(ROW(B253)&lt;=Bidding!$D$11,Raw_hydro_bm!C253,"")</f>
        <v>c</v>
      </c>
      <c r="C253">
        <f>IF(ROW(C253)&lt;=Bidding!$D$11,Raw_hydro_bm!D253,"")</f>
        <v>0</v>
      </c>
      <c r="D253">
        <f>IF(ROW(D253)&lt;=Bidding!$D$11,Raw_hydro_bm!E253,"")</f>
        <v>3</v>
      </c>
      <c r="E253">
        <f>IF(ROW(E253)&lt;=Bidding!$D$11,Raw_hydro_bm!F253,"")</f>
        <v>0</v>
      </c>
      <c r="F253">
        <f>IF(ROW(F253)&lt;=Bidding!$D$11,Raw_hydro_bm!G253,"")</f>
        <v>1</v>
      </c>
      <c r="G253">
        <f>IF(ROW(G253)&lt;=Bidding!$D$11,Raw_hydro_bm!H253,"")</f>
        <v>1</v>
      </c>
      <c r="H253" t="str">
        <f>IF(ROW(H253)&lt;=Bidding!$D$11,Raw_hydro_bm!I253,"")</f>
        <v>0.0</v>
      </c>
      <c r="I253" s="16">
        <f t="shared" si="3"/>
        <v>0</v>
      </c>
    </row>
    <row r="254" spans="1:9" x14ac:dyDescent="0.3">
      <c r="A254" t="str">
        <f>IF(ROW(A254)&lt;=Bidding!$D$11,Raw_hydro_bm!B254,"")</f>
        <v>p</v>
      </c>
      <c r="B254" t="str">
        <f>IF(ROW(B254)&lt;=Bidding!$D$11,Raw_hydro_bm!C254,"")</f>
        <v>c</v>
      </c>
      <c r="C254">
        <f>IF(ROW(C254)&lt;=Bidding!$D$11,Raw_hydro_bm!D254,"")</f>
        <v>0</v>
      </c>
      <c r="D254">
        <f>IF(ROW(D254)&lt;=Bidding!$D$11,Raw_hydro_bm!E254,"")</f>
        <v>3</v>
      </c>
      <c r="E254">
        <f>IF(ROW(E254)&lt;=Bidding!$D$11,Raw_hydro_bm!F254,"")</f>
        <v>0</v>
      </c>
      <c r="F254">
        <f>IF(ROW(F254)&lt;=Bidding!$D$11,Raw_hydro_bm!G254,"")</f>
        <v>1</v>
      </c>
      <c r="G254">
        <f>IF(ROW(G254)&lt;=Bidding!$D$11,Raw_hydro_bm!H254,"")</f>
        <v>2</v>
      </c>
      <c r="H254" t="str">
        <f>IF(ROW(H254)&lt;=Bidding!$D$11,Raw_hydro_bm!I254,"")</f>
        <v>0.0</v>
      </c>
      <c r="I254" s="16">
        <f t="shared" si="3"/>
        <v>0</v>
      </c>
    </row>
    <row r="255" spans="1:9" x14ac:dyDescent="0.3">
      <c r="A255" t="str">
        <f>IF(ROW(A255)&lt;=Bidding!$D$11,Raw_hydro_bm!B255,"")</f>
        <v>v</v>
      </c>
      <c r="B255" t="str">
        <f>IF(ROW(B255)&lt;=Bidding!$D$11,Raw_hydro_bm!C255,"")</f>
        <v>c</v>
      </c>
      <c r="C255">
        <f>IF(ROW(C255)&lt;=Bidding!$D$11,Raw_hydro_bm!D255,"")</f>
        <v>0</v>
      </c>
      <c r="D255">
        <f>IF(ROW(D255)&lt;=Bidding!$D$11,Raw_hydro_bm!E255,"")</f>
        <v>3</v>
      </c>
      <c r="E255">
        <f>IF(ROW(E255)&lt;=Bidding!$D$11,Raw_hydro_bm!F255,"")</f>
        <v>0</v>
      </c>
      <c r="F255">
        <f>IF(ROW(F255)&lt;=Bidding!$D$11,Raw_hydro_bm!G255,"")</f>
        <v>1</v>
      </c>
      <c r="G255">
        <f>IF(ROW(G255)&lt;=Bidding!$D$11,Raw_hydro_bm!H255,"")</f>
        <v>2</v>
      </c>
      <c r="H255" t="str">
        <f>IF(ROW(H255)&lt;=Bidding!$D$11,Raw_hydro_bm!I255,"")</f>
        <v>0.0</v>
      </c>
      <c r="I255" s="16">
        <f t="shared" si="3"/>
        <v>0</v>
      </c>
    </row>
    <row r="256" spans="1:9" x14ac:dyDescent="0.3">
      <c r="A256" t="str">
        <f>IF(ROW(A256)&lt;=Bidding!$D$11,Raw_hydro_bm!B256,"")</f>
        <v>b</v>
      </c>
      <c r="B256" t="str">
        <f>IF(ROW(B256)&lt;=Bidding!$D$11,Raw_hydro_bm!C256,"")</f>
        <v>v</v>
      </c>
      <c r="C256" t="str">
        <f>IF(ROW(C256)&lt;=Bidding!$D$11,Raw_hydro_bm!D256,"")</f>
        <v>X</v>
      </c>
      <c r="D256">
        <f>IF(ROW(D256)&lt;=Bidding!$D$11,Raw_hydro_bm!E256,"")</f>
        <v>0</v>
      </c>
      <c r="E256">
        <f>IF(ROW(E256)&lt;=Bidding!$D$11,Raw_hydro_bm!F256,"")</f>
        <v>3</v>
      </c>
      <c r="F256">
        <f>IF(ROW(F256)&lt;=Bidding!$D$11,Raw_hydro_bm!G256,"")</f>
        <v>1</v>
      </c>
      <c r="G256">
        <f>IF(ROW(G256)&lt;=Bidding!$D$11,Raw_hydro_bm!H256,"")</f>
        <v>0</v>
      </c>
      <c r="H256" t="str">
        <f>IF(ROW(H256)&lt;=Bidding!$D$11,Raw_hydro_bm!I256,"")</f>
        <v>0.0</v>
      </c>
      <c r="I256" s="16">
        <f t="shared" si="3"/>
        <v>0</v>
      </c>
    </row>
    <row r="257" spans="1:9" x14ac:dyDescent="0.3">
      <c r="A257" t="str">
        <f>IF(ROW(A257)&lt;=Bidding!$D$11,Raw_hydro_bm!B257,"")</f>
        <v>b</v>
      </c>
      <c r="B257" t="str">
        <f>IF(ROW(B257)&lt;=Bidding!$D$11,Raw_hydro_bm!C257,"")</f>
        <v>v</v>
      </c>
      <c r="C257" t="str">
        <f>IF(ROW(C257)&lt;=Bidding!$D$11,Raw_hydro_bm!D257,"")</f>
        <v>X</v>
      </c>
      <c r="D257">
        <f>IF(ROW(D257)&lt;=Bidding!$D$11,Raw_hydro_bm!E257,"")</f>
        <v>0</v>
      </c>
      <c r="E257">
        <f>IF(ROW(E257)&lt;=Bidding!$D$11,Raw_hydro_bm!F257,"")</f>
        <v>3</v>
      </c>
      <c r="F257">
        <f>IF(ROW(F257)&lt;=Bidding!$D$11,Raw_hydro_bm!G257,"")</f>
        <v>1</v>
      </c>
      <c r="G257">
        <f>IF(ROW(G257)&lt;=Bidding!$D$11,Raw_hydro_bm!H257,"")</f>
        <v>1</v>
      </c>
      <c r="H257" t="str">
        <f>IF(ROW(H257)&lt;=Bidding!$D$11,Raw_hydro_bm!I257,"")</f>
        <v>0.0</v>
      </c>
      <c r="I257" s="16">
        <f t="shared" si="3"/>
        <v>0</v>
      </c>
    </row>
    <row r="258" spans="1:9" x14ac:dyDescent="0.3">
      <c r="A258" t="str">
        <f>IF(ROW(A258)&lt;=Bidding!$D$11,Raw_hydro_bm!B258,"")</f>
        <v>b</v>
      </c>
      <c r="B258" t="str">
        <f>IF(ROW(B258)&lt;=Bidding!$D$11,Raw_hydro_bm!C258,"")</f>
        <v>v</v>
      </c>
      <c r="C258" t="str">
        <f>IF(ROW(C258)&lt;=Bidding!$D$11,Raw_hydro_bm!D258,"")</f>
        <v>X</v>
      </c>
      <c r="D258">
        <f>IF(ROW(D258)&lt;=Bidding!$D$11,Raw_hydro_bm!E258,"")</f>
        <v>0</v>
      </c>
      <c r="E258">
        <f>IF(ROW(E258)&lt;=Bidding!$D$11,Raw_hydro_bm!F258,"")</f>
        <v>3</v>
      </c>
      <c r="F258">
        <f>IF(ROW(F258)&lt;=Bidding!$D$11,Raw_hydro_bm!G258,"")</f>
        <v>1</v>
      </c>
      <c r="G258">
        <f>IF(ROW(G258)&lt;=Bidding!$D$11,Raw_hydro_bm!H258,"")</f>
        <v>2</v>
      </c>
      <c r="H258" t="str">
        <f>IF(ROW(H258)&lt;=Bidding!$D$11,Raw_hydro_bm!I258,"")</f>
        <v>60.0</v>
      </c>
      <c r="I258" s="16">
        <f t="shared" ref="I258:I321" si="4">IF(IFERROR(FIND("e",H258),-1)&lt;0,IFERROR(_xlfn.NUMBERVALUE(LEFT(H258,FIND(".",H258)-1))+_xlfn.NUMBERVALUE("0,"&amp;RIGHT(H258,LEN(H258)-FIND(".",H258))),""),0)</f>
        <v>60</v>
      </c>
    </row>
    <row r="259" spans="1:9" x14ac:dyDescent="0.3">
      <c r="A259" t="str">
        <f>IF(ROW(A259)&lt;=Bidding!$D$11,Raw_hydro_bm!B259,"")</f>
        <v>p</v>
      </c>
      <c r="B259" t="str">
        <f>IF(ROW(B259)&lt;=Bidding!$D$11,Raw_hydro_bm!C259,"")</f>
        <v>c</v>
      </c>
      <c r="C259">
        <f>IF(ROW(C259)&lt;=Bidding!$D$11,Raw_hydro_bm!D259,"")</f>
        <v>0</v>
      </c>
      <c r="D259">
        <f>IF(ROW(D259)&lt;=Bidding!$D$11,Raw_hydro_bm!E259,"")</f>
        <v>3</v>
      </c>
      <c r="E259">
        <f>IF(ROW(E259)&lt;=Bidding!$D$11,Raw_hydro_bm!F259,"")</f>
        <v>1</v>
      </c>
      <c r="F259">
        <f>IF(ROW(F259)&lt;=Bidding!$D$11,Raw_hydro_bm!G259,"")</f>
        <v>0</v>
      </c>
      <c r="G259">
        <f>IF(ROW(G259)&lt;=Bidding!$D$11,Raw_hydro_bm!H259,"")</f>
        <v>0</v>
      </c>
      <c r="H259" t="str">
        <f>IF(ROW(H259)&lt;=Bidding!$D$11,Raw_hydro_bm!I259,"")</f>
        <v>0.0</v>
      </c>
      <c r="I259" s="16">
        <f t="shared" si="4"/>
        <v>0</v>
      </c>
    </row>
    <row r="260" spans="1:9" x14ac:dyDescent="0.3">
      <c r="A260" t="str">
        <f>IF(ROW(A260)&lt;=Bidding!$D$11,Raw_hydro_bm!B260,"")</f>
        <v>v</v>
      </c>
      <c r="B260" t="str">
        <f>IF(ROW(B260)&lt;=Bidding!$D$11,Raw_hydro_bm!C260,"")</f>
        <v>c</v>
      </c>
      <c r="C260">
        <f>IF(ROW(C260)&lt;=Bidding!$D$11,Raw_hydro_bm!D260,"")</f>
        <v>0</v>
      </c>
      <c r="D260">
        <f>IF(ROW(D260)&lt;=Bidding!$D$11,Raw_hydro_bm!E260,"")</f>
        <v>3</v>
      </c>
      <c r="E260">
        <f>IF(ROW(E260)&lt;=Bidding!$D$11,Raw_hydro_bm!F260,"")</f>
        <v>1</v>
      </c>
      <c r="F260">
        <f>IF(ROW(F260)&lt;=Bidding!$D$11,Raw_hydro_bm!G260,"")</f>
        <v>0</v>
      </c>
      <c r="G260">
        <f>IF(ROW(G260)&lt;=Bidding!$D$11,Raw_hydro_bm!H260,"")</f>
        <v>0</v>
      </c>
      <c r="H260" t="str">
        <f>IF(ROW(H260)&lt;=Bidding!$D$11,Raw_hydro_bm!I260,"")</f>
        <v>0.0</v>
      </c>
      <c r="I260" s="16">
        <f t="shared" si="4"/>
        <v>0</v>
      </c>
    </row>
    <row r="261" spans="1:9" x14ac:dyDescent="0.3">
      <c r="A261" t="str">
        <f>IF(ROW(A261)&lt;=Bidding!$D$11,Raw_hydro_bm!B261,"")</f>
        <v>p</v>
      </c>
      <c r="B261" t="str">
        <f>IF(ROW(B261)&lt;=Bidding!$D$11,Raw_hydro_bm!C261,"")</f>
        <v>c</v>
      </c>
      <c r="C261">
        <f>IF(ROW(C261)&lt;=Bidding!$D$11,Raw_hydro_bm!D261,"")</f>
        <v>0</v>
      </c>
      <c r="D261">
        <f>IF(ROW(D261)&lt;=Bidding!$D$11,Raw_hydro_bm!E261,"")</f>
        <v>3</v>
      </c>
      <c r="E261">
        <f>IF(ROW(E261)&lt;=Bidding!$D$11,Raw_hydro_bm!F261,"")</f>
        <v>1</v>
      </c>
      <c r="F261">
        <f>IF(ROW(F261)&lt;=Bidding!$D$11,Raw_hydro_bm!G261,"")</f>
        <v>0</v>
      </c>
      <c r="G261">
        <f>IF(ROW(G261)&lt;=Bidding!$D$11,Raw_hydro_bm!H261,"")</f>
        <v>1</v>
      </c>
      <c r="H261" t="str">
        <f>IF(ROW(H261)&lt;=Bidding!$D$11,Raw_hydro_bm!I261,"")</f>
        <v>0.0</v>
      </c>
      <c r="I261" s="16">
        <f t="shared" si="4"/>
        <v>0</v>
      </c>
    </row>
    <row r="262" spans="1:9" x14ac:dyDescent="0.3">
      <c r="A262" t="str">
        <f>IF(ROW(A262)&lt;=Bidding!$D$11,Raw_hydro_bm!B262,"")</f>
        <v>v</v>
      </c>
      <c r="B262" t="str">
        <f>IF(ROW(B262)&lt;=Bidding!$D$11,Raw_hydro_bm!C262,"")</f>
        <v>c</v>
      </c>
      <c r="C262">
        <f>IF(ROW(C262)&lt;=Bidding!$D$11,Raw_hydro_bm!D262,"")</f>
        <v>0</v>
      </c>
      <c r="D262">
        <f>IF(ROW(D262)&lt;=Bidding!$D$11,Raw_hydro_bm!E262,"")</f>
        <v>3</v>
      </c>
      <c r="E262">
        <f>IF(ROW(E262)&lt;=Bidding!$D$11,Raw_hydro_bm!F262,"")</f>
        <v>1</v>
      </c>
      <c r="F262">
        <f>IF(ROW(F262)&lt;=Bidding!$D$11,Raw_hydro_bm!G262,"")</f>
        <v>0</v>
      </c>
      <c r="G262">
        <f>IF(ROW(G262)&lt;=Bidding!$D$11,Raw_hydro_bm!H262,"")</f>
        <v>1</v>
      </c>
      <c r="H262" t="str">
        <f>IF(ROW(H262)&lt;=Bidding!$D$11,Raw_hydro_bm!I262,"")</f>
        <v>0.0</v>
      </c>
      <c r="I262" s="16">
        <f t="shared" si="4"/>
        <v>0</v>
      </c>
    </row>
    <row r="263" spans="1:9" x14ac:dyDescent="0.3">
      <c r="A263" t="str">
        <f>IF(ROW(A263)&lt;=Bidding!$D$11,Raw_hydro_bm!B263,"")</f>
        <v>p</v>
      </c>
      <c r="B263" t="str">
        <f>IF(ROW(B263)&lt;=Bidding!$D$11,Raw_hydro_bm!C263,"")</f>
        <v>c</v>
      </c>
      <c r="C263">
        <f>IF(ROW(C263)&lt;=Bidding!$D$11,Raw_hydro_bm!D263,"")</f>
        <v>0</v>
      </c>
      <c r="D263">
        <f>IF(ROW(D263)&lt;=Bidding!$D$11,Raw_hydro_bm!E263,"")</f>
        <v>3</v>
      </c>
      <c r="E263">
        <f>IF(ROW(E263)&lt;=Bidding!$D$11,Raw_hydro_bm!F263,"")</f>
        <v>1</v>
      </c>
      <c r="F263">
        <f>IF(ROW(F263)&lt;=Bidding!$D$11,Raw_hydro_bm!G263,"")</f>
        <v>0</v>
      </c>
      <c r="G263">
        <f>IF(ROW(G263)&lt;=Bidding!$D$11,Raw_hydro_bm!H263,"")</f>
        <v>2</v>
      </c>
      <c r="H263" t="str">
        <f>IF(ROW(H263)&lt;=Bidding!$D$11,Raw_hydro_bm!I263,"")</f>
        <v>0.0</v>
      </c>
      <c r="I263" s="16">
        <f t="shared" si="4"/>
        <v>0</v>
      </c>
    </row>
    <row r="264" spans="1:9" x14ac:dyDescent="0.3">
      <c r="A264" t="str">
        <f>IF(ROW(A264)&lt;=Bidding!$D$11,Raw_hydro_bm!B264,"")</f>
        <v>v</v>
      </c>
      <c r="B264" t="str">
        <f>IF(ROW(B264)&lt;=Bidding!$D$11,Raw_hydro_bm!C264,"")</f>
        <v>c</v>
      </c>
      <c r="C264">
        <f>IF(ROW(C264)&lt;=Bidding!$D$11,Raw_hydro_bm!D264,"")</f>
        <v>0</v>
      </c>
      <c r="D264">
        <f>IF(ROW(D264)&lt;=Bidding!$D$11,Raw_hydro_bm!E264,"")</f>
        <v>3</v>
      </c>
      <c r="E264">
        <f>IF(ROW(E264)&lt;=Bidding!$D$11,Raw_hydro_bm!F264,"")</f>
        <v>1</v>
      </c>
      <c r="F264">
        <f>IF(ROW(F264)&lt;=Bidding!$D$11,Raw_hydro_bm!G264,"")</f>
        <v>0</v>
      </c>
      <c r="G264">
        <f>IF(ROW(G264)&lt;=Bidding!$D$11,Raw_hydro_bm!H264,"")</f>
        <v>2</v>
      </c>
      <c r="H264" t="str">
        <f>IF(ROW(H264)&lt;=Bidding!$D$11,Raw_hydro_bm!I264,"")</f>
        <v>0.0</v>
      </c>
      <c r="I264" s="16">
        <f t="shared" si="4"/>
        <v>0</v>
      </c>
    </row>
    <row r="265" spans="1:9" x14ac:dyDescent="0.3">
      <c r="A265" t="str">
        <f>IF(ROW(A265)&lt;=Bidding!$D$11,Raw_hydro_bm!B265,"")</f>
        <v>p</v>
      </c>
      <c r="B265" t="str">
        <f>IF(ROW(B265)&lt;=Bidding!$D$11,Raw_hydro_bm!C265,"")</f>
        <v>c</v>
      </c>
      <c r="C265">
        <f>IF(ROW(C265)&lt;=Bidding!$D$11,Raw_hydro_bm!D265,"")</f>
        <v>0</v>
      </c>
      <c r="D265">
        <f>IF(ROW(D265)&lt;=Bidding!$D$11,Raw_hydro_bm!E265,"")</f>
        <v>3</v>
      </c>
      <c r="E265">
        <f>IF(ROW(E265)&lt;=Bidding!$D$11,Raw_hydro_bm!F265,"")</f>
        <v>1</v>
      </c>
      <c r="F265">
        <f>IF(ROW(F265)&lt;=Bidding!$D$11,Raw_hydro_bm!G265,"")</f>
        <v>1</v>
      </c>
      <c r="G265">
        <f>IF(ROW(G265)&lt;=Bidding!$D$11,Raw_hydro_bm!H265,"")</f>
        <v>0</v>
      </c>
      <c r="H265" t="str">
        <f>IF(ROW(H265)&lt;=Bidding!$D$11,Raw_hydro_bm!I265,"")</f>
        <v>0.0</v>
      </c>
      <c r="I265" s="16">
        <f t="shared" si="4"/>
        <v>0</v>
      </c>
    </row>
    <row r="266" spans="1:9" x14ac:dyDescent="0.3">
      <c r="A266" t="str">
        <f>IF(ROW(A266)&lt;=Bidding!$D$11,Raw_hydro_bm!B266,"")</f>
        <v>v</v>
      </c>
      <c r="B266" t="str">
        <f>IF(ROW(B266)&lt;=Bidding!$D$11,Raw_hydro_bm!C266,"")</f>
        <v>c</v>
      </c>
      <c r="C266">
        <f>IF(ROW(C266)&lt;=Bidding!$D$11,Raw_hydro_bm!D266,"")</f>
        <v>0</v>
      </c>
      <c r="D266">
        <f>IF(ROW(D266)&lt;=Bidding!$D$11,Raw_hydro_bm!E266,"")</f>
        <v>3</v>
      </c>
      <c r="E266">
        <f>IF(ROW(E266)&lt;=Bidding!$D$11,Raw_hydro_bm!F266,"")</f>
        <v>1</v>
      </c>
      <c r="F266">
        <f>IF(ROW(F266)&lt;=Bidding!$D$11,Raw_hydro_bm!G266,"")</f>
        <v>1</v>
      </c>
      <c r="G266">
        <f>IF(ROW(G266)&lt;=Bidding!$D$11,Raw_hydro_bm!H266,"")</f>
        <v>0</v>
      </c>
      <c r="H266" t="str">
        <f>IF(ROW(H266)&lt;=Bidding!$D$11,Raw_hydro_bm!I266,"")</f>
        <v>30.0</v>
      </c>
      <c r="I266" s="16">
        <f t="shared" si="4"/>
        <v>30</v>
      </c>
    </row>
    <row r="267" spans="1:9" x14ac:dyDescent="0.3">
      <c r="A267" t="str">
        <f>IF(ROW(A267)&lt;=Bidding!$D$11,Raw_hydro_bm!B267,"")</f>
        <v>p</v>
      </c>
      <c r="B267" t="str">
        <f>IF(ROW(B267)&lt;=Bidding!$D$11,Raw_hydro_bm!C267,"")</f>
        <v>c</v>
      </c>
      <c r="C267">
        <f>IF(ROW(C267)&lt;=Bidding!$D$11,Raw_hydro_bm!D267,"")</f>
        <v>0</v>
      </c>
      <c r="D267">
        <f>IF(ROW(D267)&lt;=Bidding!$D$11,Raw_hydro_bm!E267,"")</f>
        <v>3</v>
      </c>
      <c r="E267">
        <f>IF(ROW(E267)&lt;=Bidding!$D$11,Raw_hydro_bm!F267,"")</f>
        <v>1</v>
      </c>
      <c r="F267">
        <f>IF(ROW(F267)&lt;=Bidding!$D$11,Raw_hydro_bm!G267,"")</f>
        <v>1</v>
      </c>
      <c r="G267">
        <f>IF(ROW(G267)&lt;=Bidding!$D$11,Raw_hydro_bm!H267,"")</f>
        <v>1</v>
      </c>
      <c r="H267" t="str">
        <f>IF(ROW(H267)&lt;=Bidding!$D$11,Raw_hydro_bm!I267,"")</f>
        <v>0.0</v>
      </c>
      <c r="I267" s="16">
        <f t="shared" si="4"/>
        <v>0</v>
      </c>
    </row>
    <row r="268" spans="1:9" x14ac:dyDescent="0.3">
      <c r="A268" t="str">
        <f>IF(ROW(A268)&lt;=Bidding!$D$11,Raw_hydro_bm!B268,"")</f>
        <v>v</v>
      </c>
      <c r="B268" t="str">
        <f>IF(ROW(B268)&lt;=Bidding!$D$11,Raw_hydro_bm!C268,"")</f>
        <v>c</v>
      </c>
      <c r="C268">
        <f>IF(ROW(C268)&lt;=Bidding!$D$11,Raw_hydro_bm!D268,"")</f>
        <v>0</v>
      </c>
      <c r="D268">
        <f>IF(ROW(D268)&lt;=Bidding!$D$11,Raw_hydro_bm!E268,"")</f>
        <v>3</v>
      </c>
      <c r="E268">
        <f>IF(ROW(E268)&lt;=Bidding!$D$11,Raw_hydro_bm!F268,"")</f>
        <v>1</v>
      </c>
      <c r="F268">
        <f>IF(ROW(F268)&lt;=Bidding!$D$11,Raw_hydro_bm!G268,"")</f>
        <v>1</v>
      </c>
      <c r="G268">
        <f>IF(ROW(G268)&lt;=Bidding!$D$11,Raw_hydro_bm!H268,"")</f>
        <v>1</v>
      </c>
      <c r="H268" t="str">
        <f>IF(ROW(H268)&lt;=Bidding!$D$11,Raw_hydro_bm!I268,"")</f>
        <v>20.0</v>
      </c>
      <c r="I268" s="16">
        <f t="shared" si="4"/>
        <v>20</v>
      </c>
    </row>
    <row r="269" spans="1:9" x14ac:dyDescent="0.3">
      <c r="A269" t="str">
        <f>IF(ROW(A269)&lt;=Bidding!$D$11,Raw_hydro_bm!B269,"")</f>
        <v>p</v>
      </c>
      <c r="B269" t="str">
        <f>IF(ROW(B269)&lt;=Bidding!$D$11,Raw_hydro_bm!C269,"")</f>
        <v>c</v>
      </c>
      <c r="C269">
        <f>IF(ROW(C269)&lt;=Bidding!$D$11,Raw_hydro_bm!D269,"")</f>
        <v>0</v>
      </c>
      <c r="D269">
        <f>IF(ROW(D269)&lt;=Bidding!$D$11,Raw_hydro_bm!E269,"")</f>
        <v>3</v>
      </c>
      <c r="E269">
        <f>IF(ROW(E269)&lt;=Bidding!$D$11,Raw_hydro_bm!F269,"")</f>
        <v>1</v>
      </c>
      <c r="F269">
        <f>IF(ROW(F269)&lt;=Bidding!$D$11,Raw_hydro_bm!G269,"")</f>
        <v>1</v>
      </c>
      <c r="G269">
        <f>IF(ROW(G269)&lt;=Bidding!$D$11,Raw_hydro_bm!H269,"")</f>
        <v>2</v>
      </c>
      <c r="H269" t="str">
        <f>IF(ROW(H269)&lt;=Bidding!$D$11,Raw_hydro_bm!I269,"")</f>
        <v>0.0</v>
      </c>
      <c r="I269" s="16">
        <f t="shared" si="4"/>
        <v>0</v>
      </c>
    </row>
    <row r="270" spans="1:9" x14ac:dyDescent="0.3">
      <c r="A270" t="str">
        <f>IF(ROW(A270)&lt;=Bidding!$D$11,Raw_hydro_bm!B270,"")</f>
        <v>v</v>
      </c>
      <c r="B270" t="str">
        <f>IF(ROW(B270)&lt;=Bidding!$D$11,Raw_hydro_bm!C270,"")</f>
        <v>c</v>
      </c>
      <c r="C270">
        <f>IF(ROW(C270)&lt;=Bidding!$D$11,Raw_hydro_bm!D270,"")</f>
        <v>0</v>
      </c>
      <c r="D270">
        <f>IF(ROW(D270)&lt;=Bidding!$D$11,Raw_hydro_bm!E270,"")</f>
        <v>3</v>
      </c>
      <c r="E270">
        <f>IF(ROW(E270)&lt;=Bidding!$D$11,Raw_hydro_bm!F270,"")</f>
        <v>1</v>
      </c>
      <c r="F270">
        <f>IF(ROW(F270)&lt;=Bidding!$D$11,Raw_hydro_bm!G270,"")</f>
        <v>1</v>
      </c>
      <c r="G270">
        <f>IF(ROW(G270)&lt;=Bidding!$D$11,Raw_hydro_bm!H270,"")</f>
        <v>2</v>
      </c>
      <c r="H270" t="str">
        <f>IF(ROW(H270)&lt;=Bidding!$D$11,Raw_hydro_bm!I270,"")</f>
        <v>10.0</v>
      </c>
      <c r="I270" s="16">
        <f t="shared" si="4"/>
        <v>10</v>
      </c>
    </row>
    <row r="271" spans="1:9" x14ac:dyDescent="0.3">
      <c r="A271" t="str">
        <f>IF(ROW(A271)&lt;=Bidding!$D$11,Raw_hydro_bm!B271,"")</f>
        <v>b</v>
      </c>
      <c r="B271" t="str">
        <f>IF(ROW(B271)&lt;=Bidding!$D$11,Raw_hydro_bm!C271,"")</f>
        <v>v</v>
      </c>
      <c r="C271" t="str">
        <f>IF(ROW(C271)&lt;=Bidding!$D$11,Raw_hydro_bm!D271,"")</f>
        <v>X</v>
      </c>
      <c r="D271">
        <f>IF(ROW(D271)&lt;=Bidding!$D$11,Raw_hydro_bm!E271,"")</f>
        <v>0</v>
      </c>
      <c r="E271">
        <f>IF(ROW(E271)&lt;=Bidding!$D$11,Raw_hydro_bm!F271,"")</f>
        <v>4</v>
      </c>
      <c r="F271">
        <f>IF(ROW(F271)&lt;=Bidding!$D$11,Raw_hydro_bm!G271,"")</f>
        <v>0</v>
      </c>
      <c r="G271">
        <f>IF(ROW(G271)&lt;=Bidding!$D$11,Raw_hydro_bm!H271,"")</f>
        <v>0</v>
      </c>
      <c r="H271" t="str">
        <f>IF(ROW(H271)&lt;=Bidding!$D$11,Raw_hydro_bm!I271,"")</f>
        <v>0.0</v>
      </c>
      <c r="I271" s="16">
        <f t="shared" si="4"/>
        <v>0</v>
      </c>
    </row>
    <row r="272" spans="1:9" x14ac:dyDescent="0.3">
      <c r="A272" t="str">
        <f>IF(ROW(A272)&lt;=Bidding!$D$11,Raw_hydro_bm!B272,"")</f>
        <v>b</v>
      </c>
      <c r="B272" t="str">
        <f>IF(ROW(B272)&lt;=Bidding!$D$11,Raw_hydro_bm!C272,"")</f>
        <v>v</v>
      </c>
      <c r="C272" t="str">
        <f>IF(ROW(C272)&lt;=Bidding!$D$11,Raw_hydro_bm!D272,"")</f>
        <v>X</v>
      </c>
      <c r="D272">
        <f>IF(ROW(D272)&lt;=Bidding!$D$11,Raw_hydro_bm!E272,"")</f>
        <v>0</v>
      </c>
      <c r="E272">
        <f>IF(ROW(E272)&lt;=Bidding!$D$11,Raw_hydro_bm!F272,"")</f>
        <v>4</v>
      </c>
      <c r="F272">
        <f>IF(ROW(F272)&lt;=Bidding!$D$11,Raw_hydro_bm!G272,"")</f>
        <v>0</v>
      </c>
      <c r="G272">
        <f>IF(ROW(G272)&lt;=Bidding!$D$11,Raw_hydro_bm!H272,"")</f>
        <v>1</v>
      </c>
      <c r="H272" t="str">
        <f>IF(ROW(H272)&lt;=Bidding!$D$11,Raw_hydro_bm!I272,"")</f>
        <v>0.0</v>
      </c>
      <c r="I272" s="16">
        <f t="shared" si="4"/>
        <v>0</v>
      </c>
    </row>
    <row r="273" spans="1:9" x14ac:dyDescent="0.3">
      <c r="A273" t="str">
        <f>IF(ROW(A273)&lt;=Bidding!$D$11,Raw_hydro_bm!B273,"")</f>
        <v>b</v>
      </c>
      <c r="B273" t="str">
        <f>IF(ROW(B273)&lt;=Bidding!$D$11,Raw_hydro_bm!C273,"")</f>
        <v>v</v>
      </c>
      <c r="C273" t="str">
        <f>IF(ROW(C273)&lt;=Bidding!$D$11,Raw_hydro_bm!D273,"")</f>
        <v>X</v>
      </c>
      <c r="D273">
        <f>IF(ROW(D273)&lt;=Bidding!$D$11,Raw_hydro_bm!E273,"")</f>
        <v>0</v>
      </c>
      <c r="E273">
        <f>IF(ROW(E273)&lt;=Bidding!$D$11,Raw_hydro_bm!F273,"")</f>
        <v>4</v>
      </c>
      <c r="F273">
        <f>IF(ROW(F273)&lt;=Bidding!$D$11,Raw_hydro_bm!G273,"")</f>
        <v>0</v>
      </c>
      <c r="G273">
        <f>IF(ROW(G273)&lt;=Bidding!$D$11,Raw_hydro_bm!H273,"")</f>
        <v>2</v>
      </c>
      <c r="H273" t="str">
        <f>IF(ROW(H273)&lt;=Bidding!$D$11,Raw_hydro_bm!I273,"")</f>
        <v>50.0</v>
      </c>
      <c r="I273" s="16">
        <f t="shared" si="4"/>
        <v>50</v>
      </c>
    </row>
    <row r="274" spans="1:9" x14ac:dyDescent="0.3">
      <c r="A274" t="str">
        <f>IF(ROW(A274)&lt;=Bidding!$D$11,Raw_hydro_bm!B274,"")</f>
        <v>p</v>
      </c>
      <c r="B274" t="str">
        <f>IF(ROW(B274)&lt;=Bidding!$D$11,Raw_hydro_bm!C274,"")</f>
        <v>c</v>
      </c>
      <c r="C274">
        <f>IF(ROW(C274)&lt;=Bidding!$D$11,Raw_hydro_bm!D274,"")</f>
        <v>0</v>
      </c>
      <c r="D274">
        <f>IF(ROW(D274)&lt;=Bidding!$D$11,Raw_hydro_bm!E274,"")</f>
        <v>4</v>
      </c>
      <c r="E274">
        <f>IF(ROW(E274)&lt;=Bidding!$D$11,Raw_hydro_bm!F274,"")</f>
        <v>0</v>
      </c>
      <c r="F274">
        <f>IF(ROW(F274)&lt;=Bidding!$D$11,Raw_hydro_bm!G274,"")</f>
        <v>0</v>
      </c>
      <c r="G274">
        <f>IF(ROW(G274)&lt;=Bidding!$D$11,Raw_hydro_bm!H274,"")</f>
        <v>0</v>
      </c>
      <c r="H274" t="str">
        <f>IF(ROW(H274)&lt;=Bidding!$D$11,Raw_hydro_bm!I274,"")</f>
        <v>0.0</v>
      </c>
      <c r="I274" s="16">
        <f t="shared" si="4"/>
        <v>0</v>
      </c>
    </row>
    <row r="275" spans="1:9" x14ac:dyDescent="0.3">
      <c r="A275" t="str">
        <f>IF(ROW(A275)&lt;=Bidding!$D$11,Raw_hydro_bm!B275,"")</f>
        <v>v</v>
      </c>
      <c r="B275" t="str">
        <f>IF(ROW(B275)&lt;=Bidding!$D$11,Raw_hydro_bm!C275,"")</f>
        <v>c</v>
      </c>
      <c r="C275">
        <f>IF(ROW(C275)&lt;=Bidding!$D$11,Raw_hydro_bm!D275,"")</f>
        <v>0</v>
      </c>
      <c r="D275">
        <f>IF(ROW(D275)&lt;=Bidding!$D$11,Raw_hydro_bm!E275,"")</f>
        <v>4</v>
      </c>
      <c r="E275">
        <f>IF(ROW(E275)&lt;=Bidding!$D$11,Raw_hydro_bm!F275,"")</f>
        <v>0</v>
      </c>
      <c r="F275">
        <f>IF(ROW(F275)&lt;=Bidding!$D$11,Raw_hydro_bm!G275,"")</f>
        <v>0</v>
      </c>
      <c r="G275">
        <f>IF(ROW(G275)&lt;=Bidding!$D$11,Raw_hydro_bm!H275,"")</f>
        <v>0</v>
      </c>
      <c r="H275" t="str">
        <f>IF(ROW(H275)&lt;=Bidding!$D$11,Raw_hydro_bm!I275,"")</f>
        <v>20.0</v>
      </c>
      <c r="I275" s="16">
        <f t="shared" si="4"/>
        <v>20</v>
      </c>
    </row>
    <row r="276" spans="1:9" x14ac:dyDescent="0.3">
      <c r="A276" t="str">
        <f>IF(ROW(A276)&lt;=Bidding!$D$11,Raw_hydro_bm!B276,"")</f>
        <v>p</v>
      </c>
      <c r="B276" t="str">
        <f>IF(ROW(B276)&lt;=Bidding!$D$11,Raw_hydro_bm!C276,"")</f>
        <v>c</v>
      </c>
      <c r="C276">
        <f>IF(ROW(C276)&lt;=Bidding!$D$11,Raw_hydro_bm!D276,"")</f>
        <v>0</v>
      </c>
      <c r="D276">
        <f>IF(ROW(D276)&lt;=Bidding!$D$11,Raw_hydro_bm!E276,"")</f>
        <v>4</v>
      </c>
      <c r="E276">
        <f>IF(ROW(E276)&lt;=Bidding!$D$11,Raw_hydro_bm!F276,"")</f>
        <v>0</v>
      </c>
      <c r="F276">
        <f>IF(ROW(F276)&lt;=Bidding!$D$11,Raw_hydro_bm!G276,"")</f>
        <v>0</v>
      </c>
      <c r="G276">
        <f>IF(ROW(G276)&lt;=Bidding!$D$11,Raw_hydro_bm!H276,"")</f>
        <v>1</v>
      </c>
      <c r="H276" t="str">
        <f>IF(ROW(H276)&lt;=Bidding!$D$11,Raw_hydro_bm!I276,"")</f>
        <v>0.0</v>
      </c>
      <c r="I276" s="16">
        <f t="shared" si="4"/>
        <v>0</v>
      </c>
    </row>
    <row r="277" spans="1:9" x14ac:dyDescent="0.3">
      <c r="A277" t="str">
        <f>IF(ROW(A277)&lt;=Bidding!$D$11,Raw_hydro_bm!B277,"")</f>
        <v>v</v>
      </c>
      <c r="B277" t="str">
        <f>IF(ROW(B277)&lt;=Bidding!$D$11,Raw_hydro_bm!C277,"")</f>
        <v>c</v>
      </c>
      <c r="C277">
        <f>IF(ROW(C277)&lt;=Bidding!$D$11,Raw_hydro_bm!D277,"")</f>
        <v>0</v>
      </c>
      <c r="D277">
        <f>IF(ROW(D277)&lt;=Bidding!$D$11,Raw_hydro_bm!E277,"")</f>
        <v>4</v>
      </c>
      <c r="E277">
        <f>IF(ROW(E277)&lt;=Bidding!$D$11,Raw_hydro_bm!F277,"")</f>
        <v>0</v>
      </c>
      <c r="F277">
        <f>IF(ROW(F277)&lt;=Bidding!$D$11,Raw_hydro_bm!G277,"")</f>
        <v>0</v>
      </c>
      <c r="G277">
        <f>IF(ROW(G277)&lt;=Bidding!$D$11,Raw_hydro_bm!H277,"")</f>
        <v>1</v>
      </c>
      <c r="H277" t="str">
        <f>IF(ROW(H277)&lt;=Bidding!$D$11,Raw_hydro_bm!I277,"")</f>
        <v>20.0</v>
      </c>
      <c r="I277" s="16">
        <f t="shared" si="4"/>
        <v>20</v>
      </c>
    </row>
    <row r="278" spans="1:9" x14ac:dyDescent="0.3">
      <c r="A278" t="str">
        <f>IF(ROW(A278)&lt;=Bidding!$D$11,Raw_hydro_bm!B278,"")</f>
        <v>p</v>
      </c>
      <c r="B278" t="str">
        <f>IF(ROW(B278)&lt;=Bidding!$D$11,Raw_hydro_bm!C278,"")</f>
        <v>c</v>
      </c>
      <c r="C278">
        <f>IF(ROW(C278)&lt;=Bidding!$D$11,Raw_hydro_bm!D278,"")</f>
        <v>0</v>
      </c>
      <c r="D278">
        <f>IF(ROW(D278)&lt;=Bidding!$D$11,Raw_hydro_bm!E278,"")</f>
        <v>4</v>
      </c>
      <c r="E278">
        <f>IF(ROW(E278)&lt;=Bidding!$D$11,Raw_hydro_bm!F278,"")</f>
        <v>0</v>
      </c>
      <c r="F278">
        <f>IF(ROW(F278)&lt;=Bidding!$D$11,Raw_hydro_bm!G278,"")</f>
        <v>0</v>
      </c>
      <c r="G278">
        <f>IF(ROW(G278)&lt;=Bidding!$D$11,Raw_hydro_bm!H278,"")</f>
        <v>2</v>
      </c>
      <c r="H278" t="str">
        <f>IF(ROW(H278)&lt;=Bidding!$D$11,Raw_hydro_bm!I278,"")</f>
        <v>0.0</v>
      </c>
      <c r="I278" s="16">
        <f t="shared" si="4"/>
        <v>0</v>
      </c>
    </row>
    <row r="279" spans="1:9" x14ac:dyDescent="0.3">
      <c r="A279" t="str">
        <f>IF(ROW(A279)&lt;=Bidding!$D$11,Raw_hydro_bm!B279,"")</f>
        <v>v</v>
      </c>
      <c r="B279" t="str">
        <f>IF(ROW(B279)&lt;=Bidding!$D$11,Raw_hydro_bm!C279,"")</f>
        <v>c</v>
      </c>
      <c r="C279">
        <f>IF(ROW(C279)&lt;=Bidding!$D$11,Raw_hydro_bm!D279,"")</f>
        <v>0</v>
      </c>
      <c r="D279">
        <f>IF(ROW(D279)&lt;=Bidding!$D$11,Raw_hydro_bm!E279,"")</f>
        <v>4</v>
      </c>
      <c r="E279">
        <f>IF(ROW(E279)&lt;=Bidding!$D$11,Raw_hydro_bm!F279,"")</f>
        <v>0</v>
      </c>
      <c r="F279">
        <f>IF(ROW(F279)&lt;=Bidding!$D$11,Raw_hydro_bm!G279,"")</f>
        <v>0</v>
      </c>
      <c r="G279">
        <f>IF(ROW(G279)&lt;=Bidding!$D$11,Raw_hydro_bm!H279,"")</f>
        <v>2</v>
      </c>
      <c r="H279" t="str">
        <f>IF(ROW(H279)&lt;=Bidding!$D$11,Raw_hydro_bm!I279,"")</f>
        <v>10.0</v>
      </c>
      <c r="I279" s="16">
        <f t="shared" si="4"/>
        <v>10</v>
      </c>
    </row>
    <row r="280" spans="1:9" x14ac:dyDescent="0.3">
      <c r="A280" t="str">
        <f>IF(ROW(A280)&lt;=Bidding!$D$11,Raw_hydro_bm!B280,"")</f>
        <v>p</v>
      </c>
      <c r="B280" t="str">
        <f>IF(ROW(B280)&lt;=Bidding!$D$11,Raw_hydro_bm!C280,"")</f>
        <v>c</v>
      </c>
      <c r="C280">
        <f>IF(ROW(C280)&lt;=Bidding!$D$11,Raw_hydro_bm!D280,"")</f>
        <v>0</v>
      </c>
      <c r="D280">
        <f>IF(ROW(D280)&lt;=Bidding!$D$11,Raw_hydro_bm!E280,"")</f>
        <v>4</v>
      </c>
      <c r="E280">
        <f>IF(ROW(E280)&lt;=Bidding!$D$11,Raw_hydro_bm!F280,"")</f>
        <v>0</v>
      </c>
      <c r="F280">
        <f>IF(ROW(F280)&lt;=Bidding!$D$11,Raw_hydro_bm!G280,"")</f>
        <v>1</v>
      </c>
      <c r="G280">
        <f>IF(ROW(G280)&lt;=Bidding!$D$11,Raw_hydro_bm!H280,"")</f>
        <v>0</v>
      </c>
      <c r="H280" t="str">
        <f>IF(ROW(H280)&lt;=Bidding!$D$11,Raw_hydro_bm!I280,"")</f>
        <v>0.0</v>
      </c>
      <c r="I280" s="16">
        <f t="shared" si="4"/>
        <v>0</v>
      </c>
    </row>
    <row r="281" spans="1:9" x14ac:dyDescent="0.3">
      <c r="A281" t="str">
        <f>IF(ROW(A281)&lt;=Bidding!$D$11,Raw_hydro_bm!B281,"")</f>
        <v>v</v>
      </c>
      <c r="B281" t="str">
        <f>IF(ROW(B281)&lt;=Bidding!$D$11,Raw_hydro_bm!C281,"")</f>
        <v>c</v>
      </c>
      <c r="C281">
        <f>IF(ROW(C281)&lt;=Bidding!$D$11,Raw_hydro_bm!D281,"")</f>
        <v>0</v>
      </c>
      <c r="D281">
        <f>IF(ROW(D281)&lt;=Bidding!$D$11,Raw_hydro_bm!E281,"")</f>
        <v>4</v>
      </c>
      <c r="E281">
        <f>IF(ROW(E281)&lt;=Bidding!$D$11,Raw_hydro_bm!F281,"")</f>
        <v>0</v>
      </c>
      <c r="F281">
        <f>IF(ROW(F281)&lt;=Bidding!$D$11,Raw_hydro_bm!G281,"")</f>
        <v>1</v>
      </c>
      <c r="G281">
        <f>IF(ROW(G281)&lt;=Bidding!$D$11,Raw_hydro_bm!H281,"")</f>
        <v>0</v>
      </c>
      <c r="H281" t="str">
        <f>IF(ROW(H281)&lt;=Bidding!$D$11,Raw_hydro_bm!I281,"")</f>
        <v>0.0</v>
      </c>
      <c r="I281" s="16">
        <f t="shared" si="4"/>
        <v>0</v>
      </c>
    </row>
    <row r="282" spans="1:9" x14ac:dyDescent="0.3">
      <c r="A282" t="str">
        <f>IF(ROW(A282)&lt;=Bidding!$D$11,Raw_hydro_bm!B282,"")</f>
        <v>p</v>
      </c>
      <c r="B282" t="str">
        <f>IF(ROW(B282)&lt;=Bidding!$D$11,Raw_hydro_bm!C282,"")</f>
        <v>c</v>
      </c>
      <c r="C282">
        <f>IF(ROW(C282)&lt;=Bidding!$D$11,Raw_hydro_bm!D282,"")</f>
        <v>0</v>
      </c>
      <c r="D282">
        <f>IF(ROW(D282)&lt;=Bidding!$D$11,Raw_hydro_bm!E282,"")</f>
        <v>4</v>
      </c>
      <c r="E282">
        <f>IF(ROW(E282)&lt;=Bidding!$D$11,Raw_hydro_bm!F282,"")</f>
        <v>0</v>
      </c>
      <c r="F282">
        <f>IF(ROW(F282)&lt;=Bidding!$D$11,Raw_hydro_bm!G282,"")</f>
        <v>1</v>
      </c>
      <c r="G282">
        <f>IF(ROW(G282)&lt;=Bidding!$D$11,Raw_hydro_bm!H282,"")</f>
        <v>1</v>
      </c>
      <c r="H282" t="str">
        <f>IF(ROW(H282)&lt;=Bidding!$D$11,Raw_hydro_bm!I282,"")</f>
        <v>0.0</v>
      </c>
      <c r="I282" s="16">
        <f t="shared" si="4"/>
        <v>0</v>
      </c>
    </row>
    <row r="283" spans="1:9" x14ac:dyDescent="0.3">
      <c r="A283" t="str">
        <f>IF(ROW(A283)&lt;=Bidding!$D$11,Raw_hydro_bm!B283,"")</f>
        <v>v</v>
      </c>
      <c r="B283" t="str">
        <f>IF(ROW(B283)&lt;=Bidding!$D$11,Raw_hydro_bm!C283,"")</f>
        <v>c</v>
      </c>
      <c r="C283">
        <f>IF(ROW(C283)&lt;=Bidding!$D$11,Raw_hydro_bm!D283,"")</f>
        <v>0</v>
      </c>
      <c r="D283">
        <f>IF(ROW(D283)&lt;=Bidding!$D$11,Raw_hydro_bm!E283,"")</f>
        <v>4</v>
      </c>
      <c r="E283">
        <f>IF(ROW(E283)&lt;=Bidding!$D$11,Raw_hydro_bm!F283,"")</f>
        <v>0</v>
      </c>
      <c r="F283">
        <f>IF(ROW(F283)&lt;=Bidding!$D$11,Raw_hydro_bm!G283,"")</f>
        <v>1</v>
      </c>
      <c r="G283">
        <f>IF(ROW(G283)&lt;=Bidding!$D$11,Raw_hydro_bm!H283,"")</f>
        <v>1</v>
      </c>
      <c r="H283" t="str">
        <f>IF(ROW(H283)&lt;=Bidding!$D$11,Raw_hydro_bm!I283,"")</f>
        <v>0.0</v>
      </c>
      <c r="I283" s="16">
        <f t="shared" si="4"/>
        <v>0</v>
      </c>
    </row>
    <row r="284" spans="1:9" x14ac:dyDescent="0.3">
      <c r="A284" t="str">
        <f>IF(ROW(A284)&lt;=Bidding!$D$11,Raw_hydro_bm!B284,"")</f>
        <v>p</v>
      </c>
      <c r="B284" t="str">
        <f>IF(ROW(B284)&lt;=Bidding!$D$11,Raw_hydro_bm!C284,"")</f>
        <v>c</v>
      </c>
      <c r="C284">
        <f>IF(ROW(C284)&lt;=Bidding!$D$11,Raw_hydro_bm!D284,"")</f>
        <v>0</v>
      </c>
      <c r="D284">
        <f>IF(ROW(D284)&lt;=Bidding!$D$11,Raw_hydro_bm!E284,"")</f>
        <v>4</v>
      </c>
      <c r="E284">
        <f>IF(ROW(E284)&lt;=Bidding!$D$11,Raw_hydro_bm!F284,"")</f>
        <v>0</v>
      </c>
      <c r="F284">
        <f>IF(ROW(F284)&lt;=Bidding!$D$11,Raw_hydro_bm!G284,"")</f>
        <v>1</v>
      </c>
      <c r="G284">
        <f>IF(ROW(G284)&lt;=Bidding!$D$11,Raw_hydro_bm!H284,"")</f>
        <v>2</v>
      </c>
      <c r="H284" t="str">
        <f>IF(ROW(H284)&lt;=Bidding!$D$11,Raw_hydro_bm!I284,"")</f>
        <v>0.0</v>
      </c>
      <c r="I284" s="16">
        <f t="shared" si="4"/>
        <v>0</v>
      </c>
    </row>
    <row r="285" spans="1:9" x14ac:dyDescent="0.3">
      <c r="A285" t="str">
        <f>IF(ROW(A285)&lt;=Bidding!$D$11,Raw_hydro_bm!B285,"")</f>
        <v>v</v>
      </c>
      <c r="B285" t="str">
        <f>IF(ROW(B285)&lt;=Bidding!$D$11,Raw_hydro_bm!C285,"")</f>
        <v>c</v>
      </c>
      <c r="C285">
        <f>IF(ROW(C285)&lt;=Bidding!$D$11,Raw_hydro_bm!D285,"")</f>
        <v>0</v>
      </c>
      <c r="D285">
        <f>IF(ROW(D285)&lt;=Bidding!$D$11,Raw_hydro_bm!E285,"")</f>
        <v>4</v>
      </c>
      <c r="E285">
        <f>IF(ROW(E285)&lt;=Bidding!$D$11,Raw_hydro_bm!F285,"")</f>
        <v>0</v>
      </c>
      <c r="F285">
        <f>IF(ROW(F285)&lt;=Bidding!$D$11,Raw_hydro_bm!G285,"")</f>
        <v>1</v>
      </c>
      <c r="G285">
        <f>IF(ROW(G285)&lt;=Bidding!$D$11,Raw_hydro_bm!H285,"")</f>
        <v>2</v>
      </c>
      <c r="H285" t="str">
        <f>IF(ROW(H285)&lt;=Bidding!$D$11,Raw_hydro_bm!I285,"")</f>
        <v>0.0</v>
      </c>
      <c r="I285" s="16">
        <f t="shared" si="4"/>
        <v>0</v>
      </c>
    </row>
    <row r="286" spans="1:9" x14ac:dyDescent="0.3">
      <c r="A286" t="str">
        <f>IF(ROW(A286)&lt;=Bidding!$D$11,Raw_hydro_bm!B286,"")</f>
        <v>b</v>
      </c>
      <c r="B286" t="str">
        <f>IF(ROW(B286)&lt;=Bidding!$D$11,Raw_hydro_bm!C286,"")</f>
        <v>v</v>
      </c>
      <c r="C286" t="str">
        <f>IF(ROW(C286)&lt;=Bidding!$D$11,Raw_hydro_bm!D286,"")</f>
        <v>X</v>
      </c>
      <c r="D286">
        <f>IF(ROW(D286)&lt;=Bidding!$D$11,Raw_hydro_bm!E286,"")</f>
        <v>0</v>
      </c>
      <c r="E286">
        <f>IF(ROW(E286)&lt;=Bidding!$D$11,Raw_hydro_bm!F286,"")</f>
        <v>4</v>
      </c>
      <c r="F286">
        <f>IF(ROW(F286)&lt;=Bidding!$D$11,Raw_hydro_bm!G286,"")</f>
        <v>1</v>
      </c>
      <c r="G286">
        <f>IF(ROW(G286)&lt;=Bidding!$D$11,Raw_hydro_bm!H286,"")</f>
        <v>0</v>
      </c>
      <c r="H286" t="str">
        <f>IF(ROW(H286)&lt;=Bidding!$D$11,Raw_hydro_bm!I286,"")</f>
        <v>0.0</v>
      </c>
      <c r="I286" s="16">
        <f t="shared" si="4"/>
        <v>0</v>
      </c>
    </row>
    <row r="287" spans="1:9" x14ac:dyDescent="0.3">
      <c r="A287" t="str">
        <f>IF(ROW(A287)&lt;=Bidding!$D$11,Raw_hydro_bm!B287,"")</f>
        <v>b</v>
      </c>
      <c r="B287" t="str">
        <f>IF(ROW(B287)&lt;=Bidding!$D$11,Raw_hydro_bm!C287,"")</f>
        <v>v</v>
      </c>
      <c r="C287" t="str">
        <f>IF(ROW(C287)&lt;=Bidding!$D$11,Raw_hydro_bm!D287,"")</f>
        <v>X</v>
      </c>
      <c r="D287">
        <f>IF(ROW(D287)&lt;=Bidding!$D$11,Raw_hydro_bm!E287,"")</f>
        <v>0</v>
      </c>
      <c r="E287">
        <f>IF(ROW(E287)&lt;=Bidding!$D$11,Raw_hydro_bm!F287,"")</f>
        <v>4</v>
      </c>
      <c r="F287">
        <f>IF(ROW(F287)&lt;=Bidding!$D$11,Raw_hydro_bm!G287,"")</f>
        <v>1</v>
      </c>
      <c r="G287">
        <f>IF(ROW(G287)&lt;=Bidding!$D$11,Raw_hydro_bm!H287,"")</f>
        <v>1</v>
      </c>
      <c r="H287" t="str">
        <f>IF(ROW(H287)&lt;=Bidding!$D$11,Raw_hydro_bm!I287,"")</f>
        <v>0.0</v>
      </c>
      <c r="I287" s="16">
        <f t="shared" si="4"/>
        <v>0</v>
      </c>
    </row>
    <row r="288" spans="1:9" x14ac:dyDescent="0.3">
      <c r="A288" t="str">
        <f>IF(ROW(A288)&lt;=Bidding!$D$11,Raw_hydro_bm!B288,"")</f>
        <v>b</v>
      </c>
      <c r="B288" t="str">
        <f>IF(ROW(B288)&lt;=Bidding!$D$11,Raw_hydro_bm!C288,"")</f>
        <v>v</v>
      </c>
      <c r="C288" t="str">
        <f>IF(ROW(C288)&lt;=Bidding!$D$11,Raw_hydro_bm!D288,"")</f>
        <v>X</v>
      </c>
      <c r="D288">
        <f>IF(ROW(D288)&lt;=Bidding!$D$11,Raw_hydro_bm!E288,"")</f>
        <v>0</v>
      </c>
      <c r="E288">
        <f>IF(ROW(E288)&lt;=Bidding!$D$11,Raw_hydro_bm!F288,"")</f>
        <v>4</v>
      </c>
      <c r="F288">
        <f>IF(ROW(F288)&lt;=Bidding!$D$11,Raw_hydro_bm!G288,"")</f>
        <v>1</v>
      </c>
      <c r="G288">
        <f>IF(ROW(G288)&lt;=Bidding!$D$11,Raw_hydro_bm!H288,"")</f>
        <v>2</v>
      </c>
      <c r="H288" t="str">
        <f>IF(ROW(H288)&lt;=Bidding!$D$11,Raw_hydro_bm!I288,"")</f>
        <v>60.0</v>
      </c>
      <c r="I288" s="16">
        <f t="shared" si="4"/>
        <v>60</v>
      </c>
    </row>
    <row r="289" spans="1:9" x14ac:dyDescent="0.3">
      <c r="A289" t="str">
        <f>IF(ROW(A289)&lt;=Bidding!$D$11,Raw_hydro_bm!B289,"")</f>
        <v>p</v>
      </c>
      <c r="B289" t="str">
        <f>IF(ROW(B289)&lt;=Bidding!$D$11,Raw_hydro_bm!C289,"")</f>
        <v>c</v>
      </c>
      <c r="C289">
        <f>IF(ROW(C289)&lt;=Bidding!$D$11,Raw_hydro_bm!D289,"")</f>
        <v>0</v>
      </c>
      <c r="D289">
        <f>IF(ROW(D289)&lt;=Bidding!$D$11,Raw_hydro_bm!E289,"")</f>
        <v>4</v>
      </c>
      <c r="E289">
        <f>IF(ROW(E289)&lt;=Bidding!$D$11,Raw_hydro_bm!F289,"")</f>
        <v>1</v>
      </c>
      <c r="F289">
        <f>IF(ROW(F289)&lt;=Bidding!$D$11,Raw_hydro_bm!G289,"")</f>
        <v>0</v>
      </c>
      <c r="G289">
        <f>IF(ROW(G289)&lt;=Bidding!$D$11,Raw_hydro_bm!H289,"")</f>
        <v>0</v>
      </c>
      <c r="H289" t="str">
        <f>IF(ROW(H289)&lt;=Bidding!$D$11,Raw_hydro_bm!I289,"")</f>
        <v>0.0</v>
      </c>
      <c r="I289" s="16">
        <f t="shared" si="4"/>
        <v>0</v>
      </c>
    </row>
    <row r="290" spans="1:9" x14ac:dyDescent="0.3">
      <c r="A290" t="str">
        <f>IF(ROW(A290)&lt;=Bidding!$D$11,Raw_hydro_bm!B290,"")</f>
        <v>v</v>
      </c>
      <c r="B290" t="str">
        <f>IF(ROW(B290)&lt;=Bidding!$D$11,Raw_hydro_bm!C290,"")</f>
        <v>c</v>
      </c>
      <c r="C290">
        <f>IF(ROW(C290)&lt;=Bidding!$D$11,Raw_hydro_bm!D290,"")</f>
        <v>0</v>
      </c>
      <c r="D290">
        <f>IF(ROW(D290)&lt;=Bidding!$D$11,Raw_hydro_bm!E290,"")</f>
        <v>4</v>
      </c>
      <c r="E290">
        <f>IF(ROW(E290)&lt;=Bidding!$D$11,Raw_hydro_bm!F290,"")</f>
        <v>1</v>
      </c>
      <c r="F290">
        <f>IF(ROW(F290)&lt;=Bidding!$D$11,Raw_hydro_bm!G290,"")</f>
        <v>0</v>
      </c>
      <c r="G290">
        <f>IF(ROW(G290)&lt;=Bidding!$D$11,Raw_hydro_bm!H290,"")</f>
        <v>0</v>
      </c>
      <c r="H290" t="str">
        <f>IF(ROW(H290)&lt;=Bidding!$D$11,Raw_hydro_bm!I290,"")</f>
        <v>0.0</v>
      </c>
      <c r="I290" s="16">
        <f t="shared" si="4"/>
        <v>0</v>
      </c>
    </row>
    <row r="291" spans="1:9" x14ac:dyDescent="0.3">
      <c r="A291" t="str">
        <f>IF(ROW(A291)&lt;=Bidding!$D$11,Raw_hydro_bm!B291,"")</f>
        <v>p</v>
      </c>
      <c r="B291" t="str">
        <f>IF(ROW(B291)&lt;=Bidding!$D$11,Raw_hydro_bm!C291,"")</f>
        <v>c</v>
      </c>
      <c r="C291">
        <f>IF(ROW(C291)&lt;=Bidding!$D$11,Raw_hydro_bm!D291,"")</f>
        <v>0</v>
      </c>
      <c r="D291">
        <f>IF(ROW(D291)&lt;=Bidding!$D$11,Raw_hydro_bm!E291,"")</f>
        <v>4</v>
      </c>
      <c r="E291">
        <f>IF(ROW(E291)&lt;=Bidding!$D$11,Raw_hydro_bm!F291,"")</f>
        <v>1</v>
      </c>
      <c r="F291">
        <f>IF(ROW(F291)&lt;=Bidding!$D$11,Raw_hydro_bm!G291,"")</f>
        <v>0</v>
      </c>
      <c r="G291">
        <f>IF(ROW(G291)&lt;=Bidding!$D$11,Raw_hydro_bm!H291,"")</f>
        <v>1</v>
      </c>
      <c r="H291" t="str">
        <f>IF(ROW(H291)&lt;=Bidding!$D$11,Raw_hydro_bm!I291,"")</f>
        <v>0.0</v>
      </c>
      <c r="I291" s="16">
        <f t="shared" si="4"/>
        <v>0</v>
      </c>
    </row>
    <row r="292" spans="1:9" x14ac:dyDescent="0.3">
      <c r="A292" t="str">
        <f>IF(ROW(A292)&lt;=Bidding!$D$11,Raw_hydro_bm!B292,"")</f>
        <v>v</v>
      </c>
      <c r="B292" t="str">
        <f>IF(ROW(B292)&lt;=Bidding!$D$11,Raw_hydro_bm!C292,"")</f>
        <v>c</v>
      </c>
      <c r="C292">
        <f>IF(ROW(C292)&lt;=Bidding!$D$11,Raw_hydro_bm!D292,"")</f>
        <v>0</v>
      </c>
      <c r="D292">
        <f>IF(ROW(D292)&lt;=Bidding!$D$11,Raw_hydro_bm!E292,"")</f>
        <v>4</v>
      </c>
      <c r="E292">
        <f>IF(ROW(E292)&lt;=Bidding!$D$11,Raw_hydro_bm!F292,"")</f>
        <v>1</v>
      </c>
      <c r="F292">
        <f>IF(ROW(F292)&lt;=Bidding!$D$11,Raw_hydro_bm!G292,"")</f>
        <v>0</v>
      </c>
      <c r="G292">
        <f>IF(ROW(G292)&lt;=Bidding!$D$11,Raw_hydro_bm!H292,"")</f>
        <v>1</v>
      </c>
      <c r="H292" t="str">
        <f>IF(ROW(H292)&lt;=Bidding!$D$11,Raw_hydro_bm!I292,"")</f>
        <v>0.0</v>
      </c>
      <c r="I292" s="16">
        <f t="shared" si="4"/>
        <v>0</v>
      </c>
    </row>
    <row r="293" spans="1:9" x14ac:dyDescent="0.3">
      <c r="A293" t="str">
        <f>IF(ROW(A293)&lt;=Bidding!$D$11,Raw_hydro_bm!B293,"")</f>
        <v>p</v>
      </c>
      <c r="B293" t="str">
        <f>IF(ROW(B293)&lt;=Bidding!$D$11,Raw_hydro_bm!C293,"")</f>
        <v>c</v>
      </c>
      <c r="C293">
        <f>IF(ROW(C293)&lt;=Bidding!$D$11,Raw_hydro_bm!D293,"")</f>
        <v>0</v>
      </c>
      <c r="D293">
        <f>IF(ROW(D293)&lt;=Bidding!$D$11,Raw_hydro_bm!E293,"")</f>
        <v>4</v>
      </c>
      <c r="E293">
        <f>IF(ROW(E293)&lt;=Bidding!$D$11,Raw_hydro_bm!F293,"")</f>
        <v>1</v>
      </c>
      <c r="F293">
        <f>IF(ROW(F293)&lt;=Bidding!$D$11,Raw_hydro_bm!G293,"")</f>
        <v>0</v>
      </c>
      <c r="G293">
        <f>IF(ROW(G293)&lt;=Bidding!$D$11,Raw_hydro_bm!H293,"")</f>
        <v>2</v>
      </c>
      <c r="H293" t="str">
        <f>IF(ROW(H293)&lt;=Bidding!$D$11,Raw_hydro_bm!I293,"")</f>
        <v>0.0</v>
      </c>
      <c r="I293" s="16">
        <f t="shared" si="4"/>
        <v>0</v>
      </c>
    </row>
    <row r="294" spans="1:9" x14ac:dyDescent="0.3">
      <c r="A294" t="str">
        <f>IF(ROW(A294)&lt;=Bidding!$D$11,Raw_hydro_bm!B294,"")</f>
        <v>v</v>
      </c>
      <c r="B294" t="str">
        <f>IF(ROW(B294)&lt;=Bidding!$D$11,Raw_hydro_bm!C294,"")</f>
        <v>c</v>
      </c>
      <c r="C294">
        <f>IF(ROW(C294)&lt;=Bidding!$D$11,Raw_hydro_bm!D294,"")</f>
        <v>0</v>
      </c>
      <c r="D294">
        <f>IF(ROW(D294)&lt;=Bidding!$D$11,Raw_hydro_bm!E294,"")</f>
        <v>4</v>
      </c>
      <c r="E294">
        <f>IF(ROW(E294)&lt;=Bidding!$D$11,Raw_hydro_bm!F294,"")</f>
        <v>1</v>
      </c>
      <c r="F294">
        <f>IF(ROW(F294)&lt;=Bidding!$D$11,Raw_hydro_bm!G294,"")</f>
        <v>0</v>
      </c>
      <c r="G294">
        <f>IF(ROW(G294)&lt;=Bidding!$D$11,Raw_hydro_bm!H294,"")</f>
        <v>2</v>
      </c>
      <c r="H294" t="str">
        <f>IF(ROW(H294)&lt;=Bidding!$D$11,Raw_hydro_bm!I294,"")</f>
        <v>0.0</v>
      </c>
      <c r="I294" s="16">
        <f t="shared" si="4"/>
        <v>0</v>
      </c>
    </row>
    <row r="295" spans="1:9" x14ac:dyDescent="0.3">
      <c r="A295" t="str">
        <f>IF(ROW(A295)&lt;=Bidding!$D$11,Raw_hydro_bm!B295,"")</f>
        <v>p</v>
      </c>
      <c r="B295" t="str">
        <f>IF(ROW(B295)&lt;=Bidding!$D$11,Raw_hydro_bm!C295,"")</f>
        <v>c</v>
      </c>
      <c r="C295">
        <f>IF(ROW(C295)&lt;=Bidding!$D$11,Raw_hydro_bm!D295,"")</f>
        <v>0</v>
      </c>
      <c r="D295">
        <f>IF(ROW(D295)&lt;=Bidding!$D$11,Raw_hydro_bm!E295,"")</f>
        <v>4</v>
      </c>
      <c r="E295">
        <f>IF(ROW(E295)&lt;=Bidding!$D$11,Raw_hydro_bm!F295,"")</f>
        <v>1</v>
      </c>
      <c r="F295">
        <f>IF(ROW(F295)&lt;=Bidding!$D$11,Raw_hydro_bm!G295,"")</f>
        <v>1</v>
      </c>
      <c r="G295">
        <f>IF(ROW(G295)&lt;=Bidding!$D$11,Raw_hydro_bm!H295,"")</f>
        <v>0</v>
      </c>
      <c r="H295" t="str">
        <f>IF(ROW(H295)&lt;=Bidding!$D$11,Raw_hydro_bm!I295,"")</f>
        <v>0.0</v>
      </c>
      <c r="I295" s="16">
        <f t="shared" si="4"/>
        <v>0</v>
      </c>
    </row>
    <row r="296" spans="1:9" x14ac:dyDescent="0.3">
      <c r="A296" t="str">
        <f>IF(ROW(A296)&lt;=Bidding!$D$11,Raw_hydro_bm!B296,"")</f>
        <v>v</v>
      </c>
      <c r="B296" t="str">
        <f>IF(ROW(B296)&lt;=Bidding!$D$11,Raw_hydro_bm!C296,"")</f>
        <v>c</v>
      </c>
      <c r="C296">
        <f>IF(ROW(C296)&lt;=Bidding!$D$11,Raw_hydro_bm!D296,"")</f>
        <v>0</v>
      </c>
      <c r="D296">
        <f>IF(ROW(D296)&lt;=Bidding!$D$11,Raw_hydro_bm!E296,"")</f>
        <v>4</v>
      </c>
      <c r="E296">
        <f>IF(ROW(E296)&lt;=Bidding!$D$11,Raw_hydro_bm!F296,"")</f>
        <v>1</v>
      </c>
      <c r="F296">
        <f>IF(ROW(F296)&lt;=Bidding!$D$11,Raw_hydro_bm!G296,"")</f>
        <v>1</v>
      </c>
      <c r="G296">
        <f>IF(ROW(G296)&lt;=Bidding!$D$11,Raw_hydro_bm!H296,"")</f>
        <v>0</v>
      </c>
      <c r="H296" t="str">
        <f>IF(ROW(H296)&lt;=Bidding!$D$11,Raw_hydro_bm!I296,"")</f>
        <v>30.0</v>
      </c>
      <c r="I296" s="16">
        <f t="shared" si="4"/>
        <v>30</v>
      </c>
    </row>
    <row r="297" spans="1:9" x14ac:dyDescent="0.3">
      <c r="A297" t="str">
        <f>IF(ROW(A297)&lt;=Bidding!$D$11,Raw_hydro_bm!B297,"")</f>
        <v>p</v>
      </c>
      <c r="B297" t="str">
        <f>IF(ROW(B297)&lt;=Bidding!$D$11,Raw_hydro_bm!C297,"")</f>
        <v>c</v>
      </c>
      <c r="C297">
        <f>IF(ROW(C297)&lt;=Bidding!$D$11,Raw_hydro_bm!D297,"")</f>
        <v>0</v>
      </c>
      <c r="D297">
        <f>IF(ROW(D297)&lt;=Bidding!$D$11,Raw_hydro_bm!E297,"")</f>
        <v>4</v>
      </c>
      <c r="E297">
        <f>IF(ROW(E297)&lt;=Bidding!$D$11,Raw_hydro_bm!F297,"")</f>
        <v>1</v>
      </c>
      <c r="F297">
        <f>IF(ROW(F297)&lt;=Bidding!$D$11,Raw_hydro_bm!G297,"")</f>
        <v>1</v>
      </c>
      <c r="G297">
        <f>IF(ROW(G297)&lt;=Bidding!$D$11,Raw_hydro_bm!H297,"")</f>
        <v>1</v>
      </c>
      <c r="H297" t="str">
        <f>IF(ROW(H297)&lt;=Bidding!$D$11,Raw_hydro_bm!I297,"")</f>
        <v>0.0</v>
      </c>
      <c r="I297" s="16">
        <f t="shared" si="4"/>
        <v>0</v>
      </c>
    </row>
    <row r="298" spans="1:9" x14ac:dyDescent="0.3">
      <c r="A298" t="str">
        <f>IF(ROW(A298)&lt;=Bidding!$D$11,Raw_hydro_bm!B298,"")</f>
        <v>v</v>
      </c>
      <c r="B298" t="str">
        <f>IF(ROW(B298)&lt;=Bidding!$D$11,Raw_hydro_bm!C298,"")</f>
        <v>c</v>
      </c>
      <c r="C298">
        <f>IF(ROW(C298)&lt;=Bidding!$D$11,Raw_hydro_bm!D298,"")</f>
        <v>0</v>
      </c>
      <c r="D298">
        <f>IF(ROW(D298)&lt;=Bidding!$D$11,Raw_hydro_bm!E298,"")</f>
        <v>4</v>
      </c>
      <c r="E298">
        <f>IF(ROW(E298)&lt;=Bidding!$D$11,Raw_hydro_bm!F298,"")</f>
        <v>1</v>
      </c>
      <c r="F298">
        <f>IF(ROW(F298)&lt;=Bidding!$D$11,Raw_hydro_bm!G298,"")</f>
        <v>1</v>
      </c>
      <c r="G298">
        <f>IF(ROW(G298)&lt;=Bidding!$D$11,Raw_hydro_bm!H298,"")</f>
        <v>1</v>
      </c>
      <c r="H298" t="str">
        <f>IF(ROW(H298)&lt;=Bidding!$D$11,Raw_hydro_bm!I298,"")</f>
        <v>20.0</v>
      </c>
      <c r="I298" s="16">
        <f t="shared" si="4"/>
        <v>20</v>
      </c>
    </row>
    <row r="299" spans="1:9" x14ac:dyDescent="0.3">
      <c r="A299" t="str">
        <f>IF(ROW(A299)&lt;=Bidding!$D$11,Raw_hydro_bm!B299,"")</f>
        <v>p</v>
      </c>
      <c r="B299" t="str">
        <f>IF(ROW(B299)&lt;=Bidding!$D$11,Raw_hydro_bm!C299,"")</f>
        <v>c</v>
      </c>
      <c r="C299">
        <f>IF(ROW(C299)&lt;=Bidding!$D$11,Raw_hydro_bm!D299,"")</f>
        <v>0</v>
      </c>
      <c r="D299">
        <f>IF(ROW(D299)&lt;=Bidding!$D$11,Raw_hydro_bm!E299,"")</f>
        <v>4</v>
      </c>
      <c r="E299">
        <f>IF(ROW(E299)&lt;=Bidding!$D$11,Raw_hydro_bm!F299,"")</f>
        <v>1</v>
      </c>
      <c r="F299">
        <f>IF(ROW(F299)&lt;=Bidding!$D$11,Raw_hydro_bm!G299,"")</f>
        <v>1</v>
      </c>
      <c r="G299">
        <f>IF(ROW(G299)&lt;=Bidding!$D$11,Raw_hydro_bm!H299,"")</f>
        <v>2</v>
      </c>
      <c r="H299" t="str">
        <f>IF(ROW(H299)&lt;=Bidding!$D$11,Raw_hydro_bm!I299,"")</f>
        <v>0.0</v>
      </c>
      <c r="I299" s="16">
        <f t="shared" si="4"/>
        <v>0</v>
      </c>
    </row>
    <row r="300" spans="1:9" x14ac:dyDescent="0.3">
      <c r="A300" t="str">
        <f>IF(ROW(A300)&lt;=Bidding!$D$11,Raw_hydro_bm!B300,"")</f>
        <v>v</v>
      </c>
      <c r="B300" t="str">
        <f>IF(ROW(B300)&lt;=Bidding!$D$11,Raw_hydro_bm!C300,"")</f>
        <v>c</v>
      </c>
      <c r="C300">
        <f>IF(ROW(C300)&lt;=Bidding!$D$11,Raw_hydro_bm!D300,"")</f>
        <v>0</v>
      </c>
      <c r="D300">
        <f>IF(ROW(D300)&lt;=Bidding!$D$11,Raw_hydro_bm!E300,"")</f>
        <v>4</v>
      </c>
      <c r="E300">
        <f>IF(ROW(E300)&lt;=Bidding!$D$11,Raw_hydro_bm!F300,"")</f>
        <v>1</v>
      </c>
      <c r="F300">
        <f>IF(ROW(F300)&lt;=Bidding!$D$11,Raw_hydro_bm!G300,"")</f>
        <v>1</v>
      </c>
      <c r="G300">
        <f>IF(ROW(G300)&lt;=Bidding!$D$11,Raw_hydro_bm!H300,"")</f>
        <v>2</v>
      </c>
      <c r="H300" t="str">
        <f>IF(ROW(H300)&lt;=Bidding!$D$11,Raw_hydro_bm!I300,"")</f>
        <v>10.0</v>
      </c>
      <c r="I300" s="16">
        <f t="shared" si="4"/>
        <v>10</v>
      </c>
    </row>
    <row r="301" spans="1:9" x14ac:dyDescent="0.3">
      <c r="A301" t="str">
        <f>IF(ROW(A301)&lt;=Bidding!$D$11,Raw_hydro_bm!B301,"")</f>
        <v>b</v>
      </c>
      <c r="B301" t="str">
        <f>IF(ROW(B301)&lt;=Bidding!$D$11,Raw_hydro_bm!C301,"")</f>
        <v>v</v>
      </c>
      <c r="C301" t="str">
        <f>IF(ROW(C301)&lt;=Bidding!$D$11,Raw_hydro_bm!D301,"")</f>
        <v>X</v>
      </c>
      <c r="D301">
        <f>IF(ROW(D301)&lt;=Bidding!$D$11,Raw_hydro_bm!E301,"")</f>
        <v>0</v>
      </c>
      <c r="E301">
        <f>IF(ROW(E301)&lt;=Bidding!$D$11,Raw_hydro_bm!F301,"")</f>
        <v>5</v>
      </c>
      <c r="F301">
        <f>IF(ROW(F301)&lt;=Bidding!$D$11,Raw_hydro_bm!G301,"")</f>
        <v>0</v>
      </c>
      <c r="G301">
        <f>IF(ROW(G301)&lt;=Bidding!$D$11,Raw_hydro_bm!H301,"")</f>
        <v>0</v>
      </c>
      <c r="H301" t="str">
        <f>IF(ROW(H301)&lt;=Bidding!$D$11,Raw_hydro_bm!I301,"")</f>
        <v>0.0</v>
      </c>
      <c r="I301" s="16">
        <f t="shared" si="4"/>
        <v>0</v>
      </c>
    </row>
    <row r="302" spans="1:9" x14ac:dyDescent="0.3">
      <c r="A302" t="str">
        <f>IF(ROW(A302)&lt;=Bidding!$D$11,Raw_hydro_bm!B302,"")</f>
        <v>b</v>
      </c>
      <c r="B302" t="str">
        <f>IF(ROW(B302)&lt;=Bidding!$D$11,Raw_hydro_bm!C302,"")</f>
        <v>v</v>
      </c>
      <c r="C302" t="str">
        <f>IF(ROW(C302)&lt;=Bidding!$D$11,Raw_hydro_bm!D302,"")</f>
        <v>X</v>
      </c>
      <c r="D302">
        <f>IF(ROW(D302)&lt;=Bidding!$D$11,Raw_hydro_bm!E302,"")</f>
        <v>0</v>
      </c>
      <c r="E302">
        <f>IF(ROW(E302)&lt;=Bidding!$D$11,Raw_hydro_bm!F302,"")</f>
        <v>5</v>
      </c>
      <c r="F302">
        <f>IF(ROW(F302)&lt;=Bidding!$D$11,Raw_hydro_bm!G302,"")</f>
        <v>0</v>
      </c>
      <c r="G302">
        <f>IF(ROW(G302)&lt;=Bidding!$D$11,Raw_hydro_bm!H302,"")</f>
        <v>1</v>
      </c>
      <c r="H302" t="str">
        <f>IF(ROW(H302)&lt;=Bidding!$D$11,Raw_hydro_bm!I302,"")</f>
        <v>0.0</v>
      </c>
      <c r="I302" s="16">
        <f t="shared" si="4"/>
        <v>0</v>
      </c>
    </row>
    <row r="303" spans="1:9" x14ac:dyDescent="0.3">
      <c r="A303" t="str">
        <f>IF(ROW(A303)&lt;=Bidding!$D$11,Raw_hydro_bm!B303,"")</f>
        <v>b</v>
      </c>
      <c r="B303" t="str">
        <f>IF(ROW(B303)&lt;=Bidding!$D$11,Raw_hydro_bm!C303,"")</f>
        <v>v</v>
      </c>
      <c r="C303" t="str">
        <f>IF(ROW(C303)&lt;=Bidding!$D$11,Raw_hydro_bm!D303,"")</f>
        <v>X</v>
      </c>
      <c r="D303">
        <f>IF(ROW(D303)&lt;=Bidding!$D$11,Raw_hydro_bm!E303,"")</f>
        <v>0</v>
      </c>
      <c r="E303">
        <f>IF(ROW(E303)&lt;=Bidding!$D$11,Raw_hydro_bm!F303,"")</f>
        <v>5</v>
      </c>
      <c r="F303">
        <f>IF(ROW(F303)&lt;=Bidding!$D$11,Raw_hydro_bm!G303,"")</f>
        <v>0</v>
      </c>
      <c r="G303">
        <f>IF(ROW(G303)&lt;=Bidding!$D$11,Raw_hydro_bm!H303,"")</f>
        <v>2</v>
      </c>
      <c r="H303" t="str">
        <f>IF(ROW(H303)&lt;=Bidding!$D$11,Raw_hydro_bm!I303,"")</f>
        <v>55.0</v>
      </c>
      <c r="I303" s="16">
        <f t="shared" si="4"/>
        <v>55</v>
      </c>
    </row>
    <row r="304" spans="1:9" x14ac:dyDescent="0.3">
      <c r="A304" t="str">
        <f>IF(ROW(A304)&lt;=Bidding!$D$11,Raw_hydro_bm!B304,"")</f>
        <v>p</v>
      </c>
      <c r="B304" t="str">
        <f>IF(ROW(B304)&lt;=Bidding!$D$11,Raw_hydro_bm!C304,"")</f>
        <v>c</v>
      </c>
      <c r="C304">
        <f>IF(ROW(C304)&lt;=Bidding!$D$11,Raw_hydro_bm!D304,"")</f>
        <v>0</v>
      </c>
      <c r="D304">
        <f>IF(ROW(D304)&lt;=Bidding!$D$11,Raw_hydro_bm!E304,"")</f>
        <v>5</v>
      </c>
      <c r="E304">
        <f>IF(ROW(E304)&lt;=Bidding!$D$11,Raw_hydro_bm!F304,"")</f>
        <v>0</v>
      </c>
      <c r="F304">
        <f>IF(ROW(F304)&lt;=Bidding!$D$11,Raw_hydro_bm!G304,"")</f>
        <v>0</v>
      </c>
      <c r="G304">
        <f>IF(ROW(G304)&lt;=Bidding!$D$11,Raw_hydro_bm!H304,"")</f>
        <v>0</v>
      </c>
      <c r="H304" t="str">
        <f>IF(ROW(H304)&lt;=Bidding!$D$11,Raw_hydro_bm!I304,"")</f>
        <v>0.0</v>
      </c>
      <c r="I304" s="16">
        <f t="shared" si="4"/>
        <v>0</v>
      </c>
    </row>
    <row r="305" spans="1:9" x14ac:dyDescent="0.3">
      <c r="A305" t="str">
        <f>IF(ROW(A305)&lt;=Bidding!$D$11,Raw_hydro_bm!B305,"")</f>
        <v>v</v>
      </c>
      <c r="B305" t="str">
        <f>IF(ROW(B305)&lt;=Bidding!$D$11,Raw_hydro_bm!C305,"")</f>
        <v>c</v>
      </c>
      <c r="C305">
        <f>IF(ROW(C305)&lt;=Bidding!$D$11,Raw_hydro_bm!D305,"")</f>
        <v>0</v>
      </c>
      <c r="D305">
        <f>IF(ROW(D305)&lt;=Bidding!$D$11,Raw_hydro_bm!E305,"")</f>
        <v>5</v>
      </c>
      <c r="E305">
        <f>IF(ROW(E305)&lt;=Bidding!$D$11,Raw_hydro_bm!F305,"")</f>
        <v>0</v>
      </c>
      <c r="F305">
        <f>IF(ROW(F305)&lt;=Bidding!$D$11,Raw_hydro_bm!G305,"")</f>
        <v>0</v>
      </c>
      <c r="G305">
        <f>IF(ROW(G305)&lt;=Bidding!$D$11,Raw_hydro_bm!H305,"")</f>
        <v>0</v>
      </c>
      <c r="H305" t="str">
        <f>IF(ROW(H305)&lt;=Bidding!$D$11,Raw_hydro_bm!I305,"")</f>
        <v>25.0</v>
      </c>
      <c r="I305" s="16">
        <f t="shared" si="4"/>
        <v>25</v>
      </c>
    </row>
    <row r="306" spans="1:9" x14ac:dyDescent="0.3">
      <c r="A306" t="str">
        <f>IF(ROW(A306)&lt;=Bidding!$D$11,Raw_hydro_bm!B306,"")</f>
        <v>p</v>
      </c>
      <c r="B306" t="str">
        <f>IF(ROW(B306)&lt;=Bidding!$D$11,Raw_hydro_bm!C306,"")</f>
        <v>c</v>
      </c>
      <c r="C306">
        <f>IF(ROW(C306)&lt;=Bidding!$D$11,Raw_hydro_bm!D306,"")</f>
        <v>0</v>
      </c>
      <c r="D306">
        <f>IF(ROW(D306)&lt;=Bidding!$D$11,Raw_hydro_bm!E306,"")</f>
        <v>5</v>
      </c>
      <c r="E306">
        <f>IF(ROW(E306)&lt;=Bidding!$D$11,Raw_hydro_bm!F306,"")</f>
        <v>0</v>
      </c>
      <c r="F306">
        <f>IF(ROW(F306)&lt;=Bidding!$D$11,Raw_hydro_bm!G306,"")</f>
        <v>0</v>
      </c>
      <c r="G306">
        <f>IF(ROW(G306)&lt;=Bidding!$D$11,Raw_hydro_bm!H306,"")</f>
        <v>1</v>
      </c>
      <c r="H306" t="str">
        <f>IF(ROW(H306)&lt;=Bidding!$D$11,Raw_hydro_bm!I306,"")</f>
        <v>0.0</v>
      </c>
      <c r="I306" s="16">
        <f t="shared" si="4"/>
        <v>0</v>
      </c>
    </row>
    <row r="307" spans="1:9" x14ac:dyDescent="0.3">
      <c r="A307" t="str">
        <f>IF(ROW(A307)&lt;=Bidding!$D$11,Raw_hydro_bm!B307,"")</f>
        <v>v</v>
      </c>
      <c r="B307" t="str">
        <f>IF(ROW(B307)&lt;=Bidding!$D$11,Raw_hydro_bm!C307,"")</f>
        <v>c</v>
      </c>
      <c r="C307">
        <f>IF(ROW(C307)&lt;=Bidding!$D$11,Raw_hydro_bm!D307,"")</f>
        <v>0</v>
      </c>
      <c r="D307">
        <f>IF(ROW(D307)&lt;=Bidding!$D$11,Raw_hydro_bm!E307,"")</f>
        <v>5</v>
      </c>
      <c r="E307">
        <f>IF(ROW(E307)&lt;=Bidding!$D$11,Raw_hydro_bm!F307,"")</f>
        <v>0</v>
      </c>
      <c r="F307">
        <f>IF(ROW(F307)&lt;=Bidding!$D$11,Raw_hydro_bm!G307,"")</f>
        <v>0</v>
      </c>
      <c r="G307">
        <f>IF(ROW(G307)&lt;=Bidding!$D$11,Raw_hydro_bm!H307,"")</f>
        <v>1</v>
      </c>
      <c r="H307" t="str">
        <f>IF(ROW(H307)&lt;=Bidding!$D$11,Raw_hydro_bm!I307,"")</f>
        <v>20.0</v>
      </c>
      <c r="I307" s="16">
        <f t="shared" si="4"/>
        <v>20</v>
      </c>
    </row>
    <row r="308" spans="1:9" x14ac:dyDescent="0.3">
      <c r="A308" t="str">
        <f>IF(ROW(A308)&lt;=Bidding!$D$11,Raw_hydro_bm!B308,"")</f>
        <v>p</v>
      </c>
      <c r="B308" t="str">
        <f>IF(ROW(B308)&lt;=Bidding!$D$11,Raw_hydro_bm!C308,"")</f>
        <v>c</v>
      </c>
      <c r="C308">
        <f>IF(ROW(C308)&lt;=Bidding!$D$11,Raw_hydro_bm!D308,"")</f>
        <v>0</v>
      </c>
      <c r="D308">
        <f>IF(ROW(D308)&lt;=Bidding!$D$11,Raw_hydro_bm!E308,"")</f>
        <v>5</v>
      </c>
      <c r="E308">
        <f>IF(ROW(E308)&lt;=Bidding!$D$11,Raw_hydro_bm!F308,"")</f>
        <v>0</v>
      </c>
      <c r="F308">
        <f>IF(ROW(F308)&lt;=Bidding!$D$11,Raw_hydro_bm!G308,"")</f>
        <v>0</v>
      </c>
      <c r="G308">
        <f>IF(ROW(G308)&lt;=Bidding!$D$11,Raw_hydro_bm!H308,"")</f>
        <v>2</v>
      </c>
      <c r="H308" t="str">
        <f>IF(ROW(H308)&lt;=Bidding!$D$11,Raw_hydro_bm!I308,"")</f>
        <v>0.0</v>
      </c>
      <c r="I308" s="16">
        <f t="shared" si="4"/>
        <v>0</v>
      </c>
    </row>
    <row r="309" spans="1:9" x14ac:dyDescent="0.3">
      <c r="A309" t="str">
        <f>IF(ROW(A309)&lt;=Bidding!$D$11,Raw_hydro_bm!B309,"")</f>
        <v>v</v>
      </c>
      <c r="B309" t="str">
        <f>IF(ROW(B309)&lt;=Bidding!$D$11,Raw_hydro_bm!C309,"")</f>
        <v>c</v>
      </c>
      <c r="C309">
        <f>IF(ROW(C309)&lt;=Bidding!$D$11,Raw_hydro_bm!D309,"")</f>
        <v>0</v>
      </c>
      <c r="D309">
        <f>IF(ROW(D309)&lt;=Bidding!$D$11,Raw_hydro_bm!E309,"")</f>
        <v>5</v>
      </c>
      <c r="E309">
        <f>IF(ROW(E309)&lt;=Bidding!$D$11,Raw_hydro_bm!F309,"")</f>
        <v>0</v>
      </c>
      <c r="F309">
        <f>IF(ROW(F309)&lt;=Bidding!$D$11,Raw_hydro_bm!G309,"")</f>
        <v>0</v>
      </c>
      <c r="G309">
        <f>IF(ROW(G309)&lt;=Bidding!$D$11,Raw_hydro_bm!H309,"")</f>
        <v>2</v>
      </c>
      <c r="H309" t="str">
        <f>IF(ROW(H309)&lt;=Bidding!$D$11,Raw_hydro_bm!I309,"")</f>
        <v>10.0</v>
      </c>
      <c r="I309" s="16">
        <f t="shared" si="4"/>
        <v>10</v>
      </c>
    </row>
    <row r="310" spans="1:9" x14ac:dyDescent="0.3">
      <c r="A310" t="str">
        <f>IF(ROW(A310)&lt;=Bidding!$D$11,Raw_hydro_bm!B310,"")</f>
        <v>p</v>
      </c>
      <c r="B310" t="str">
        <f>IF(ROW(B310)&lt;=Bidding!$D$11,Raw_hydro_bm!C310,"")</f>
        <v>c</v>
      </c>
      <c r="C310">
        <f>IF(ROW(C310)&lt;=Bidding!$D$11,Raw_hydro_bm!D310,"")</f>
        <v>0</v>
      </c>
      <c r="D310">
        <f>IF(ROW(D310)&lt;=Bidding!$D$11,Raw_hydro_bm!E310,"")</f>
        <v>5</v>
      </c>
      <c r="E310">
        <f>IF(ROW(E310)&lt;=Bidding!$D$11,Raw_hydro_bm!F310,"")</f>
        <v>0</v>
      </c>
      <c r="F310">
        <f>IF(ROW(F310)&lt;=Bidding!$D$11,Raw_hydro_bm!G310,"")</f>
        <v>1</v>
      </c>
      <c r="G310">
        <f>IF(ROW(G310)&lt;=Bidding!$D$11,Raw_hydro_bm!H310,"")</f>
        <v>0</v>
      </c>
      <c r="H310" t="str">
        <f>IF(ROW(H310)&lt;=Bidding!$D$11,Raw_hydro_bm!I310,"")</f>
        <v>0.0</v>
      </c>
      <c r="I310" s="16">
        <f t="shared" si="4"/>
        <v>0</v>
      </c>
    </row>
    <row r="311" spans="1:9" x14ac:dyDescent="0.3">
      <c r="A311" t="str">
        <f>IF(ROW(A311)&lt;=Bidding!$D$11,Raw_hydro_bm!B311,"")</f>
        <v>v</v>
      </c>
      <c r="B311" t="str">
        <f>IF(ROW(B311)&lt;=Bidding!$D$11,Raw_hydro_bm!C311,"")</f>
        <v>c</v>
      </c>
      <c r="C311">
        <f>IF(ROW(C311)&lt;=Bidding!$D$11,Raw_hydro_bm!D311,"")</f>
        <v>0</v>
      </c>
      <c r="D311">
        <f>IF(ROW(D311)&lt;=Bidding!$D$11,Raw_hydro_bm!E311,"")</f>
        <v>5</v>
      </c>
      <c r="E311">
        <f>IF(ROW(E311)&lt;=Bidding!$D$11,Raw_hydro_bm!F311,"")</f>
        <v>0</v>
      </c>
      <c r="F311">
        <f>IF(ROW(F311)&lt;=Bidding!$D$11,Raw_hydro_bm!G311,"")</f>
        <v>1</v>
      </c>
      <c r="G311">
        <f>IF(ROW(G311)&lt;=Bidding!$D$11,Raw_hydro_bm!H311,"")</f>
        <v>0</v>
      </c>
      <c r="H311" t="str">
        <f>IF(ROW(H311)&lt;=Bidding!$D$11,Raw_hydro_bm!I311,"")</f>
        <v>0.0</v>
      </c>
      <c r="I311" s="16">
        <f t="shared" si="4"/>
        <v>0</v>
      </c>
    </row>
    <row r="312" spans="1:9" x14ac:dyDescent="0.3">
      <c r="A312" t="str">
        <f>IF(ROW(A312)&lt;=Bidding!$D$11,Raw_hydro_bm!B312,"")</f>
        <v>p</v>
      </c>
      <c r="B312" t="str">
        <f>IF(ROW(B312)&lt;=Bidding!$D$11,Raw_hydro_bm!C312,"")</f>
        <v>c</v>
      </c>
      <c r="C312">
        <f>IF(ROW(C312)&lt;=Bidding!$D$11,Raw_hydro_bm!D312,"")</f>
        <v>0</v>
      </c>
      <c r="D312">
        <f>IF(ROW(D312)&lt;=Bidding!$D$11,Raw_hydro_bm!E312,"")</f>
        <v>5</v>
      </c>
      <c r="E312">
        <f>IF(ROW(E312)&lt;=Bidding!$D$11,Raw_hydro_bm!F312,"")</f>
        <v>0</v>
      </c>
      <c r="F312">
        <f>IF(ROW(F312)&lt;=Bidding!$D$11,Raw_hydro_bm!G312,"")</f>
        <v>1</v>
      </c>
      <c r="G312">
        <f>IF(ROW(G312)&lt;=Bidding!$D$11,Raw_hydro_bm!H312,"")</f>
        <v>1</v>
      </c>
      <c r="H312" t="str">
        <f>IF(ROW(H312)&lt;=Bidding!$D$11,Raw_hydro_bm!I312,"")</f>
        <v>0.0</v>
      </c>
      <c r="I312" s="16">
        <f t="shared" si="4"/>
        <v>0</v>
      </c>
    </row>
    <row r="313" spans="1:9" x14ac:dyDescent="0.3">
      <c r="A313" t="str">
        <f>IF(ROW(A313)&lt;=Bidding!$D$11,Raw_hydro_bm!B313,"")</f>
        <v>v</v>
      </c>
      <c r="B313" t="str">
        <f>IF(ROW(B313)&lt;=Bidding!$D$11,Raw_hydro_bm!C313,"")</f>
        <v>c</v>
      </c>
      <c r="C313">
        <f>IF(ROW(C313)&lt;=Bidding!$D$11,Raw_hydro_bm!D313,"")</f>
        <v>0</v>
      </c>
      <c r="D313">
        <f>IF(ROW(D313)&lt;=Bidding!$D$11,Raw_hydro_bm!E313,"")</f>
        <v>5</v>
      </c>
      <c r="E313">
        <f>IF(ROW(E313)&lt;=Bidding!$D$11,Raw_hydro_bm!F313,"")</f>
        <v>0</v>
      </c>
      <c r="F313">
        <f>IF(ROW(F313)&lt;=Bidding!$D$11,Raw_hydro_bm!G313,"")</f>
        <v>1</v>
      </c>
      <c r="G313">
        <f>IF(ROW(G313)&lt;=Bidding!$D$11,Raw_hydro_bm!H313,"")</f>
        <v>1</v>
      </c>
      <c r="H313" t="str">
        <f>IF(ROW(H313)&lt;=Bidding!$D$11,Raw_hydro_bm!I313,"")</f>
        <v>0.0</v>
      </c>
      <c r="I313" s="16">
        <f t="shared" si="4"/>
        <v>0</v>
      </c>
    </row>
    <row r="314" spans="1:9" x14ac:dyDescent="0.3">
      <c r="A314" t="str">
        <f>IF(ROW(A314)&lt;=Bidding!$D$11,Raw_hydro_bm!B314,"")</f>
        <v>p</v>
      </c>
      <c r="B314" t="str">
        <f>IF(ROW(B314)&lt;=Bidding!$D$11,Raw_hydro_bm!C314,"")</f>
        <v>c</v>
      </c>
      <c r="C314">
        <f>IF(ROW(C314)&lt;=Bidding!$D$11,Raw_hydro_bm!D314,"")</f>
        <v>0</v>
      </c>
      <c r="D314">
        <f>IF(ROW(D314)&lt;=Bidding!$D$11,Raw_hydro_bm!E314,"")</f>
        <v>5</v>
      </c>
      <c r="E314">
        <f>IF(ROW(E314)&lt;=Bidding!$D$11,Raw_hydro_bm!F314,"")</f>
        <v>0</v>
      </c>
      <c r="F314">
        <f>IF(ROW(F314)&lt;=Bidding!$D$11,Raw_hydro_bm!G314,"")</f>
        <v>1</v>
      </c>
      <c r="G314">
        <f>IF(ROW(G314)&lt;=Bidding!$D$11,Raw_hydro_bm!H314,"")</f>
        <v>2</v>
      </c>
      <c r="H314" t="str">
        <f>IF(ROW(H314)&lt;=Bidding!$D$11,Raw_hydro_bm!I314,"")</f>
        <v>0.0</v>
      </c>
      <c r="I314" s="16">
        <f t="shared" si="4"/>
        <v>0</v>
      </c>
    </row>
    <row r="315" spans="1:9" x14ac:dyDescent="0.3">
      <c r="A315" t="str">
        <f>IF(ROW(A315)&lt;=Bidding!$D$11,Raw_hydro_bm!B315,"")</f>
        <v>v</v>
      </c>
      <c r="B315" t="str">
        <f>IF(ROW(B315)&lt;=Bidding!$D$11,Raw_hydro_bm!C315,"")</f>
        <v>c</v>
      </c>
      <c r="C315">
        <f>IF(ROW(C315)&lt;=Bidding!$D$11,Raw_hydro_bm!D315,"")</f>
        <v>0</v>
      </c>
      <c r="D315">
        <f>IF(ROW(D315)&lt;=Bidding!$D$11,Raw_hydro_bm!E315,"")</f>
        <v>5</v>
      </c>
      <c r="E315">
        <f>IF(ROW(E315)&lt;=Bidding!$D$11,Raw_hydro_bm!F315,"")</f>
        <v>0</v>
      </c>
      <c r="F315">
        <f>IF(ROW(F315)&lt;=Bidding!$D$11,Raw_hydro_bm!G315,"")</f>
        <v>1</v>
      </c>
      <c r="G315">
        <f>IF(ROW(G315)&lt;=Bidding!$D$11,Raw_hydro_bm!H315,"")</f>
        <v>2</v>
      </c>
      <c r="H315" t="str">
        <f>IF(ROW(H315)&lt;=Bidding!$D$11,Raw_hydro_bm!I315,"")</f>
        <v>0.0</v>
      </c>
      <c r="I315" s="16">
        <f t="shared" si="4"/>
        <v>0</v>
      </c>
    </row>
    <row r="316" spans="1:9" x14ac:dyDescent="0.3">
      <c r="A316" t="str">
        <f>IF(ROW(A316)&lt;=Bidding!$D$11,Raw_hydro_bm!B316,"")</f>
        <v>b</v>
      </c>
      <c r="B316" t="str">
        <f>IF(ROW(B316)&lt;=Bidding!$D$11,Raw_hydro_bm!C316,"")</f>
        <v>v</v>
      </c>
      <c r="C316" t="str">
        <f>IF(ROW(C316)&lt;=Bidding!$D$11,Raw_hydro_bm!D316,"")</f>
        <v>X</v>
      </c>
      <c r="D316">
        <f>IF(ROW(D316)&lt;=Bidding!$D$11,Raw_hydro_bm!E316,"")</f>
        <v>0</v>
      </c>
      <c r="E316">
        <f>IF(ROW(E316)&lt;=Bidding!$D$11,Raw_hydro_bm!F316,"")</f>
        <v>5</v>
      </c>
      <c r="F316">
        <f>IF(ROW(F316)&lt;=Bidding!$D$11,Raw_hydro_bm!G316,"")</f>
        <v>1</v>
      </c>
      <c r="G316">
        <f>IF(ROW(G316)&lt;=Bidding!$D$11,Raw_hydro_bm!H316,"")</f>
        <v>0</v>
      </c>
      <c r="H316" t="str">
        <f>IF(ROW(H316)&lt;=Bidding!$D$11,Raw_hydro_bm!I316,"")</f>
        <v>0.0</v>
      </c>
      <c r="I316" s="16">
        <f t="shared" si="4"/>
        <v>0</v>
      </c>
    </row>
    <row r="317" spans="1:9" x14ac:dyDescent="0.3">
      <c r="A317" t="str">
        <f>IF(ROW(A317)&lt;=Bidding!$D$11,Raw_hydro_bm!B317,"")</f>
        <v>b</v>
      </c>
      <c r="B317" t="str">
        <f>IF(ROW(B317)&lt;=Bidding!$D$11,Raw_hydro_bm!C317,"")</f>
        <v>v</v>
      </c>
      <c r="C317" t="str">
        <f>IF(ROW(C317)&lt;=Bidding!$D$11,Raw_hydro_bm!D317,"")</f>
        <v>X</v>
      </c>
      <c r="D317">
        <f>IF(ROW(D317)&lt;=Bidding!$D$11,Raw_hydro_bm!E317,"")</f>
        <v>0</v>
      </c>
      <c r="E317">
        <f>IF(ROW(E317)&lt;=Bidding!$D$11,Raw_hydro_bm!F317,"")</f>
        <v>5</v>
      </c>
      <c r="F317">
        <f>IF(ROW(F317)&lt;=Bidding!$D$11,Raw_hydro_bm!G317,"")</f>
        <v>1</v>
      </c>
      <c r="G317">
        <f>IF(ROW(G317)&lt;=Bidding!$D$11,Raw_hydro_bm!H317,"")</f>
        <v>1</v>
      </c>
      <c r="H317" t="str">
        <f>IF(ROW(H317)&lt;=Bidding!$D$11,Raw_hydro_bm!I317,"")</f>
        <v>0.0</v>
      </c>
      <c r="I317" s="16">
        <f t="shared" si="4"/>
        <v>0</v>
      </c>
    </row>
    <row r="318" spans="1:9" x14ac:dyDescent="0.3">
      <c r="A318" t="str">
        <f>IF(ROW(A318)&lt;=Bidding!$D$11,Raw_hydro_bm!B318,"")</f>
        <v>b</v>
      </c>
      <c r="B318" t="str">
        <f>IF(ROW(B318)&lt;=Bidding!$D$11,Raw_hydro_bm!C318,"")</f>
        <v>v</v>
      </c>
      <c r="C318" t="str">
        <f>IF(ROW(C318)&lt;=Bidding!$D$11,Raw_hydro_bm!D318,"")</f>
        <v>X</v>
      </c>
      <c r="D318">
        <f>IF(ROW(D318)&lt;=Bidding!$D$11,Raw_hydro_bm!E318,"")</f>
        <v>0</v>
      </c>
      <c r="E318">
        <f>IF(ROW(E318)&lt;=Bidding!$D$11,Raw_hydro_bm!F318,"")</f>
        <v>5</v>
      </c>
      <c r="F318">
        <f>IF(ROW(F318)&lt;=Bidding!$D$11,Raw_hydro_bm!G318,"")</f>
        <v>1</v>
      </c>
      <c r="G318">
        <f>IF(ROW(G318)&lt;=Bidding!$D$11,Raw_hydro_bm!H318,"")</f>
        <v>2</v>
      </c>
      <c r="H318" t="str">
        <f>IF(ROW(H318)&lt;=Bidding!$D$11,Raw_hydro_bm!I318,"")</f>
        <v>60.0</v>
      </c>
      <c r="I318" s="16">
        <f t="shared" si="4"/>
        <v>60</v>
      </c>
    </row>
    <row r="319" spans="1:9" x14ac:dyDescent="0.3">
      <c r="A319" t="str">
        <f>IF(ROW(A319)&lt;=Bidding!$D$11,Raw_hydro_bm!B319,"")</f>
        <v>p</v>
      </c>
      <c r="B319" t="str">
        <f>IF(ROW(B319)&lt;=Bidding!$D$11,Raw_hydro_bm!C319,"")</f>
        <v>c</v>
      </c>
      <c r="C319">
        <f>IF(ROW(C319)&lt;=Bidding!$D$11,Raw_hydro_bm!D319,"")</f>
        <v>0</v>
      </c>
      <c r="D319">
        <f>IF(ROW(D319)&lt;=Bidding!$D$11,Raw_hydro_bm!E319,"")</f>
        <v>5</v>
      </c>
      <c r="E319">
        <f>IF(ROW(E319)&lt;=Bidding!$D$11,Raw_hydro_bm!F319,"")</f>
        <v>1</v>
      </c>
      <c r="F319">
        <f>IF(ROW(F319)&lt;=Bidding!$D$11,Raw_hydro_bm!G319,"")</f>
        <v>0</v>
      </c>
      <c r="G319">
        <f>IF(ROW(G319)&lt;=Bidding!$D$11,Raw_hydro_bm!H319,"")</f>
        <v>0</v>
      </c>
      <c r="H319" t="str">
        <f>IF(ROW(H319)&lt;=Bidding!$D$11,Raw_hydro_bm!I319,"")</f>
        <v>0.0</v>
      </c>
      <c r="I319" s="16">
        <f t="shared" si="4"/>
        <v>0</v>
      </c>
    </row>
    <row r="320" spans="1:9" x14ac:dyDescent="0.3">
      <c r="A320" t="str">
        <f>IF(ROW(A320)&lt;=Bidding!$D$11,Raw_hydro_bm!B320,"")</f>
        <v>v</v>
      </c>
      <c r="B320" t="str">
        <f>IF(ROW(B320)&lt;=Bidding!$D$11,Raw_hydro_bm!C320,"")</f>
        <v>c</v>
      </c>
      <c r="C320">
        <f>IF(ROW(C320)&lt;=Bidding!$D$11,Raw_hydro_bm!D320,"")</f>
        <v>0</v>
      </c>
      <c r="D320">
        <f>IF(ROW(D320)&lt;=Bidding!$D$11,Raw_hydro_bm!E320,"")</f>
        <v>5</v>
      </c>
      <c r="E320">
        <f>IF(ROW(E320)&lt;=Bidding!$D$11,Raw_hydro_bm!F320,"")</f>
        <v>1</v>
      </c>
      <c r="F320">
        <f>IF(ROW(F320)&lt;=Bidding!$D$11,Raw_hydro_bm!G320,"")</f>
        <v>0</v>
      </c>
      <c r="G320">
        <f>IF(ROW(G320)&lt;=Bidding!$D$11,Raw_hydro_bm!H320,"")</f>
        <v>0</v>
      </c>
      <c r="H320" t="str">
        <f>IF(ROW(H320)&lt;=Bidding!$D$11,Raw_hydro_bm!I320,"")</f>
        <v>0.0</v>
      </c>
      <c r="I320" s="16">
        <f t="shared" si="4"/>
        <v>0</v>
      </c>
    </row>
    <row r="321" spans="1:9" x14ac:dyDescent="0.3">
      <c r="A321" t="str">
        <f>IF(ROW(A321)&lt;=Bidding!$D$11,Raw_hydro_bm!B321,"")</f>
        <v>p</v>
      </c>
      <c r="B321" t="str">
        <f>IF(ROW(B321)&lt;=Bidding!$D$11,Raw_hydro_bm!C321,"")</f>
        <v>c</v>
      </c>
      <c r="C321">
        <f>IF(ROW(C321)&lt;=Bidding!$D$11,Raw_hydro_bm!D321,"")</f>
        <v>0</v>
      </c>
      <c r="D321">
        <f>IF(ROW(D321)&lt;=Bidding!$D$11,Raw_hydro_bm!E321,"")</f>
        <v>5</v>
      </c>
      <c r="E321">
        <f>IF(ROW(E321)&lt;=Bidding!$D$11,Raw_hydro_bm!F321,"")</f>
        <v>1</v>
      </c>
      <c r="F321">
        <f>IF(ROW(F321)&lt;=Bidding!$D$11,Raw_hydro_bm!G321,"")</f>
        <v>0</v>
      </c>
      <c r="G321">
        <f>IF(ROW(G321)&lt;=Bidding!$D$11,Raw_hydro_bm!H321,"")</f>
        <v>1</v>
      </c>
      <c r="H321" t="str">
        <f>IF(ROW(H321)&lt;=Bidding!$D$11,Raw_hydro_bm!I321,"")</f>
        <v>0.0</v>
      </c>
      <c r="I321" s="16">
        <f t="shared" si="4"/>
        <v>0</v>
      </c>
    </row>
    <row r="322" spans="1:9" x14ac:dyDescent="0.3">
      <c r="A322" t="str">
        <f>IF(ROW(A322)&lt;=Bidding!$D$11,Raw_hydro_bm!B322,"")</f>
        <v>v</v>
      </c>
      <c r="B322" t="str">
        <f>IF(ROW(B322)&lt;=Bidding!$D$11,Raw_hydro_bm!C322,"")</f>
        <v>c</v>
      </c>
      <c r="C322">
        <f>IF(ROW(C322)&lt;=Bidding!$D$11,Raw_hydro_bm!D322,"")</f>
        <v>0</v>
      </c>
      <c r="D322">
        <f>IF(ROW(D322)&lt;=Bidding!$D$11,Raw_hydro_bm!E322,"")</f>
        <v>5</v>
      </c>
      <c r="E322">
        <f>IF(ROW(E322)&lt;=Bidding!$D$11,Raw_hydro_bm!F322,"")</f>
        <v>1</v>
      </c>
      <c r="F322">
        <f>IF(ROW(F322)&lt;=Bidding!$D$11,Raw_hydro_bm!G322,"")</f>
        <v>0</v>
      </c>
      <c r="G322">
        <f>IF(ROW(G322)&lt;=Bidding!$D$11,Raw_hydro_bm!H322,"")</f>
        <v>1</v>
      </c>
      <c r="H322" t="str">
        <f>IF(ROW(H322)&lt;=Bidding!$D$11,Raw_hydro_bm!I322,"")</f>
        <v>0.0</v>
      </c>
      <c r="I322" s="16">
        <f t="shared" ref="I322:I385" si="5">IF(IFERROR(FIND("e",H322),-1)&lt;0,IFERROR(_xlfn.NUMBERVALUE(LEFT(H322,FIND(".",H322)-1))+_xlfn.NUMBERVALUE("0,"&amp;RIGHT(H322,LEN(H322)-FIND(".",H322))),""),0)</f>
        <v>0</v>
      </c>
    </row>
    <row r="323" spans="1:9" x14ac:dyDescent="0.3">
      <c r="A323" t="str">
        <f>IF(ROW(A323)&lt;=Bidding!$D$11,Raw_hydro_bm!B323,"")</f>
        <v>p</v>
      </c>
      <c r="B323" t="str">
        <f>IF(ROW(B323)&lt;=Bidding!$D$11,Raw_hydro_bm!C323,"")</f>
        <v>c</v>
      </c>
      <c r="C323">
        <f>IF(ROW(C323)&lt;=Bidding!$D$11,Raw_hydro_bm!D323,"")</f>
        <v>0</v>
      </c>
      <c r="D323">
        <f>IF(ROW(D323)&lt;=Bidding!$D$11,Raw_hydro_bm!E323,"")</f>
        <v>5</v>
      </c>
      <c r="E323">
        <f>IF(ROW(E323)&lt;=Bidding!$D$11,Raw_hydro_bm!F323,"")</f>
        <v>1</v>
      </c>
      <c r="F323">
        <f>IF(ROW(F323)&lt;=Bidding!$D$11,Raw_hydro_bm!G323,"")</f>
        <v>0</v>
      </c>
      <c r="G323">
        <f>IF(ROW(G323)&lt;=Bidding!$D$11,Raw_hydro_bm!H323,"")</f>
        <v>2</v>
      </c>
      <c r="H323" t="str">
        <f>IF(ROW(H323)&lt;=Bidding!$D$11,Raw_hydro_bm!I323,"")</f>
        <v>0.0</v>
      </c>
      <c r="I323" s="16">
        <f t="shared" si="5"/>
        <v>0</v>
      </c>
    </row>
    <row r="324" spans="1:9" x14ac:dyDescent="0.3">
      <c r="A324" t="str">
        <f>IF(ROW(A324)&lt;=Bidding!$D$11,Raw_hydro_bm!B324,"")</f>
        <v>v</v>
      </c>
      <c r="B324" t="str">
        <f>IF(ROW(B324)&lt;=Bidding!$D$11,Raw_hydro_bm!C324,"")</f>
        <v>c</v>
      </c>
      <c r="C324">
        <f>IF(ROW(C324)&lt;=Bidding!$D$11,Raw_hydro_bm!D324,"")</f>
        <v>0</v>
      </c>
      <c r="D324">
        <f>IF(ROW(D324)&lt;=Bidding!$D$11,Raw_hydro_bm!E324,"")</f>
        <v>5</v>
      </c>
      <c r="E324">
        <f>IF(ROW(E324)&lt;=Bidding!$D$11,Raw_hydro_bm!F324,"")</f>
        <v>1</v>
      </c>
      <c r="F324">
        <f>IF(ROW(F324)&lt;=Bidding!$D$11,Raw_hydro_bm!G324,"")</f>
        <v>0</v>
      </c>
      <c r="G324">
        <f>IF(ROW(G324)&lt;=Bidding!$D$11,Raw_hydro_bm!H324,"")</f>
        <v>2</v>
      </c>
      <c r="H324" t="str">
        <f>IF(ROW(H324)&lt;=Bidding!$D$11,Raw_hydro_bm!I324,"")</f>
        <v>0.0</v>
      </c>
      <c r="I324" s="16">
        <f t="shared" si="5"/>
        <v>0</v>
      </c>
    </row>
    <row r="325" spans="1:9" x14ac:dyDescent="0.3">
      <c r="A325" t="str">
        <f>IF(ROW(A325)&lt;=Bidding!$D$11,Raw_hydro_bm!B325,"")</f>
        <v>p</v>
      </c>
      <c r="B325" t="str">
        <f>IF(ROW(B325)&lt;=Bidding!$D$11,Raw_hydro_bm!C325,"")</f>
        <v>c</v>
      </c>
      <c r="C325">
        <f>IF(ROW(C325)&lt;=Bidding!$D$11,Raw_hydro_bm!D325,"")</f>
        <v>0</v>
      </c>
      <c r="D325">
        <f>IF(ROW(D325)&lt;=Bidding!$D$11,Raw_hydro_bm!E325,"")</f>
        <v>5</v>
      </c>
      <c r="E325">
        <f>IF(ROW(E325)&lt;=Bidding!$D$11,Raw_hydro_bm!F325,"")</f>
        <v>1</v>
      </c>
      <c r="F325">
        <f>IF(ROW(F325)&lt;=Bidding!$D$11,Raw_hydro_bm!G325,"")</f>
        <v>1</v>
      </c>
      <c r="G325">
        <f>IF(ROW(G325)&lt;=Bidding!$D$11,Raw_hydro_bm!H325,"")</f>
        <v>0</v>
      </c>
      <c r="H325" t="str">
        <f>IF(ROW(H325)&lt;=Bidding!$D$11,Raw_hydro_bm!I325,"")</f>
        <v>0.0</v>
      </c>
      <c r="I325" s="16">
        <f t="shared" si="5"/>
        <v>0</v>
      </c>
    </row>
    <row r="326" spans="1:9" x14ac:dyDescent="0.3">
      <c r="A326" t="str">
        <f>IF(ROW(A326)&lt;=Bidding!$D$11,Raw_hydro_bm!B326,"")</f>
        <v>v</v>
      </c>
      <c r="B326" t="str">
        <f>IF(ROW(B326)&lt;=Bidding!$D$11,Raw_hydro_bm!C326,"")</f>
        <v>c</v>
      </c>
      <c r="C326">
        <f>IF(ROW(C326)&lt;=Bidding!$D$11,Raw_hydro_bm!D326,"")</f>
        <v>0</v>
      </c>
      <c r="D326">
        <f>IF(ROW(D326)&lt;=Bidding!$D$11,Raw_hydro_bm!E326,"")</f>
        <v>5</v>
      </c>
      <c r="E326">
        <f>IF(ROW(E326)&lt;=Bidding!$D$11,Raw_hydro_bm!F326,"")</f>
        <v>1</v>
      </c>
      <c r="F326">
        <f>IF(ROW(F326)&lt;=Bidding!$D$11,Raw_hydro_bm!G326,"")</f>
        <v>1</v>
      </c>
      <c r="G326">
        <f>IF(ROW(G326)&lt;=Bidding!$D$11,Raw_hydro_bm!H326,"")</f>
        <v>0</v>
      </c>
      <c r="H326" t="str">
        <f>IF(ROW(H326)&lt;=Bidding!$D$11,Raw_hydro_bm!I326,"")</f>
        <v>30.0</v>
      </c>
      <c r="I326" s="16">
        <f t="shared" si="5"/>
        <v>30</v>
      </c>
    </row>
    <row r="327" spans="1:9" x14ac:dyDescent="0.3">
      <c r="A327" t="str">
        <f>IF(ROW(A327)&lt;=Bidding!$D$11,Raw_hydro_bm!B327,"")</f>
        <v>p</v>
      </c>
      <c r="B327" t="str">
        <f>IF(ROW(B327)&lt;=Bidding!$D$11,Raw_hydro_bm!C327,"")</f>
        <v>c</v>
      </c>
      <c r="C327">
        <f>IF(ROW(C327)&lt;=Bidding!$D$11,Raw_hydro_bm!D327,"")</f>
        <v>0</v>
      </c>
      <c r="D327">
        <f>IF(ROW(D327)&lt;=Bidding!$D$11,Raw_hydro_bm!E327,"")</f>
        <v>5</v>
      </c>
      <c r="E327">
        <f>IF(ROW(E327)&lt;=Bidding!$D$11,Raw_hydro_bm!F327,"")</f>
        <v>1</v>
      </c>
      <c r="F327">
        <f>IF(ROW(F327)&lt;=Bidding!$D$11,Raw_hydro_bm!G327,"")</f>
        <v>1</v>
      </c>
      <c r="G327">
        <f>IF(ROW(G327)&lt;=Bidding!$D$11,Raw_hydro_bm!H327,"")</f>
        <v>1</v>
      </c>
      <c r="H327" t="str">
        <f>IF(ROW(H327)&lt;=Bidding!$D$11,Raw_hydro_bm!I327,"")</f>
        <v>0.0</v>
      </c>
      <c r="I327" s="16">
        <f t="shared" si="5"/>
        <v>0</v>
      </c>
    </row>
    <row r="328" spans="1:9" x14ac:dyDescent="0.3">
      <c r="A328" t="str">
        <f>IF(ROW(A328)&lt;=Bidding!$D$11,Raw_hydro_bm!B328,"")</f>
        <v>v</v>
      </c>
      <c r="B328" t="str">
        <f>IF(ROW(B328)&lt;=Bidding!$D$11,Raw_hydro_bm!C328,"")</f>
        <v>c</v>
      </c>
      <c r="C328">
        <f>IF(ROW(C328)&lt;=Bidding!$D$11,Raw_hydro_bm!D328,"")</f>
        <v>0</v>
      </c>
      <c r="D328">
        <f>IF(ROW(D328)&lt;=Bidding!$D$11,Raw_hydro_bm!E328,"")</f>
        <v>5</v>
      </c>
      <c r="E328">
        <f>IF(ROW(E328)&lt;=Bidding!$D$11,Raw_hydro_bm!F328,"")</f>
        <v>1</v>
      </c>
      <c r="F328">
        <f>IF(ROW(F328)&lt;=Bidding!$D$11,Raw_hydro_bm!G328,"")</f>
        <v>1</v>
      </c>
      <c r="G328">
        <f>IF(ROW(G328)&lt;=Bidding!$D$11,Raw_hydro_bm!H328,"")</f>
        <v>1</v>
      </c>
      <c r="H328" t="str">
        <f>IF(ROW(H328)&lt;=Bidding!$D$11,Raw_hydro_bm!I328,"")</f>
        <v>20.0</v>
      </c>
      <c r="I328" s="16">
        <f t="shared" si="5"/>
        <v>20</v>
      </c>
    </row>
    <row r="329" spans="1:9" x14ac:dyDescent="0.3">
      <c r="A329" t="str">
        <f>IF(ROW(A329)&lt;=Bidding!$D$11,Raw_hydro_bm!B329,"")</f>
        <v>p</v>
      </c>
      <c r="B329" t="str">
        <f>IF(ROW(B329)&lt;=Bidding!$D$11,Raw_hydro_bm!C329,"")</f>
        <v>c</v>
      </c>
      <c r="C329">
        <f>IF(ROW(C329)&lt;=Bidding!$D$11,Raw_hydro_bm!D329,"")</f>
        <v>0</v>
      </c>
      <c r="D329">
        <f>IF(ROW(D329)&lt;=Bidding!$D$11,Raw_hydro_bm!E329,"")</f>
        <v>5</v>
      </c>
      <c r="E329">
        <f>IF(ROW(E329)&lt;=Bidding!$D$11,Raw_hydro_bm!F329,"")</f>
        <v>1</v>
      </c>
      <c r="F329">
        <f>IF(ROW(F329)&lt;=Bidding!$D$11,Raw_hydro_bm!G329,"")</f>
        <v>1</v>
      </c>
      <c r="G329">
        <f>IF(ROW(G329)&lt;=Bidding!$D$11,Raw_hydro_bm!H329,"")</f>
        <v>2</v>
      </c>
      <c r="H329" t="str">
        <f>IF(ROW(H329)&lt;=Bidding!$D$11,Raw_hydro_bm!I329,"")</f>
        <v>0.0</v>
      </c>
      <c r="I329" s="16">
        <f t="shared" si="5"/>
        <v>0</v>
      </c>
    </row>
    <row r="330" spans="1:9" x14ac:dyDescent="0.3">
      <c r="A330" t="str">
        <f>IF(ROW(A330)&lt;=Bidding!$D$11,Raw_hydro_bm!B330,"")</f>
        <v>v</v>
      </c>
      <c r="B330" t="str">
        <f>IF(ROW(B330)&lt;=Bidding!$D$11,Raw_hydro_bm!C330,"")</f>
        <v>c</v>
      </c>
      <c r="C330">
        <f>IF(ROW(C330)&lt;=Bidding!$D$11,Raw_hydro_bm!D330,"")</f>
        <v>0</v>
      </c>
      <c r="D330">
        <f>IF(ROW(D330)&lt;=Bidding!$D$11,Raw_hydro_bm!E330,"")</f>
        <v>5</v>
      </c>
      <c r="E330">
        <f>IF(ROW(E330)&lt;=Bidding!$D$11,Raw_hydro_bm!F330,"")</f>
        <v>1</v>
      </c>
      <c r="F330">
        <f>IF(ROW(F330)&lt;=Bidding!$D$11,Raw_hydro_bm!G330,"")</f>
        <v>1</v>
      </c>
      <c r="G330">
        <f>IF(ROW(G330)&lt;=Bidding!$D$11,Raw_hydro_bm!H330,"")</f>
        <v>2</v>
      </c>
      <c r="H330" t="str">
        <f>IF(ROW(H330)&lt;=Bidding!$D$11,Raw_hydro_bm!I330,"")</f>
        <v>10.0</v>
      </c>
      <c r="I330" s="16">
        <f t="shared" si="5"/>
        <v>10</v>
      </c>
    </row>
    <row r="331" spans="1:9" x14ac:dyDescent="0.3">
      <c r="A331" t="str">
        <f>IF(ROW(A331)&lt;=Bidding!$D$11,Raw_hydro_bm!B331,"")</f>
        <v>b</v>
      </c>
      <c r="B331" t="str">
        <f>IF(ROW(B331)&lt;=Bidding!$D$11,Raw_hydro_bm!C331,"")</f>
        <v>v</v>
      </c>
      <c r="C331" t="str">
        <f>IF(ROW(C331)&lt;=Bidding!$D$11,Raw_hydro_bm!D331,"")</f>
        <v>X</v>
      </c>
      <c r="D331">
        <f>IF(ROW(D331)&lt;=Bidding!$D$11,Raw_hydro_bm!E331,"")</f>
        <v>0</v>
      </c>
      <c r="E331">
        <f>IF(ROW(E331)&lt;=Bidding!$D$11,Raw_hydro_bm!F331,"")</f>
        <v>6</v>
      </c>
      <c r="F331">
        <f>IF(ROW(F331)&lt;=Bidding!$D$11,Raw_hydro_bm!G331,"")</f>
        <v>0</v>
      </c>
      <c r="G331">
        <f>IF(ROW(G331)&lt;=Bidding!$D$11,Raw_hydro_bm!H331,"")</f>
        <v>0</v>
      </c>
      <c r="H331" t="str">
        <f>IF(ROW(H331)&lt;=Bidding!$D$11,Raw_hydro_bm!I331,"")</f>
        <v>0.0</v>
      </c>
      <c r="I331" s="16">
        <f t="shared" si="5"/>
        <v>0</v>
      </c>
    </row>
    <row r="332" spans="1:9" x14ac:dyDescent="0.3">
      <c r="A332" t="str">
        <f>IF(ROW(A332)&lt;=Bidding!$D$11,Raw_hydro_bm!B332,"")</f>
        <v>b</v>
      </c>
      <c r="B332" t="str">
        <f>IF(ROW(B332)&lt;=Bidding!$D$11,Raw_hydro_bm!C332,"")</f>
        <v>v</v>
      </c>
      <c r="C332" t="str">
        <f>IF(ROW(C332)&lt;=Bidding!$D$11,Raw_hydro_bm!D332,"")</f>
        <v>X</v>
      </c>
      <c r="D332">
        <f>IF(ROW(D332)&lt;=Bidding!$D$11,Raw_hydro_bm!E332,"")</f>
        <v>0</v>
      </c>
      <c r="E332">
        <f>IF(ROW(E332)&lt;=Bidding!$D$11,Raw_hydro_bm!F332,"")</f>
        <v>6</v>
      </c>
      <c r="F332">
        <f>IF(ROW(F332)&lt;=Bidding!$D$11,Raw_hydro_bm!G332,"")</f>
        <v>0</v>
      </c>
      <c r="G332">
        <f>IF(ROW(G332)&lt;=Bidding!$D$11,Raw_hydro_bm!H332,"")</f>
        <v>1</v>
      </c>
      <c r="H332" t="str">
        <f>IF(ROW(H332)&lt;=Bidding!$D$11,Raw_hydro_bm!I332,"")</f>
        <v>0.0</v>
      </c>
      <c r="I332" s="16">
        <f t="shared" si="5"/>
        <v>0</v>
      </c>
    </row>
    <row r="333" spans="1:9" x14ac:dyDescent="0.3">
      <c r="A333" t="str">
        <f>IF(ROW(A333)&lt;=Bidding!$D$11,Raw_hydro_bm!B333,"")</f>
        <v>b</v>
      </c>
      <c r="B333" t="str">
        <f>IF(ROW(B333)&lt;=Bidding!$D$11,Raw_hydro_bm!C333,"")</f>
        <v>v</v>
      </c>
      <c r="C333" t="str">
        <f>IF(ROW(C333)&lt;=Bidding!$D$11,Raw_hydro_bm!D333,"")</f>
        <v>X</v>
      </c>
      <c r="D333">
        <f>IF(ROW(D333)&lt;=Bidding!$D$11,Raw_hydro_bm!E333,"")</f>
        <v>0</v>
      </c>
      <c r="E333">
        <f>IF(ROW(E333)&lt;=Bidding!$D$11,Raw_hydro_bm!F333,"")</f>
        <v>6</v>
      </c>
      <c r="F333">
        <f>IF(ROW(F333)&lt;=Bidding!$D$11,Raw_hydro_bm!G333,"")</f>
        <v>0</v>
      </c>
      <c r="G333">
        <f>IF(ROW(G333)&lt;=Bidding!$D$11,Raw_hydro_bm!H333,"")</f>
        <v>2</v>
      </c>
      <c r="H333" t="str">
        <f>IF(ROW(H333)&lt;=Bidding!$D$11,Raw_hydro_bm!I333,"")</f>
        <v>60.0</v>
      </c>
      <c r="I333" s="16">
        <f t="shared" si="5"/>
        <v>60</v>
      </c>
    </row>
    <row r="334" spans="1:9" x14ac:dyDescent="0.3">
      <c r="A334" t="str">
        <f>IF(ROW(A334)&lt;=Bidding!$D$11,Raw_hydro_bm!B334,"")</f>
        <v>p</v>
      </c>
      <c r="B334" t="str">
        <f>IF(ROW(B334)&lt;=Bidding!$D$11,Raw_hydro_bm!C334,"")</f>
        <v>c</v>
      </c>
      <c r="C334">
        <f>IF(ROW(C334)&lt;=Bidding!$D$11,Raw_hydro_bm!D334,"")</f>
        <v>0</v>
      </c>
      <c r="D334">
        <f>IF(ROW(D334)&lt;=Bidding!$D$11,Raw_hydro_bm!E334,"")</f>
        <v>6</v>
      </c>
      <c r="E334">
        <f>IF(ROW(E334)&lt;=Bidding!$D$11,Raw_hydro_bm!F334,"")</f>
        <v>0</v>
      </c>
      <c r="F334">
        <f>IF(ROW(F334)&lt;=Bidding!$D$11,Raw_hydro_bm!G334,"")</f>
        <v>0</v>
      </c>
      <c r="G334">
        <f>IF(ROW(G334)&lt;=Bidding!$D$11,Raw_hydro_bm!H334,"")</f>
        <v>0</v>
      </c>
      <c r="H334" t="str">
        <f>IF(ROW(H334)&lt;=Bidding!$D$11,Raw_hydro_bm!I334,"")</f>
        <v>0.0</v>
      </c>
      <c r="I334" s="16">
        <f t="shared" si="5"/>
        <v>0</v>
      </c>
    </row>
    <row r="335" spans="1:9" x14ac:dyDescent="0.3">
      <c r="A335" t="str">
        <f>IF(ROW(A335)&lt;=Bidding!$D$11,Raw_hydro_bm!B335,"")</f>
        <v>v</v>
      </c>
      <c r="B335" t="str">
        <f>IF(ROW(B335)&lt;=Bidding!$D$11,Raw_hydro_bm!C335,"")</f>
        <v>c</v>
      </c>
      <c r="C335">
        <f>IF(ROW(C335)&lt;=Bidding!$D$11,Raw_hydro_bm!D335,"")</f>
        <v>0</v>
      </c>
      <c r="D335">
        <f>IF(ROW(D335)&lt;=Bidding!$D$11,Raw_hydro_bm!E335,"")</f>
        <v>6</v>
      </c>
      <c r="E335">
        <f>IF(ROW(E335)&lt;=Bidding!$D$11,Raw_hydro_bm!F335,"")</f>
        <v>0</v>
      </c>
      <c r="F335">
        <f>IF(ROW(F335)&lt;=Bidding!$D$11,Raw_hydro_bm!G335,"")</f>
        <v>0</v>
      </c>
      <c r="G335">
        <f>IF(ROW(G335)&lt;=Bidding!$D$11,Raw_hydro_bm!H335,"")</f>
        <v>0</v>
      </c>
      <c r="H335" t="str">
        <f>IF(ROW(H335)&lt;=Bidding!$D$11,Raw_hydro_bm!I335,"")</f>
        <v>30.0</v>
      </c>
      <c r="I335" s="16">
        <f t="shared" si="5"/>
        <v>30</v>
      </c>
    </row>
    <row r="336" spans="1:9" x14ac:dyDescent="0.3">
      <c r="A336" t="str">
        <f>IF(ROW(A336)&lt;=Bidding!$D$11,Raw_hydro_bm!B336,"")</f>
        <v>p</v>
      </c>
      <c r="B336" t="str">
        <f>IF(ROW(B336)&lt;=Bidding!$D$11,Raw_hydro_bm!C336,"")</f>
        <v>c</v>
      </c>
      <c r="C336">
        <f>IF(ROW(C336)&lt;=Bidding!$D$11,Raw_hydro_bm!D336,"")</f>
        <v>0</v>
      </c>
      <c r="D336">
        <f>IF(ROW(D336)&lt;=Bidding!$D$11,Raw_hydro_bm!E336,"")</f>
        <v>6</v>
      </c>
      <c r="E336">
        <f>IF(ROW(E336)&lt;=Bidding!$D$11,Raw_hydro_bm!F336,"")</f>
        <v>0</v>
      </c>
      <c r="F336">
        <f>IF(ROW(F336)&lt;=Bidding!$D$11,Raw_hydro_bm!G336,"")</f>
        <v>0</v>
      </c>
      <c r="G336">
        <f>IF(ROW(G336)&lt;=Bidding!$D$11,Raw_hydro_bm!H336,"")</f>
        <v>1</v>
      </c>
      <c r="H336" t="str">
        <f>IF(ROW(H336)&lt;=Bidding!$D$11,Raw_hydro_bm!I336,"")</f>
        <v>0.0</v>
      </c>
      <c r="I336" s="16">
        <f t="shared" si="5"/>
        <v>0</v>
      </c>
    </row>
    <row r="337" spans="1:9" x14ac:dyDescent="0.3">
      <c r="A337" t="str">
        <f>IF(ROW(A337)&lt;=Bidding!$D$11,Raw_hydro_bm!B337,"")</f>
        <v>v</v>
      </c>
      <c r="B337" t="str">
        <f>IF(ROW(B337)&lt;=Bidding!$D$11,Raw_hydro_bm!C337,"")</f>
        <v>c</v>
      </c>
      <c r="C337">
        <f>IF(ROW(C337)&lt;=Bidding!$D$11,Raw_hydro_bm!D337,"")</f>
        <v>0</v>
      </c>
      <c r="D337">
        <f>IF(ROW(D337)&lt;=Bidding!$D$11,Raw_hydro_bm!E337,"")</f>
        <v>6</v>
      </c>
      <c r="E337">
        <f>IF(ROW(E337)&lt;=Bidding!$D$11,Raw_hydro_bm!F337,"")</f>
        <v>0</v>
      </c>
      <c r="F337">
        <f>IF(ROW(F337)&lt;=Bidding!$D$11,Raw_hydro_bm!G337,"")</f>
        <v>0</v>
      </c>
      <c r="G337">
        <f>IF(ROW(G337)&lt;=Bidding!$D$11,Raw_hydro_bm!H337,"")</f>
        <v>1</v>
      </c>
      <c r="H337" t="str">
        <f>IF(ROW(H337)&lt;=Bidding!$D$11,Raw_hydro_bm!I337,"")</f>
        <v>20.0</v>
      </c>
      <c r="I337" s="16">
        <f t="shared" si="5"/>
        <v>20</v>
      </c>
    </row>
    <row r="338" spans="1:9" x14ac:dyDescent="0.3">
      <c r="A338" t="str">
        <f>IF(ROW(A338)&lt;=Bidding!$D$11,Raw_hydro_bm!B338,"")</f>
        <v>p</v>
      </c>
      <c r="B338" t="str">
        <f>IF(ROW(B338)&lt;=Bidding!$D$11,Raw_hydro_bm!C338,"")</f>
        <v>c</v>
      </c>
      <c r="C338">
        <f>IF(ROW(C338)&lt;=Bidding!$D$11,Raw_hydro_bm!D338,"")</f>
        <v>0</v>
      </c>
      <c r="D338">
        <f>IF(ROW(D338)&lt;=Bidding!$D$11,Raw_hydro_bm!E338,"")</f>
        <v>6</v>
      </c>
      <c r="E338">
        <f>IF(ROW(E338)&lt;=Bidding!$D$11,Raw_hydro_bm!F338,"")</f>
        <v>0</v>
      </c>
      <c r="F338">
        <f>IF(ROW(F338)&lt;=Bidding!$D$11,Raw_hydro_bm!G338,"")</f>
        <v>0</v>
      </c>
      <c r="G338">
        <f>IF(ROW(G338)&lt;=Bidding!$D$11,Raw_hydro_bm!H338,"")</f>
        <v>2</v>
      </c>
      <c r="H338" t="str">
        <f>IF(ROW(H338)&lt;=Bidding!$D$11,Raw_hydro_bm!I338,"")</f>
        <v>0.0</v>
      </c>
      <c r="I338" s="16">
        <f t="shared" si="5"/>
        <v>0</v>
      </c>
    </row>
    <row r="339" spans="1:9" x14ac:dyDescent="0.3">
      <c r="A339" t="str">
        <f>IF(ROW(A339)&lt;=Bidding!$D$11,Raw_hydro_bm!B339,"")</f>
        <v>v</v>
      </c>
      <c r="B339" t="str">
        <f>IF(ROW(B339)&lt;=Bidding!$D$11,Raw_hydro_bm!C339,"")</f>
        <v>c</v>
      </c>
      <c r="C339">
        <f>IF(ROW(C339)&lt;=Bidding!$D$11,Raw_hydro_bm!D339,"")</f>
        <v>0</v>
      </c>
      <c r="D339">
        <f>IF(ROW(D339)&lt;=Bidding!$D$11,Raw_hydro_bm!E339,"")</f>
        <v>6</v>
      </c>
      <c r="E339">
        <f>IF(ROW(E339)&lt;=Bidding!$D$11,Raw_hydro_bm!F339,"")</f>
        <v>0</v>
      </c>
      <c r="F339">
        <f>IF(ROW(F339)&lt;=Bidding!$D$11,Raw_hydro_bm!G339,"")</f>
        <v>0</v>
      </c>
      <c r="G339">
        <f>IF(ROW(G339)&lt;=Bidding!$D$11,Raw_hydro_bm!H339,"")</f>
        <v>2</v>
      </c>
      <c r="H339" t="str">
        <f>IF(ROW(H339)&lt;=Bidding!$D$11,Raw_hydro_bm!I339,"")</f>
        <v>10.0</v>
      </c>
      <c r="I339" s="16">
        <f t="shared" si="5"/>
        <v>10</v>
      </c>
    </row>
    <row r="340" spans="1:9" x14ac:dyDescent="0.3">
      <c r="A340" t="str">
        <f>IF(ROW(A340)&lt;=Bidding!$D$11,Raw_hydro_bm!B340,"")</f>
        <v>p</v>
      </c>
      <c r="B340" t="str">
        <f>IF(ROW(B340)&lt;=Bidding!$D$11,Raw_hydro_bm!C340,"")</f>
        <v>c</v>
      </c>
      <c r="C340">
        <f>IF(ROW(C340)&lt;=Bidding!$D$11,Raw_hydro_bm!D340,"")</f>
        <v>0</v>
      </c>
      <c r="D340">
        <f>IF(ROW(D340)&lt;=Bidding!$D$11,Raw_hydro_bm!E340,"")</f>
        <v>6</v>
      </c>
      <c r="E340">
        <f>IF(ROW(E340)&lt;=Bidding!$D$11,Raw_hydro_bm!F340,"")</f>
        <v>0</v>
      </c>
      <c r="F340">
        <f>IF(ROW(F340)&lt;=Bidding!$D$11,Raw_hydro_bm!G340,"")</f>
        <v>1</v>
      </c>
      <c r="G340">
        <f>IF(ROW(G340)&lt;=Bidding!$D$11,Raw_hydro_bm!H340,"")</f>
        <v>0</v>
      </c>
      <c r="H340" t="str">
        <f>IF(ROW(H340)&lt;=Bidding!$D$11,Raw_hydro_bm!I340,"")</f>
        <v>0.0</v>
      </c>
      <c r="I340" s="16">
        <f t="shared" si="5"/>
        <v>0</v>
      </c>
    </row>
    <row r="341" spans="1:9" x14ac:dyDescent="0.3">
      <c r="A341" t="str">
        <f>IF(ROW(A341)&lt;=Bidding!$D$11,Raw_hydro_bm!B341,"")</f>
        <v>v</v>
      </c>
      <c r="B341" t="str">
        <f>IF(ROW(B341)&lt;=Bidding!$D$11,Raw_hydro_bm!C341,"")</f>
        <v>c</v>
      </c>
      <c r="C341">
        <f>IF(ROW(C341)&lt;=Bidding!$D$11,Raw_hydro_bm!D341,"")</f>
        <v>0</v>
      </c>
      <c r="D341">
        <f>IF(ROW(D341)&lt;=Bidding!$D$11,Raw_hydro_bm!E341,"")</f>
        <v>6</v>
      </c>
      <c r="E341">
        <f>IF(ROW(E341)&lt;=Bidding!$D$11,Raw_hydro_bm!F341,"")</f>
        <v>0</v>
      </c>
      <c r="F341">
        <f>IF(ROW(F341)&lt;=Bidding!$D$11,Raw_hydro_bm!G341,"")</f>
        <v>1</v>
      </c>
      <c r="G341">
        <f>IF(ROW(G341)&lt;=Bidding!$D$11,Raw_hydro_bm!H341,"")</f>
        <v>0</v>
      </c>
      <c r="H341" t="str">
        <f>IF(ROW(H341)&lt;=Bidding!$D$11,Raw_hydro_bm!I341,"")</f>
        <v>0.0</v>
      </c>
      <c r="I341" s="16">
        <f t="shared" si="5"/>
        <v>0</v>
      </c>
    </row>
    <row r="342" spans="1:9" x14ac:dyDescent="0.3">
      <c r="A342" t="str">
        <f>IF(ROW(A342)&lt;=Bidding!$D$11,Raw_hydro_bm!B342,"")</f>
        <v>p</v>
      </c>
      <c r="B342" t="str">
        <f>IF(ROW(B342)&lt;=Bidding!$D$11,Raw_hydro_bm!C342,"")</f>
        <v>c</v>
      </c>
      <c r="C342">
        <f>IF(ROW(C342)&lt;=Bidding!$D$11,Raw_hydro_bm!D342,"")</f>
        <v>0</v>
      </c>
      <c r="D342">
        <f>IF(ROW(D342)&lt;=Bidding!$D$11,Raw_hydro_bm!E342,"")</f>
        <v>6</v>
      </c>
      <c r="E342">
        <f>IF(ROW(E342)&lt;=Bidding!$D$11,Raw_hydro_bm!F342,"")</f>
        <v>0</v>
      </c>
      <c r="F342">
        <f>IF(ROW(F342)&lt;=Bidding!$D$11,Raw_hydro_bm!G342,"")</f>
        <v>1</v>
      </c>
      <c r="G342">
        <f>IF(ROW(G342)&lt;=Bidding!$D$11,Raw_hydro_bm!H342,"")</f>
        <v>1</v>
      </c>
      <c r="H342" t="str">
        <f>IF(ROW(H342)&lt;=Bidding!$D$11,Raw_hydro_bm!I342,"")</f>
        <v>0.0</v>
      </c>
      <c r="I342" s="16">
        <f t="shared" si="5"/>
        <v>0</v>
      </c>
    </row>
    <row r="343" spans="1:9" x14ac:dyDescent="0.3">
      <c r="A343" t="str">
        <f>IF(ROW(A343)&lt;=Bidding!$D$11,Raw_hydro_bm!B343,"")</f>
        <v>v</v>
      </c>
      <c r="B343" t="str">
        <f>IF(ROW(B343)&lt;=Bidding!$D$11,Raw_hydro_bm!C343,"")</f>
        <v>c</v>
      </c>
      <c r="C343">
        <f>IF(ROW(C343)&lt;=Bidding!$D$11,Raw_hydro_bm!D343,"")</f>
        <v>0</v>
      </c>
      <c r="D343">
        <f>IF(ROW(D343)&lt;=Bidding!$D$11,Raw_hydro_bm!E343,"")</f>
        <v>6</v>
      </c>
      <c r="E343">
        <f>IF(ROW(E343)&lt;=Bidding!$D$11,Raw_hydro_bm!F343,"")</f>
        <v>0</v>
      </c>
      <c r="F343">
        <f>IF(ROW(F343)&lt;=Bidding!$D$11,Raw_hydro_bm!G343,"")</f>
        <v>1</v>
      </c>
      <c r="G343">
        <f>IF(ROW(G343)&lt;=Bidding!$D$11,Raw_hydro_bm!H343,"")</f>
        <v>1</v>
      </c>
      <c r="H343" t="str">
        <f>IF(ROW(H343)&lt;=Bidding!$D$11,Raw_hydro_bm!I343,"")</f>
        <v>0.0</v>
      </c>
      <c r="I343" s="16">
        <f t="shared" si="5"/>
        <v>0</v>
      </c>
    </row>
    <row r="344" spans="1:9" x14ac:dyDescent="0.3">
      <c r="A344" t="str">
        <f>IF(ROW(A344)&lt;=Bidding!$D$11,Raw_hydro_bm!B344,"")</f>
        <v>p</v>
      </c>
      <c r="B344" t="str">
        <f>IF(ROW(B344)&lt;=Bidding!$D$11,Raw_hydro_bm!C344,"")</f>
        <v>c</v>
      </c>
      <c r="C344">
        <f>IF(ROW(C344)&lt;=Bidding!$D$11,Raw_hydro_bm!D344,"")</f>
        <v>0</v>
      </c>
      <c r="D344">
        <f>IF(ROW(D344)&lt;=Bidding!$D$11,Raw_hydro_bm!E344,"")</f>
        <v>6</v>
      </c>
      <c r="E344">
        <f>IF(ROW(E344)&lt;=Bidding!$D$11,Raw_hydro_bm!F344,"")</f>
        <v>0</v>
      </c>
      <c r="F344">
        <f>IF(ROW(F344)&lt;=Bidding!$D$11,Raw_hydro_bm!G344,"")</f>
        <v>1</v>
      </c>
      <c r="G344">
        <f>IF(ROW(G344)&lt;=Bidding!$D$11,Raw_hydro_bm!H344,"")</f>
        <v>2</v>
      </c>
      <c r="H344" t="str">
        <f>IF(ROW(H344)&lt;=Bidding!$D$11,Raw_hydro_bm!I344,"")</f>
        <v>0.0</v>
      </c>
      <c r="I344" s="16">
        <f t="shared" si="5"/>
        <v>0</v>
      </c>
    </row>
    <row r="345" spans="1:9" x14ac:dyDescent="0.3">
      <c r="A345" t="str">
        <f>IF(ROW(A345)&lt;=Bidding!$D$11,Raw_hydro_bm!B345,"")</f>
        <v>v</v>
      </c>
      <c r="B345" t="str">
        <f>IF(ROW(B345)&lt;=Bidding!$D$11,Raw_hydro_bm!C345,"")</f>
        <v>c</v>
      </c>
      <c r="C345">
        <f>IF(ROW(C345)&lt;=Bidding!$D$11,Raw_hydro_bm!D345,"")</f>
        <v>0</v>
      </c>
      <c r="D345">
        <f>IF(ROW(D345)&lt;=Bidding!$D$11,Raw_hydro_bm!E345,"")</f>
        <v>6</v>
      </c>
      <c r="E345">
        <f>IF(ROW(E345)&lt;=Bidding!$D$11,Raw_hydro_bm!F345,"")</f>
        <v>0</v>
      </c>
      <c r="F345">
        <f>IF(ROW(F345)&lt;=Bidding!$D$11,Raw_hydro_bm!G345,"")</f>
        <v>1</v>
      </c>
      <c r="G345">
        <f>IF(ROW(G345)&lt;=Bidding!$D$11,Raw_hydro_bm!H345,"")</f>
        <v>2</v>
      </c>
      <c r="H345" t="str">
        <f>IF(ROW(H345)&lt;=Bidding!$D$11,Raw_hydro_bm!I345,"")</f>
        <v>0.0</v>
      </c>
      <c r="I345" s="16">
        <f t="shared" si="5"/>
        <v>0</v>
      </c>
    </row>
    <row r="346" spans="1:9" x14ac:dyDescent="0.3">
      <c r="A346" t="str">
        <f>IF(ROW(A346)&lt;=Bidding!$D$11,Raw_hydro_bm!B346,"")</f>
        <v>b</v>
      </c>
      <c r="B346" t="str">
        <f>IF(ROW(B346)&lt;=Bidding!$D$11,Raw_hydro_bm!C346,"")</f>
        <v>v</v>
      </c>
      <c r="C346" t="str">
        <f>IF(ROW(C346)&lt;=Bidding!$D$11,Raw_hydro_bm!D346,"")</f>
        <v>X</v>
      </c>
      <c r="D346">
        <f>IF(ROW(D346)&lt;=Bidding!$D$11,Raw_hydro_bm!E346,"")</f>
        <v>0</v>
      </c>
      <c r="E346">
        <f>IF(ROW(E346)&lt;=Bidding!$D$11,Raw_hydro_bm!F346,"")</f>
        <v>6</v>
      </c>
      <c r="F346">
        <f>IF(ROW(F346)&lt;=Bidding!$D$11,Raw_hydro_bm!G346,"")</f>
        <v>1</v>
      </c>
      <c r="G346">
        <f>IF(ROW(G346)&lt;=Bidding!$D$11,Raw_hydro_bm!H346,"")</f>
        <v>0</v>
      </c>
      <c r="H346" t="str">
        <f>IF(ROW(H346)&lt;=Bidding!$D$11,Raw_hydro_bm!I346,"")</f>
        <v>0.0</v>
      </c>
      <c r="I346" s="16">
        <f t="shared" si="5"/>
        <v>0</v>
      </c>
    </row>
    <row r="347" spans="1:9" x14ac:dyDescent="0.3">
      <c r="A347" t="str">
        <f>IF(ROW(A347)&lt;=Bidding!$D$11,Raw_hydro_bm!B347,"")</f>
        <v>b</v>
      </c>
      <c r="B347" t="str">
        <f>IF(ROW(B347)&lt;=Bidding!$D$11,Raw_hydro_bm!C347,"")</f>
        <v>v</v>
      </c>
      <c r="C347" t="str">
        <f>IF(ROW(C347)&lt;=Bidding!$D$11,Raw_hydro_bm!D347,"")</f>
        <v>X</v>
      </c>
      <c r="D347">
        <f>IF(ROW(D347)&lt;=Bidding!$D$11,Raw_hydro_bm!E347,"")</f>
        <v>0</v>
      </c>
      <c r="E347">
        <f>IF(ROW(E347)&lt;=Bidding!$D$11,Raw_hydro_bm!F347,"")</f>
        <v>6</v>
      </c>
      <c r="F347">
        <f>IF(ROW(F347)&lt;=Bidding!$D$11,Raw_hydro_bm!G347,"")</f>
        <v>1</v>
      </c>
      <c r="G347">
        <f>IF(ROW(G347)&lt;=Bidding!$D$11,Raw_hydro_bm!H347,"")</f>
        <v>1</v>
      </c>
      <c r="H347" t="str">
        <f>IF(ROW(H347)&lt;=Bidding!$D$11,Raw_hydro_bm!I347,"")</f>
        <v>0.0</v>
      </c>
      <c r="I347" s="16">
        <f t="shared" si="5"/>
        <v>0</v>
      </c>
    </row>
    <row r="348" spans="1:9" x14ac:dyDescent="0.3">
      <c r="A348" t="str">
        <f>IF(ROW(A348)&lt;=Bidding!$D$11,Raw_hydro_bm!B348,"")</f>
        <v>b</v>
      </c>
      <c r="B348" t="str">
        <f>IF(ROW(B348)&lt;=Bidding!$D$11,Raw_hydro_bm!C348,"")</f>
        <v>v</v>
      </c>
      <c r="C348" t="str">
        <f>IF(ROW(C348)&lt;=Bidding!$D$11,Raw_hydro_bm!D348,"")</f>
        <v>X</v>
      </c>
      <c r="D348">
        <f>IF(ROW(D348)&lt;=Bidding!$D$11,Raw_hydro_bm!E348,"")</f>
        <v>0</v>
      </c>
      <c r="E348">
        <f>IF(ROW(E348)&lt;=Bidding!$D$11,Raw_hydro_bm!F348,"")</f>
        <v>6</v>
      </c>
      <c r="F348">
        <f>IF(ROW(F348)&lt;=Bidding!$D$11,Raw_hydro_bm!G348,"")</f>
        <v>1</v>
      </c>
      <c r="G348">
        <f>IF(ROW(G348)&lt;=Bidding!$D$11,Raw_hydro_bm!H348,"")</f>
        <v>2</v>
      </c>
      <c r="H348" t="str">
        <f>IF(ROW(H348)&lt;=Bidding!$D$11,Raw_hydro_bm!I348,"")</f>
        <v>60.0</v>
      </c>
      <c r="I348" s="16">
        <f t="shared" si="5"/>
        <v>60</v>
      </c>
    </row>
    <row r="349" spans="1:9" x14ac:dyDescent="0.3">
      <c r="A349" t="str">
        <f>IF(ROW(A349)&lt;=Bidding!$D$11,Raw_hydro_bm!B349,"")</f>
        <v>p</v>
      </c>
      <c r="B349" t="str">
        <f>IF(ROW(B349)&lt;=Bidding!$D$11,Raw_hydro_bm!C349,"")</f>
        <v>c</v>
      </c>
      <c r="C349">
        <f>IF(ROW(C349)&lt;=Bidding!$D$11,Raw_hydro_bm!D349,"")</f>
        <v>0</v>
      </c>
      <c r="D349">
        <f>IF(ROW(D349)&lt;=Bidding!$D$11,Raw_hydro_bm!E349,"")</f>
        <v>6</v>
      </c>
      <c r="E349">
        <f>IF(ROW(E349)&lt;=Bidding!$D$11,Raw_hydro_bm!F349,"")</f>
        <v>1</v>
      </c>
      <c r="F349">
        <f>IF(ROW(F349)&lt;=Bidding!$D$11,Raw_hydro_bm!G349,"")</f>
        <v>0</v>
      </c>
      <c r="G349">
        <f>IF(ROW(G349)&lt;=Bidding!$D$11,Raw_hydro_bm!H349,"")</f>
        <v>0</v>
      </c>
      <c r="H349" t="str">
        <f>IF(ROW(H349)&lt;=Bidding!$D$11,Raw_hydro_bm!I349,"")</f>
        <v>0.0</v>
      </c>
      <c r="I349" s="16">
        <f t="shared" si="5"/>
        <v>0</v>
      </c>
    </row>
    <row r="350" spans="1:9" x14ac:dyDescent="0.3">
      <c r="A350" t="str">
        <f>IF(ROW(A350)&lt;=Bidding!$D$11,Raw_hydro_bm!B350,"")</f>
        <v>v</v>
      </c>
      <c r="B350" t="str">
        <f>IF(ROW(B350)&lt;=Bidding!$D$11,Raw_hydro_bm!C350,"")</f>
        <v>c</v>
      </c>
      <c r="C350">
        <f>IF(ROW(C350)&lt;=Bidding!$D$11,Raw_hydro_bm!D350,"")</f>
        <v>0</v>
      </c>
      <c r="D350">
        <f>IF(ROW(D350)&lt;=Bidding!$D$11,Raw_hydro_bm!E350,"")</f>
        <v>6</v>
      </c>
      <c r="E350">
        <f>IF(ROW(E350)&lt;=Bidding!$D$11,Raw_hydro_bm!F350,"")</f>
        <v>1</v>
      </c>
      <c r="F350">
        <f>IF(ROW(F350)&lt;=Bidding!$D$11,Raw_hydro_bm!G350,"")</f>
        <v>0</v>
      </c>
      <c r="G350">
        <f>IF(ROW(G350)&lt;=Bidding!$D$11,Raw_hydro_bm!H350,"")</f>
        <v>0</v>
      </c>
      <c r="H350" t="str">
        <f>IF(ROW(H350)&lt;=Bidding!$D$11,Raw_hydro_bm!I350,"")</f>
        <v>0.0</v>
      </c>
      <c r="I350" s="16">
        <f t="shared" si="5"/>
        <v>0</v>
      </c>
    </row>
    <row r="351" spans="1:9" x14ac:dyDescent="0.3">
      <c r="A351" t="str">
        <f>IF(ROW(A351)&lt;=Bidding!$D$11,Raw_hydro_bm!B351,"")</f>
        <v>p</v>
      </c>
      <c r="B351" t="str">
        <f>IF(ROW(B351)&lt;=Bidding!$D$11,Raw_hydro_bm!C351,"")</f>
        <v>c</v>
      </c>
      <c r="C351">
        <f>IF(ROW(C351)&lt;=Bidding!$D$11,Raw_hydro_bm!D351,"")</f>
        <v>0</v>
      </c>
      <c r="D351">
        <f>IF(ROW(D351)&lt;=Bidding!$D$11,Raw_hydro_bm!E351,"")</f>
        <v>6</v>
      </c>
      <c r="E351">
        <f>IF(ROW(E351)&lt;=Bidding!$D$11,Raw_hydro_bm!F351,"")</f>
        <v>1</v>
      </c>
      <c r="F351">
        <f>IF(ROW(F351)&lt;=Bidding!$D$11,Raw_hydro_bm!G351,"")</f>
        <v>0</v>
      </c>
      <c r="G351">
        <f>IF(ROW(G351)&lt;=Bidding!$D$11,Raw_hydro_bm!H351,"")</f>
        <v>1</v>
      </c>
      <c r="H351" t="str">
        <f>IF(ROW(H351)&lt;=Bidding!$D$11,Raw_hydro_bm!I351,"")</f>
        <v>0.0</v>
      </c>
      <c r="I351" s="16">
        <f t="shared" si="5"/>
        <v>0</v>
      </c>
    </row>
    <row r="352" spans="1:9" x14ac:dyDescent="0.3">
      <c r="A352" t="str">
        <f>IF(ROW(A352)&lt;=Bidding!$D$11,Raw_hydro_bm!B352,"")</f>
        <v>v</v>
      </c>
      <c r="B352" t="str">
        <f>IF(ROW(B352)&lt;=Bidding!$D$11,Raw_hydro_bm!C352,"")</f>
        <v>c</v>
      </c>
      <c r="C352">
        <f>IF(ROW(C352)&lt;=Bidding!$D$11,Raw_hydro_bm!D352,"")</f>
        <v>0</v>
      </c>
      <c r="D352">
        <f>IF(ROW(D352)&lt;=Bidding!$D$11,Raw_hydro_bm!E352,"")</f>
        <v>6</v>
      </c>
      <c r="E352">
        <f>IF(ROW(E352)&lt;=Bidding!$D$11,Raw_hydro_bm!F352,"")</f>
        <v>1</v>
      </c>
      <c r="F352">
        <f>IF(ROW(F352)&lt;=Bidding!$D$11,Raw_hydro_bm!G352,"")</f>
        <v>0</v>
      </c>
      <c r="G352">
        <f>IF(ROW(G352)&lt;=Bidding!$D$11,Raw_hydro_bm!H352,"")</f>
        <v>1</v>
      </c>
      <c r="H352" t="str">
        <f>IF(ROW(H352)&lt;=Bidding!$D$11,Raw_hydro_bm!I352,"")</f>
        <v>0.0</v>
      </c>
      <c r="I352" s="16">
        <f t="shared" si="5"/>
        <v>0</v>
      </c>
    </row>
    <row r="353" spans="1:9" x14ac:dyDescent="0.3">
      <c r="A353" t="str">
        <f>IF(ROW(A353)&lt;=Bidding!$D$11,Raw_hydro_bm!B353,"")</f>
        <v>p</v>
      </c>
      <c r="B353" t="str">
        <f>IF(ROW(B353)&lt;=Bidding!$D$11,Raw_hydro_bm!C353,"")</f>
        <v>c</v>
      </c>
      <c r="C353">
        <f>IF(ROW(C353)&lt;=Bidding!$D$11,Raw_hydro_bm!D353,"")</f>
        <v>0</v>
      </c>
      <c r="D353">
        <f>IF(ROW(D353)&lt;=Bidding!$D$11,Raw_hydro_bm!E353,"")</f>
        <v>6</v>
      </c>
      <c r="E353">
        <f>IF(ROW(E353)&lt;=Bidding!$D$11,Raw_hydro_bm!F353,"")</f>
        <v>1</v>
      </c>
      <c r="F353">
        <f>IF(ROW(F353)&lt;=Bidding!$D$11,Raw_hydro_bm!G353,"")</f>
        <v>0</v>
      </c>
      <c r="G353">
        <f>IF(ROW(G353)&lt;=Bidding!$D$11,Raw_hydro_bm!H353,"")</f>
        <v>2</v>
      </c>
      <c r="H353" t="str">
        <f>IF(ROW(H353)&lt;=Bidding!$D$11,Raw_hydro_bm!I353,"")</f>
        <v>0.0</v>
      </c>
      <c r="I353" s="16">
        <f t="shared" si="5"/>
        <v>0</v>
      </c>
    </row>
    <row r="354" spans="1:9" x14ac:dyDescent="0.3">
      <c r="A354" t="str">
        <f>IF(ROW(A354)&lt;=Bidding!$D$11,Raw_hydro_bm!B354,"")</f>
        <v>v</v>
      </c>
      <c r="B354" t="str">
        <f>IF(ROW(B354)&lt;=Bidding!$D$11,Raw_hydro_bm!C354,"")</f>
        <v>c</v>
      </c>
      <c r="C354">
        <f>IF(ROW(C354)&lt;=Bidding!$D$11,Raw_hydro_bm!D354,"")</f>
        <v>0</v>
      </c>
      <c r="D354">
        <f>IF(ROW(D354)&lt;=Bidding!$D$11,Raw_hydro_bm!E354,"")</f>
        <v>6</v>
      </c>
      <c r="E354">
        <f>IF(ROW(E354)&lt;=Bidding!$D$11,Raw_hydro_bm!F354,"")</f>
        <v>1</v>
      </c>
      <c r="F354">
        <f>IF(ROW(F354)&lt;=Bidding!$D$11,Raw_hydro_bm!G354,"")</f>
        <v>0</v>
      </c>
      <c r="G354">
        <f>IF(ROW(G354)&lt;=Bidding!$D$11,Raw_hydro_bm!H354,"")</f>
        <v>2</v>
      </c>
      <c r="H354" t="str">
        <f>IF(ROW(H354)&lt;=Bidding!$D$11,Raw_hydro_bm!I354,"")</f>
        <v>0.0</v>
      </c>
      <c r="I354" s="16">
        <f t="shared" si="5"/>
        <v>0</v>
      </c>
    </row>
    <row r="355" spans="1:9" x14ac:dyDescent="0.3">
      <c r="A355" t="str">
        <f>IF(ROW(A355)&lt;=Bidding!$D$11,Raw_hydro_bm!B355,"")</f>
        <v>p</v>
      </c>
      <c r="B355" t="str">
        <f>IF(ROW(B355)&lt;=Bidding!$D$11,Raw_hydro_bm!C355,"")</f>
        <v>c</v>
      </c>
      <c r="C355">
        <f>IF(ROW(C355)&lt;=Bidding!$D$11,Raw_hydro_bm!D355,"")</f>
        <v>0</v>
      </c>
      <c r="D355">
        <f>IF(ROW(D355)&lt;=Bidding!$D$11,Raw_hydro_bm!E355,"")</f>
        <v>6</v>
      </c>
      <c r="E355">
        <f>IF(ROW(E355)&lt;=Bidding!$D$11,Raw_hydro_bm!F355,"")</f>
        <v>1</v>
      </c>
      <c r="F355">
        <f>IF(ROW(F355)&lt;=Bidding!$D$11,Raw_hydro_bm!G355,"")</f>
        <v>1</v>
      </c>
      <c r="G355">
        <f>IF(ROW(G355)&lt;=Bidding!$D$11,Raw_hydro_bm!H355,"")</f>
        <v>0</v>
      </c>
      <c r="H355" t="str">
        <f>IF(ROW(H355)&lt;=Bidding!$D$11,Raw_hydro_bm!I355,"")</f>
        <v>0.0</v>
      </c>
      <c r="I355" s="16">
        <f t="shared" si="5"/>
        <v>0</v>
      </c>
    </row>
    <row r="356" spans="1:9" x14ac:dyDescent="0.3">
      <c r="A356" t="str">
        <f>IF(ROW(A356)&lt;=Bidding!$D$11,Raw_hydro_bm!B356,"")</f>
        <v>v</v>
      </c>
      <c r="B356" t="str">
        <f>IF(ROW(B356)&lt;=Bidding!$D$11,Raw_hydro_bm!C356,"")</f>
        <v>c</v>
      </c>
      <c r="C356">
        <f>IF(ROW(C356)&lt;=Bidding!$D$11,Raw_hydro_bm!D356,"")</f>
        <v>0</v>
      </c>
      <c r="D356">
        <f>IF(ROW(D356)&lt;=Bidding!$D$11,Raw_hydro_bm!E356,"")</f>
        <v>6</v>
      </c>
      <c r="E356">
        <f>IF(ROW(E356)&lt;=Bidding!$D$11,Raw_hydro_bm!F356,"")</f>
        <v>1</v>
      </c>
      <c r="F356">
        <f>IF(ROW(F356)&lt;=Bidding!$D$11,Raw_hydro_bm!G356,"")</f>
        <v>1</v>
      </c>
      <c r="G356">
        <f>IF(ROW(G356)&lt;=Bidding!$D$11,Raw_hydro_bm!H356,"")</f>
        <v>0</v>
      </c>
      <c r="H356" t="str">
        <f>IF(ROW(H356)&lt;=Bidding!$D$11,Raw_hydro_bm!I356,"")</f>
        <v>30.0</v>
      </c>
      <c r="I356" s="16">
        <f t="shared" si="5"/>
        <v>30</v>
      </c>
    </row>
    <row r="357" spans="1:9" x14ac:dyDescent="0.3">
      <c r="A357" t="str">
        <f>IF(ROW(A357)&lt;=Bidding!$D$11,Raw_hydro_bm!B357,"")</f>
        <v>p</v>
      </c>
      <c r="B357" t="str">
        <f>IF(ROW(B357)&lt;=Bidding!$D$11,Raw_hydro_bm!C357,"")</f>
        <v>c</v>
      </c>
      <c r="C357">
        <f>IF(ROW(C357)&lt;=Bidding!$D$11,Raw_hydro_bm!D357,"")</f>
        <v>0</v>
      </c>
      <c r="D357">
        <f>IF(ROW(D357)&lt;=Bidding!$D$11,Raw_hydro_bm!E357,"")</f>
        <v>6</v>
      </c>
      <c r="E357">
        <f>IF(ROW(E357)&lt;=Bidding!$D$11,Raw_hydro_bm!F357,"")</f>
        <v>1</v>
      </c>
      <c r="F357">
        <f>IF(ROW(F357)&lt;=Bidding!$D$11,Raw_hydro_bm!G357,"")</f>
        <v>1</v>
      </c>
      <c r="G357">
        <f>IF(ROW(G357)&lt;=Bidding!$D$11,Raw_hydro_bm!H357,"")</f>
        <v>1</v>
      </c>
      <c r="H357" t="str">
        <f>IF(ROW(H357)&lt;=Bidding!$D$11,Raw_hydro_bm!I357,"")</f>
        <v>0.0</v>
      </c>
      <c r="I357" s="16">
        <f t="shared" si="5"/>
        <v>0</v>
      </c>
    </row>
    <row r="358" spans="1:9" x14ac:dyDescent="0.3">
      <c r="A358" t="str">
        <f>IF(ROW(A358)&lt;=Bidding!$D$11,Raw_hydro_bm!B358,"")</f>
        <v>v</v>
      </c>
      <c r="B358" t="str">
        <f>IF(ROW(B358)&lt;=Bidding!$D$11,Raw_hydro_bm!C358,"")</f>
        <v>c</v>
      </c>
      <c r="C358">
        <f>IF(ROW(C358)&lt;=Bidding!$D$11,Raw_hydro_bm!D358,"")</f>
        <v>0</v>
      </c>
      <c r="D358">
        <f>IF(ROW(D358)&lt;=Bidding!$D$11,Raw_hydro_bm!E358,"")</f>
        <v>6</v>
      </c>
      <c r="E358">
        <f>IF(ROW(E358)&lt;=Bidding!$D$11,Raw_hydro_bm!F358,"")</f>
        <v>1</v>
      </c>
      <c r="F358">
        <f>IF(ROW(F358)&lt;=Bidding!$D$11,Raw_hydro_bm!G358,"")</f>
        <v>1</v>
      </c>
      <c r="G358">
        <f>IF(ROW(G358)&lt;=Bidding!$D$11,Raw_hydro_bm!H358,"")</f>
        <v>1</v>
      </c>
      <c r="H358" t="str">
        <f>IF(ROW(H358)&lt;=Bidding!$D$11,Raw_hydro_bm!I358,"")</f>
        <v>20.0</v>
      </c>
      <c r="I358" s="16">
        <f t="shared" si="5"/>
        <v>20</v>
      </c>
    </row>
    <row r="359" spans="1:9" x14ac:dyDescent="0.3">
      <c r="A359" t="str">
        <f>IF(ROW(A359)&lt;=Bidding!$D$11,Raw_hydro_bm!B359,"")</f>
        <v>p</v>
      </c>
      <c r="B359" t="str">
        <f>IF(ROW(B359)&lt;=Bidding!$D$11,Raw_hydro_bm!C359,"")</f>
        <v>c</v>
      </c>
      <c r="C359">
        <f>IF(ROW(C359)&lt;=Bidding!$D$11,Raw_hydro_bm!D359,"")</f>
        <v>0</v>
      </c>
      <c r="D359">
        <f>IF(ROW(D359)&lt;=Bidding!$D$11,Raw_hydro_bm!E359,"")</f>
        <v>6</v>
      </c>
      <c r="E359">
        <f>IF(ROW(E359)&lt;=Bidding!$D$11,Raw_hydro_bm!F359,"")</f>
        <v>1</v>
      </c>
      <c r="F359">
        <f>IF(ROW(F359)&lt;=Bidding!$D$11,Raw_hydro_bm!G359,"")</f>
        <v>1</v>
      </c>
      <c r="G359">
        <f>IF(ROW(G359)&lt;=Bidding!$D$11,Raw_hydro_bm!H359,"")</f>
        <v>2</v>
      </c>
      <c r="H359" t="str">
        <f>IF(ROW(H359)&lt;=Bidding!$D$11,Raw_hydro_bm!I359,"")</f>
        <v>0.0</v>
      </c>
      <c r="I359" s="16">
        <f t="shared" si="5"/>
        <v>0</v>
      </c>
    </row>
    <row r="360" spans="1:9" x14ac:dyDescent="0.3">
      <c r="A360" t="str">
        <f>IF(ROW(A360)&lt;=Bidding!$D$11,Raw_hydro_bm!B360,"")</f>
        <v>v</v>
      </c>
      <c r="B360" t="str">
        <f>IF(ROW(B360)&lt;=Bidding!$D$11,Raw_hydro_bm!C360,"")</f>
        <v>c</v>
      </c>
      <c r="C360">
        <f>IF(ROW(C360)&lt;=Bidding!$D$11,Raw_hydro_bm!D360,"")</f>
        <v>0</v>
      </c>
      <c r="D360">
        <f>IF(ROW(D360)&lt;=Bidding!$D$11,Raw_hydro_bm!E360,"")</f>
        <v>6</v>
      </c>
      <c r="E360">
        <f>IF(ROW(E360)&lt;=Bidding!$D$11,Raw_hydro_bm!F360,"")</f>
        <v>1</v>
      </c>
      <c r="F360">
        <f>IF(ROW(F360)&lt;=Bidding!$D$11,Raw_hydro_bm!G360,"")</f>
        <v>1</v>
      </c>
      <c r="G360">
        <f>IF(ROW(G360)&lt;=Bidding!$D$11,Raw_hydro_bm!H360,"")</f>
        <v>2</v>
      </c>
      <c r="H360" t="str">
        <f>IF(ROW(H360)&lt;=Bidding!$D$11,Raw_hydro_bm!I360,"")</f>
        <v>10.0</v>
      </c>
      <c r="I360" s="16">
        <f t="shared" si="5"/>
        <v>10</v>
      </c>
    </row>
    <row r="361" spans="1:9" x14ac:dyDescent="0.3">
      <c r="A361" t="str">
        <f>IF(ROW(A361)&lt;=Bidding!$D$11,Raw_hydro_bm!B361,"")</f>
        <v>b</v>
      </c>
      <c r="B361" t="str">
        <f>IF(ROW(B361)&lt;=Bidding!$D$11,Raw_hydro_bm!C361,"")</f>
        <v>v</v>
      </c>
      <c r="C361" t="str">
        <f>IF(ROW(C361)&lt;=Bidding!$D$11,Raw_hydro_bm!D361,"")</f>
        <v>X</v>
      </c>
      <c r="D361">
        <f>IF(ROW(D361)&lt;=Bidding!$D$11,Raw_hydro_bm!E361,"")</f>
        <v>0</v>
      </c>
      <c r="E361">
        <f>IF(ROW(E361)&lt;=Bidding!$D$11,Raw_hydro_bm!F361,"")</f>
        <v>7</v>
      </c>
      <c r="F361">
        <f>IF(ROW(F361)&lt;=Bidding!$D$11,Raw_hydro_bm!G361,"")</f>
        <v>0</v>
      </c>
      <c r="G361">
        <f>IF(ROW(G361)&lt;=Bidding!$D$11,Raw_hydro_bm!H361,"")</f>
        <v>0</v>
      </c>
      <c r="H361" t="str">
        <f>IF(ROW(H361)&lt;=Bidding!$D$11,Raw_hydro_bm!I361,"")</f>
        <v>0.0</v>
      </c>
      <c r="I361" s="16">
        <f t="shared" si="5"/>
        <v>0</v>
      </c>
    </row>
    <row r="362" spans="1:9" x14ac:dyDescent="0.3">
      <c r="A362" t="str">
        <f>IF(ROW(A362)&lt;=Bidding!$D$11,Raw_hydro_bm!B362,"")</f>
        <v>b</v>
      </c>
      <c r="B362" t="str">
        <f>IF(ROW(B362)&lt;=Bidding!$D$11,Raw_hydro_bm!C362,"")</f>
        <v>v</v>
      </c>
      <c r="C362" t="str">
        <f>IF(ROW(C362)&lt;=Bidding!$D$11,Raw_hydro_bm!D362,"")</f>
        <v>X</v>
      </c>
      <c r="D362">
        <f>IF(ROW(D362)&lt;=Bidding!$D$11,Raw_hydro_bm!E362,"")</f>
        <v>0</v>
      </c>
      <c r="E362">
        <f>IF(ROW(E362)&lt;=Bidding!$D$11,Raw_hydro_bm!F362,"")</f>
        <v>7</v>
      </c>
      <c r="F362">
        <f>IF(ROW(F362)&lt;=Bidding!$D$11,Raw_hydro_bm!G362,"")</f>
        <v>0</v>
      </c>
      <c r="G362">
        <f>IF(ROW(G362)&lt;=Bidding!$D$11,Raw_hydro_bm!H362,"")</f>
        <v>1</v>
      </c>
      <c r="H362" t="str">
        <f>IF(ROW(H362)&lt;=Bidding!$D$11,Raw_hydro_bm!I362,"")</f>
        <v>0.0</v>
      </c>
      <c r="I362" s="16">
        <f t="shared" si="5"/>
        <v>0</v>
      </c>
    </row>
    <row r="363" spans="1:9" x14ac:dyDescent="0.3">
      <c r="A363" t="str">
        <f>IF(ROW(A363)&lt;=Bidding!$D$11,Raw_hydro_bm!B363,"")</f>
        <v>b</v>
      </c>
      <c r="B363" t="str">
        <f>IF(ROW(B363)&lt;=Bidding!$D$11,Raw_hydro_bm!C363,"")</f>
        <v>v</v>
      </c>
      <c r="C363" t="str">
        <f>IF(ROW(C363)&lt;=Bidding!$D$11,Raw_hydro_bm!D363,"")</f>
        <v>X</v>
      </c>
      <c r="D363">
        <f>IF(ROW(D363)&lt;=Bidding!$D$11,Raw_hydro_bm!E363,"")</f>
        <v>0</v>
      </c>
      <c r="E363">
        <f>IF(ROW(E363)&lt;=Bidding!$D$11,Raw_hydro_bm!F363,"")</f>
        <v>7</v>
      </c>
      <c r="F363">
        <f>IF(ROW(F363)&lt;=Bidding!$D$11,Raw_hydro_bm!G363,"")</f>
        <v>0</v>
      </c>
      <c r="G363">
        <f>IF(ROW(G363)&lt;=Bidding!$D$11,Raw_hydro_bm!H363,"")</f>
        <v>2</v>
      </c>
      <c r="H363" t="str">
        <f>IF(ROW(H363)&lt;=Bidding!$D$11,Raw_hydro_bm!I363,"")</f>
        <v>60.0</v>
      </c>
      <c r="I363" s="16">
        <f t="shared" si="5"/>
        <v>60</v>
      </c>
    </row>
    <row r="364" spans="1:9" x14ac:dyDescent="0.3">
      <c r="A364" t="str">
        <f>IF(ROW(A364)&lt;=Bidding!$D$11,Raw_hydro_bm!B364,"")</f>
        <v>p</v>
      </c>
      <c r="B364" t="str">
        <f>IF(ROW(B364)&lt;=Bidding!$D$11,Raw_hydro_bm!C364,"")</f>
        <v>c</v>
      </c>
      <c r="C364">
        <f>IF(ROW(C364)&lt;=Bidding!$D$11,Raw_hydro_bm!D364,"")</f>
        <v>0</v>
      </c>
      <c r="D364">
        <f>IF(ROW(D364)&lt;=Bidding!$D$11,Raw_hydro_bm!E364,"")</f>
        <v>7</v>
      </c>
      <c r="E364">
        <f>IF(ROW(E364)&lt;=Bidding!$D$11,Raw_hydro_bm!F364,"")</f>
        <v>0</v>
      </c>
      <c r="F364">
        <f>IF(ROW(F364)&lt;=Bidding!$D$11,Raw_hydro_bm!G364,"")</f>
        <v>0</v>
      </c>
      <c r="G364">
        <f>IF(ROW(G364)&lt;=Bidding!$D$11,Raw_hydro_bm!H364,"")</f>
        <v>0</v>
      </c>
      <c r="H364" t="str">
        <f>IF(ROW(H364)&lt;=Bidding!$D$11,Raw_hydro_bm!I364,"")</f>
        <v>0.0</v>
      </c>
      <c r="I364" s="16">
        <f t="shared" si="5"/>
        <v>0</v>
      </c>
    </row>
    <row r="365" spans="1:9" x14ac:dyDescent="0.3">
      <c r="A365" t="str">
        <f>IF(ROW(A365)&lt;=Bidding!$D$11,Raw_hydro_bm!B365,"")</f>
        <v>v</v>
      </c>
      <c r="B365" t="str">
        <f>IF(ROW(B365)&lt;=Bidding!$D$11,Raw_hydro_bm!C365,"")</f>
        <v>c</v>
      </c>
      <c r="C365">
        <f>IF(ROW(C365)&lt;=Bidding!$D$11,Raw_hydro_bm!D365,"")</f>
        <v>0</v>
      </c>
      <c r="D365">
        <f>IF(ROW(D365)&lt;=Bidding!$D$11,Raw_hydro_bm!E365,"")</f>
        <v>7</v>
      </c>
      <c r="E365">
        <f>IF(ROW(E365)&lt;=Bidding!$D$11,Raw_hydro_bm!F365,"")</f>
        <v>0</v>
      </c>
      <c r="F365">
        <f>IF(ROW(F365)&lt;=Bidding!$D$11,Raw_hydro_bm!G365,"")</f>
        <v>0</v>
      </c>
      <c r="G365">
        <f>IF(ROW(G365)&lt;=Bidding!$D$11,Raw_hydro_bm!H365,"")</f>
        <v>0</v>
      </c>
      <c r="H365" t="str">
        <f>IF(ROW(H365)&lt;=Bidding!$D$11,Raw_hydro_bm!I365,"")</f>
        <v>30.0</v>
      </c>
      <c r="I365" s="16">
        <f t="shared" si="5"/>
        <v>30</v>
      </c>
    </row>
    <row r="366" spans="1:9" x14ac:dyDescent="0.3">
      <c r="A366" t="str">
        <f>IF(ROW(A366)&lt;=Bidding!$D$11,Raw_hydro_bm!B366,"")</f>
        <v>p</v>
      </c>
      <c r="B366" t="str">
        <f>IF(ROW(B366)&lt;=Bidding!$D$11,Raw_hydro_bm!C366,"")</f>
        <v>c</v>
      </c>
      <c r="C366">
        <f>IF(ROW(C366)&lt;=Bidding!$D$11,Raw_hydro_bm!D366,"")</f>
        <v>0</v>
      </c>
      <c r="D366">
        <f>IF(ROW(D366)&lt;=Bidding!$D$11,Raw_hydro_bm!E366,"")</f>
        <v>7</v>
      </c>
      <c r="E366">
        <f>IF(ROW(E366)&lt;=Bidding!$D$11,Raw_hydro_bm!F366,"")</f>
        <v>0</v>
      </c>
      <c r="F366">
        <f>IF(ROW(F366)&lt;=Bidding!$D$11,Raw_hydro_bm!G366,"")</f>
        <v>0</v>
      </c>
      <c r="G366">
        <f>IF(ROW(G366)&lt;=Bidding!$D$11,Raw_hydro_bm!H366,"")</f>
        <v>1</v>
      </c>
      <c r="H366" t="str">
        <f>IF(ROW(H366)&lt;=Bidding!$D$11,Raw_hydro_bm!I366,"")</f>
        <v>0.0</v>
      </c>
      <c r="I366" s="16">
        <f t="shared" si="5"/>
        <v>0</v>
      </c>
    </row>
    <row r="367" spans="1:9" x14ac:dyDescent="0.3">
      <c r="A367" t="str">
        <f>IF(ROW(A367)&lt;=Bidding!$D$11,Raw_hydro_bm!B367,"")</f>
        <v>v</v>
      </c>
      <c r="B367" t="str">
        <f>IF(ROW(B367)&lt;=Bidding!$D$11,Raw_hydro_bm!C367,"")</f>
        <v>c</v>
      </c>
      <c r="C367">
        <f>IF(ROW(C367)&lt;=Bidding!$D$11,Raw_hydro_bm!D367,"")</f>
        <v>0</v>
      </c>
      <c r="D367">
        <f>IF(ROW(D367)&lt;=Bidding!$D$11,Raw_hydro_bm!E367,"")</f>
        <v>7</v>
      </c>
      <c r="E367">
        <f>IF(ROW(E367)&lt;=Bidding!$D$11,Raw_hydro_bm!F367,"")</f>
        <v>0</v>
      </c>
      <c r="F367">
        <f>IF(ROW(F367)&lt;=Bidding!$D$11,Raw_hydro_bm!G367,"")</f>
        <v>0</v>
      </c>
      <c r="G367">
        <f>IF(ROW(G367)&lt;=Bidding!$D$11,Raw_hydro_bm!H367,"")</f>
        <v>1</v>
      </c>
      <c r="H367" t="str">
        <f>IF(ROW(H367)&lt;=Bidding!$D$11,Raw_hydro_bm!I367,"")</f>
        <v>20.0</v>
      </c>
      <c r="I367" s="16">
        <f t="shared" si="5"/>
        <v>20</v>
      </c>
    </row>
    <row r="368" spans="1:9" x14ac:dyDescent="0.3">
      <c r="A368" t="str">
        <f>IF(ROW(A368)&lt;=Bidding!$D$11,Raw_hydro_bm!B368,"")</f>
        <v>p</v>
      </c>
      <c r="B368" t="str">
        <f>IF(ROW(B368)&lt;=Bidding!$D$11,Raw_hydro_bm!C368,"")</f>
        <v>c</v>
      </c>
      <c r="C368">
        <f>IF(ROW(C368)&lt;=Bidding!$D$11,Raw_hydro_bm!D368,"")</f>
        <v>0</v>
      </c>
      <c r="D368">
        <f>IF(ROW(D368)&lt;=Bidding!$D$11,Raw_hydro_bm!E368,"")</f>
        <v>7</v>
      </c>
      <c r="E368">
        <f>IF(ROW(E368)&lt;=Bidding!$D$11,Raw_hydro_bm!F368,"")</f>
        <v>0</v>
      </c>
      <c r="F368">
        <f>IF(ROW(F368)&lt;=Bidding!$D$11,Raw_hydro_bm!G368,"")</f>
        <v>0</v>
      </c>
      <c r="G368">
        <f>IF(ROW(G368)&lt;=Bidding!$D$11,Raw_hydro_bm!H368,"")</f>
        <v>2</v>
      </c>
      <c r="H368" t="str">
        <f>IF(ROW(H368)&lt;=Bidding!$D$11,Raw_hydro_bm!I368,"")</f>
        <v>0.0</v>
      </c>
      <c r="I368" s="16">
        <f t="shared" si="5"/>
        <v>0</v>
      </c>
    </row>
    <row r="369" spans="1:9" x14ac:dyDescent="0.3">
      <c r="A369" t="str">
        <f>IF(ROW(A369)&lt;=Bidding!$D$11,Raw_hydro_bm!B369,"")</f>
        <v>v</v>
      </c>
      <c r="B369" t="str">
        <f>IF(ROW(B369)&lt;=Bidding!$D$11,Raw_hydro_bm!C369,"")</f>
        <v>c</v>
      </c>
      <c r="C369">
        <f>IF(ROW(C369)&lt;=Bidding!$D$11,Raw_hydro_bm!D369,"")</f>
        <v>0</v>
      </c>
      <c r="D369">
        <f>IF(ROW(D369)&lt;=Bidding!$D$11,Raw_hydro_bm!E369,"")</f>
        <v>7</v>
      </c>
      <c r="E369">
        <f>IF(ROW(E369)&lt;=Bidding!$D$11,Raw_hydro_bm!F369,"")</f>
        <v>0</v>
      </c>
      <c r="F369">
        <f>IF(ROW(F369)&lt;=Bidding!$D$11,Raw_hydro_bm!G369,"")</f>
        <v>0</v>
      </c>
      <c r="G369">
        <f>IF(ROW(G369)&lt;=Bidding!$D$11,Raw_hydro_bm!H369,"")</f>
        <v>2</v>
      </c>
      <c r="H369" t="str">
        <f>IF(ROW(H369)&lt;=Bidding!$D$11,Raw_hydro_bm!I369,"")</f>
        <v>10.0</v>
      </c>
      <c r="I369" s="16">
        <f t="shared" si="5"/>
        <v>10</v>
      </c>
    </row>
    <row r="370" spans="1:9" x14ac:dyDescent="0.3">
      <c r="A370" t="str">
        <f>IF(ROW(A370)&lt;=Bidding!$D$11,Raw_hydro_bm!B370,"")</f>
        <v>p</v>
      </c>
      <c r="B370" t="str">
        <f>IF(ROW(B370)&lt;=Bidding!$D$11,Raw_hydro_bm!C370,"")</f>
        <v>c</v>
      </c>
      <c r="C370">
        <f>IF(ROW(C370)&lt;=Bidding!$D$11,Raw_hydro_bm!D370,"")</f>
        <v>0</v>
      </c>
      <c r="D370">
        <f>IF(ROW(D370)&lt;=Bidding!$D$11,Raw_hydro_bm!E370,"")</f>
        <v>7</v>
      </c>
      <c r="E370">
        <f>IF(ROW(E370)&lt;=Bidding!$D$11,Raw_hydro_bm!F370,"")</f>
        <v>0</v>
      </c>
      <c r="F370">
        <f>IF(ROW(F370)&lt;=Bidding!$D$11,Raw_hydro_bm!G370,"")</f>
        <v>1</v>
      </c>
      <c r="G370">
        <f>IF(ROW(G370)&lt;=Bidding!$D$11,Raw_hydro_bm!H370,"")</f>
        <v>0</v>
      </c>
      <c r="H370" t="str">
        <f>IF(ROW(H370)&lt;=Bidding!$D$11,Raw_hydro_bm!I370,"")</f>
        <v>0.0</v>
      </c>
      <c r="I370" s="16">
        <f t="shared" si="5"/>
        <v>0</v>
      </c>
    </row>
    <row r="371" spans="1:9" x14ac:dyDescent="0.3">
      <c r="A371" t="str">
        <f>IF(ROW(A371)&lt;=Bidding!$D$11,Raw_hydro_bm!B371,"")</f>
        <v>v</v>
      </c>
      <c r="B371" t="str">
        <f>IF(ROW(B371)&lt;=Bidding!$D$11,Raw_hydro_bm!C371,"")</f>
        <v>c</v>
      </c>
      <c r="C371">
        <f>IF(ROW(C371)&lt;=Bidding!$D$11,Raw_hydro_bm!D371,"")</f>
        <v>0</v>
      </c>
      <c r="D371">
        <f>IF(ROW(D371)&lt;=Bidding!$D$11,Raw_hydro_bm!E371,"")</f>
        <v>7</v>
      </c>
      <c r="E371">
        <f>IF(ROW(E371)&lt;=Bidding!$D$11,Raw_hydro_bm!F371,"")</f>
        <v>0</v>
      </c>
      <c r="F371">
        <f>IF(ROW(F371)&lt;=Bidding!$D$11,Raw_hydro_bm!G371,"")</f>
        <v>1</v>
      </c>
      <c r="G371">
        <f>IF(ROW(G371)&lt;=Bidding!$D$11,Raw_hydro_bm!H371,"")</f>
        <v>0</v>
      </c>
      <c r="H371" t="str">
        <f>IF(ROW(H371)&lt;=Bidding!$D$11,Raw_hydro_bm!I371,"")</f>
        <v>0.0</v>
      </c>
      <c r="I371" s="16">
        <f t="shared" si="5"/>
        <v>0</v>
      </c>
    </row>
    <row r="372" spans="1:9" x14ac:dyDescent="0.3">
      <c r="A372" t="str">
        <f>IF(ROW(A372)&lt;=Bidding!$D$11,Raw_hydro_bm!B372,"")</f>
        <v>p</v>
      </c>
      <c r="B372" t="str">
        <f>IF(ROW(B372)&lt;=Bidding!$D$11,Raw_hydro_bm!C372,"")</f>
        <v>c</v>
      </c>
      <c r="C372">
        <f>IF(ROW(C372)&lt;=Bidding!$D$11,Raw_hydro_bm!D372,"")</f>
        <v>0</v>
      </c>
      <c r="D372">
        <f>IF(ROW(D372)&lt;=Bidding!$D$11,Raw_hydro_bm!E372,"")</f>
        <v>7</v>
      </c>
      <c r="E372">
        <f>IF(ROW(E372)&lt;=Bidding!$D$11,Raw_hydro_bm!F372,"")</f>
        <v>0</v>
      </c>
      <c r="F372">
        <f>IF(ROW(F372)&lt;=Bidding!$D$11,Raw_hydro_bm!G372,"")</f>
        <v>1</v>
      </c>
      <c r="G372">
        <f>IF(ROW(G372)&lt;=Bidding!$D$11,Raw_hydro_bm!H372,"")</f>
        <v>1</v>
      </c>
      <c r="H372" t="str">
        <f>IF(ROW(H372)&lt;=Bidding!$D$11,Raw_hydro_bm!I372,"")</f>
        <v>0.0</v>
      </c>
      <c r="I372" s="16">
        <f t="shared" si="5"/>
        <v>0</v>
      </c>
    </row>
    <row r="373" spans="1:9" x14ac:dyDescent="0.3">
      <c r="A373" t="str">
        <f>IF(ROW(A373)&lt;=Bidding!$D$11,Raw_hydro_bm!B373,"")</f>
        <v>v</v>
      </c>
      <c r="B373" t="str">
        <f>IF(ROW(B373)&lt;=Bidding!$D$11,Raw_hydro_bm!C373,"")</f>
        <v>c</v>
      </c>
      <c r="C373">
        <f>IF(ROW(C373)&lt;=Bidding!$D$11,Raw_hydro_bm!D373,"")</f>
        <v>0</v>
      </c>
      <c r="D373">
        <f>IF(ROW(D373)&lt;=Bidding!$D$11,Raw_hydro_bm!E373,"")</f>
        <v>7</v>
      </c>
      <c r="E373">
        <f>IF(ROW(E373)&lt;=Bidding!$D$11,Raw_hydro_bm!F373,"")</f>
        <v>0</v>
      </c>
      <c r="F373">
        <f>IF(ROW(F373)&lt;=Bidding!$D$11,Raw_hydro_bm!G373,"")</f>
        <v>1</v>
      </c>
      <c r="G373">
        <f>IF(ROW(G373)&lt;=Bidding!$D$11,Raw_hydro_bm!H373,"")</f>
        <v>1</v>
      </c>
      <c r="H373" t="str">
        <f>IF(ROW(H373)&lt;=Bidding!$D$11,Raw_hydro_bm!I373,"")</f>
        <v>0.0</v>
      </c>
      <c r="I373" s="16">
        <f t="shared" si="5"/>
        <v>0</v>
      </c>
    </row>
    <row r="374" spans="1:9" x14ac:dyDescent="0.3">
      <c r="A374" t="str">
        <f>IF(ROW(A374)&lt;=Bidding!$D$11,Raw_hydro_bm!B374,"")</f>
        <v>p</v>
      </c>
      <c r="B374" t="str">
        <f>IF(ROW(B374)&lt;=Bidding!$D$11,Raw_hydro_bm!C374,"")</f>
        <v>c</v>
      </c>
      <c r="C374">
        <f>IF(ROW(C374)&lt;=Bidding!$D$11,Raw_hydro_bm!D374,"")</f>
        <v>0</v>
      </c>
      <c r="D374">
        <f>IF(ROW(D374)&lt;=Bidding!$D$11,Raw_hydro_bm!E374,"")</f>
        <v>7</v>
      </c>
      <c r="E374">
        <f>IF(ROW(E374)&lt;=Bidding!$D$11,Raw_hydro_bm!F374,"")</f>
        <v>0</v>
      </c>
      <c r="F374">
        <f>IF(ROW(F374)&lt;=Bidding!$D$11,Raw_hydro_bm!G374,"")</f>
        <v>1</v>
      </c>
      <c r="G374">
        <f>IF(ROW(G374)&lt;=Bidding!$D$11,Raw_hydro_bm!H374,"")</f>
        <v>2</v>
      </c>
      <c r="H374" t="str">
        <f>IF(ROW(H374)&lt;=Bidding!$D$11,Raw_hydro_bm!I374,"")</f>
        <v>0.0</v>
      </c>
      <c r="I374" s="16">
        <f t="shared" si="5"/>
        <v>0</v>
      </c>
    </row>
    <row r="375" spans="1:9" x14ac:dyDescent="0.3">
      <c r="A375" t="str">
        <f>IF(ROW(A375)&lt;=Bidding!$D$11,Raw_hydro_bm!B375,"")</f>
        <v>v</v>
      </c>
      <c r="B375" t="str">
        <f>IF(ROW(B375)&lt;=Bidding!$D$11,Raw_hydro_bm!C375,"")</f>
        <v>c</v>
      </c>
      <c r="C375">
        <f>IF(ROW(C375)&lt;=Bidding!$D$11,Raw_hydro_bm!D375,"")</f>
        <v>0</v>
      </c>
      <c r="D375">
        <f>IF(ROW(D375)&lt;=Bidding!$D$11,Raw_hydro_bm!E375,"")</f>
        <v>7</v>
      </c>
      <c r="E375">
        <f>IF(ROW(E375)&lt;=Bidding!$D$11,Raw_hydro_bm!F375,"")</f>
        <v>0</v>
      </c>
      <c r="F375">
        <f>IF(ROW(F375)&lt;=Bidding!$D$11,Raw_hydro_bm!G375,"")</f>
        <v>1</v>
      </c>
      <c r="G375">
        <f>IF(ROW(G375)&lt;=Bidding!$D$11,Raw_hydro_bm!H375,"")</f>
        <v>2</v>
      </c>
      <c r="H375" t="str">
        <f>IF(ROW(H375)&lt;=Bidding!$D$11,Raw_hydro_bm!I375,"")</f>
        <v>0.0</v>
      </c>
      <c r="I375" s="16">
        <f t="shared" si="5"/>
        <v>0</v>
      </c>
    </row>
    <row r="376" spans="1:9" x14ac:dyDescent="0.3">
      <c r="A376" t="str">
        <f>IF(ROW(A376)&lt;=Bidding!$D$11,Raw_hydro_bm!B376,"")</f>
        <v>b</v>
      </c>
      <c r="B376" t="str">
        <f>IF(ROW(B376)&lt;=Bidding!$D$11,Raw_hydro_bm!C376,"")</f>
        <v>v</v>
      </c>
      <c r="C376" t="str">
        <f>IF(ROW(C376)&lt;=Bidding!$D$11,Raw_hydro_bm!D376,"")</f>
        <v>X</v>
      </c>
      <c r="D376">
        <f>IF(ROW(D376)&lt;=Bidding!$D$11,Raw_hydro_bm!E376,"")</f>
        <v>0</v>
      </c>
      <c r="E376">
        <f>IF(ROW(E376)&lt;=Bidding!$D$11,Raw_hydro_bm!F376,"")</f>
        <v>7</v>
      </c>
      <c r="F376">
        <f>IF(ROW(F376)&lt;=Bidding!$D$11,Raw_hydro_bm!G376,"")</f>
        <v>1</v>
      </c>
      <c r="G376">
        <f>IF(ROW(G376)&lt;=Bidding!$D$11,Raw_hydro_bm!H376,"")</f>
        <v>0</v>
      </c>
      <c r="H376" t="str">
        <f>IF(ROW(H376)&lt;=Bidding!$D$11,Raw_hydro_bm!I376,"")</f>
        <v>0.0</v>
      </c>
      <c r="I376" s="16">
        <f t="shared" si="5"/>
        <v>0</v>
      </c>
    </row>
    <row r="377" spans="1:9" x14ac:dyDescent="0.3">
      <c r="A377" t="str">
        <f>IF(ROW(A377)&lt;=Bidding!$D$11,Raw_hydro_bm!B377,"")</f>
        <v>b</v>
      </c>
      <c r="B377" t="str">
        <f>IF(ROW(B377)&lt;=Bidding!$D$11,Raw_hydro_bm!C377,"")</f>
        <v>v</v>
      </c>
      <c r="C377" t="str">
        <f>IF(ROW(C377)&lt;=Bidding!$D$11,Raw_hydro_bm!D377,"")</f>
        <v>X</v>
      </c>
      <c r="D377">
        <f>IF(ROW(D377)&lt;=Bidding!$D$11,Raw_hydro_bm!E377,"")</f>
        <v>0</v>
      </c>
      <c r="E377">
        <f>IF(ROW(E377)&lt;=Bidding!$D$11,Raw_hydro_bm!F377,"")</f>
        <v>7</v>
      </c>
      <c r="F377">
        <f>IF(ROW(F377)&lt;=Bidding!$D$11,Raw_hydro_bm!G377,"")</f>
        <v>1</v>
      </c>
      <c r="G377">
        <f>IF(ROW(G377)&lt;=Bidding!$D$11,Raw_hydro_bm!H377,"")</f>
        <v>1</v>
      </c>
      <c r="H377" t="str">
        <f>IF(ROW(H377)&lt;=Bidding!$D$11,Raw_hydro_bm!I377,"")</f>
        <v>0.0</v>
      </c>
      <c r="I377" s="16">
        <f t="shared" si="5"/>
        <v>0</v>
      </c>
    </row>
    <row r="378" spans="1:9" x14ac:dyDescent="0.3">
      <c r="A378" t="str">
        <f>IF(ROW(A378)&lt;=Bidding!$D$11,Raw_hydro_bm!B378,"")</f>
        <v>b</v>
      </c>
      <c r="B378" t="str">
        <f>IF(ROW(B378)&lt;=Bidding!$D$11,Raw_hydro_bm!C378,"")</f>
        <v>v</v>
      </c>
      <c r="C378" t="str">
        <f>IF(ROW(C378)&lt;=Bidding!$D$11,Raw_hydro_bm!D378,"")</f>
        <v>X</v>
      </c>
      <c r="D378">
        <f>IF(ROW(D378)&lt;=Bidding!$D$11,Raw_hydro_bm!E378,"")</f>
        <v>0</v>
      </c>
      <c r="E378">
        <f>IF(ROW(E378)&lt;=Bidding!$D$11,Raw_hydro_bm!F378,"")</f>
        <v>7</v>
      </c>
      <c r="F378">
        <f>IF(ROW(F378)&lt;=Bidding!$D$11,Raw_hydro_bm!G378,"")</f>
        <v>1</v>
      </c>
      <c r="G378">
        <f>IF(ROW(G378)&lt;=Bidding!$D$11,Raw_hydro_bm!H378,"")</f>
        <v>2</v>
      </c>
      <c r="H378" t="str">
        <f>IF(ROW(H378)&lt;=Bidding!$D$11,Raw_hydro_bm!I378,"")</f>
        <v>60.0</v>
      </c>
      <c r="I378" s="16">
        <f t="shared" si="5"/>
        <v>60</v>
      </c>
    </row>
    <row r="379" spans="1:9" x14ac:dyDescent="0.3">
      <c r="A379" t="str">
        <f>IF(ROW(A379)&lt;=Bidding!$D$11,Raw_hydro_bm!B379,"")</f>
        <v>p</v>
      </c>
      <c r="B379" t="str">
        <f>IF(ROW(B379)&lt;=Bidding!$D$11,Raw_hydro_bm!C379,"")</f>
        <v>c</v>
      </c>
      <c r="C379">
        <f>IF(ROW(C379)&lt;=Bidding!$D$11,Raw_hydro_bm!D379,"")</f>
        <v>0</v>
      </c>
      <c r="D379">
        <f>IF(ROW(D379)&lt;=Bidding!$D$11,Raw_hydro_bm!E379,"")</f>
        <v>7</v>
      </c>
      <c r="E379">
        <f>IF(ROW(E379)&lt;=Bidding!$D$11,Raw_hydro_bm!F379,"")</f>
        <v>1</v>
      </c>
      <c r="F379">
        <f>IF(ROW(F379)&lt;=Bidding!$D$11,Raw_hydro_bm!G379,"")</f>
        <v>0</v>
      </c>
      <c r="G379">
        <f>IF(ROW(G379)&lt;=Bidding!$D$11,Raw_hydro_bm!H379,"")</f>
        <v>0</v>
      </c>
      <c r="H379" t="str">
        <f>IF(ROW(H379)&lt;=Bidding!$D$11,Raw_hydro_bm!I379,"")</f>
        <v>0.0</v>
      </c>
      <c r="I379" s="16">
        <f t="shared" si="5"/>
        <v>0</v>
      </c>
    </row>
    <row r="380" spans="1:9" x14ac:dyDescent="0.3">
      <c r="A380" t="str">
        <f>IF(ROW(A380)&lt;=Bidding!$D$11,Raw_hydro_bm!B380,"")</f>
        <v>v</v>
      </c>
      <c r="B380" t="str">
        <f>IF(ROW(B380)&lt;=Bidding!$D$11,Raw_hydro_bm!C380,"")</f>
        <v>c</v>
      </c>
      <c r="C380">
        <f>IF(ROW(C380)&lt;=Bidding!$D$11,Raw_hydro_bm!D380,"")</f>
        <v>0</v>
      </c>
      <c r="D380">
        <f>IF(ROW(D380)&lt;=Bidding!$D$11,Raw_hydro_bm!E380,"")</f>
        <v>7</v>
      </c>
      <c r="E380">
        <f>IF(ROW(E380)&lt;=Bidding!$D$11,Raw_hydro_bm!F380,"")</f>
        <v>1</v>
      </c>
      <c r="F380">
        <f>IF(ROW(F380)&lt;=Bidding!$D$11,Raw_hydro_bm!G380,"")</f>
        <v>0</v>
      </c>
      <c r="G380">
        <f>IF(ROW(G380)&lt;=Bidding!$D$11,Raw_hydro_bm!H380,"")</f>
        <v>0</v>
      </c>
      <c r="H380" t="str">
        <f>IF(ROW(H380)&lt;=Bidding!$D$11,Raw_hydro_bm!I380,"")</f>
        <v>0.0</v>
      </c>
      <c r="I380" s="16">
        <f t="shared" si="5"/>
        <v>0</v>
      </c>
    </row>
    <row r="381" spans="1:9" x14ac:dyDescent="0.3">
      <c r="A381" t="str">
        <f>IF(ROW(A381)&lt;=Bidding!$D$11,Raw_hydro_bm!B381,"")</f>
        <v>p</v>
      </c>
      <c r="B381" t="str">
        <f>IF(ROW(B381)&lt;=Bidding!$D$11,Raw_hydro_bm!C381,"")</f>
        <v>c</v>
      </c>
      <c r="C381">
        <f>IF(ROW(C381)&lt;=Bidding!$D$11,Raw_hydro_bm!D381,"")</f>
        <v>0</v>
      </c>
      <c r="D381">
        <f>IF(ROW(D381)&lt;=Bidding!$D$11,Raw_hydro_bm!E381,"")</f>
        <v>7</v>
      </c>
      <c r="E381">
        <f>IF(ROW(E381)&lt;=Bidding!$D$11,Raw_hydro_bm!F381,"")</f>
        <v>1</v>
      </c>
      <c r="F381">
        <f>IF(ROW(F381)&lt;=Bidding!$D$11,Raw_hydro_bm!G381,"")</f>
        <v>0</v>
      </c>
      <c r="G381">
        <f>IF(ROW(G381)&lt;=Bidding!$D$11,Raw_hydro_bm!H381,"")</f>
        <v>1</v>
      </c>
      <c r="H381" t="str">
        <f>IF(ROW(H381)&lt;=Bidding!$D$11,Raw_hydro_bm!I381,"")</f>
        <v>0.0</v>
      </c>
      <c r="I381" s="16">
        <f t="shared" si="5"/>
        <v>0</v>
      </c>
    </row>
    <row r="382" spans="1:9" x14ac:dyDescent="0.3">
      <c r="A382" t="str">
        <f>IF(ROW(A382)&lt;=Bidding!$D$11,Raw_hydro_bm!B382,"")</f>
        <v>v</v>
      </c>
      <c r="B382" t="str">
        <f>IF(ROW(B382)&lt;=Bidding!$D$11,Raw_hydro_bm!C382,"")</f>
        <v>c</v>
      </c>
      <c r="C382">
        <f>IF(ROW(C382)&lt;=Bidding!$D$11,Raw_hydro_bm!D382,"")</f>
        <v>0</v>
      </c>
      <c r="D382">
        <f>IF(ROW(D382)&lt;=Bidding!$D$11,Raw_hydro_bm!E382,"")</f>
        <v>7</v>
      </c>
      <c r="E382">
        <f>IF(ROW(E382)&lt;=Bidding!$D$11,Raw_hydro_bm!F382,"")</f>
        <v>1</v>
      </c>
      <c r="F382">
        <f>IF(ROW(F382)&lt;=Bidding!$D$11,Raw_hydro_bm!G382,"")</f>
        <v>0</v>
      </c>
      <c r="G382">
        <f>IF(ROW(G382)&lt;=Bidding!$D$11,Raw_hydro_bm!H382,"")</f>
        <v>1</v>
      </c>
      <c r="H382" t="str">
        <f>IF(ROW(H382)&lt;=Bidding!$D$11,Raw_hydro_bm!I382,"")</f>
        <v>0.0</v>
      </c>
      <c r="I382" s="16">
        <f t="shared" si="5"/>
        <v>0</v>
      </c>
    </row>
    <row r="383" spans="1:9" x14ac:dyDescent="0.3">
      <c r="A383" t="str">
        <f>IF(ROW(A383)&lt;=Bidding!$D$11,Raw_hydro_bm!B383,"")</f>
        <v>p</v>
      </c>
      <c r="B383" t="str">
        <f>IF(ROW(B383)&lt;=Bidding!$D$11,Raw_hydro_bm!C383,"")</f>
        <v>c</v>
      </c>
      <c r="C383">
        <f>IF(ROW(C383)&lt;=Bidding!$D$11,Raw_hydro_bm!D383,"")</f>
        <v>0</v>
      </c>
      <c r="D383">
        <f>IF(ROW(D383)&lt;=Bidding!$D$11,Raw_hydro_bm!E383,"")</f>
        <v>7</v>
      </c>
      <c r="E383">
        <f>IF(ROW(E383)&lt;=Bidding!$D$11,Raw_hydro_bm!F383,"")</f>
        <v>1</v>
      </c>
      <c r="F383">
        <f>IF(ROW(F383)&lt;=Bidding!$D$11,Raw_hydro_bm!G383,"")</f>
        <v>0</v>
      </c>
      <c r="G383">
        <f>IF(ROW(G383)&lt;=Bidding!$D$11,Raw_hydro_bm!H383,"")</f>
        <v>2</v>
      </c>
      <c r="H383" t="str">
        <f>IF(ROW(H383)&lt;=Bidding!$D$11,Raw_hydro_bm!I383,"")</f>
        <v>0.0</v>
      </c>
      <c r="I383" s="16">
        <f t="shared" si="5"/>
        <v>0</v>
      </c>
    </row>
    <row r="384" spans="1:9" x14ac:dyDescent="0.3">
      <c r="A384" t="str">
        <f>IF(ROW(A384)&lt;=Bidding!$D$11,Raw_hydro_bm!B384,"")</f>
        <v>v</v>
      </c>
      <c r="B384" t="str">
        <f>IF(ROW(B384)&lt;=Bidding!$D$11,Raw_hydro_bm!C384,"")</f>
        <v>c</v>
      </c>
      <c r="C384">
        <f>IF(ROW(C384)&lt;=Bidding!$D$11,Raw_hydro_bm!D384,"")</f>
        <v>0</v>
      </c>
      <c r="D384">
        <f>IF(ROW(D384)&lt;=Bidding!$D$11,Raw_hydro_bm!E384,"")</f>
        <v>7</v>
      </c>
      <c r="E384">
        <f>IF(ROW(E384)&lt;=Bidding!$D$11,Raw_hydro_bm!F384,"")</f>
        <v>1</v>
      </c>
      <c r="F384">
        <f>IF(ROW(F384)&lt;=Bidding!$D$11,Raw_hydro_bm!G384,"")</f>
        <v>0</v>
      </c>
      <c r="G384">
        <f>IF(ROW(G384)&lt;=Bidding!$D$11,Raw_hydro_bm!H384,"")</f>
        <v>2</v>
      </c>
      <c r="H384" t="str">
        <f>IF(ROW(H384)&lt;=Bidding!$D$11,Raw_hydro_bm!I384,"")</f>
        <v>0.0</v>
      </c>
      <c r="I384" s="16">
        <f t="shared" si="5"/>
        <v>0</v>
      </c>
    </row>
    <row r="385" spans="1:9" x14ac:dyDescent="0.3">
      <c r="A385" t="str">
        <f>IF(ROW(A385)&lt;=Bidding!$D$11,Raw_hydro_bm!B385,"")</f>
        <v>p</v>
      </c>
      <c r="B385" t="str">
        <f>IF(ROW(B385)&lt;=Bidding!$D$11,Raw_hydro_bm!C385,"")</f>
        <v>c</v>
      </c>
      <c r="C385">
        <f>IF(ROW(C385)&lt;=Bidding!$D$11,Raw_hydro_bm!D385,"")</f>
        <v>0</v>
      </c>
      <c r="D385">
        <f>IF(ROW(D385)&lt;=Bidding!$D$11,Raw_hydro_bm!E385,"")</f>
        <v>7</v>
      </c>
      <c r="E385">
        <f>IF(ROW(E385)&lt;=Bidding!$D$11,Raw_hydro_bm!F385,"")</f>
        <v>1</v>
      </c>
      <c r="F385">
        <f>IF(ROW(F385)&lt;=Bidding!$D$11,Raw_hydro_bm!G385,"")</f>
        <v>1</v>
      </c>
      <c r="G385">
        <f>IF(ROW(G385)&lt;=Bidding!$D$11,Raw_hydro_bm!H385,"")</f>
        <v>0</v>
      </c>
      <c r="H385" t="str">
        <f>IF(ROW(H385)&lt;=Bidding!$D$11,Raw_hydro_bm!I385,"")</f>
        <v>0.0</v>
      </c>
      <c r="I385" s="16">
        <f t="shared" si="5"/>
        <v>0</v>
      </c>
    </row>
    <row r="386" spans="1:9" x14ac:dyDescent="0.3">
      <c r="A386" t="str">
        <f>IF(ROW(A386)&lt;=Bidding!$D$11,Raw_hydro_bm!B386,"")</f>
        <v>v</v>
      </c>
      <c r="B386" t="str">
        <f>IF(ROW(B386)&lt;=Bidding!$D$11,Raw_hydro_bm!C386,"")</f>
        <v>c</v>
      </c>
      <c r="C386">
        <f>IF(ROW(C386)&lt;=Bidding!$D$11,Raw_hydro_bm!D386,"")</f>
        <v>0</v>
      </c>
      <c r="D386">
        <f>IF(ROW(D386)&lt;=Bidding!$D$11,Raw_hydro_bm!E386,"")</f>
        <v>7</v>
      </c>
      <c r="E386">
        <f>IF(ROW(E386)&lt;=Bidding!$D$11,Raw_hydro_bm!F386,"")</f>
        <v>1</v>
      </c>
      <c r="F386">
        <f>IF(ROW(F386)&lt;=Bidding!$D$11,Raw_hydro_bm!G386,"")</f>
        <v>1</v>
      </c>
      <c r="G386">
        <f>IF(ROW(G386)&lt;=Bidding!$D$11,Raw_hydro_bm!H386,"")</f>
        <v>0</v>
      </c>
      <c r="H386" t="str">
        <f>IF(ROW(H386)&lt;=Bidding!$D$11,Raw_hydro_bm!I386,"")</f>
        <v>30.0</v>
      </c>
      <c r="I386" s="16">
        <f t="shared" ref="I386:I449" si="6">IF(IFERROR(FIND("e",H386),-1)&lt;0,IFERROR(_xlfn.NUMBERVALUE(LEFT(H386,FIND(".",H386)-1))+_xlfn.NUMBERVALUE("0,"&amp;RIGHT(H386,LEN(H386)-FIND(".",H386))),""),0)</f>
        <v>30</v>
      </c>
    </row>
    <row r="387" spans="1:9" x14ac:dyDescent="0.3">
      <c r="A387" t="str">
        <f>IF(ROW(A387)&lt;=Bidding!$D$11,Raw_hydro_bm!B387,"")</f>
        <v>p</v>
      </c>
      <c r="B387" t="str">
        <f>IF(ROW(B387)&lt;=Bidding!$D$11,Raw_hydro_bm!C387,"")</f>
        <v>c</v>
      </c>
      <c r="C387">
        <f>IF(ROW(C387)&lt;=Bidding!$D$11,Raw_hydro_bm!D387,"")</f>
        <v>0</v>
      </c>
      <c r="D387">
        <f>IF(ROW(D387)&lt;=Bidding!$D$11,Raw_hydro_bm!E387,"")</f>
        <v>7</v>
      </c>
      <c r="E387">
        <f>IF(ROW(E387)&lt;=Bidding!$D$11,Raw_hydro_bm!F387,"")</f>
        <v>1</v>
      </c>
      <c r="F387">
        <f>IF(ROW(F387)&lt;=Bidding!$D$11,Raw_hydro_bm!G387,"")</f>
        <v>1</v>
      </c>
      <c r="G387">
        <f>IF(ROW(G387)&lt;=Bidding!$D$11,Raw_hydro_bm!H387,"")</f>
        <v>1</v>
      </c>
      <c r="H387" t="str">
        <f>IF(ROW(H387)&lt;=Bidding!$D$11,Raw_hydro_bm!I387,"")</f>
        <v>0.0</v>
      </c>
      <c r="I387" s="16">
        <f t="shared" si="6"/>
        <v>0</v>
      </c>
    </row>
    <row r="388" spans="1:9" x14ac:dyDescent="0.3">
      <c r="A388" t="str">
        <f>IF(ROW(A388)&lt;=Bidding!$D$11,Raw_hydro_bm!B388,"")</f>
        <v>v</v>
      </c>
      <c r="B388" t="str">
        <f>IF(ROW(B388)&lt;=Bidding!$D$11,Raw_hydro_bm!C388,"")</f>
        <v>c</v>
      </c>
      <c r="C388">
        <f>IF(ROW(C388)&lt;=Bidding!$D$11,Raw_hydro_bm!D388,"")</f>
        <v>0</v>
      </c>
      <c r="D388">
        <f>IF(ROW(D388)&lt;=Bidding!$D$11,Raw_hydro_bm!E388,"")</f>
        <v>7</v>
      </c>
      <c r="E388">
        <f>IF(ROW(E388)&lt;=Bidding!$D$11,Raw_hydro_bm!F388,"")</f>
        <v>1</v>
      </c>
      <c r="F388">
        <f>IF(ROW(F388)&lt;=Bidding!$D$11,Raw_hydro_bm!G388,"")</f>
        <v>1</v>
      </c>
      <c r="G388">
        <f>IF(ROW(G388)&lt;=Bidding!$D$11,Raw_hydro_bm!H388,"")</f>
        <v>1</v>
      </c>
      <c r="H388" t="str">
        <f>IF(ROW(H388)&lt;=Bidding!$D$11,Raw_hydro_bm!I388,"")</f>
        <v>20.0</v>
      </c>
      <c r="I388" s="16">
        <f t="shared" si="6"/>
        <v>20</v>
      </c>
    </row>
    <row r="389" spans="1:9" x14ac:dyDescent="0.3">
      <c r="A389" t="str">
        <f>IF(ROW(A389)&lt;=Bidding!$D$11,Raw_hydro_bm!B389,"")</f>
        <v>p</v>
      </c>
      <c r="B389" t="str">
        <f>IF(ROW(B389)&lt;=Bidding!$D$11,Raw_hydro_bm!C389,"")</f>
        <v>c</v>
      </c>
      <c r="C389">
        <f>IF(ROW(C389)&lt;=Bidding!$D$11,Raw_hydro_bm!D389,"")</f>
        <v>0</v>
      </c>
      <c r="D389">
        <f>IF(ROW(D389)&lt;=Bidding!$D$11,Raw_hydro_bm!E389,"")</f>
        <v>7</v>
      </c>
      <c r="E389">
        <f>IF(ROW(E389)&lt;=Bidding!$D$11,Raw_hydro_bm!F389,"")</f>
        <v>1</v>
      </c>
      <c r="F389">
        <f>IF(ROW(F389)&lt;=Bidding!$D$11,Raw_hydro_bm!G389,"")</f>
        <v>1</v>
      </c>
      <c r="G389">
        <f>IF(ROW(G389)&lt;=Bidding!$D$11,Raw_hydro_bm!H389,"")</f>
        <v>2</v>
      </c>
      <c r="H389" t="str">
        <f>IF(ROW(H389)&lt;=Bidding!$D$11,Raw_hydro_bm!I389,"")</f>
        <v>0.0</v>
      </c>
      <c r="I389" s="16">
        <f t="shared" si="6"/>
        <v>0</v>
      </c>
    </row>
    <row r="390" spans="1:9" x14ac:dyDescent="0.3">
      <c r="A390" t="str">
        <f>IF(ROW(A390)&lt;=Bidding!$D$11,Raw_hydro_bm!B390,"")</f>
        <v>v</v>
      </c>
      <c r="B390" t="str">
        <f>IF(ROW(B390)&lt;=Bidding!$D$11,Raw_hydro_bm!C390,"")</f>
        <v>c</v>
      </c>
      <c r="C390">
        <f>IF(ROW(C390)&lt;=Bidding!$D$11,Raw_hydro_bm!D390,"")</f>
        <v>0</v>
      </c>
      <c r="D390">
        <f>IF(ROW(D390)&lt;=Bidding!$D$11,Raw_hydro_bm!E390,"")</f>
        <v>7</v>
      </c>
      <c r="E390">
        <f>IF(ROW(E390)&lt;=Bidding!$D$11,Raw_hydro_bm!F390,"")</f>
        <v>1</v>
      </c>
      <c r="F390">
        <f>IF(ROW(F390)&lt;=Bidding!$D$11,Raw_hydro_bm!G390,"")</f>
        <v>1</v>
      </c>
      <c r="G390">
        <f>IF(ROW(G390)&lt;=Bidding!$D$11,Raw_hydro_bm!H390,"")</f>
        <v>2</v>
      </c>
      <c r="H390" t="str">
        <f>IF(ROW(H390)&lt;=Bidding!$D$11,Raw_hydro_bm!I390,"")</f>
        <v>10.0</v>
      </c>
      <c r="I390" s="16">
        <f t="shared" si="6"/>
        <v>10</v>
      </c>
    </row>
    <row r="391" spans="1:9" x14ac:dyDescent="0.3">
      <c r="A391" t="str">
        <f>IF(ROW(A391)&lt;=Bidding!$D$11,Raw_hydro_bm!B391,"")</f>
        <v>b</v>
      </c>
      <c r="B391" t="str">
        <f>IF(ROW(B391)&lt;=Bidding!$D$11,Raw_hydro_bm!C391,"")</f>
        <v>v</v>
      </c>
      <c r="C391" t="str">
        <f>IF(ROW(C391)&lt;=Bidding!$D$11,Raw_hydro_bm!D391,"")</f>
        <v>X</v>
      </c>
      <c r="D391">
        <f>IF(ROW(D391)&lt;=Bidding!$D$11,Raw_hydro_bm!E391,"")</f>
        <v>0</v>
      </c>
      <c r="E391">
        <f>IF(ROW(E391)&lt;=Bidding!$D$11,Raw_hydro_bm!F391,"")</f>
        <v>8</v>
      </c>
      <c r="F391">
        <f>IF(ROW(F391)&lt;=Bidding!$D$11,Raw_hydro_bm!G391,"")</f>
        <v>0</v>
      </c>
      <c r="G391">
        <f>IF(ROW(G391)&lt;=Bidding!$D$11,Raw_hydro_bm!H391,"")</f>
        <v>0</v>
      </c>
      <c r="H391" t="str">
        <f>IF(ROW(H391)&lt;=Bidding!$D$11,Raw_hydro_bm!I391,"")</f>
        <v>0.0</v>
      </c>
      <c r="I391" s="16">
        <f t="shared" si="6"/>
        <v>0</v>
      </c>
    </row>
    <row r="392" spans="1:9" x14ac:dyDescent="0.3">
      <c r="A392" t="str">
        <f>IF(ROW(A392)&lt;=Bidding!$D$11,Raw_hydro_bm!B392,"")</f>
        <v>b</v>
      </c>
      <c r="B392" t="str">
        <f>IF(ROW(B392)&lt;=Bidding!$D$11,Raw_hydro_bm!C392,"")</f>
        <v>v</v>
      </c>
      <c r="C392" t="str">
        <f>IF(ROW(C392)&lt;=Bidding!$D$11,Raw_hydro_bm!D392,"")</f>
        <v>X</v>
      </c>
      <c r="D392">
        <f>IF(ROW(D392)&lt;=Bidding!$D$11,Raw_hydro_bm!E392,"")</f>
        <v>0</v>
      </c>
      <c r="E392">
        <f>IF(ROW(E392)&lt;=Bidding!$D$11,Raw_hydro_bm!F392,"")</f>
        <v>8</v>
      </c>
      <c r="F392">
        <f>IF(ROW(F392)&lt;=Bidding!$D$11,Raw_hydro_bm!G392,"")</f>
        <v>0</v>
      </c>
      <c r="G392">
        <f>IF(ROW(G392)&lt;=Bidding!$D$11,Raw_hydro_bm!H392,"")</f>
        <v>1</v>
      </c>
      <c r="H392" t="str">
        <f>IF(ROW(H392)&lt;=Bidding!$D$11,Raw_hydro_bm!I392,"")</f>
        <v>0.0</v>
      </c>
      <c r="I392" s="16">
        <f t="shared" si="6"/>
        <v>0</v>
      </c>
    </row>
    <row r="393" spans="1:9" x14ac:dyDescent="0.3">
      <c r="A393" t="str">
        <f>IF(ROW(A393)&lt;=Bidding!$D$11,Raw_hydro_bm!B393,"")</f>
        <v>b</v>
      </c>
      <c r="B393" t="str">
        <f>IF(ROW(B393)&lt;=Bidding!$D$11,Raw_hydro_bm!C393,"")</f>
        <v>v</v>
      </c>
      <c r="C393" t="str">
        <f>IF(ROW(C393)&lt;=Bidding!$D$11,Raw_hydro_bm!D393,"")</f>
        <v>X</v>
      </c>
      <c r="D393">
        <f>IF(ROW(D393)&lt;=Bidding!$D$11,Raw_hydro_bm!E393,"")</f>
        <v>0</v>
      </c>
      <c r="E393">
        <f>IF(ROW(E393)&lt;=Bidding!$D$11,Raw_hydro_bm!F393,"")</f>
        <v>8</v>
      </c>
      <c r="F393">
        <f>IF(ROW(F393)&lt;=Bidding!$D$11,Raw_hydro_bm!G393,"")</f>
        <v>0</v>
      </c>
      <c r="G393">
        <f>IF(ROW(G393)&lt;=Bidding!$D$11,Raw_hydro_bm!H393,"")</f>
        <v>2</v>
      </c>
      <c r="H393" t="str">
        <f>IF(ROW(H393)&lt;=Bidding!$D$11,Raw_hydro_bm!I393,"")</f>
        <v>60.0</v>
      </c>
      <c r="I393" s="16">
        <f t="shared" si="6"/>
        <v>60</v>
      </c>
    </row>
    <row r="394" spans="1:9" x14ac:dyDescent="0.3">
      <c r="A394" t="str">
        <f>IF(ROW(A394)&lt;=Bidding!$D$11,Raw_hydro_bm!B394,"")</f>
        <v>p</v>
      </c>
      <c r="B394" t="str">
        <f>IF(ROW(B394)&lt;=Bidding!$D$11,Raw_hydro_bm!C394,"")</f>
        <v>c</v>
      </c>
      <c r="C394">
        <f>IF(ROW(C394)&lt;=Bidding!$D$11,Raw_hydro_bm!D394,"")</f>
        <v>0</v>
      </c>
      <c r="D394">
        <f>IF(ROW(D394)&lt;=Bidding!$D$11,Raw_hydro_bm!E394,"")</f>
        <v>8</v>
      </c>
      <c r="E394">
        <f>IF(ROW(E394)&lt;=Bidding!$D$11,Raw_hydro_bm!F394,"")</f>
        <v>0</v>
      </c>
      <c r="F394">
        <f>IF(ROW(F394)&lt;=Bidding!$D$11,Raw_hydro_bm!G394,"")</f>
        <v>0</v>
      </c>
      <c r="G394">
        <f>IF(ROW(G394)&lt;=Bidding!$D$11,Raw_hydro_bm!H394,"")</f>
        <v>0</v>
      </c>
      <c r="H394" t="str">
        <f>IF(ROW(H394)&lt;=Bidding!$D$11,Raw_hydro_bm!I394,"")</f>
        <v>0.0</v>
      </c>
      <c r="I394" s="16">
        <f t="shared" si="6"/>
        <v>0</v>
      </c>
    </row>
    <row r="395" spans="1:9" x14ac:dyDescent="0.3">
      <c r="A395" t="str">
        <f>IF(ROW(A395)&lt;=Bidding!$D$11,Raw_hydro_bm!B395,"")</f>
        <v>v</v>
      </c>
      <c r="B395" t="str">
        <f>IF(ROW(B395)&lt;=Bidding!$D$11,Raw_hydro_bm!C395,"")</f>
        <v>c</v>
      </c>
      <c r="C395">
        <f>IF(ROW(C395)&lt;=Bidding!$D$11,Raw_hydro_bm!D395,"")</f>
        <v>0</v>
      </c>
      <c r="D395">
        <f>IF(ROW(D395)&lt;=Bidding!$D$11,Raw_hydro_bm!E395,"")</f>
        <v>8</v>
      </c>
      <c r="E395">
        <f>IF(ROW(E395)&lt;=Bidding!$D$11,Raw_hydro_bm!F395,"")</f>
        <v>0</v>
      </c>
      <c r="F395">
        <f>IF(ROW(F395)&lt;=Bidding!$D$11,Raw_hydro_bm!G395,"")</f>
        <v>0</v>
      </c>
      <c r="G395">
        <f>IF(ROW(G395)&lt;=Bidding!$D$11,Raw_hydro_bm!H395,"")</f>
        <v>0</v>
      </c>
      <c r="H395" t="str">
        <f>IF(ROW(H395)&lt;=Bidding!$D$11,Raw_hydro_bm!I395,"")</f>
        <v>30.0</v>
      </c>
      <c r="I395" s="16">
        <f t="shared" si="6"/>
        <v>30</v>
      </c>
    </row>
    <row r="396" spans="1:9" x14ac:dyDescent="0.3">
      <c r="A396" t="str">
        <f>IF(ROW(A396)&lt;=Bidding!$D$11,Raw_hydro_bm!B396,"")</f>
        <v>p</v>
      </c>
      <c r="B396" t="str">
        <f>IF(ROW(B396)&lt;=Bidding!$D$11,Raw_hydro_bm!C396,"")</f>
        <v>c</v>
      </c>
      <c r="C396">
        <f>IF(ROW(C396)&lt;=Bidding!$D$11,Raw_hydro_bm!D396,"")</f>
        <v>0</v>
      </c>
      <c r="D396">
        <f>IF(ROW(D396)&lt;=Bidding!$D$11,Raw_hydro_bm!E396,"")</f>
        <v>8</v>
      </c>
      <c r="E396">
        <f>IF(ROW(E396)&lt;=Bidding!$D$11,Raw_hydro_bm!F396,"")</f>
        <v>0</v>
      </c>
      <c r="F396">
        <f>IF(ROW(F396)&lt;=Bidding!$D$11,Raw_hydro_bm!G396,"")</f>
        <v>0</v>
      </c>
      <c r="G396">
        <f>IF(ROW(G396)&lt;=Bidding!$D$11,Raw_hydro_bm!H396,"")</f>
        <v>1</v>
      </c>
      <c r="H396" t="str">
        <f>IF(ROW(H396)&lt;=Bidding!$D$11,Raw_hydro_bm!I396,"")</f>
        <v>0.0</v>
      </c>
      <c r="I396" s="16">
        <f t="shared" si="6"/>
        <v>0</v>
      </c>
    </row>
    <row r="397" spans="1:9" x14ac:dyDescent="0.3">
      <c r="A397" t="str">
        <f>IF(ROW(A397)&lt;=Bidding!$D$11,Raw_hydro_bm!B397,"")</f>
        <v>v</v>
      </c>
      <c r="B397" t="str">
        <f>IF(ROW(B397)&lt;=Bidding!$D$11,Raw_hydro_bm!C397,"")</f>
        <v>c</v>
      </c>
      <c r="C397">
        <f>IF(ROW(C397)&lt;=Bidding!$D$11,Raw_hydro_bm!D397,"")</f>
        <v>0</v>
      </c>
      <c r="D397">
        <f>IF(ROW(D397)&lt;=Bidding!$D$11,Raw_hydro_bm!E397,"")</f>
        <v>8</v>
      </c>
      <c r="E397">
        <f>IF(ROW(E397)&lt;=Bidding!$D$11,Raw_hydro_bm!F397,"")</f>
        <v>0</v>
      </c>
      <c r="F397">
        <f>IF(ROW(F397)&lt;=Bidding!$D$11,Raw_hydro_bm!G397,"")</f>
        <v>0</v>
      </c>
      <c r="G397">
        <f>IF(ROW(G397)&lt;=Bidding!$D$11,Raw_hydro_bm!H397,"")</f>
        <v>1</v>
      </c>
      <c r="H397" t="str">
        <f>IF(ROW(H397)&lt;=Bidding!$D$11,Raw_hydro_bm!I397,"")</f>
        <v>20.0</v>
      </c>
      <c r="I397" s="16">
        <f t="shared" si="6"/>
        <v>20</v>
      </c>
    </row>
    <row r="398" spans="1:9" x14ac:dyDescent="0.3">
      <c r="A398" t="str">
        <f>IF(ROW(A398)&lt;=Bidding!$D$11,Raw_hydro_bm!B398,"")</f>
        <v>p</v>
      </c>
      <c r="B398" t="str">
        <f>IF(ROW(B398)&lt;=Bidding!$D$11,Raw_hydro_bm!C398,"")</f>
        <v>c</v>
      </c>
      <c r="C398">
        <f>IF(ROW(C398)&lt;=Bidding!$D$11,Raw_hydro_bm!D398,"")</f>
        <v>0</v>
      </c>
      <c r="D398">
        <f>IF(ROW(D398)&lt;=Bidding!$D$11,Raw_hydro_bm!E398,"")</f>
        <v>8</v>
      </c>
      <c r="E398">
        <f>IF(ROW(E398)&lt;=Bidding!$D$11,Raw_hydro_bm!F398,"")</f>
        <v>0</v>
      </c>
      <c r="F398">
        <f>IF(ROW(F398)&lt;=Bidding!$D$11,Raw_hydro_bm!G398,"")</f>
        <v>0</v>
      </c>
      <c r="G398">
        <f>IF(ROW(G398)&lt;=Bidding!$D$11,Raw_hydro_bm!H398,"")</f>
        <v>2</v>
      </c>
      <c r="H398" t="str">
        <f>IF(ROW(H398)&lt;=Bidding!$D$11,Raw_hydro_bm!I398,"")</f>
        <v>0.0</v>
      </c>
      <c r="I398" s="16">
        <f t="shared" si="6"/>
        <v>0</v>
      </c>
    </row>
    <row r="399" spans="1:9" x14ac:dyDescent="0.3">
      <c r="A399" t="str">
        <f>IF(ROW(A399)&lt;=Bidding!$D$11,Raw_hydro_bm!B399,"")</f>
        <v>v</v>
      </c>
      <c r="B399" t="str">
        <f>IF(ROW(B399)&lt;=Bidding!$D$11,Raw_hydro_bm!C399,"")</f>
        <v>c</v>
      </c>
      <c r="C399">
        <f>IF(ROW(C399)&lt;=Bidding!$D$11,Raw_hydro_bm!D399,"")</f>
        <v>0</v>
      </c>
      <c r="D399">
        <f>IF(ROW(D399)&lt;=Bidding!$D$11,Raw_hydro_bm!E399,"")</f>
        <v>8</v>
      </c>
      <c r="E399">
        <f>IF(ROW(E399)&lt;=Bidding!$D$11,Raw_hydro_bm!F399,"")</f>
        <v>0</v>
      </c>
      <c r="F399">
        <f>IF(ROW(F399)&lt;=Bidding!$D$11,Raw_hydro_bm!G399,"")</f>
        <v>0</v>
      </c>
      <c r="G399">
        <f>IF(ROW(G399)&lt;=Bidding!$D$11,Raw_hydro_bm!H399,"")</f>
        <v>2</v>
      </c>
      <c r="H399" t="str">
        <f>IF(ROW(H399)&lt;=Bidding!$D$11,Raw_hydro_bm!I399,"")</f>
        <v>10.0</v>
      </c>
      <c r="I399" s="16">
        <f t="shared" si="6"/>
        <v>10</v>
      </c>
    </row>
    <row r="400" spans="1:9" x14ac:dyDescent="0.3">
      <c r="A400" t="str">
        <f>IF(ROW(A400)&lt;=Bidding!$D$11,Raw_hydro_bm!B400,"")</f>
        <v>p</v>
      </c>
      <c r="B400" t="str">
        <f>IF(ROW(B400)&lt;=Bidding!$D$11,Raw_hydro_bm!C400,"")</f>
        <v>c</v>
      </c>
      <c r="C400">
        <f>IF(ROW(C400)&lt;=Bidding!$D$11,Raw_hydro_bm!D400,"")</f>
        <v>0</v>
      </c>
      <c r="D400">
        <f>IF(ROW(D400)&lt;=Bidding!$D$11,Raw_hydro_bm!E400,"")</f>
        <v>8</v>
      </c>
      <c r="E400">
        <f>IF(ROW(E400)&lt;=Bidding!$D$11,Raw_hydro_bm!F400,"")</f>
        <v>0</v>
      </c>
      <c r="F400">
        <f>IF(ROW(F400)&lt;=Bidding!$D$11,Raw_hydro_bm!G400,"")</f>
        <v>1</v>
      </c>
      <c r="G400">
        <f>IF(ROW(G400)&lt;=Bidding!$D$11,Raw_hydro_bm!H400,"")</f>
        <v>0</v>
      </c>
      <c r="H400" t="str">
        <f>IF(ROW(H400)&lt;=Bidding!$D$11,Raw_hydro_bm!I400,"")</f>
        <v>0.0</v>
      </c>
      <c r="I400" s="16">
        <f t="shared" si="6"/>
        <v>0</v>
      </c>
    </row>
    <row r="401" spans="1:9" x14ac:dyDescent="0.3">
      <c r="A401" t="str">
        <f>IF(ROW(A401)&lt;=Bidding!$D$11,Raw_hydro_bm!B401,"")</f>
        <v>v</v>
      </c>
      <c r="B401" t="str">
        <f>IF(ROW(B401)&lt;=Bidding!$D$11,Raw_hydro_bm!C401,"")</f>
        <v>c</v>
      </c>
      <c r="C401">
        <f>IF(ROW(C401)&lt;=Bidding!$D$11,Raw_hydro_bm!D401,"")</f>
        <v>0</v>
      </c>
      <c r="D401">
        <f>IF(ROW(D401)&lt;=Bidding!$D$11,Raw_hydro_bm!E401,"")</f>
        <v>8</v>
      </c>
      <c r="E401">
        <f>IF(ROW(E401)&lt;=Bidding!$D$11,Raw_hydro_bm!F401,"")</f>
        <v>0</v>
      </c>
      <c r="F401">
        <f>IF(ROW(F401)&lt;=Bidding!$D$11,Raw_hydro_bm!G401,"")</f>
        <v>1</v>
      </c>
      <c r="G401">
        <f>IF(ROW(G401)&lt;=Bidding!$D$11,Raw_hydro_bm!H401,"")</f>
        <v>0</v>
      </c>
      <c r="H401" t="str">
        <f>IF(ROW(H401)&lt;=Bidding!$D$11,Raw_hydro_bm!I401,"")</f>
        <v>0.0</v>
      </c>
      <c r="I401" s="16">
        <f t="shared" si="6"/>
        <v>0</v>
      </c>
    </row>
    <row r="402" spans="1:9" x14ac:dyDescent="0.3">
      <c r="A402" t="str">
        <f>IF(ROW(A402)&lt;=Bidding!$D$11,Raw_hydro_bm!B402,"")</f>
        <v>p</v>
      </c>
      <c r="B402" t="str">
        <f>IF(ROW(B402)&lt;=Bidding!$D$11,Raw_hydro_bm!C402,"")</f>
        <v>c</v>
      </c>
      <c r="C402">
        <f>IF(ROW(C402)&lt;=Bidding!$D$11,Raw_hydro_bm!D402,"")</f>
        <v>0</v>
      </c>
      <c r="D402">
        <f>IF(ROW(D402)&lt;=Bidding!$D$11,Raw_hydro_bm!E402,"")</f>
        <v>8</v>
      </c>
      <c r="E402">
        <f>IF(ROW(E402)&lt;=Bidding!$D$11,Raw_hydro_bm!F402,"")</f>
        <v>0</v>
      </c>
      <c r="F402">
        <f>IF(ROW(F402)&lt;=Bidding!$D$11,Raw_hydro_bm!G402,"")</f>
        <v>1</v>
      </c>
      <c r="G402">
        <f>IF(ROW(G402)&lt;=Bidding!$D$11,Raw_hydro_bm!H402,"")</f>
        <v>1</v>
      </c>
      <c r="H402" t="str">
        <f>IF(ROW(H402)&lt;=Bidding!$D$11,Raw_hydro_bm!I402,"")</f>
        <v>0.0</v>
      </c>
      <c r="I402" s="16">
        <f t="shared" si="6"/>
        <v>0</v>
      </c>
    </row>
    <row r="403" spans="1:9" x14ac:dyDescent="0.3">
      <c r="A403" t="str">
        <f>IF(ROW(A403)&lt;=Bidding!$D$11,Raw_hydro_bm!B403,"")</f>
        <v>v</v>
      </c>
      <c r="B403" t="str">
        <f>IF(ROW(B403)&lt;=Bidding!$D$11,Raw_hydro_bm!C403,"")</f>
        <v>c</v>
      </c>
      <c r="C403">
        <f>IF(ROW(C403)&lt;=Bidding!$D$11,Raw_hydro_bm!D403,"")</f>
        <v>0</v>
      </c>
      <c r="D403">
        <f>IF(ROW(D403)&lt;=Bidding!$D$11,Raw_hydro_bm!E403,"")</f>
        <v>8</v>
      </c>
      <c r="E403">
        <f>IF(ROW(E403)&lt;=Bidding!$D$11,Raw_hydro_bm!F403,"")</f>
        <v>0</v>
      </c>
      <c r="F403">
        <f>IF(ROW(F403)&lt;=Bidding!$D$11,Raw_hydro_bm!G403,"")</f>
        <v>1</v>
      </c>
      <c r="G403">
        <f>IF(ROW(G403)&lt;=Bidding!$D$11,Raw_hydro_bm!H403,"")</f>
        <v>1</v>
      </c>
      <c r="H403" t="str">
        <f>IF(ROW(H403)&lt;=Bidding!$D$11,Raw_hydro_bm!I403,"")</f>
        <v>0.0</v>
      </c>
      <c r="I403" s="16">
        <f t="shared" si="6"/>
        <v>0</v>
      </c>
    </row>
    <row r="404" spans="1:9" x14ac:dyDescent="0.3">
      <c r="A404" t="str">
        <f>IF(ROW(A404)&lt;=Bidding!$D$11,Raw_hydro_bm!B404,"")</f>
        <v>p</v>
      </c>
      <c r="B404" t="str">
        <f>IF(ROW(B404)&lt;=Bidding!$D$11,Raw_hydro_bm!C404,"")</f>
        <v>c</v>
      </c>
      <c r="C404">
        <f>IF(ROW(C404)&lt;=Bidding!$D$11,Raw_hydro_bm!D404,"")</f>
        <v>0</v>
      </c>
      <c r="D404">
        <f>IF(ROW(D404)&lt;=Bidding!$D$11,Raw_hydro_bm!E404,"")</f>
        <v>8</v>
      </c>
      <c r="E404">
        <f>IF(ROW(E404)&lt;=Bidding!$D$11,Raw_hydro_bm!F404,"")</f>
        <v>0</v>
      </c>
      <c r="F404">
        <f>IF(ROW(F404)&lt;=Bidding!$D$11,Raw_hydro_bm!G404,"")</f>
        <v>1</v>
      </c>
      <c r="G404">
        <f>IF(ROW(G404)&lt;=Bidding!$D$11,Raw_hydro_bm!H404,"")</f>
        <v>2</v>
      </c>
      <c r="H404" t="str">
        <f>IF(ROW(H404)&lt;=Bidding!$D$11,Raw_hydro_bm!I404,"")</f>
        <v>0.0</v>
      </c>
      <c r="I404" s="16">
        <f t="shared" si="6"/>
        <v>0</v>
      </c>
    </row>
    <row r="405" spans="1:9" x14ac:dyDescent="0.3">
      <c r="A405" t="str">
        <f>IF(ROW(A405)&lt;=Bidding!$D$11,Raw_hydro_bm!B405,"")</f>
        <v>v</v>
      </c>
      <c r="B405" t="str">
        <f>IF(ROW(B405)&lt;=Bidding!$D$11,Raw_hydro_bm!C405,"")</f>
        <v>c</v>
      </c>
      <c r="C405">
        <f>IF(ROW(C405)&lt;=Bidding!$D$11,Raw_hydro_bm!D405,"")</f>
        <v>0</v>
      </c>
      <c r="D405">
        <f>IF(ROW(D405)&lt;=Bidding!$D$11,Raw_hydro_bm!E405,"")</f>
        <v>8</v>
      </c>
      <c r="E405">
        <f>IF(ROW(E405)&lt;=Bidding!$D$11,Raw_hydro_bm!F405,"")</f>
        <v>0</v>
      </c>
      <c r="F405">
        <f>IF(ROW(F405)&lt;=Bidding!$D$11,Raw_hydro_bm!G405,"")</f>
        <v>1</v>
      </c>
      <c r="G405">
        <f>IF(ROW(G405)&lt;=Bidding!$D$11,Raw_hydro_bm!H405,"")</f>
        <v>2</v>
      </c>
      <c r="H405" t="str">
        <f>IF(ROW(H405)&lt;=Bidding!$D$11,Raw_hydro_bm!I405,"")</f>
        <v>0.0</v>
      </c>
      <c r="I405" s="16">
        <f t="shared" si="6"/>
        <v>0</v>
      </c>
    </row>
    <row r="406" spans="1:9" x14ac:dyDescent="0.3">
      <c r="A406" t="str">
        <f>IF(ROW(A406)&lt;=Bidding!$D$11,Raw_hydro_bm!B406,"")</f>
        <v>b</v>
      </c>
      <c r="B406" t="str">
        <f>IF(ROW(B406)&lt;=Bidding!$D$11,Raw_hydro_bm!C406,"")</f>
        <v>v</v>
      </c>
      <c r="C406" t="str">
        <f>IF(ROW(C406)&lt;=Bidding!$D$11,Raw_hydro_bm!D406,"")</f>
        <v>X</v>
      </c>
      <c r="D406">
        <f>IF(ROW(D406)&lt;=Bidding!$D$11,Raw_hydro_bm!E406,"")</f>
        <v>0</v>
      </c>
      <c r="E406">
        <f>IF(ROW(E406)&lt;=Bidding!$D$11,Raw_hydro_bm!F406,"")</f>
        <v>8</v>
      </c>
      <c r="F406">
        <f>IF(ROW(F406)&lt;=Bidding!$D$11,Raw_hydro_bm!G406,"")</f>
        <v>1</v>
      </c>
      <c r="G406">
        <f>IF(ROW(G406)&lt;=Bidding!$D$11,Raw_hydro_bm!H406,"")</f>
        <v>0</v>
      </c>
      <c r="H406" t="str">
        <f>IF(ROW(H406)&lt;=Bidding!$D$11,Raw_hydro_bm!I406,"")</f>
        <v>0.0</v>
      </c>
      <c r="I406" s="16">
        <f t="shared" si="6"/>
        <v>0</v>
      </c>
    </row>
    <row r="407" spans="1:9" x14ac:dyDescent="0.3">
      <c r="A407" t="str">
        <f>IF(ROW(A407)&lt;=Bidding!$D$11,Raw_hydro_bm!B407,"")</f>
        <v>b</v>
      </c>
      <c r="B407" t="str">
        <f>IF(ROW(B407)&lt;=Bidding!$D$11,Raw_hydro_bm!C407,"")</f>
        <v>v</v>
      </c>
      <c r="C407" t="str">
        <f>IF(ROW(C407)&lt;=Bidding!$D$11,Raw_hydro_bm!D407,"")</f>
        <v>X</v>
      </c>
      <c r="D407">
        <f>IF(ROW(D407)&lt;=Bidding!$D$11,Raw_hydro_bm!E407,"")</f>
        <v>0</v>
      </c>
      <c r="E407">
        <f>IF(ROW(E407)&lt;=Bidding!$D$11,Raw_hydro_bm!F407,"")</f>
        <v>8</v>
      </c>
      <c r="F407">
        <f>IF(ROW(F407)&lt;=Bidding!$D$11,Raw_hydro_bm!G407,"")</f>
        <v>1</v>
      </c>
      <c r="G407">
        <f>IF(ROW(G407)&lt;=Bidding!$D$11,Raw_hydro_bm!H407,"")</f>
        <v>1</v>
      </c>
      <c r="H407" t="str">
        <f>IF(ROW(H407)&lt;=Bidding!$D$11,Raw_hydro_bm!I407,"")</f>
        <v>0.0</v>
      </c>
      <c r="I407" s="16">
        <f t="shared" si="6"/>
        <v>0</v>
      </c>
    </row>
    <row r="408" spans="1:9" x14ac:dyDescent="0.3">
      <c r="A408" t="str">
        <f>IF(ROW(A408)&lt;=Bidding!$D$11,Raw_hydro_bm!B408,"")</f>
        <v>b</v>
      </c>
      <c r="B408" t="str">
        <f>IF(ROW(B408)&lt;=Bidding!$D$11,Raw_hydro_bm!C408,"")</f>
        <v>v</v>
      </c>
      <c r="C408" t="str">
        <f>IF(ROW(C408)&lt;=Bidding!$D$11,Raw_hydro_bm!D408,"")</f>
        <v>X</v>
      </c>
      <c r="D408">
        <f>IF(ROW(D408)&lt;=Bidding!$D$11,Raw_hydro_bm!E408,"")</f>
        <v>0</v>
      </c>
      <c r="E408">
        <f>IF(ROW(E408)&lt;=Bidding!$D$11,Raw_hydro_bm!F408,"")</f>
        <v>8</v>
      </c>
      <c r="F408">
        <f>IF(ROW(F408)&lt;=Bidding!$D$11,Raw_hydro_bm!G408,"")</f>
        <v>1</v>
      </c>
      <c r="G408">
        <f>IF(ROW(G408)&lt;=Bidding!$D$11,Raw_hydro_bm!H408,"")</f>
        <v>2</v>
      </c>
      <c r="H408" t="str">
        <f>IF(ROW(H408)&lt;=Bidding!$D$11,Raw_hydro_bm!I408,"")</f>
        <v>60.0</v>
      </c>
      <c r="I408" s="16">
        <f t="shared" si="6"/>
        <v>60</v>
      </c>
    </row>
    <row r="409" spans="1:9" x14ac:dyDescent="0.3">
      <c r="A409" t="str">
        <f>IF(ROW(A409)&lt;=Bidding!$D$11,Raw_hydro_bm!B409,"")</f>
        <v>p</v>
      </c>
      <c r="B409" t="str">
        <f>IF(ROW(B409)&lt;=Bidding!$D$11,Raw_hydro_bm!C409,"")</f>
        <v>c</v>
      </c>
      <c r="C409">
        <f>IF(ROW(C409)&lt;=Bidding!$D$11,Raw_hydro_bm!D409,"")</f>
        <v>0</v>
      </c>
      <c r="D409">
        <f>IF(ROW(D409)&lt;=Bidding!$D$11,Raw_hydro_bm!E409,"")</f>
        <v>8</v>
      </c>
      <c r="E409">
        <f>IF(ROW(E409)&lt;=Bidding!$D$11,Raw_hydro_bm!F409,"")</f>
        <v>1</v>
      </c>
      <c r="F409">
        <f>IF(ROW(F409)&lt;=Bidding!$D$11,Raw_hydro_bm!G409,"")</f>
        <v>0</v>
      </c>
      <c r="G409">
        <f>IF(ROW(G409)&lt;=Bidding!$D$11,Raw_hydro_bm!H409,"")</f>
        <v>0</v>
      </c>
      <c r="H409" t="str">
        <f>IF(ROW(H409)&lt;=Bidding!$D$11,Raw_hydro_bm!I409,"")</f>
        <v>0.0</v>
      </c>
      <c r="I409" s="16">
        <f t="shared" si="6"/>
        <v>0</v>
      </c>
    </row>
    <row r="410" spans="1:9" x14ac:dyDescent="0.3">
      <c r="A410" t="str">
        <f>IF(ROW(A410)&lt;=Bidding!$D$11,Raw_hydro_bm!B410,"")</f>
        <v>v</v>
      </c>
      <c r="B410" t="str">
        <f>IF(ROW(B410)&lt;=Bidding!$D$11,Raw_hydro_bm!C410,"")</f>
        <v>c</v>
      </c>
      <c r="C410">
        <f>IF(ROW(C410)&lt;=Bidding!$D$11,Raw_hydro_bm!D410,"")</f>
        <v>0</v>
      </c>
      <c r="D410">
        <f>IF(ROW(D410)&lt;=Bidding!$D$11,Raw_hydro_bm!E410,"")</f>
        <v>8</v>
      </c>
      <c r="E410">
        <f>IF(ROW(E410)&lt;=Bidding!$D$11,Raw_hydro_bm!F410,"")</f>
        <v>1</v>
      </c>
      <c r="F410">
        <f>IF(ROW(F410)&lt;=Bidding!$D$11,Raw_hydro_bm!G410,"")</f>
        <v>0</v>
      </c>
      <c r="G410">
        <f>IF(ROW(G410)&lt;=Bidding!$D$11,Raw_hydro_bm!H410,"")</f>
        <v>0</v>
      </c>
      <c r="H410" t="str">
        <f>IF(ROW(H410)&lt;=Bidding!$D$11,Raw_hydro_bm!I410,"")</f>
        <v>0.0</v>
      </c>
      <c r="I410" s="16">
        <f t="shared" si="6"/>
        <v>0</v>
      </c>
    </row>
    <row r="411" spans="1:9" x14ac:dyDescent="0.3">
      <c r="A411" t="str">
        <f>IF(ROW(A411)&lt;=Bidding!$D$11,Raw_hydro_bm!B411,"")</f>
        <v>p</v>
      </c>
      <c r="B411" t="str">
        <f>IF(ROW(B411)&lt;=Bidding!$D$11,Raw_hydro_bm!C411,"")</f>
        <v>c</v>
      </c>
      <c r="C411">
        <f>IF(ROW(C411)&lt;=Bidding!$D$11,Raw_hydro_bm!D411,"")</f>
        <v>0</v>
      </c>
      <c r="D411">
        <f>IF(ROW(D411)&lt;=Bidding!$D$11,Raw_hydro_bm!E411,"")</f>
        <v>8</v>
      </c>
      <c r="E411">
        <f>IF(ROW(E411)&lt;=Bidding!$D$11,Raw_hydro_bm!F411,"")</f>
        <v>1</v>
      </c>
      <c r="F411">
        <f>IF(ROW(F411)&lt;=Bidding!$D$11,Raw_hydro_bm!G411,"")</f>
        <v>0</v>
      </c>
      <c r="G411">
        <f>IF(ROW(G411)&lt;=Bidding!$D$11,Raw_hydro_bm!H411,"")</f>
        <v>1</v>
      </c>
      <c r="H411" t="str">
        <f>IF(ROW(H411)&lt;=Bidding!$D$11,Raw_hydro_bm!I411,"")</f>
        <v>0.0</v>
      </c>
      <c r="I411" s="16">
        <f t="shared" si="6"/>
        <v>0</v>
      </c>
    </row>
    <row r="412" spans="1:9" x14ac:dyDescent="0.3">
      <c r="A412" t="str">
        <f>IF(ROW(A412)&lt;=Bidding!$D$11,Raw_hydro_bm!B412,"")</f>
        <v>v</v>
      </c>
      <c r="B412" t="str">
        <f>IF(ROW(B412)&lt;=Bidding!$D$11,Raw_hydro_bm!C412,"")</f>
        <v>c</v>
      </c>
      <c r="C412">
        <f>IF(ROW(C412)&lt;=Bidding!$D$11,Raw_hydro_bm!D412,"")</f>
        <v>0</v>
      </c>
      <c r="D412">
        <f>IF(ROW(D412)&lt;=Bidding!$D$11,Raw_hydro_bm!E412,"")</f>
        <v>8</v>
      </c>
      <c r="E412">
        <f>IF(ROW(E412)&lt;=Bidding!$D$11,Raw_hydro_bm!F412,"")</f>
        <v>1</v>
      </c>
      <c r="F412">
        <f>IF(ROW(F412)&lt;=Bidding!$D$11,Raw_hydro_bm!G412,"")</f>
        <v>0</v>
      </c>
      <c r="G412">
        <f>IF(ROW(G412)&lt;=Bidding!$D$11,Raw_hydro_bm!H412,"")</f>
        <v>1</v>
      </c>
      <c r="H412" t="str">
        <f>IF(ROW(H412)&lt;=Bidding!$D$11,Raw_hydro_bm!I412,"")</f>
        <v>0.0</v>
      </c>
      <c r="I412" s="16">
        <f t="shared" si="6"/>
        <v>0</v>
      </c>
    </row>
    <row r="413" spans="1:9" x14ac:dyDescent="0.3">
      <c r="A413" t="str">
        <f>IF(ROW(A413)&lt;=Bidding!$D$11,Raw_hydro_bm!B413,"")</f>
        <v>p</v>
      </c>
      <c r="B413" t="str">
        <f>IF(ROW(B413)&lt;=Bidding!$D$11,Raw_hydro_bm!C413,"")</f>
        <v>c</v>
      </c>
      <c r="C413">
        <f>IF(ROW(C413)&lt;=Bidding!$D$11,Raw_hydro_bm!D413,"")</f>
        <v>0</v>
      </c>
      <c r="D413">
        <f>IF(ROW(D413)&lt;=Bidding!$D$11,Raw_hydro_bm!E413,"")</f>
        <v>8</v>
      </c>
      <c r="E413">
        <f>IF(ROW(E413)&lt;=Bidding!$D$11,Raw_hydro_bm!F413,"")</f>
        <v>1</v>
      </c>
      <c r="F413">
        <f>IF(ROW(F413)&lt;=Bidding!$D$11,Raw_hydro_bm!G413,"")</f>
        <v>0</v>
      </c>
      <c r="G413">
        <f>IF(ROW(G413)&lt;=Bidding!$D$11,Raw_hydro_bm!H413,"")</f>
        <v>2</v>
      </c>
      <c r="H413" t="str">
        <f>IF(ROW(H413)&lt;=Bidding!$D$11,Raw_hydro_bm!I413,"")</f>
        <v>0.0</v>
      </c>
      <c r="I413" s="16">
        <f t="shared" si="6"/>
        <v>0</v>
      </c>
    </row>
    <row r="414" spans="1:9" x14ac:dyDescent="0.3">
      <c r="A414" t="str">
        <f>IF(ROW(A414)&lt;=Bidding!$D$11,Raw_hydro_bm!B414,"")</f>
        <v>v</v>
      </c>
      <c r="B414" t="str">
        <f>IF(ROW(B414)&lt;=Bidding!$D$11,Raw_hydro_bm!C414,"")</f>
        <v>c</v>
      </c>
      <c r="C414">
        <f>IF(ROW(C414)&lt;=Bidding!$D$11,Raw_hydro_bm!D414,"")</f>
        <v>0</v>
      </c>
      <c r="D414">
        <f>IF(ROW(D414)&lt;=Bidding!$D$11,Raw_hydro_bm!E414,"")</f>
        <v>8</v>
      </c>
      <c r="E414">
        <f>IF(ROW(E414)&lt;=Bidding!$D$11,Raw_hydro_bm!F414,"")</f>
        <v>1</v>
      </c>
      <c r="F414">
        <f>IF(ROW(F414)&lt;=Bidding!$D$11,Raw_hydro_bm!G414,"")</f>
        <v>0</v>
      </c>
      <c r="G414">
        <f>IF(ROW(G414)&lt;=Bidding!$D$11,Raw_hydro_bm!H414,"")</f>
        <v>2</v>
      </c>
      <c r="H414" t="str">
        <f>IF(ROW(H414)&lt;=Bidding!$D$11,Raw_hydro_bm!I414,"")</f>
        <v>0.0</v>
      </c>
      <c r="I414" s="16">
        <f t="shared" si="6"/>
        <v>0</v>
      </c>
    </row>
    <row r="415" spans="1:9" x14ac:dyDescent="0.3">
      <c r="A415" t="str">
        <f>IF(ROW(A415)&lt;=Bidding!$D$11,Raw_hydro_bm!B415,"")</f>
        <v>p</v>
      </c>
      <c r="B415" t="str">
        <f>IF(ROW(B415)&lt;=Bidding!$D$11,Raw_hydro_bm!C415,"")</f>
        <v>c</v>
      </c>
      <c r="C415">
        <f>IF(ROW(C415)&lt;=Bidding!$D$11,Raw_hydro_bm!D415,"")</f>
        <v>0</v>
      </c>
      <c r="D415">
        <f>IF(ROW(D415)&lt;=Bidding!$D$11,Raw_hydro_bm!E415,"")</f>
        <v>8</v>
      </c>
      <c r="E415">
        <f>IF(ROW(E415)&lt;=Bidding!$D$11,Raw_hydro_bm!F415,"")</f>
        <v>1</v>
      </c>
      <c r="F415">
        <f>IF(ROW(F415)&lt;=Bidding!$D$11,Raw_hydro_bm!G415,"")</f>
        <v>1</v>
      </c>
      <c r="G415">
        <f>IF(ROW(G415)&lt;=Bidding!$D$11,Raw_hydro_bm!H415,"")</f>
        <v>0</v>
      </c>
      <c r="H415" t="str">
        <f>IF(ROW(H415)&lt;=Bidding!$D$11,Raw_hydro_bm!I415,"")</f>
        <v>0.0</v>
      </c>
      <c r="I415" s="16">
        <f t="shared" si="6"/>
        <v>0</v>
      </c>
    </row>
    <row r="416" spans="1:9" x14ac:dyDescent="0.3">
      <c r="A416" t="str">
        <f>IF(ROW(A416)&lt;=Bidding!$D$11,Raw_hydro_bm!B416,"")</f>
        <v>v</v>
      </c>
      <c r="B416" t="str">
        <f>IF(ROW(B416)&lt;=Bidding!$D$11,Raw_hydro_bm!C416,"")</f>
        <v>c</v>
      </c>
      <c r="C416">
        <f>IF(ROW(C416)&lt;=Bidding!$D$11,Raw_hydro_bm!D416,"")</f>
        <v>0</v>
      </c>
      <c r="D416">
        <f>IF(ROW(D416)&lt;=Bidding!$D$11,Raw_hydro_bm!E416,"")</f>
        <v>8</v>
      </c>
      <c r="E416">
        <f>IF(ROW(E416)&lt;=Bidding!$D$11,Raw_hydro_bm!F416,"")</f>
        <v>1</v>
      </c>
      <c r="F416">
        <f>IF(ROW(F416)&lt;=Bidding!$D$11,Raw_hydro_bm!G416,"")</f>
        <v>1</v>
      </c>
      <c r="G416">
        <f>IF(ROW(G416)&lt;=Bidding!$D$11,Raw_hydro_bm!H416,"")</f>
        <v>0</v>
      </c>
      <c r="H416" t="str">
        <f>IF(ROW(H416)&lt;=Bidding!$D$11,Raw_hydro_bm!I416,"")</f>
        <v>30.0</v>
      </c>
      <c r="I416" s="16">
        <f t="shared" si="6"/>
        <v>30</v>
      </c>
    </row>
    <row r="417" spans="1:9" x14ac:dyDescent="0.3">
      <c r="A417" t="str">
        <f>IF(ROW(A417)&lt;=Bidding!$D$11,Raw_hydro_bm!B417,"")</f>
        <v>p</v>
      </c>
      <c r="B417" t="str">
        <f>IF(ROW(B417)&lt;=Bidding!$D$11,Raw_hydro_bm!C417,"")</f>
        <v>c</v>
      </c>
      <c r="C417">
        <f>IF(ROW(C417)&lt;=Bidding!$D$11,Raw_hydro_bm!D417,"")</f>
        <v>0</v>
      </c>
      <c r="D417">
        <f>IF(ROW(D417)&lt;=Bidding!$D$11,Raw_hydro_bm!E417,"")</f>
        <v>8</v>
      </c>
      <c r="E417">
        <f>IF(ROW(E417)&lt;=Bidding!$D$11,Raw_hydro_bm!F417,"")</f>
        <v>1</v>
      </c>
      <c r="F417">
        <f>IF(ROW(F417)&lt;=Bidding!$D$11,Raw_hydro_bm!G417,"")</f>
        <v>1</v>
      </c>
      <c r="G417">
        <f>IF(ROW(G417)&lt;=Bidding!$D$11,Raw_hydro_bm!H417,"")</f>
        <v>1</v>
      </c>
      <c r="H417" t="str">
        <f>IF(ROW(H417)&lt;=Bidding!$D$11,Raw_hydro_bm!I417,"")</f>
        <v>0.0</v>
      </c>
      <c r="I417" s="16">
        <f t="shared" si="6"/>
        <v>0</v>
      </c>
    </row>
    <row r="418" spans="1:9" x14ac:dyDescent="0.3">
      <c r="A418" t="str">
        <f>IF(ROW(A418)&lt;=Bidding!$D$11,Raw_hydro_bm!B418,"")</f>
        <v>v</v>
      </c>
      <c r="B418" t="str">
        <f>IF(ROW(B418)&lt;=Bidding!$D$11,Raw_hydro_bm!C418,"")</f>
        <v>c</v>
      </c>
      <c r="C418">
        <f>IF(ROW(C418)&lt;=Bidding!$D$11,Raw_hydro_bm!D418,"")</f>
        <v>0</v>
      </c>
      <c r="D418">
        <f>IF(ROW(D418)&lt;=Bidding!$D$11,Raw_hydro_bm!E418,"")</f>
        <v>8</v>
      </c>
      <c r="E418">
        <f>IF(ROW(E418)&lt;=Bidding!$D$11,Raw_hydro_bm!F418,"")</f>
        <v>1</v>
      </c>
      <c r="F418">
        <f>IF(ROW(F418)&lt;=Bidding!$D$11,Raw_hydro_bm!G418,"")</f>
        <v>1</v>
      </c>
      <c r="G418">
        <f>IF(ROW(G418)&lt;=Bidding!$D$11,Raw_hydro_bm!H418,"")</f>
        <v>1</v>
      </c>
      <c r="H418" t="str">
        <f>IF(ROW(H418)&lt;=Bidding!$D$11,Raw_hydro_bm!I418,"")</f>
        <v>20.0</v>
      </c>
      <c r="I418" s="16">
        <f t="shared" si="6"/>
        <v>20</v>
      </c>
    </row>
    <row r="419" spans="1:9" x14ac:dyDescent="0.3">
      <c r="A419" t="str">
        <f>IF(ROW(A419)&lt;=Bidding!$D$11,Raw_hydro_bm!B419,"")</f>
        <v>p</v>
      </c>
      <c r="B419" t="str">
        <f>IF(ROW(B419)&lt;=Bidding!$D$11,Raw_hydro_bm!C419,"")</f>
        <v>c</v>
      </c>
      <c r="C419">
        <f>IF(ROW(C419)&lt;=Bidding!$D$11,Raw_hydro_bm!D419,"")</f>
        <v>0</v>
      </c>
      <c r="D419">
        <f>IF(ROW(D419)&lt;=Bidding!$D$11,Raw_hydro_bm!E419,"")</f>
        <v>8</v>
      </c>
      <c r="E419">
        <f>IF(ROW(E419)&lt;=Bidding!$D$11,Raw_hydro_bm!F419,"")</f>
        <v>1</v>
      </c>
      <c r="F419">
        <f>IF(ROW(F419)&lt;=Bidding!$D$11,Raw_hydro_bm!G419,"")</f>
        <v>1</v>
      </c>
      <c r="G419">
        <f>IF(ROW(G419)&lt;=Bidding!$D$11,Raw_hydro_bm!H419,"")</f>
        <v>2</v>
      </c>
      <c r="H419" t="str">
        <f>IF(ROW(H419)&lt;=Bidding!$D$11,Raw_hydro_bm!I419,"")</f>
        <v>0.0</v>
      </c>
      <c r="I419" s="16">
        <f t="shared" si="6"/>
        <v>0</v>
      </c>
    </row>
    <row r="420" spans="1:9" x14ac:dyDescent="0.3">
      <c r="A420" t="str">
        <f>IF(ROW(A420)&lt;=Bidding!$D$11,Raw_hydro_bm!B420,"")</f>
        <v>v</v>
      </c>
      <c r="B420" t="str">
        <f>IF(ROW(B420)&lt;=Bidding!$D$11,Raw_hydro_bm!C420,"")</f>
        <v>c</v>
      </c>
      <c r="C420">
        <f>IF(ROW(C420)&lt;=Bidding!$D$11,Raw_hydro_bm!D420,"")</f>
        <v>0</v>
      </c>
      <c r="D420">
        <f>IF(ROW(D420)&lt;=Bidding!$D$11,Raw_hydro_bm!E420,"")</f>
        <v>8</v>
      </c>
      <c r="E420">
        <f>IF(ROW(E420)&lt;=Bidding!$D$11,Raw_hydro_bm!F420,"")</f>
        <v>1</v>
      </c>
      <c r="F420">
        <f>IF(ROW(F420)&lt;=Bidding!$D$11,Raw_hydro_bm!G420,"")</f>
        <v>1</v>
      </c>
      <c r="G420">
        <f>IF(ROW(G420)&lt;=Bidding!$D$11,Raw_hydro_bm!H420,"")</f>
        <v>2</v>
      </c>
      <c r="H420" t="str">
        <f>IF(ROW(H420)&lt;=Bidding!$D$11,Raw_hydro_bm!I420,"")</f>
        <v>10.0</v>
      </c>
      <c r="I420" s="16">
        <f t="shared" si="6"/>
        <v>10</v>
      </c>
    </row>
    <row r="421" spans="1:9" x14ac:dyDescent="0.3">
      <c r="A421" t="str">
        <f>IF(ROW(A421)&lt;=Bidding!$D$11,Raw_hydro_bm!B421,"")</f>
        <v>b</v>
      </c>
      <c r="B421" t="str">
        <f>IF(ROW(B421)&lt;=Bidding!$D$11,Raw_hydro_bm!C421,"")</f>
        <v>v</v>
      </c>
      <c r="C421" t="str">
        <f>IF(ROW(C421)&lt;=Bidding!$D$11,Raw_hydro_bm!D421,"")</f>
        <v>X</v>
      </c>
      <c r="D421">
        <f>IF(ROW(D421)&lt;=Bidding!$D$11,Raw_hydro_bm!E421,"")</f>
        <v>0</v>
      </c>
      <c r="E421">
        <f>IF(ROW(E421)&lt;=Bidding!$D$11,Raw_hydro_bm!F421,"")</f>
        <v>9</v>
      </c>
      <c r="F421">
        <f>IF(ROW(F421)&lt;=Bidding!$D$11,Raw_hydro_bm!G421,"")</f>
        <v>0</v>
      </c>
      <c r="G421">
        <f>IF(ROW(G421)&lt;=Bidding!$D$11,Raw_hydro_bm!H421,"")</f>
        <v>0</v>
      </c>
      <c r="H421" t="str">
        <f>IF(ROW(H421)&lt;=Bidding!$D$11,Raw_hydro_bm!I421,"")</f>
        <v>0.0</v>
      </c>
      <c r="I421" s="16">
        <f t="shared" si="6"/>
        <v>0</v>
      </c>
    </row>
    <row r="422" spans="1:9" x14ac:dyDescent="0.3">
      <c r="A422" t="str">
        <f>IF(ROW(A422)&lt;=Bidding!$D$11,Raw_hydro_bm!B422,"")</f>
        <v>b</v>
      </c>
      <c r="B422" t="str">
        <f>IF(ROW(B422)&lt;=Bidding!$D$11,Raw_hydro_bm!C422,"")</f>
        <v>v</v>
      </c>
      <c r="C422" t="str">
        <f>IF(ROW(C422)&lt;=Bidding!$D$11,Raw_hydro_bm!D422,"")</f>
        <v>X</v>
      </c>
      <c r="D422">
        <f>IF(ROW(D422)&lt;=Bidding!$D$11,Raw_hydro_bm!E422,"")</f>
        <v>0</v>
      </c>
      <c r="E422">
        <f>IF(ROW(E422)&lt;=Bidding!$D$11,Raw_hydro_bm!F422,"")</f>
        <v>9</v>
      </c>
      <c r="F422">
        <f>IF(ROW(F422)&lt;=Bidding!$D$11,Raw_hydro_bm!G422,"")</f>
        <v>0</v>
      </c>
      <c r="G422">
        <f>IF(ROW(G422)&lt;=Bidding!$D$11,Raw_hydro_bm!H422,"")</f>
        <v>1</v>
      </c>
      <c r="H422" t="str">
        <f>IF(ROW(H422)&lt;=Bidding!$D$11,Raw_hydro_bm!I422,"")</f>
        <v>0.0</v>
      </c>
      <c r="I422" s="16">
        <f t="shared" si="6"/>
        <v>0</v>
      </c>
    </row>
    <row r="423" spans="1:9" x14ac:dyDescent="0.3">
      <c r="A423" t="str">
        <f>IF(ROW(A423)&lt;=Bidding!$D$11,Raw_hydro_bm!B423,"")</f>
        <v>b</v>
      </c>
      <c r="B423" t="str">
        <f>IF(ROW(B423)&lt;=Bidding!$D$11,Raw_hydro_bm!C423,"")</f>
        <v>v</v>
      </c>
      <c r="C423" t="str">
        <f>IF(ROW(C423)&lt;=Bidding!$D$11,Raw_hydro_bm!D423,"")</f>
        <v>X</v>
      </c>
      <c r="D423">
        <f>IF(ROW(D423)&lt;=Bidding!$D$11,Raw_hydro_bm!E423,"")</f>
        <v>0</v>
      </c>
      <c r="E423">
        <f>IF(ROW(E423)&lt;=Bidding!$D$11,Raw_hydro_bm!F423,"")</f>
        <v>9</v>
      </c>
      <c r="F423">
        <f>IF(ROW(F423)&lt;=Bidding!$D$11,Raw_hydro_bm!G423,"")</f>
        <v>0</v>
      </c>
      <c r="G423">
        <f>IF(ROW(G423)&lt;=Bidding!$D$11,Raw_hydro_bm!H423,"")</f>
        <v>2</v>
      </c>
      <c r="H423" t="str">
        <f>IF(ROW(H423)&lt;=Bidding!$D$11,Raw_hydro_bm!I423,"")</f>
        <v>60.0</v>
      </c>
      <c r="I423" s="16">
        <f t="shared" si="6"/>
        <v>60</v>
      </c>
    </row>
    <row r="424" spans="1:9" x14ac:dyDescent="0.3">
      <c r="A424" t="str">
        <f>IF(ROW(A424)&lt;=Bidding!$D$11,Raw_hydro_bm!B424,"")</f>
        <v>p</v>
      </c>
      <c r="B424" t="str">
        <f>IF(ROW(B424)&lt;=Bidding!$D$11,Raw_hydro_bm!C424,"")</f>
        <v>c</v>
      </c>
      <c r="C424">
        <f>IF(ROW(C424)&lt;=Bidding!$D$11,Raw_hydro_bm!D424,"")</f>
        <v>0</v>
      </c>
      <c r="D424">
        <f>IF(ROW(D424)&lt;=Bidding!$D$11,Raw_hydro_bm!E424,"")</f>
        <v>9</v>
      </c>
      <c r="E424">
        <f>IF(ROW(E424)&lt;=Bidding!$D$11,Raw_hydro_bm!F424,"")</f>
        <v>0</v>
      </c>
      <c r="F424">
        <f>IF(ROW(F424)&lt;=Bidding!$D$11,Raw_hydro_bm!G424,"")</f>
        <v>0</v>
      </c>
      <c r="G424">
        <f>IF(ROW(G424)&lt;=Bidding!$D$11,Raw_hydro_bm!H424,"")</f>
        <v>0</v>
      </c>
      <c r="H424" t="str">
        <f>IF(ROW(H424)&lt;=Bidding!$D$11,Raw_hydro_bm!I424,"")</f>
        <v>0.0</v>
      </c>
      <c r="I424" s="16">
        <f t="shared" si="6"/>
        <v>0</v>
      </c>
    </row>
    <row r="425" spans="1:9" x14ac:dyDescent="0.3">
      <c r="A425" t="str">
        <f>IF(ROW(A425)&lt;=Bidding!$D$11,Raw_hydro_bm!B425,"")</f>
        <v>v</v>
      </c>
      <c r="B425" t="str">
        <f>IF(ROW(B425)&lt;=Bidding!$D$11,Raw_hydro_bm!C425,"")</f>
        <v>c</v>
      </c>
      <c r="C425">
        <f>IF(ROW(C425)&lt;=Bidding!$D$11,Raw_hydro_bm!D425,"")</f>
        <v>0</v>
      </c>
      <c r="D425">
        <f>IF(ROW(D425)&lt;=Bidding!$D$11,Raw_hydro_bm!E425,"")</f>
        <v>9</v>
      </c>
      <c r="E425">
        <f>IF(ROW(E425)&lt;=Bidding!$D$11,Raw_hydro_bm!F425,"")</f>
        <v>0</v>
      </c>
      <c r="F425">
        <f>IF(ROW(F425)&lt;=Bidding!$D$11,Raw_hydro_bm!G425,"")</f>
        <v>0</v>
      </c>
      <c r="G425">
        <f>IF(ROW(G425)&lt;=Bidding!$D$11,Raw_hydro_bm!H425,"")</f>
        <v>0</v>
      </c>
      <c r="H425" t="str">
        <f>IF(ROW(H425)&lt;=Bidding!$D$11,Raw_hydro_bm!I425,"")</f>
        <v>30.0</v>
      </c>
      <c r="I425" s="16">
        <f t="shared" si="6"/>
        <v>30</v>
      </c>
    </row>
    <row r="426" spans="1:9" x14ac:dyDescent="0.3">
      <c r="A426" t="str">
        <f>IF(ROW(A426)&lt;=Bidding!$D$11,Raw_hydro_bm!B426,"")</f>
        <v>p</v>
      </c>
      <c r="B426" t="str">
        <f>IF(ROW(B426)&lt;=Bidding!$D$11,Raw_hydro_bm!C426,"")</f>
        <v>c</v>
      </c>
      <c r="C426">
        <f>IF(ROW(C426)&lt;=Bidding!$D$11,Raw_hydro_bm!D426,"")</f>
        <v>0</v>
      </c>
      <c r="D426">
        <f>IF(ROW(D426)&lt;=Bidding!$D$11,Raw_hydro_bm!E426,"")</f>
        <v>9</v>
      </c>
      <c r="E426">
        <f>IF(ROW(E426)&lt;=Bidding!$D$11,Raw_hydro_bm!F426,"")</f>
        <v>0</v>
      </c>
      <c r="F426">
        <f>IF(ROW(F426)&lt;=Bidding!$D$11,Raw_hydro_bm!G426,"")</f>
        <v>0</v>
      </c>
      <c r="G426">
        <f>IF(ROW(G426)&lt;=Bidding!$D$11,Raw_hydro_bm!H426,"")</f>
        <v>1</v>
      </c>
      <c r="H426" t="str">
        <f>IF(ROW(H426)&lt;=Bidding!$D$11,Raw_hydro_bm!I426,"")</f>
        <v>0.0</v>
      </c>
      <c r="I426" s="16">
        <f t="shared" si="6"/>
        <v>0</v>
      </c>
    </row>
    <row r="427" spans="1:9" x14ac:dyDescent="0.3">
      <c r="A427" t="str">
        <f>IF(ROW(A427)&lt;=Bidding!$D$11,Raw_hydro_bm!B427,"")</f>
        <v>v</v>
      </c>
      <c r="B427" t="str">
        <f>IF(ROW(B427)&lt;=Bidding!$D$11,Raw_hydro_bm!C427,"")</f>
        <v>c</v>
      </c>
      <c r="C427">
        <f>IF(ROW(C427)&lt;=Bidding!$D$11,Raw_hydro_bm!D427,"")</f>
        <v>0</v>
      </c>
      <c r="D427">
        <f>IF(ROW(D427)&lt;=Bidding!$D$11,Raw_hydro_bm!E427,"")</f>
        <v>9</v>
      </c>
      <c r="E427">
        <f>IF(ROW(E427)&lt;=Bidding!$D$11,Raw_hydro_bm!F427,"")</f>
        <v>0</v>
      </c>
      <c r="F427">
        <f>IF(ROW(F427)&lt;=Bidding!$D$11,Raw_hydro_bm!G427,"")</f>
        <v>0</v>
      </c>
      <c r="G427">
        <f>IF(ROW(G427)&lt;=Bidding!$D$11,Raw_hydro_bm!H427,"")</f>
        <v>1</v>
      </c>
      <c r="H427" t="str">
        <f>IF(ROW(H427)&lt;=Bidding!$D$11,Raw_hydro_bm!I427,"")</f>
        <v>20.0</v>
      </c>
      <c r="I427" s="16">
        <f t="shared" si="6"/>
        <v>20</v>
      </c>
    </row>
    <row r="428" spans="1:9" x14ac:dyDescent="0.3">
      <c r="A428" t="str">
        <f>IF(ROW(A428)&lt;=Bidding!$D$11,Raw_hydro_bm!B428,"")</f>
        <v>p</v>
      </c>
      <c r="B428" t="str">
        <f>IF(ROW(B428)&lt;=Bidding!$D$11,Raw_hydro_bm!C428,"")</f>
        <v>c</v>
      </c>
      <c r="C428">
        <f>IF(ROW(C428)&lt;=Bidding!$D$11,Raw_hydro_bm!D428,"")</f>
        <v>0</v>
      </c>
      <c r="D428">
        <f>IF(ROW(D428)&lt;=Bidding!$D$11,Raw_hydro_bm!E428,"")</f>
        <v>9</v>
      </c>
      <c r="E428">
        <f>IF(ROW(E428)&lt;=Bidding!$D$11,Raw_hydro_bm!F428,"")</f>
        <v>0</v>
      </c>
      <c r="F428">
        <f>IF(ROW(F428)&lt;=Bidding!$D$11,Raw_hydro_bm!G428,"")</f>
        <v>0</v>
      </c>
      <c r="G428">
        <f>IF(ROW(G428)&lt;=Bidding!$D$11,Raw_hydro_bm!H428,"")</f>
        <v>2</v>
      </c>
      <c r="H428" t="str">
        <f>IF(ROW(H428)&lt;=Bidding!$D$11,Raw_hydro_bm!I428,"")</f>
        <v>0.0</v>
      </c>
      <c r="I428" s="16">
        <f t="shared" si="6"/>
        <v>0</v>
      </c>
    </row>
    <row r="429" spans="1:9" x14ac:dyDescent="0.3">
      <c r="A429" t="str">
        <f>IF(ROW(A429)&lt;=Bidding!$D$11,Raw_hydro_bm!B429,"")</f>
        <v>v</v>
      </c>
      <c r="B429" t="str">
        <f>IF(ROW(B429)&lt;=Bidding!$D$11,Raw_hydro_bm!C429,"")</f>
        <v>c</v>
      </c>
      <c r="C429">
        <f>IF(ROW(C429)&lt;=Bidding!$D$11,Raw_hydro_bm!D429,"")</f>
        <v>0</v>
      </c>
      <c r="D429">
        <f>IF(ROW(D429)&lt;=Bidding!$D$11,Raw_hydro_bm!E429,"")</f>
        <v>9</v>
      </c>
      <c r="E429">
        <f>IF(ROW(E429)&lt;=Bidding!$D$11,Raw_hydro_bm!F429,"")</f>
        <v>0</v>
      </c>
      <c r="F429">
        <f>IF(ROW(F429)&lt;=Bidding!$D$11,Raw_hydro_bm!G429,"")</f>
        <v>0</v>
      </c>
      <c r="G429">
        <f>IF(ROW(G429)&lt;=Bidding!$D$11,Raw_hydro_bm!H429,"")</f>
        <v>2</v>
      </c>
      <c r="H429" t="str">
        <f>IF(ROW(H429)&lt;=Bidding!$D$11,Raw_hydro_bm!I429,"")</f>
        <v>10.0</v>
      </c>
      <c r="I429" s="16">
        <f t="shared" si="6"/>
        <v>10</v>
      </c>
    </row>
    <row r="430" spans="1:9" x14ac:dyDescent="0.3">
      <c r="A430" t="str">
        <f>IF(ROW(A430)&lt;=Bidding!$D$11,Raw_hydro_bm!B430,"")</f>
        <v>p</v>
      </c>
      <c r="B430" t="str">
        <f>IF(ROW(B430)&lt;=Bidding!$D$11,Raw_hydro_bm!C430,"")</f>
        <v>c</v>
      </c>
      <c r="C430">
        <f>IF(ROW(C430)&lt;=Bidding!$D$11,Raw_hydro_bm!D430,"")</f>
        <v>0</v>
      </c>
      <c r="D430">
        <f>IF(ROW(D430)&lt;=Bidding!$D$11,Raw_hydro_bm!E430,"")</f>
        <v>9</v>
      </c>
      <c r="E430">
        <f>IF(ROW(E430)&lt;=Bidding!$D$11,Raw_hydro_bm!F430,"")</f>
        <v>0</v>
      </c>
      <c r="F430">
        <f>IF(ROW(F430)&lt;=Bidding!$D$11,Raw_hydro_bm!G430,"")</f>
        <v>1</v>
      </c>
      <c r="G430">
        <f>IF(ROW(G430)&lt;=Bidding!$D$11,Raw_hydro_bm!H430,"")</f>
        <v>0</v>
      </c>
      <c r="H430" t="str">
        <f>IF(ROW(H430)&lt;=Bidding!$D$11,Raw_hydro_bm!I430,"")</f>
        <v>0.0</v>
      </c>
      <c r="I430" s="16">
        <f t="shared" si="6"/>
        <v>0</v>
      </c>
    </row>
    <row r="431" spans="1:9" x14ac:dyDescent="0.3">
      <c r="A431" t="str">
        <f>IF(ROW(A431)&lt;=Bidding!$D$11,Raw_hydro_bm!B431,"")</f>
        <v>v</v>
      </c>
      <c r="B431" t="str">
        <f>IF(ROW(B431)&lt;=Bidding!$D$11,Raw_hydro_bm!C431,"")</f>
        <v>c</v>
      </c>
      <c r="C431">
        <f>IF(ROW(C431)&lt;=Bidding!$D$11,Raw_hydro_bm!D431,"")</f>
        <v>0</v>
      </c>
      <c r="D431">
        <f>IF(ROW(D431)&lt;=Bidding!$D$11,Raw_hydro_bm!E431,"")</f>
        <v>9</v>
      </c>
      <c r="E431">
        <f>IF(ROW(E431)&lt;=Bidding!$D$11,Raw_hydro_bm!F431,"")</f>
        <v>0</v>
      </c>
      <c r="F431">
        <f>IF(ROW(F431)&lt;=Bidding!$D$11,Raw_hydro_bm!G431,"")</f>
        <v>1</v>
      </c>
      <c r="G431">
        <f>IF(ROW(G431)&lt;=Bidding!$D$11,Raw_hydro_bm!H431,"")</f>
        <v>0</v>
      </c>
      <c r="H431" t="str">
        <f>IF(ROW(H431)&lt;=Bidding!$D$11,Raw_hydro_bm!I431,"")</f>
        <v>0.0</v>
      </c>
      <c r="I431" s="16">
        <f t="shared" si="6"/>
        <v>0</v>
      </c>
    </row>
    <row r="432" spans="1:9" x14ac:dyDescent="0.3">
      <c r="A432" t="str">
        <f>IF(ROW(A432)&lt;=Bidding!$D$11,Raw_hydro_bm!B432,"")</f>
        <v>p</v>
      </c>
      <c r="B432" t="str">
        <f>IF(ROW(B432)&lt;=Bidding!$D$11,Raw_hydro_bm!C432,"")</f>
        <v>c</v>
      </c>
      <c r="C432">
        <f>IF(ROW(C432)&lt;=Bidding!$D$11,Raw_hydro_bm!D432,"")</f>
        <v>0</v>
      </c>
      <c r="D432">
        <f>IF(ROW(D432)&lt;=Bidding!$D$11,Raw_hydro_bm!E432,"")</f>
        <v>9</v>
      </c>
      <c r="E432">
        <f>IF(ROW(E432)&lt;=Bidding!$D$11,Raw_hydro_bm!F432,"")</f>
        <v>0</v>
      </c>
      <c r="F432">
        <f>IF(ROW(F432)&lt;=Bidding!$D$11,Raw_hydro_bm!G432,"")</f>
        <v>1</v>
      </c>
      <c r="G432">
        <f>IF(ROW(G432)&lt;=Bidding!$D$11,Raw_hydro_bm!H432,"")</f>
        <v>1</v>
      </c>
      <c r="H432" t="str">
        <f>IF(ROW(H432)&lt;=Bidding!$D$11,Raw_hydro_bm!I432,"")</f>
        <v>0.0</v>
      </c>
      <c r="I432" s="16">
        <f t="shared" si="6"/>
        <v>0</v>
      </c>
    </row>
    <row r="433" spans="1:9" x14ac:dyDescent="0.3">
      <c r="A433" t="str">
        <f>IF(ROW(A433)&lt;=Bidding!$D$11,Raw_hydro_bm!B433,"")</f>
        <v>v</v>
      </c>
      <c r="B433" t="str">
        <f>IF(ROW(B433)&lt;=Bidding!$D$11,Raw_hydro_bm!C433,"")</f>
        <v>c</v>
      </c>
      <c r="C433">
        <f>IF(ROW(C433)&lt;=Bidding!$D$11,Raw_hydro_bm!D433,"")</f>
        <v>0</v>
      </c>
      <c r="D433">
        <f>IF(ROW(D433)&lt;=Bidding!$D$11,Raw_hydro_bm!E433,"")</f>
        <v>9</v>
      </c>
      <c r="E433">
        <f>IF(ROW(E433)&lt;=Bidding!$D$11,Raw_hydro_bm!F433,"")</f>
        <v>0</v>
      </c>
      <c r="F433">
        <f>IF(ROW(F433)&lt;=Bidding!$D$11,Raw_hydro_bm!G433,"")</f>
        <v>1</v>
      </c>
      <c r="G433">
        <f>IF(ROW(G433)&lt;=Bidding!$D$11,Raw_hydro_bm!H433,"")</f>
        <v>1</v>
      </c>
      <c r="H433" t="str">
        <f>IF(ROW(H433)&lt;=Bidding!$D$11,Raw_hydro_bm!I433,"")</f>
        <v>0.0</v>
      </c>
      <c r="I433" s="16">
        <f t="shared" si="6"/>
        <v>0</v>
      </c>
    </row>
    <row r="434" spans="1:9" x14ac:dyDescent="0.3">
      <c r="A434" t="str">
        <f>IF(ROW(A434)&lt;=Bidding!$D$11,Raw_hydro_bm!B434,"")</f>
        <v>p</v>
      </c>
      <c r="B434" t="str">
        <f>IF(ROW(B434)&lt;=Bidding!$D$11,Raw_hydro_bm!C434,"")</f>
        <v>c</v>
      </c>
      <c r="C434">
        <f>IF(ROW(C434)&lt;=Bidding!$D$11,Raw_hydro_bm!D434,"")</f>
        <v>0</v>
      </c>
      <c r="D434">
        <f>IF(ROW(D434)&lt;=Bidding!$D$11,Raw_hydro_bm!E434,"")</f>
        <v>9</v>
      </c>
      <c r="E434">
        <f>IF(ROW(E434)&lt;=Bidding!$D$11,Raw_hydro_bm!F434,"")</f>
        <v>0</v>
      </c>
      <c r="F434">
        <f>IF(ROW(F434)&lt;=Bidding!$D$11,Raw_hydro_bm!G434,"")</f>
        <v>1</v>
      </c>
      <c r="G434">
        <f>IF(ROW(G434)&lt;=Bidding!$D$11,Raw_hydro_bm!H434,"")</f>
        <v>2</v>
      </c>
      <c r="H434" t="str">
        <f>IF(ROW(H434)&lt;=Bidding!$D$11,Raw_hydro_bm!I434,"")</f>
        <v>0.0</v>
      </c>
      <c r="I434" s="16">
        <f t="shared" si="6"/>
        <v>0</v>
      </c>
    </row>
    <row r="435" spans="1:9" x14ac:dyDescent="0.3">
      <c r="A435" t="str">
        <f>IF(ROW(A435)&lt;=Bidding!$D$11,Raw_hydro_bm!B435,"")</f>
        <v>v</v>
      </c>
      <c r="B435" t="str">
        <f>IF(ROW(B435)&lt;=Bidding!$D$11,Raw_hydro_bm!C435,"")</f>
        <v>c</v>
      </c>
      <c r="C435">
        <f>IF(ROW(C435)&lt;=Bidding!$D$11,Raw_hydro_bm!D435,"")</f>
        <v>0</v>
      </c>
      <c r="D435">
        <f>IF(ROW(D435)&lt;=Bidding!$D$11,Raw_hydro_bm!E435,"")</f>
        <v>9</v>
      </c>
      <c r="E435">
        <f>IF(ROW(E435)&lt;=Bidding!$D$11,Raw_hydro_bm!F435,"")</f>
        <v>0</v>
      </c>
      <c r="F435">
        <f>IF(ROW(F435)&lt;=Bidding!$D$11,Raw_hydro_bm!G435,"")</f>
        <v>1</v>
      </c>
      <c r="G435">
        <f>IF(ROW(G435)&lt;=Bidding!$D$11,Raw_hydro_bm!H435,"")</f>
        <v>2</v>
      </c>
      <c r="H435" t="str">
        <f>IF(ROW(H435)&lt;=Bidding!$D$11,Raw_hydro_bm!I435,"")</f>
        <v>0.0</v>
      </c>
      <c r="I435" s="16">
        <f t="shared" si="6"/>
        <v>0</v>
      </c>
    </row>
    <row r="436" spans="1:9" x14ac:dyDescent="0.3">
      <c r="A436" t="str">
        <f>IF(ROW(A436)&lt;=Bidding!$D$11,Raw_hydro_bm!B436,"")</f>
        <v>b</v>
      </c>
      <c r="B436" t="str">
        <f>IF(ROW(B436)&lt;=Bidding!$D$11,Raw_hydro_bm!C436,"")</f>
        <v>v</v>
      </c>
      <c r="C436" t="str">
        <f>IF(ROW(C436)&lt;=Bidding!$D$11,Raw_hydro_bm!D436,"")</f>
        <v>X</v>
      </c>
      <c r="D436">
        <f>IF(ROW(D436)&lt;=Bidding!$D$11,Raw_hydro_bm!E436,"")</f>
        <v>0</v>
      </c>
      <c r="E436">
        <f>IF(ROW(E436)&lt;=Bidding!$D$11,Raw_hydro_bm!F436,"")</f>
        <v>9</v>
      </c>
      <c r="F436">
        <f>IF(ROW(F436)&lt;=Bidding!$D$11,Raw_hydro_bm!G436,"")</f>
        <v>1</v>
      </c>
      <c r="G436">
        <f>IF(ROW(G436)&lt;=Bidding!$D$11,Raw_hydro_bm!H436,"")</f>
        <v>0</v>
      </c>
      <c r="H436" t="str">
        <f>IF(ROW(H436)&lt;=Bidding!$D$11,Raw_hydro_bm!I436,"")</f>
        <v>0.0</v>
      </c>
      <c r="I436" s="16">
        <f t="shared" si="6"/>
        <v>0</v>
      </c>
    </row>
    <row r="437" spans="1:9" x14ac:dyDescent="0.3">
      <c r="A437" t="str">
        <f>IF(ROW(A437)&lt;=Bidding!$D$11,Raw_hydro_bm!B437,"")</f>
        <v>b</v>
      </c>
      <c r="B437" t="str">
        <f>IF(ROW(B437)&lt;=Bidding!$D$11,Raw_hydro_bm!C437,"")</f>
        <v>v</v>
      </c>
      <c r="C437" t="str">
        <f>IF(ROW(C437)&lt;=Bidding!$D$11,Raw_hydro_bm!D437,"")</f>
        <v>X</v>
      </c>
      <c r="D437">
        <f>IF(ROW(D437)&lt;=Bidding!$D$11,Raw_hydro_bm!E437,"")</f>
        <v>0</v>
      </c>
      <c r="E437">
        <f>IF(ROW(E437)&lt;=Bidding!$D$11,Raw_hydro_bm!F437,"")</f>
        <v>9</v>
      </c>
      <c r="F437">
        <f>IF(ROW(F437)&lt;=Bidding!$D$11,Raw_hydro_bm!G437,"")</f>
        <v>1</v>
      </c>
      <c r="G437">
        <f>IF(ROW(G437)&lt;=Bidding!$D$11,Raw_hydro_bm!H437,"")</f>
        <v>1</v>
      </c>
      <c r="H437" t="str">
        <f>IF(ROW(H437)&lt;=Bidding!$D$11,Raw_hydro_bm!I437,"")</f>
        <v>0.0</v>
      </c>
      <c r="I437" s="16">
        <f t="shared" si="6"/>
        <v>0</v>
      </c>
    </row>
    <row r="438" spans="1:9" x14ac:dyDescent="0.3">
      <c r="A438" t="str">
        <f>IF(ROW(A438)&lt;=Bidding!$D$11,Raw_hydro_bm!B438,"")</f>
        <v>b</v>
      </c>
      <c r="B438" t="str">
        <f>IF(ROW(B438)&lt;=Bidding!$D$11,Raw_hydro_bm!C438,"")</f>
        <v>v</v>
      </c>
      <c r="C438" t="str">
        <f>IF(ROW(C438)&lt;=Bidding!$D$11,Raw_hydro_bm!D438,"")</f>
        <v>X</v>
      </c>
      <c r="D438">
        <f>IF(ROW(D438)&lt;=Bidding!$D$11,Raw_hydro_bm!E438,"")</f>
        <v>0</v>
      </c>
      <c r="E438">
        <f>IF(ROW(E438)&lt;=Bidding!$D$11,Raw_hydro_bm!F438,"")</f>
        <v>9</v>
      </c>
      <c r="F438">
        <f>IF(ROW(F438)&lt;=Bidding!$D$11,Raw_hydro_bm!G438,"")</f>
        <v>1</v>
      </c>
      <c r="G438">
        <f>IF(ROW(G438)&lt;=Bidding!$D$11,Raw_hydro_bm!H438,"")</f>
        <v>2</v>
      </c>
      <c r="H438" t="str">
        <f>IF(ROW(H438)&lt;=Bidding!$D$11,Raw_hydro_bm!I438,"")</f>
        <v>60.0</v>
      </c>
      <c r="I438" s="16">
        <f t="shared" si="6"/>
        <v>60</v>
      </c>
    </row>
    <row r="439" spans="1:9" x14ac:dyDescent="0.3">
      <c r="A439" t="str">
        <f>IF(ROW(A439)&lt;=Bidding!$D$11,Raw_hydro_bm!B439,"")</f>
        <v>p</v>
      </c>
      <c r="B439" t="str">
        <f>IF(ROW(B439)&lt;=Bidding!$D$11,Raw_hydro_bm!C439,"")</f>
        <v>c</v>
      </c>
      <c r="C439">
        <f>IF(ROW(C439)&lt;=Bidding!$D$11,Raw_hydro_bm!D439,"")</f>
        <v>0</v>
      </c>
      <c r="D439">
        <f>IF(ROW(D439)&lt;=Bidding!$D$11,Raw_hydro_bm!E439,"")</f>
        <v>9</v>
      </c>
      <c r="E439">
        <f>IF(ROW(E439)&lt;=Bidding!$D$11,Raw_hydro_bm!F439,"")</f>
        <v>1</v>
      </c>
      <c r="F439">
        <f>IF(ROW(F439)&lt;=Bidding!$D$11,Raw_hydro_bm!G439,"")</f>
        <v>0</v>
      </c>
      <c r="G439">
        <f>IF(ROW(G439)&lt;=Bidding!$D$11,Raw_hydro_bm!H439,"")</f>
        <v>0</v>
      </c>
      <c r="H439" t="str">
        <f>IF(ROW(H439)&lt;=Bidding!$D$11,Raw_hydro_bm!I439,"")</f>
        <v>0.0</v>
      </c>
      <c r="I439" s="16">
        <f t="shared" si="6"/>
        <v>0</v>
      </c>
    </row>
    <row r="440" spans="1:9" x14ac:dyDescent="0.3">
      <c r="A440" t="str">
        <f>IF(ROW(A440)&lt;=Bidding!$D$11,Raw_hydro_bm!B440,"")</f>
        <v>v</v>
      </c>
      <c r="B440" t="str">
        <f>IF(ROW(B440)&lt;=Bidding!$D$11,Raw_hydro_bm!C440,"")</f>
        <v>c</v>
      </c>
      <c r="C440">
        <f>IF(ROW(C440)&lt;=Bidding!$D$11,Raw_hydro_bm!D440,"")</f>
        <v>0</v>
      </c>
      <c r="D440">
        <f>IF(ROW(D440)&lt;=Bidding!$D$11,Raw_hydro_bm!E440,"")</f>
        <v>9</v>
      </c>
      <c r="E440">
        <f>IF(ROW(E440)&lt;=Bidding!$D$11,Raw_hydro_bm!F440,"")</f>
        <v>1</v>
      </c>
      <c r="F440">
        <f>IF(ROW(F440)&lt;=Bidding!$D$11,Raw_hydro_bm!G440,"")</f>
        <v>0</v>
      </c>
      <c r="G440">
        <f>IF(ROW(G440)&lt;=Bidding!$D$11,Raw_hydro_bm!H440,"")</f>
        <v>0</v>
      </c>
      <c r="H440" t="str">
        <f>IF(ROW(H440)&lt;=Bidding!$D$11,Raw_hydro_bm!I440,"")</f>
        <v>0.0</v>
      </c>
      <c r="I440" s="16">
        <f t="shared" si="6"/>
        <v>0</v>
      </c>
    </row>
    <row r="441" spans="1:9" x14ac:dyDescent="0.3">
      <c r="A441" t="str">
        <f>IF(ROW(A441)&lt;=Bidding!$D$11,Raw_hydro_bm!B441,"")</f>
        <v>p</v>
      </c>
      <c r="B441" t="str">
        <f>IF(ROW(B441)&lt;=Bidding!$D$11,Raw_hydro_bm!C441,"")</f>
        <v>c</v>
      </c>
      <c r="C441">
        <f>IF(ROW(C441)&lt;=Bidding!$D$11,Raw_hydro_bm!D441,"")</f>
        <v>0</v>
      </c>
      <c r="D441">
        <f>IF(ROW(D441)&lt;=Bidding!$D$11,Raw_hydro_bm!E441,"")</f>
        <v>9</v>
      </c>
      <c r="E441">
        <f>IF(ROW(E441)&lt;=Bidding!$D$11,Raw_hydro_bm!F441,"")</f>
        <v>1</v>
      </c>
      <c r="F441">
        <f>IF(ROW(F441)&lt;=Bidding!$D$11,Raw_hydro_bm!G441,"")</f>
        <v>0</v>
      </c>
      <c r="G441">
        <f>IF(ROW(G441)&lt;=Bidding!$D$11,Raw_hydro_bm!H441,"")</f>
        <v>1</v>
      </c>
      <c r="H441" t="str">
        <f>IF(ROW(H441)&lt;=Bidding!$D$11,Raw_hydro_bm!I441,"")</f>
        <v>0.0</v>
      </c>
      <c r="I441" s="16">
        <f t="shared" si="6"/>
        <v>0</v>
      </c>
    </row>
    <row r="442" spans="1:9" x14ac:dyDescent="0.3">
      <c r="A442" t="str">
        <f>IF(ROW(A442)&lt;=Bidding!$D$11,Raw_hydro_bm!B442,"")</f>
        <v>v</v>
      </c>
      <c r="B442" t="str">
        <f>IF(ROW(B442)&lt;=Bidding!$D$11,Raw_hydro_bm!C442,"")</f>
        <v>c</v>
      </c>
      <c r="C442">
        <f>IF(ROW(C442)&lt;=Bidding!$D$11,Raw_hydro_bm!D442,"")</f>
        <v>0</v>
      </c>
      <c r="D442">
        <f>IF(ROW(D442)&lt;=Bidding!$D$11,Raw_hydro_bm!E442,"")</f>
        <v>9</v>
      </c>
      <c r="E442">
        <f>IF(ROW(E442)&lt;=Bidding!$D$11,Raw_hydro_bm!F442,"")</f>
        <v>1</v>
      </c>
      <c r="F442">
        <f>IF(ROW(F442)&lt;=Bidding!$D$11,Raw_hydro_bm!G442,"")</f>
        <v>0</v>
      </c>
      <c r="G442">
        <f>IF(ROW(G442)&lt;=Bidding!$D$11,Raw_hydro_bm!H442,"")</f>
        <v>1</v>
      </c>
      <c r="H442" t="str">
        <f>IF(ROW(H442)&lt;=Bidding!$D$11,Raw_hydro_bm!I442,"")</f>
        <v>0.0</v>
      </c>
      <c r="I442" s="16">
        <f t="shared" si="6"/>
        <v>0</v>
      </c>
    </row>
    <row r="443" spans="1:9" x14ac:dyDescent="0.3">
      <c r="A443" t="str">
        <f>IF(ROW(A443)&lt;=Bidding!$D$11,Raw_hydro_bm!B443,"")</f>
        <v>p</v>
      </c>
      <c r="B443" t="str">
        <f>IF(ROW(B443)&lt;=Bidding!$D$11,Raw_hydro_bm!C443,"")</f>
        <v>c</v>
      </c>
      <c r="C443">
        <f>IF(ROW(C443)&lt;=Bidding!$D$11,Raw_hydro_bm!D443,"")</f>
        <v>0</v>
      </c>
      <c r="D443">
        <f>IF(ROW(D443)&lt;=Bidding!$D$11,Raw_hydro_bm!E443,"")</f>
        <v>9</v>
      </c>
      <c r="E443">
        <f>IF(ROW(E443)&lt;=Bidding!$D$11,Raw_hydro_bm!F443,"")</f>
        <v>1</v>
      </c>
      <c r="F443">
        <f>IF(ROW(F443)&lt;=Bidding!$D$11,Raw_hydro_bm!G443,"")</f>
        <v>0</v>
      </c>
      <c r="G443">
        <f>IF(ROW(G443)&lt;=Bidding!$D$11,Raw_hydro_bm!H443,"")</f>
        <v>2</v>
      </c>
      <c r="H443" t="str">
        <f>IF(ROW(H443)&lt;=Bidding!$D$11,Raw_hydro_bm!I443,"")</f>
        <v>0.0</v>
      </c>
      <c r="I443" s="16">
        <f t="shared" si="6"/>
        <v>0</v>
      </c>
    </row>
    <row r="444" spans="1:9" x14ac:dyDescent="0.3">
      <c r="A444" t="str">
        <f>IF(ROW(A444)&lt;=Bidding!$D$11,Raw_hydro_bm!B444,"")</f>
        <v>v</v>
      </c>
      <c r="B444" t="str">
        <f>IF(ROW(B444)&lt;=Bidding!$D$11,Raw_hydro_bm!C444,"")</f>
        <v>c</v>
      </c>
      <c r="C444">
        <f>IF(ROW(C444)&lt;=Bidding!$D$11,Raw_hydro_bm!D444,"")</f>
        <v>0</v>
      </c>
      <c r="D444">
        <f>IF(ROW(D444)&lt;=Bidding!$D$11,Raw_hydro_bm!E444,"")</f>
        <v>9</v>
      </c>
      <c r="E444">
        <f>IF(ROW(E444)&lt;=Bidding!$D$11,Raw_hydro_bm!F444,"")</f>
        <v>1</v>
      </c>
      <c r="F444">
        <f>IF(ROW(F444)&lt;=Bidding!$D$11,Raw_hydro_bm!G444,"")</f>
        <v>0</v>
      </c>
      <c r="G444">
        <f>IF(ROW(G444)&lt;=Bidding!$D$11,Raw_hydro_bm!H444,"")</f>
        <v>2</v>
      </c>
      <c r="H444" t="str">
        <f>IF(ROW(H444)&lt;=Bidding!$D$11,Raw_hydro_bm!I444,"")</f>
        <v>0.0</v>
      </c>
      <c r="I444" s="16">
        <f t="shared" si="6"/>
        <v>0</v>
      </c>
    </row>
    <row r="445" spans="1:9" x14ac:dyDescent="0.3">
      <c r="A445" t="str">
        <f>IF(ROW(A445)&lt;=Bidding!$D$11,Raw_hydro_bm!B445,"")</f>
        <v>p</v>
      </c>
      <c r="B445" t="str">
        <f>IF(ROW(B445)&lt;=Bidding!$D$11,Raw_hydro_bm!C445,"")</f>
        <v>c</v>
      </c>
      <c r="C445">
        <f>IF(ROW(C445)&lt;=Bidding!$D$11,Raw_hydro_bm!D445,"")</f>
        <v>0</v>
      </c>
      <c r="D445">
        <f>IF(ROW(D445)&lt;=Bidding!$D$11,Raw_hydro_bm!E445,"")</f>
        <v>9</v>
      </c>
      <c r="E445">
        <f>IF(ROW(E445)&lt;=Bidding!$D$11,Raw_hydro_bm!F445,"")</f>
        <v>1</v>
      </c>
      <c r="F445">
        <f>IF(ROW(F445)&lt;=Bidding!$D$11,Raw_hydro_bm!G445,"")</f>
        <v>1</v>
      </c>
      <c r="G445">
        <f>IF(ROW(G445)&lt;=Bidding!$D$11,Raw_hydro_bm!H445,"")</f>
        <v>0</v>
      </c>
      <c r="H445" t="str">
        <f>IF(ROW(H445)&lt;=Bidding!$D$11,Raw_hydro_bm!I445,"")</f>
        <v>0.0</v>
      </c>
      <c r="I445" s="16">
        <f t="shared" si="6"/>
        <v>0</v>
      </c>
    </row>
    <row r="446" spans="1:9" x14ac:dyDescent="0.3">
      <c r="A446" t="str">
        <f>IF(ROW(A446)&lt;=Bidding!$D$11,Raw_hydro_bm!B446,"")</f>
        <v>v</v>
      </c>
      <c r="B446" t="str">
        <f>IF(ROW(B446)&lt;=Bidding!$D$11,Raw_hydro_bm!C446,"")</f>
        <v>c</v>
      </c>
      <c r="C446">
        <f>IF(ROW(C446)&lt;=Bidding!$D$11,Raw_hydro_bm!D446,"")</f>
        <v>0</v>
      </c>
      <c r="D446">
        <f>IF(ROW(D446)&lt;=Bidding!$D$11,Raw_hydro_bm!E446,"")</f>
        <v>9</v>
      </c>
      <c r="E446">
        <f>IF(ROW(E446)&lt;=Bidding!$D$11,Raw_hydro_bm!F446,"")</f>
        <v>1</v>
      </c>
      <c r="F446">
        <f>IF(ROW(F446)&lt;=Bidding!$D$11,Raw_hydro_bm!G446,"")</f>
        <v>1</v>
      </c>
      <c r="G446">
        <f>IF(ROW(G446)&lt;=Bidding!$D$11,Raw_hydro_bm!H446,"")</f>
        <v>0</v>
      </c>
      <c r="H446" t="str">
        <f>IF(ROW(H446)&lt;=Bidding!$D$11,Raw_hydro_bm!I446,"")</f>
        <v>30.0</v>
      </c>
      <c r="I446" s="16">
        <f t="shared" si="6"/>
        <v>30</v>
      </c>
    </row>
    <row r="447" spans="1:9" x14ac:dyDescent="0.3">
      <c r="A447" t="str">
        <f>IF(ROW(A447)&lt;=Bidding!$D$11,Raw_hydro_bm!B447,"")</f>
        <v>p</v>
      </c>
      <c r="B447" t="str">
        <f>IF(ROW(B447)&lt;=Bidding!$D$11,Raw_hydro_bm!C447,"")</f>
        <v>c</v>
      </c>
      <c r="C447">
        <f>IF(ROW(C447)&lt;=Bidding!$D$11,Raw_hydro_bm!D447,"")</f>
        <v>0</v>
      </c>
      <c r="D447">
        <f>IF(ROW(D447)&lt;=Bidding!$D$11,Raw_hydro_bm!E447,"")</f>
        <v>9</v>
      </c>
      <c r="E447">
        <f>IF(ROW(E447)&lt;=Bidding!$D$11,Raw_hydro_bm!F447,"")</f>
        <v>1</v>
      </c>
      <c r="F447">
        <f>IF(ROW(F447)&lt;=Bidding!$D$11,Raw_hydro_bm!G447,"")</f>
        <v>1</v>
      </c>
      <c r="G447">
        <f>IF(ROW(G447)&lt;=Bidding!$D$11,Raw_hydro_bm!H447,"")</f>
        <v>1</v>
      </c>
      <c r="H447" t="str">
        <f>IF(ROW(H447)&lt;=Bidding!$D$11,Raw_hydro_bm!I447,"")</f>
        <v>0.0</v>
      </c>
      <c r="I447" s="16">
        <f t="shared" si="6"/>
        <v>0</v>
      </c>
    </row>
    <row r="448" spans="1:9" x14ac:dyDescent="0.3">
      <c r="A448" t="str">
        <f>IF(ROW(A448)&lt;=Bidding!$D$11,Raw_hydro_bm!B448,"")</f>
        <v>v</v>
      </c>
      <c r="B448" t="str">
        <f>IF(ROW(B448)&lt;=Bidding!$D$11,Raw_hydro_bm!C448,"")</f>
        <v>c</v>
      </c>
      <c r="C448">
        <f>IF(ROW(C448)&lt;=Bidding!$D$11,Raw_hydro_bm!D448,"")</f>
        <v>0</v>
      </c>
      <c r="D448">
        <f>IF(ROW(D448)&lt;=Bidding!$D$11,Raw_hydro_bm!E448,"")</f>
        <v>9</v>
      </c>
      <c r="E448">
        <f>IF(ROW(E448)&lt;=Bidding!$D$11,Raw_hydro_bm!F448,"")</f>
        <v>1</v>
      </c>
      <c r="F448">
        <f>IF(ROW(F448)&lt;=Bidding!$D$11,Raw_hydro_bm!G448,"")</f>
        <v>1</v>
      </c>
      <c r="G448">
        <f>IF(ROW(G448)&lt;=Bidding!$D$11,Raw_hydro_bm!H448,"")</f>
        <v>1</v>
      </c>
      <c r="H448" t="str">
        <f>IF(ROW(H448)&lt;=Bidding!$D$11,Raw_hydro_bm!I448,"")</f>
        <v>20.0</v>
      </c>
      <c r="I448" s="16">
        <f t="shared" si="6"/>
        <v>20</v>
      </c>
    </row>
    <row r="449" spans="1:9" x14ac:dyDescent="0.3">
      <c r="A449" t="str">
        <f>IF(ROW(A449)&lt;=Bidding!$D$11,Raw_hydro_bm!B449,"")</f>
        <v>p</v>
      </c>
      <c r="B449" t="str">
        <f>IF(ROW(B449)&lt;=Bidding!$D$11,Raw_hydro_bm!C449,"")</f>
        <v>c</v>
      </c>
      <c r="C449">
        <f>IF(ROW(C449)&lt;=Bidding!$D$11,Raw_hydro_bm!D449,"")</f>
        <v>0</v>
      </c>
      <c r="D449">
        <f>IF(ROW(D449)&lt;=Bidding!$D$11,Raw_hydro_bm!E449,"")</f>
        <v>9</v>
      </c>
      <c r="E449">
        <f>IF(ROW(E449)&lt;=Bidding!$D$11,Raw_hydro_bm!F449,"")</f>
        <v>1</v>
      </c>
      <c r="F449">
        <f>IF(ROW(F449)&lt;=Bidding!$D$11,Raw_hydro_bm!G449,"")</f>
        <v>1</v>
      </c>
      <c r="G449">
        <f>IF(ROW(G449)&lt;=Bidding!$D$11,Raw_hydro_bm!H449,"")</f>
        <v>2</v>
      </c>
      <c r="H449" t="str">
        <f>IF(ROW(H449)&lt;=Bidding!$D$11,Raw_hydro_bm!I449,"")</f>
        <v>0.0</v>
      </c>
      <c r="I449" s="16">
        <f t="shared" si="6"/>
        <v>0</v>
      </c>
    </row>
    <row r="450" spans="1:9" x14ac:dyDescent="0.3">
      <c r="A450" t="str">
        <f>IF(ROW(A450)&lt;=Bidding!$D$11,Raw_hydro_bm!B450,"")</f>
        <v>v</v>
      </c>
      <c r="B450" t="str">
        <f>IF(ROW(B450)&lt;=Bidding!$D$11,Raw_hydro_bm!C450,"")</f>
        <v>c</v>
      </c>
      <c r="C450">
        <f>IF(ROW(C450)&lt;=Bidding!$D$11,Raw_hydro_bm!D450,"")</f>
        <v>0</v>
      </c>
      <c r="D450">
        <f>IF(ROW(D450)&lt;=Bidding!$D$11,Raw_hydro_bm!E450,"")</f>
        <v>9</v>
      </c>
      <c r="E450">
        <f>IF(ROW(E450)&lt;=Bidding!$D$11,Raw_hydro_bm!F450,"")</f>
        <v>1</v>
      </c>
      <c r="F450">
        <f>IF(ROW(F450)&lt;=Bidding!$D$11,Raw_hydro_bm!G450,"")</f>
        <v>1</v>
      </c>
      <c r="G450">
        <f>IF(ROW(G450)&lt;=Bidding!$D$11,Raw_hydro_bm!H450,"")</f>
        <v>2</v>
      </c>
      <c r="H450" t="str">
        <f>IF(ROW(H450)&lt;=Bidding!$D$11,Raw_hydro_bm!I450,"")</f>
        <v>10.0</v>
      </c>
      <c r="I450" s="16">
        <f t="shared" ref="I450:I513" si="7">IF(IFERROR(FIND("e",H450),-1)&lt;0,IFERROR(_xlfn.NUMBERVALUE(LEFT(H450,FIND(".",H450)-1))+_xlfn.NUMBERVALUE("0,"&amp;RIGHT(H450,LEN(H450)-FIND(".",H450))),""),0)</f>
        <v>10</v>
      </c>
    </row>
    <row r="451" spans="1:9" x14ac:dyDescent="0.3">
      <c r="A451" t="str">
        <f>IF(ROW(A451)&lt;=Bidding!$D$11,Raw_hydro_bm!B451,"")</f>
        <v>b</v>
      </c>
      <c r="B451" t="str">
        <f>IF(ROW(B451)&lt;=Bidding!$D$11,Raw_hydro_bm!C451,"")</f>
        <v>v</v>
      </c>
      <c r="C451" t="str">
        <f>IF(ROW(C451)&lt;=Bidding!$D$11,Raw_hydro_bm!D451,"")</f>
        <v>X</v>
      </c>
      <c r="D451">
        <f>IF(ROW(D451)&lt;=Bidding!$D$11,Raw_hydro_bm!E451,"")</f>
        <v>1</v>
      </c>
      <c r="E451">
        <f>IF(ROW(E451)&lt;=Bidding!$D$11,Raw_hydro_bm!F451,"")</f>
        <v>0</v>
      </c>
      <c r="F451">
        <f>IF(ROW(F451)&lt;=Bidding!$D$11,Raw_hydro_bm!G451,"")</f>
        <v>0</v>
      </c>
      <c r="G451">
        <f>IF(ROW(G451)&lt;=Bidding!$D$11,Raw_hydro_bm!H451,"")</f>
        <v>0</v>
      </c>
      <c r="H451" t="str">
        <f>IF(ROW(H451)&lt;=Bidding!$D$11,Raw_hydro_bm!I451,"")</f>
        <v>0.0</v>
      </c>
      <c r="I451" s="16">
        <f t="shared" si="7"/>
        <v>0</v>
      </c>
    </row>
    <row r="452" spans="1:9" x14ac:dyDescent="0.3">
      <c r="A452" t="str">
        <f>IF(ROW(A452)&lt;=Bidding!$D$11,Raw_hydro_bm!B452,"")</f>
        <v>b</v>
      </c>
      <c r="B452" t="str">
        <f>IF(ROW(B452)&lt;=Bidding!$D$11,Raw_hydro_bm!C452,"")</f>
        <v>v</v>
      </c>
      <c r="C452" t="str">
        <f>IF(ROW(C452)&lt;=Bidding!$D$11,Raw_hydro_bm!D452,"")</f>
        <v>X</v>
      </c>
      <c r="D452">
        <f>IF(ROW(D452)&lt;=Bidding!$D$11,Raw_hydro_bm!E452,"")</f>
        <v>1</v>
      </c>
      <c r="E452">
        <f>IF(ROW(E452)&lt;=Bidding!$D$11,Raw_hydro_bm!F452,"")</f>
        <v>0</v>
      </c>
      <c r="F452">
        <f>IF(ROW(F452)&lt;=Bidding!$D$11,Raw_hydro_bm!G452,"")</f>
        <v>0</v>
      </c>
      <c r="G452">
        <f>IF(ROW(G452)&lt;=Bidding!$D$11,Raw_hydro_bm!H452,"")</f>
        <v>1</v>
      </c>
      <c r="H452" t="str">
        <f>IF(ROW(H452)&lt;=Bidding!$D$11,Raw_hydro_bm!I452,"")</f>
        <v>0.0</v>
      </c>
      <c r="I452" s="16">
        <f t="shared" si="7"/>
        <v>0</v>
      </c>
    </row>
    <row r="453" spans="1:9" x14ac:dyDescent="0.3">
      <c r="A453" t="str">
        <f>IF(ROW(A453)&lt;=Bidding!$D$11,Raw_hydro_bm!B453,"")</f>
        <v>b</v>
      </c>
      <c r="B453" t="str">
        <f>IF(ROW(B453)&lt;=Bidding!$D$11,Raw_hydro_bm!C453,"")</f>
        <v>v</v>
      </c>
      <c r="C453" t="str">
        <f>IF(ROW(C453)&lt;=Bidding!$D$11,Raw_hydro_bm!D453,"")</f>
        <v>X</v>
      </c>
      <c r="D453">
        <f>IF(ROW(D453)&lt;=Bidding!$D$11,Raw_hydro_bm!E453,"")</f>
        <v>1</v>
      </c>
      <c r="E453">
        <f>IF(ROW(E453)&lt;=Bidding!$D$11,Raw_hydro_bm!F453,"")</f>
        <v>0</v>
      </c>
      <c r="F453">
        <f>IF(ROW(F453)&lt;=Bidding!$D$11,Raw_hydro_bm!G453,"")</f>
        <v>0</v>
      </c>
      <c r="G453">
        <f>IF(ROW(G453)&lt;=Bidding!$D$11,Raw_hydro_bm!H453,"")</f>
        <v>2</v>
      </c>
      <c r="H453" t="str">
        <f>IF(ROW(H453)&lt;=Bidding!$D$11,Raw_hydro_bm!I453,"")</f>
        <v>60.0</v>
      </c>
      <c r="I453" s="16">
        <f t="shared" si="7"/>
        <v>60</v>
      </c>
    </row>
    <row r="454" spans="1:9" x14ac:dyDescent="0.3">
      <c r="A454" t="str">
        <f>IF(ROW(A454)&lt;=Bidding!$D$11,Raw_hydro_bm!B454,"")</f>
        <v>p</v>
      </c>
      <c r="B454" t="str">
        <f>IF(ROW(B454)&lt;=Bidding!$D$11,Raw_hydro_bm!C454,"")</f>
        <v>c</v>
      </c>
      <c r="C454">
        <f>IF(ROW(C454)&lt;=Bidding!$D$11,Raw_hydro_bm!D454,"")</f>
        <v>1</v>
      </c>
      <c r="D454">
        <f>IF(ROW(D454)&lt;=Bidding!$D$11,Raw_hydro_bm!E454,"")</f>
        <v>0</v>
      </c>
      <c r="E454">
        <f>IF(ROW(E454)&lt;=Bidding!$D$11,Raw_hydro_bm!F454,"")</f>
        <v>0</v>
      </c>
      <c r="F454">
        <f>IF(ROW(F454)&lt;=Bidding!$D$11,Raw_hydro_bm!G454,"")</f>
        <v>0</v>
      </c>
      <c r="G454">
        <f>IF(ROW(G454)&lt;=Bidding!$D$11,Raw_hydro_bm!H454,"")</f>
        <v>0</v>
      </c>
      <c r="H454" t="str">
        <f>IF(ROW(H454)&lt;=Bidding!$D$11,Raw_hydro_bm!I454,"")</f>
        <v>0.0</v>
      </c>
      <c r="I454" s="16">
        <f t="shared" si="7"/>
        <v>0</v>
      </c>
    </row>
    <row r="455" spans="1:9" x14ac:dyDescent="0.3">
      <c r="A455" t="str">
        <f>IF(ROW(A455)&lt;=Bidding!$D$11,Raw_hydro_bm!B455,"")</f>
        <v>v</v>
      </c>
      <c r="B455" t="str">
        <f>IF(ROW(B455)&lt;=Bidding!$D$11,Raw_hydro_bm!C455,"")</f>
        <v>c</v>
      </c>
      <c r="C455">
        <f>IF(ROW(C455)&lt;=Bidding!$D$11,Raw_hydro_bm!D455,"")</f>
        <v>1</v>
      </c>
      <c r="D455">
        <f>IF(ROW(D455)&lt;=Bidding!$D$11,Raw_hydro_bm!E455,"")</f>
        <v>0</v>
      </c>
      <c r="E455">
        <f>IF(ROW(E455)&lt;=Bidding!$D$11,Raw_hydro_bm!F455,"")</f>
        <v>0</v>
      </c>
      <c r="F455">
        <f>IF(ROW(F455)&lt;=Bidding!$D$11,Raw_hydro_bm!G455,"")</f>
        <v>0</v>
      </c>
      <c r="G455">
        <f>IF(ROW(G455)&lt;=Bidding!$D$11,Raw_hydro_bm!H455,"")</f>
        <v>0</v>
      </c>
      <c r="H455" t="str">
        <f>IF(ROW(H455)&lt;=Bidding!$D$11,Raw_hydro_bm!I455,"")</f>
        <v>10.0</v>
      </c>
      <c r="I455" s="16">
        <f t="shared" si="7"/>
        <v>10</v>
      </c>
    </row>
    <row r="456" spans="1:9" x14ac:dyDescent="0.3">
      <c r="A456" t="str">
        <f>IF(ROW(A456)&lt;=Bidding!$D$11,Raw_hydro_bm!B456,"")</f>
        <v>p</v>
      </c>
      <c r="B456" t="str">
        <f>IF(ROW(B456)&lt;=Bidding!$D$11,Raw_hydro_bm!C456,"")</f>
        <v>c</v>
      </c>
      <c r="C456">
        <f>IF(ROW(C456)&lt;=Bidding!$D$11,Raw_hydro_bm!D456,"")</f>
        <v>1</v>
      </c>
      <c r="D456">
        <f>IF(ROW(D456)&lt;=Bidding!$D$11,Raw_hydro_bm!E456,"")</f>
        <v>0</v>
      </c>
      <c r="E456">
        <f>IF(ROW(E456)&lt;=Bidding!$D$11,Raw_hydro_bm!F456,"")</f>
        <v>0</v>
      </c>
      <c r="F456">
        <f>IF(ROW(F456)&lt;=Bidding!$D$11,Raw_hydro_bm!G456,"")</f>
        <v>0</v>
      </c>
      <c r="G456">
        <f>IF(ROW(G456)&lt;=Bidding!$D$11,Raw_hydro_bm!H456,"")</f>
        <v>1</v>
      </c>
      <c r="H456" t="str">
        <f>IF(ROW(H456)&lt;=Bidding!$D$11,Raw_hydro_bm!I456,"")</f>
        <v>0.0</v>
      </c>
      <c r="I456" s="16">
        <f t="shared" si="7"/>
        <v>0</v>
      </c>
    </row>
    <row r="457" spans="1:9" x14ac:dyDescent="0.3">
      <c r="A457" t="str">
        <f>IF(ROW(A457)&lt;=Bidding!$D$11,Raw_hydro_bm!B457,"")</f>
        <v>v</v>
      </c>
      <c r="B457" t="str">
        <f>IF(ROW(B457)&lt;=Bidding!$D$11,Raw_hydro_bm!C457,"")</f>
        <v>c</v>
      </c>
      <c r="C457">
        <f>IF(ROW(C457)&lt;=Bidding!$D$11,Raw_hydro_bm!D457,"")</f>
        <v>1</v>
      </c>
      <c r="D457">
        <f>IF(ROW(D457)&lt;=Bidding!$D$11,Raw_hydro_bm!E457,"")</f>
        <v>0</v>
      </c>
      <c r="E457">
        <f>IF(ROW(E457)&lt;=Bidding!$D$11,Raw_hydro_bm!F457,"")</f>
        <v>0</v>
      </c>
      <c r="F457">
        <f>IF(ROW(F457)&lt;=Bidding!$D$11,Raw_hydro_bm!G457,"")</f>
        <v>0</v>
      </c>
      <c r="G457">
        <f>IF(ROW(G457)&lt;=Bidding!$D$11,Raw_hydro_bm!H457,"")</f>
        <v>1</v>
      </c>
      <c r="H457" t="str">
        <f>IF(ROW(H457)&lt;=Bidding!$D$11,Raw_hydro_bm!I457,"")</f>
        <v>30.0</v>
      </c>
      <c r="I457" s="16">
        <f t="shared" si="7"/>
        <v>30</v>
      </c>
    </row>
    <row r="458" spans="1:9" x14ac:dyDescent="0.3">
      <c r="A458" t="str">
        <f>IF(ROW(A458)&lt;=Bidding!$D$11,Raw_hydro_bm!B458,"")</f>
        <v>p</v>
      </c>
      <c r="B458" t="str">
        <f>IF(ROW(B458)&lt;=Bidding!$D$11,Raw_hydro_bm!C458,"")</f>
        <v>c</v>
      </c>
      <c r="C458">
        <f>IF(ROW(C458)&lt;=Bidding!$D$11,Raw_hydro_bm!D458,"")</f>
        <v>1</v>
      </c>
      <c r="D458">
        <f>IF(ROW(D458)&lt;=Bidding!$D$11,Raw_hydro_bm!E458,"")</f>
        <v>0</v>
      </c>
      <c r="E458">
        <f>IF(ROW(E458)&lt;=Bidding!$D$11,Raw_hydro_bm!F458,"")</f>
        <v>0</v>
      </c>
      <c r="F458">
        <f>IF(ROW(F458)&lt;=Bidding!$D$11,Raw_hydro_bm!G458,"")</f>
        <v>0</v>
      </c>
      <c r="G458">
        <f>IF(ROW(G458)&lt;=Bidding!$D$11,Raw_hydro_bm!H458,"")</f>
        <v>2</v>
      </c>
      <c r="H458" t="str">
        <f>IF(ROW(H458)&lt;=Bidding!$D$11,Raw_hydro_bm!I458,"")</f>
        <v>0.0</v>
      </c>
      <c r="I458" s="16">
        <f t="shared" si="7"/>
        <v>0</v>
      </c>
    </row>
    <row r="459" spans="1:9" x14ac:dyDescent="0.3">
      <c r="A459" t="str">
        <f>IF(ROW(A459)&lt;=Bidding!$D$11,Raw_hydro_bm!B459,"")</f>
        <v>v</v>
      </c>
      <c r="B459" t="str">
        <f>IF(ROW(B459)&lt;=Bidding!$D$11,Raw_hydro_bm!C459,"")</f>
        <v>c</v>
      </c>
      <c r="C459">
        <f>IF(ROW(C459)&lt;=Bidding!$D$11,Raw_hydro_bm!D459,"")</f>
        <v>1</v>
      </c>
      <c r="D459">
        <f>IF(ROW(D459)&lt;=Bidding!$D$11,Raw_hydro_bm!E459,"")</f>
        <v>0</v>
      </c>
      <c r="E459">
        <f>IF(ROW(E459)&lt;=Bidding!$D$11,Raw_hydro_bm!F459,"")</f>
        <v>0</v>
      </c>
      <c r="F459">
        <f>IF(ROW(F459)&lt;=Bidding!$D$11,Raw_hydro_bm!G459,"")</f>
        <v>0</v>
      </c>
      <c r="G459">
        <f>IF(ROW(G459)&lt;=Bidding!$D$11,Raw_hydro_bm!H459,"")</f>
        <v>2</v>
      </c>
      <c r="H459" t="str">
        <f>IF(ROW(H459)&lt;=Bidding!$D$11,Raw_hydro_bm!I459,"")</f>
        <v>20.0</v>
      </c>
      <c r="I459" s="16">
        <f t="shared" si="7"/>
        <v>20</v>
      </c>
    </row>
    <row r="460" spans="1:9" x14ac:dyDescent="0.3">
      <c r="A460" t="str">
        <f>IF(ROW(A460)&lt;=Bidding!$D$11,Raw_hydro_bm!B460,"")</f>
        <v>p</v>
      </c>
      <c r="B460" t="str">
        <f>IF(ROW(B460)&lt;=Bidding!$D$11,Raw_hydro_bm!C460,"")</f>
        <v>c</v>
      </c>
      <c r="C460">
        <f>IF(ROW(C460)&lt;=Bidding!$D$11,Raw_hydro_bm!D460,"")</f>
        <v>1</v>
      </c>
      <c r="D460">
        <f>IF(ROW(D460)&lt;=Bidding!$D$11,Raw_hydro_bm!E460,"")</f>
        <v>0</v>
      </c>
      <c r="E460">
        <f>IF(ROW(E460)&lt;=Bidding!$D$11,Raw_hydro_bm!F460,"")</f>
        <v>0</v>
      </c>
      <c r="F460">
        <f>IF(ROW(F460)&lt;=Bidding!$D$11,Raw_hydro_bm!G460,"")</f>
        <v>1</v>
      </c>
      <c r="G460">
        <f>IF(ROW(G460)&lt;=Bidding!$D$11,Raw_hydro_bm!H460,"")</f>
        <v>0</v>
      </c>
      <c r="H460" t="str">
        <f>IF(ROW(H460)&lt;=Bidding!$D$11,Raw_hydro_bm!I460,"")</f>
        <v>0.0</v>
      </c>
      <c r="I460" s="16">
        <f t="shared" si="7"/>
        <v>0</v>
      </c>
    </row>
    <row r="461" spans="1:9" x14ac:dyDescent="0.3">
      <c r="A461" t="str">
        <f>IF(ROW(A461)&lt;=Bidding!$D$11,Raw_hydro_bm!B461,"")</f>
        <v>v</v>
      </c>
      <c r="B461" t="str">
        <f>IF(ROW(B461)&lt;=Bidding!$D$11,Raw_hydro_bm!C461,"")</f>
        <v>c</v>
      </c>
      <c r="C461">
        <f>IF(ROW(C461)&lt;=Bidding!$D$11,Raw_hydro_bm!D461,"")</f>
        <v>1</v>
      </c>
      <c r="D461">
        <f>IF(ROW(D461)&lt;=Bidding!$D$11,Raw_hydro_bm!E461,"")</f>
        <v>0</v>
      </c>
      <c r="E461">
        <f>IF(ROW(E461)&lt;=Bidding!$D$11,Raw_hydro_bm!F461,"")</f>
        <v>0</v>
      </c>
      <c r="F461">
        <f>IF(ROW(F461)&lt;=Bidding!$D$11,Raw_hydro_bm!G461,"")</f>
        <v>1</v>
      </c>
      <c r="G461">
        <f>IF(ROW(G461)&lt;=Bidding!$D$11,Raw_hydro_bm!H461,"")</f>
        <v>0</v>
      </c>
      <c r="H461" t="str">
        <f>IF(ROW(H461)&lt;=Bidding!$D$11,Raw_hydro_bm!I461,"")</f>
        <v>0.0</v>
      </c>
      <c r="I461" s="16">
        <f t="shared" si="7"/>
        <v>0</v>
      </c>
    </row>
    <row r="462" spans="1:9" x14ac:dyDescent="0.3">
      <c r="A462" t="str">
        <f>IF(ROW(A462)&lt;=Bidding!$D$11,Raw_hydro_bm!B462,"")</f>
        <v>p</v>
      </c>
      <c r="B462" t="str">
        <f>IF(ROW(B462)&lt;=Bidding!$D$11,Raw_hydro_bm!C462,"")</f>
        <v>c</v>
      </c>
      <c r="C462">
        <f>IF(ROW(C462)&lt;=Bidding!$D$11,Raw_hydro_bm!D462,"")</f>
        <v>1</v>
      </c>
      <c r="D462">
        <f>IF(ROW(D462)&lt;=Bidding!$D$11,Raw_hydro_bm!E462,"")</f>
        <v>0</v>
      </c>
      <c r="E462">
        <f>IF(ROW(E462)&lt;=Bidding!$D$11,Raw_hydro_bm!F462,"")</f>
        <v>0</v>
      </c>
      <c r="F462">
        <f>IF(ROW(F462)&lt;=Bidding!$D$11,Raw_hydro_bm!G462,"")</f>
        <v>1</v>
      </c>
      <c r="G462">
        <f>IF(ROW(G462)&lt;=Bidding!$D$11,Raw_hydro_bm!H462,"")</f>
        <v>1</v>
      </c>
      <c r="H462" t="str">
        <f>IF(ROW(H462)&lt;=Bidding!$D$11,Raw_hydro_bm!I462,"")</f>
        <v>0.0</v>
      </c>
      <c r="I462" s="16">
        <f t="shared" si="7"/>
        <v>0</v>
      </c>
    </row>
    <row r="463" spans="1:9" x14ac:dyDescent="0.3">
      <c r="A463" t="str">
        <f>IF(ROW(A463)&lt;=Bidding!$D$11,Raw_hydro_bm!B463,"")</f>
        <v>v</v>
      </c>
      <c r="B463" t="str">
        <f>IF(ROW(B463)&lt;=Bidding!$D$11,Raw_hydro_bm!C463,"")</f>
        <v>c</v>
      </c>
      <c r="C463">
        <f>IF(ROW(C463)&lt;=Bidding!$D$11,Raw_hydro_bm!D463,"")</f>
        <v>1</v>
      </c>
      <c r="D463">
        <f>IF(ROW(D463)&lt;=Bidding!$D$11,Raw_hydro_bm!E463,"")</f>
        <v>0</v>
      </c>
      <c r="E463">
        <f>IF(ROW(E463)&lt;=Bidding!$D$11,Raw_hydro_bm!F463,"")</f>
        <v>0</v>
      </c>
      <c r="F463">
        <f>IF(ROW(F463)&lt;=Bidding!$D$11,Raw_hydro_bm!G463,"")</f>
        <v>1</v>
      </c>
      <c r="G463">
        <f>IF(ROW(G463)&lt;=Bidding!$D$11,Raw_hydro_bm!H463,"")</f>
        <v>1</v>
      </c>
      <c r="H463" t="str">
        <f>IF(ROW(H463)&lt;=Bidding!$D$11,Raw_hydro_bm!I463,"")</f>
        <v>0.0</v>
      </c>
      <c r="I463" s="16">
        <f t="shared" si="7"/>
        <v>0</v>
      </c>
    </row>
    <row r="464" spans="1:9" x14ac:dyDescent="0.3">
      <c r="A464" t="str">
        <f>IF(ROW(A464)&lt;=Bidding!$D$11,Raw_hydro_bm!B464,"")</f>
        <v>p</v>
      </c>
      <c r="B464" t="str">
        <f>IF(ROW(B464)&lt;=Bidding!$D$11,Raw_hydro_bm!C464,"")</f>
        <v>c</v>
      </c>
      <c r="C464">
        <f>IF(ROW(C464)&lt;=Bidding!$D$11,Raw_hydro_bm!D464,"")</f>
        <v>1</v>
      </c>
      <c r="D464">
        <f>IF(ROW(D464)&lt;=Bidding!$D$11,Raw_hydro_bm!E464,"")</f>
        <v>0</v>
      </c>
      <c r="E464">
        <f>IF(ROW(E464)&lt;=Bidding!$D$11,Raw_hydro_bm!F464,"")</f>
        <v>0</v>
      </c>
      <c r="F464">
        <f>IF(ROW(F464)&lt;=Bidding!$D$11,Raw_hydro_bm!G464,"")</f>
        <v>1</v>
      </c>
      <c r="G464">
        <f>IF(ROW(G464)&lt;=Bidding!$D$11,Raw_hydro_bm!H464,"")</f>
        <v>2</v>
      </c>
      <c r="H464" t="str">
        <f>IF(ROW(H464)&lt;=Bidding!$D$11,Raw_hydro_bm!I464,"")</f>
        <v>0.0</v>
      </c>
      <c r="I464" s="16">
        <f t="shared" si="7"/>
        <v>0</v>
      </c>
    </row>
    <row r="465" spans="1:9" x14ac:dyDescent="0.3">
      <c r="A465" t="str">
        <f>IF(ROW(A465)&lt;=Bidding!$D$11,Raw_hydro_bm!B465,"")</f>
        <v>v</v>
      </c>
      <c r="B465" t="str">
        <f>IF(ROW(B465)&lt;=Bidding!$D$11,Raw_hydro_bm!C465,"")</f>
        <v>c</v>
      </c>
      <c r="C465">
        <f>IF(ROW(C465)&lt;=Bidding!$D$11,Raw_hydro_bm!D465,"")</f>
        <v>1</v>
      </c>
      <c r="D465">
        <f>IF(ROW(D465)&lt;=Bidding!$D$11,Raw_hydro_bm!E465,"")</f>
        <v>0</v>
      </c>
      <c r="E465">
        <f>IF(ROW(E465)&lt;=Bidding!$D$11,Raw_hydro_bm!F465,"")</f>
        <v>0</v>
      </c>
      <c r="F465">
        <f>IF(ROW(F465)&lt;=Bidding!$D$11,Raw_hydro_bm!G465,"")</f>
        <v>1</v>
      </c>
      <c r="G465">
        <f>IF(ROW(G465)&lt;=Bidding!$D$11,Raw_hydro_bm!H465,"")</f>
        <v>2</v>
      </c>
      <c r="H465" t="str">
        <f>IF(ROW(H465)&lt;=Bidding!$D$11,Raw_hydro_bm!I465,"")</f>
        <v>0.0</v>
      </c>
      <c r="I465" s="16">
        <f t="shared" si="7"/>
        <v>0</v>
      </c>
    </row>
    <row r="466" spans="1:9" x14ac:dyDescent="0.3">
      <c r="A466" t="str">
        <f>IF(ROW(A466)&lt;=Bidding!$D$11,Raw_hydro_bm!B466,"")</f>
        <v>b</v>
      </c>
      <c r="B466" t="str">
        <f>IF(ROW(B466)&lt;=Bidding!$D$11,Raw_hydro_bm!C466,"")</f>
        <v>v</v>
      </c>
      <c r="C466" t="str">
        <f>IF(ROW(C466)&lt;=Bidding!$D$11,Raw_hydro_bm!D466,"")</f>
        <v>X</v>
      </c>
      <c r="D466">
        <f>IF(ROW(D466)&lt;=Bidding!$D$11,Raw_hydro_bm!E466,"")</f>
        <v>1</v>
      </c>
      <c r="E466">
        <f>IF(ROW(E466)&lt;=Bidding!$D$11,Raw_hydro_bm!F466,"")</f>
        <v>0</v>
      </c>
      <c r="F466">
        <f>IF(ROW(F466)&lt;=Bidding!$D$11,Raw_hydro_bm!G466,"")</f>
        <v>1</v>
      </c>
      <c r="G466">
        <f>IF(ROW(G466)&lt;=Bidding!$D$11,Raw_hydro_bm!H466,"")</f>
        <v>0</v>
      </c>
      <c r="H466" t="str">
        <f>IF(ROW(H466)&lt;=Bidding!$D$11,Raw_hydro_bm!I466,"")</f>
        <v>0.0</v>
      </c>
      <c r="I466" s="16">
        <f t="shared" si="7"/>
        <v>0</v>
      </c>
    </row>
    <row r="467" spans="1:9" x14ac:dyDescent="0.3">
      <c r="A467" t="str">
        <f>IF(ROW(A467)&lt;=Bidding!$D$11,Raw_hydro_bm!B467,"")</f>
        <v>b</v>
      </c>
      <c r="B467" t="str">
        <f>IF(ROW(B467)&lt;=Bidding!$D$11,Raw_hydro_bm!C467,"")</f>
        <v>v</v>
      </c>
      <c r="C467" t="str">
        <f>IF(ROW(C467)&lt;=Bidding!$D$11,Raw_hydro_bm!D467,"")</f>
        <v>X</v>
      </c>
      <c r="D467">
        <f>IF(ROW(D467)&lt;=Bidding!$D$11,Raw_hydro_bm!E467,"")</f>
        <v>1</v>
      </c>
      <c r="E467">
        <f>IF(ROW(E467)&lt;=Bidding!$D$11,Raw_hydro_bm!F467,"")</f>
        <v>0</v>
      </c>
      <c r="F467">
        <f>IF(ROW(F467)&lt;=Bidding!$D$11,Raw_hydro_bm!G467,"")</f>
        <v>1</v>
      </c>
      <c r="G467">
        <f>IF(ROW(G467)&lt;=Bidding!$D$11,Raw_hydro_bm!H467,"")</f>
        <v>1</v>
      </c>
      <c r="H467" t="str">
        <f>IF(ROW(H467)&lt;=Bidding!$D$11,Raw_hydro_bm!I467,"")</f>
        <v>0.0</v>
      </c>
      <c r="I467" s="16">
        <f t="shared" si="7"/>
        <v>0</v>
      </c>
    </row>
    <row r="468" spans="1:9" x14ac:dyDescent="0.3">
      <c r="A468" t="str">
        <f>IF(ROW(A468)&lt;=Bidding!$D$11,Raw_hydro_bm!B468,"")</f>
        <v>b</v>
      </c>
      <c r="B468" t="str">
        <f>IF(ROW(B468)&lt;=Bidding!$D$11,Raw_hydro_bm!C468,"")</f>
        <v>v</v>
      </c>
      <c r="C468" t="str">
        <f>IF(ROW(C468)&lt;=Bidding!$D$11,Raw_hydro_bm!D468,"")</f>
        <v>X</v>
      </c>
      <c r="D468">
        <f>IF(ROW(D468)&lt;=Bidding!$D$11,Raw_hydro_bm!E468,"")</f>
        <v>1</v>
      </c>
      <c r="E468">
        <f>IF(ROW(E468)&lt;=Bidding!$D$11,Raw_hydro_bm!F468,"")</f>
        <v>0</v>
      </c>
      <c r="F468">
        <f>IF(ROW(F468)&lt;=Bidding!$D$11,Raw_hydro_bm!G468,"")</f>
        <v>1</v>
      </c>
      <c r="G468">
        <f>IF(ROW(G468)&lt;=Bidding!$D$11,Raw_hydro_bm!H468,"")</f>
        <v>2</v>
      </c>
      <c r="H468" t="str">
        <f>IF(ROW(H468)&lt;=Bidding!$D$11,Raw_hydro_bm!I468,"")</f>
        <v>60.0</v>
      </c>
      <c r="I468" s="16">
        <f t="shared" si="7"/>
        <v>60</v>
      </c>
    </row>
    <row r="469" spans="1:9" x14ac:dyDescent="0.3">
      <c r="A469" t="str">
        <f>IF(ROW(A469)&lt;=Bidding!$D$11,Raw_hydro_bm!B469,"")</f>
        <v>p</v>
      </c>
      <c r="B469" t="str">
        <f>IF(ROW(B469)&lt;=Bidding!$D$11,Raw_hydro_bm!C469,"")</f>
        <v>c</v>
      </c>
      <c r="C469">
        <f>IF(ROW(C469)&lt;=Bidding!$D$11,Raw_hydro_bm!D469,"")</f>
        <v>1</v>
      </c>
      <c r="D469">
        <f>IF(ROW(D469)&lt;=Bidding!$D$11,Raw_hydro_bm!E469,"")</f>
        <v>0</v>
      </c>
      <c r="E469">
        <f>IF(ROW(E469)&lt;=Bidding!$D$11,Raw_hydro_bm!F469,"")</f>
        <v>1</v>
      </c>
      <c r="F469">
        <f>IF(ROW(F469)&lt;=Bidding!$D$11,Raw_hydro_bm!G469,"")</f>
        <v>0</v>
      </c>
      <c r="G469">
        <f>IF(ROW(G469)&lt;=Bidding!$D$11,Raw_hydro_bm!H469,"")</f>
        <v>0</v>
      </c>
      <c r="H469" t="str">
        <f>IF(ROW(H469)&lt;=Bidding!$D$11,Raw_hydro_bm!I469,"")</f>
        <v>0.0</v>
      </c>
      <c r="I469" s="16">
        <f t="shared" si="7"/>
        <v>0</v>
      </c>
    </row>
    <row r="470" spans="1:9" x14ac:dyDescent="0.3">
      <c r="A470" t="str">
        <f>IF(ROW(A470)&lt;=Bidding!$D$11,Raw_hydro_bm!B470,"")</f>
        <v>v</v>
      </c>
      <c r="B470" t="str">
        <f>IF(ROW(B470)&lt;=Bidding!$D$11,Raw_hydro_bm!C470,"")</f>
        <v>c</v>
      </c>
      <c r="C470">
        <f>IF(ROW(C470)&lt;=Bidding!$D$11,Raw_hydro_bm!D470,"")</f>
        <v>1</v>
      </c>
      <c r="D470">
        <f>IF(ROW(D470)&lt;=Bidding!$D$11,Raw_hydro_bm!E470,"")</f>
        <v>0</v>
      </c>
      <c r="E470">
        <f>IF(ROW(E470)&lt;=Bidding!$D$11,Raw_hydro_bm!F470,"")</f>
        <v>1</v>
      </c>
      <c r="F470">
        <f>IF(ROW(F470)&lt;=Bidding!$D$11,Raw_hydro_bm!G470,"")</f>
        <v>0</v>
      </c>
      <c r="G470">
        <f>IF(ROW(G470)&lt;=Bidding!$D$11,Raw_hydro_bm!H470,"")</f>
        <v>0</v>
      </c>
      <c r="H470" t="str">
        <f>IF(ROW(H470)&lt;=Bidding!$D$11,Raw_hydro_bm!I470,"")</f>
        <v>0.0</v>
      </c>
      <c r="I470" s="16">
        <f t="shared" si="7"/>
        <v>0</v>
      </c>
    </row>
    <row r="471" spans="1:9" x14ac:dyDescent="0.3">
      <c r="A471" t="str">
        <f>IF(ROW(A471)&lt;=Bidding!$D$11,Raw_hydro_bm!B471,"")</f>
        <v>p</v>
      </c>
      <c r="B471" t="str">
        <f>IF(ROW(B471)&lt;=Bidding!$D$11,Raw_hydro_bm!C471,"")</f>
        <v>c</v>
      </c>
      <c r="C471">
        <f>IF(ROW(C471)&lt;=Bidding!$D$11,Raw_hydro_bm!D471,"")</f>
        <v>1</v>
      </c>
      <c r="D471">
        <f>IF(ROW(D471)&lt;=Bidding!$D$11,Raw_hydro_bm!E471,"")</f>
        <v>0</v>
      </c>
      <c r="E471">
        <f>IF(ROW(E471)&lt;=Bidding!$D$11,Raw_hydro_bm!F471,"")</f>
        <v>1</v>
      </c>
      <c r="F471">
        <f>IF(ROW(F471)&lt;=Bidding!$D$11,Raw_hydro_bm!G471,"")</f>
        <v>0</v>
      </c>
      <c r="G471">
        <f>IF(ROW(G471)&lt;=Bidding!$D$11,Raw_hydro_bm!H471,"")</f>
        <v>1</v>
      </c>
      <c r="H471" t="str">
        <f>IF(ROW(H471)&lt;=Bidding!$D$11,Raw_hydro_bm!I471,"")</f>
        <v>0.0</v>
      </c>
      <c r="I471" s="16">
        <f t="shared" si="7"/>
        <v>0</v>
      </c>
    </row>
    <row r="472" spans="1:9" x14ac:dyDescent="0.3">
      <c r="A472" t="str">
        <f>IF(ROW(A472)&lt;=Bidding!$D$11,Raw_hydro_bm!B472,"")</f>
        <v>v</v>
      </c>
      <c r="B472" t="str">
        <f>IF(ROW(B472)&lt;=Bidding!$D$11,Raw_hydro_bm!C472,"")</f>
        <v>c</v>
      </c>
      <c r="C472">
        <f>IF(ROW(C472)&lt;=Bidding!$D$11,Raw_hydro_bm!D472,"")</f>
        <v>1</v>
      </c>
      <c r="D472">
        <f>IF(ROW(D472)&lt;=Bidding!$D$11,Raw_hydro_bm!E472,"")</f>
        <v>0</v>
      </c>
      <c r="E472">
        <f>IF(ROW(E472)&lt;=Bidding!$D$11,Raw_hydro_bm!F472,"")</f>
        <v>1</v>
      </c>
      <c r="F472">
        <f>IF(ROW(F472)&lt;=Bidding!$D$11,Raw_hydro_bm!G472,"")</f>
        <v>0</v>
      </c>
      <c r="G472">
        <f>IF(ROW(G472)&lt;=Bidding!$D$11,Raw_hydro_bm!H472,"")</f>
        <v>1</v>
      </c>
      <c r="H472" t="str">
        <f>IF(ROW(H472)&lt;=Bidding!$D$11,Raw_hydro_bm!I472,"")</f>
        <v>0.0</v>
      </c>
      <c r="I472" s="16">
        <f t="shared" si="7"/>
        <v>0</v>
      </c>
    </row>
    <row r="473" spans="1:9" x14ac:dyDescent="0.3">
      <c r="A473" t="str">
        <f>IF(ROW(A473)&lt;=Bidding!$D$11,Raw_hydro_bm!B473,"")</f>
        <v>p</v>
      </c>
      <c r="B473" t="str">
        <f>IF(ROW(B473)&lt;=Bidding!$D$11,Raw_hydro_bm!C473,"")</f>
        <v>c</v>
      </c>
      <c r="C473">
        <f>IF(ROW(C473)&lt;=Bidding!$D$11,Raw_hydro_bm!D473,"")</f>
        <v>1</v>
      </c>
      <c r="D473">
        <f>IF(ROW(D473)&lt;=Bidding!$D$11,Raw_hydro_bm!E473,"")</f>
        <v>0</v>
      </c>
      <c r="E473">
        <f>IF(ROW(E473)&lt;=Bidding!$D$11,Raw_hydro_bm!F473,"")</f>
        <v>1</v>
      </c>
      <c r="F473">
        <f>IF(ROW(F473)&lt;=Bidding!$D$11,Raw_hydro_bm!G473,"")</f>
        <v>0</v>
      </c>
      <c r="G473">
        <f>IF(ROW(G473)&lt;=Bidding!$D$11,Raw_hydro_bm!H473,"")</f>
        <v>2</v>
      </c>
      <c r="H473" t="str">
        <f>IF(ROW(H473)&lt;=Bidding!$D$11,Raw_hydro_bm!I473,"")</f>
        <v>0.0</v>
      </c>
      <c r="I473" s="16">
        <f t="shared" si="7"/>
        <v>0</v>
      </c>
    </row>
    <row r="474" spans="1:9" x14ac:dyDescent="0.3">
      <c r="A474" t="str">
        <f>IF(ROW(A474)&lt;=Bidding!$D$11,Raw_hydro_bm!B474,"")</f>
        <v>v</v>
      </c>
      <c r="B474" t="str">
        <f>IF(ROW(B474)&lt;=Bidding!$D$11,Raw_hydro_bm!C474,"")</f>
        <v>c</v>
      </c>
      <c r="C474">
        <f>IF(ROW(C474)&lt;=Bidding!$D$11,Raw_hydro_bm!D474,"")</f>
        <v>1</v>
      </c>
      <c r="D474">
        <f>IF(ROW(D474)&lt;=Bidding!$D$11,Raw_hydro_bm!E474,"")</f>
        <v>0</v>
      </c>
      <c r="E474">
        <f>IF(ROW(E474)&lt;=Bidding!$D$11,Raw_hydro_bm!F474,"")</f>
        <v>1</v>
      </c>
      <c r="F474">
        <f>IF(ROW(F474)&lt;=Bidding!$D$11,Raw_hydro_bm!G474,"")</f>
        <v>0</v>
      </c>
      <c r="G474">
        <f>IF(ROW(G474)&lt;=Bidding!$D$11,Raw_hydro_bm!H474,"")</f>
        <v>2</v>
      </c>
      <c r="H474" t="str">
        <f>IF(ROW(H474)&lt;=Bidding!$D$11,Raw_hydro_bm!I474,"")</f>
        <v>0.0</v>
      </c>
      <c r="I474" s="16">
        <f t="shared" si="7"/>
        <v>0</v>
      </c>
    </row>
    <row r="475" spans="1:9" x14ac:dyDescent="0.3">
      <c r="A475" t="str">
        <f>IF(ROW(A475)&lt;=Bidding!$D$11,Raw_hydro_bm!B475,"")</f>
        <v>p</v>
      </c>
      <c r="B475" t="str">
        <f>IF(ROW(B475)&lt;=Bidding!$D$11,Raw_hydro_bm!C475,"")</f>
        <v>c</v>
      </c>
      <c r="C475">
        <f>IF(ROW(C475)&lt;=Bidding!$D$11,Raw_hydro_bm!D475,"")</f>
        <v>1</v>
      </c>
      <c r="D475">
        <f>IF(ROW(D475)&lt;=Bidding!$D$11,Raw_hydro_bm!E475,"")</f>
        <v>0</v>
      </c>
      <c r="E475">
        <f>IF(ROW(E475)&lt;=Bidding!$D$11,Raw_hydro_bm!F475,"")</f>
        <v>1</v>
      </c>
      <c r="F475">
        <f>IF(ROW(F475)&lt;=Bidding!$D$11,Raw_hydro_bm!G475,"")</f>
        <v>1</v>
      </c>
      <c r="G475">
        <f>IF(ROW(G475)&lt;=Bidding!$D$11,Raw_hydro_bm!H475,"")</f>
        <v>0</v>
      </c>
      <c r="H475" t="str">
        <f>IF(ROW(H475)&lt;=Bidding!$D$11,Raw_hydro_bm!I475,"")</f>
        <v>0.0</v>
      </c>
      <c r="I475" s="16">
        <f t="shared" si="7"/>
        <v>0</v>
      </c>
    </row>
    <row r="476" spans="1:9" x14ac:dyDescent="0.3">
      <c r="A476" t="str">
        <f>IF(ROW(A476)&lt;=Bidding!$D$11,Raw_hydro_bm!B476,"")</f>
        <v>v</v>
      </c>
      <c r="B476" t="str">
        <f>IF(ROW(B476)&lt;=Bidding!$D$11,Raw_hydro_bm!C476,"")</f>
        <v>c</v>
      </c>
      <c r="C476">
        <f>IF(ROW(C476)&lt;=Bidding!$D$11,Raw_hydro_bm!D476,"")</f>
        <v>1</v>
      </c>
      <c r="D476">
        <f>IF(ROW(D476)&lt;=Bidding!$D$11,Raw_hydro_bm!E476,"")</f>
        <v>0</v>
      </c>
      <c r="E476">
        <f>IF(ROW(E476)&lt;=Bidding!$D$11,Raw_hydro_bm!F476,"")</f>
        <v>1</v>
      </c>
      <c r="F476">
        <f>IF(ROW(F476)&lt;=Bidding!$D$11,Raw_hydro_bm!G476,"")</f>
        <v>1</v>
      </c>
      <c r="G476">
        <f>IF(ROW(G476)&lt;=Bidding!$D$11,Raw_hydro_bm!H476,"")</f>
        <v>0</v>
      </c>
      <c r="H476" t="str">
        <f>IF(ROW(H476)&lt;=Bidding!$D$11,Raw_hydro_bm!I476,"")</f>
        <v>10.0</v>
      </c>
      <c r="I476" s="16">
        <f t="shared" si="7"/>
        <v>10</v>
      </c>
    </row>
    <row r="477" spans="1:9" x14ac:dyDescent="0.3">
      <c r="A477" t="str">
        <f>IF(ROW(A477)&lt;=Bidding!$D$11,Raw_hydro_bm!B477,"")</f>
        <v>p</v>
      </c>
      <c r="B477" t="str">
        <f>IF(ROW(B477)&lt;=Bidding!$D$11,Raw_hydro_bm!C477,"")</f>
        <v>c</v>
      </c>
      <c r="C477">
        <f>IF(ROW(C477)&lt;=Bidding!$D$11,Raw_hydro_bm!D477,"")</f>
        <v>1</v>
      </c>
      <c r="D477">
        <f>IF(ROW(D477)&lt;=Bidding!$D$11,Raw_hydro_bm!E477,"")</f>
        <v>0</v>
      </c>
      <c r="E477">
        <f>IF(ROW(E477)&lt;=Bidding!$D$11,Raw_hydro_bm!F477,"")</f>
        <v>1</v>
      </c>
      <c r="F477">
        <f>IF(ROW(F477)&lt;=Bidding!$D$11,Raw_hydro_bm!G477,"")</f>
        <v>1</v>
      </c>
      <c r="G477">
        <f>IF(ROW(G477)&lt;=Bidding!$D$11,Raw_hydro_bm!H477,"")</f>
        <v>1</v>
      </c>
      <c r="H477" t="str">
        <f>IF(ROW(H477)&lt;=Bidding!$D$11,Raw_hydro_bm!I477,"")</f>
        <v>0.0</v>
      </c>
      <c r="I477" s="16">
        <f t="shared" si="7"/>
        <v>0</v>
      </c>
    </row>
    <row r="478" spans="1:9" x14ac:dyDescent="0.3">
      <c r="A478" t="str">
        <f>IF(ROW(A478)&lt;=Bidding!$D$11,Raw_hydro_bm!B478,"")</f>
        <v>v</v>
      </c>
      <c r="B478" t="str">
        <f>IF(ROW(B478)&lt;=Bidding!$D$11,Raw_hydro_bm!C478,"")</f>
        <v>c</v>
      </c>
      <c r="C478">
        <f>IF(ROW(C478)&lt;=Bidding!$D$11,Raw_hydro_bm!D478,"")</f>
        <v>1</v>
      </c>
      <c r="D478">
        <f>IF(ROW(D478)&lt;=Bidding!$D$11,Raw_hydro_bm!E478,"")</f>
        <v>0</v>
      </c>
      <c r="E478">
        <f>IF(ROW(E478)&lt;=Bidding!$D$11,Raw_hydro_bm!F478,"")</f>
        <v>1</v>
      </c>
      <c r="F478">
        <f>IF(ROW(F478)&lt;=Bidding!$D$11,Raw_hydro_bm!G478,"")</f>
        <v>1</v>
      </c>
      <c r="G478">
        <f>IF(ROW(G478)&lt;=Bidding!$D$11,Raw_hydro_bm!H478,"")</f>
        <v>1</v>
      </c>
      <c r="H478" t="str">
        <f>IF(ROW(H478)&lt;=Bidding!$D$11,Raw_hydro_bm!I478,"")</f>
        <v>30.0</v>
      </c>
      <c r="I478" s="16">
        <f t="shared" si="7"/>
        <v>30</v>
      </c>
    </row>
    <row r="479" spans="1:9" x14ac:dyDescent="0.3">
      <c r="A479" t="str">
        <f>IF(ROW(A479)&lt;=Bidding!$D$11,Raw_hydro_bm!B479,"")</f>
        <v>p</v>
      </c>
      <c r="B479" t="str">
        <f>IF(ROW(B479)&lt;=Bidding!$D$11,Raw_hydro_bm!C479,"")</f>
        <v>c</v>
      </c>
      <c r="C479">
        <f>IF(ROW(C479)&lt;=Bidding!$D$11,Raw_hydro_bm!D479,"")</f>
        <v>1</v>
      </c>
      <c r="D479">
        <f>IF(ROW(D479)&lt;=Bidding!$D$11,Raw_hydro_bm!E479,"")</f>
        <v>0</v>
      </c>
      <c r="E479">
        <f>IF(ROW(E479)&lt;=Bidding!$D$11,Raw_hydro_bm!F479,"")</f>
        <v>1</v>
      </c>
      <c r="F479">
        <f>IF(ROW(F479)&lt;=Bidding!$D$11,Raw_hydro_bm!G479,"")</f>
        <v>1</v>
      </c>
      <c r="G479">
        <f>IF(ROW(G479)&lt;=Bidding!$D$11,Raw_hydro_bm!H479,"")</f>
        <v>2</v>
      </c>
      <c r="H479" t="str">
        <f>IF(ROW(H479)&lt;=Bidding!$D$11,Raw_hydro_bm!I479,"")</f>
        <v>0.0</v>
      </c>
      <c r="I479" s="16">
        <f t="shared" si="7"/>
        <v>0</v>
      </c>
    </row>
    <row r="480" spans="1:9" x14ac:dyDescent="0.3">
      <c r="A480" t="str">
        <f>IF(ROW(A480)&lt;=Bidding!$D$11,Raw_hydro_bm!B480,"")</f>
        <v>v</v>
      </c>
      <c r="B480" t="str">
        <f>IF(ROW(B480)&lt;=Bidding!$D$11,Raw_hydro_bm!C480,"")</f>
        <v>c</v>
      </c>
      <c r="C480">
        <f>IF(ROW(C480)&lt;=Bidding!$D$11,Raw_hydro_bm!D480,"")</f>
        <v>1</v>
      </c>
      <c r="D480">
        <f>IF(ROW(D480)&lt;=Bidding!$D$11,Raw_hydro_bm!E480,"")</f>
        <v>0</v>
      </c>
      <c r="E480">
        <f>IF(ROW(E480)&lt;=Bidding!$D$11,Raw_hydro_bm!F480,"")</f>
        <v>1</v>
      </c>
      <c r="F480">
        <f>IF(ROW(F480)&lt;=Bidding!$D$11,Raw_hydro_bm!G480,"")</f>
        <v>1</v>
      </c>
      <c r="G480">
        <f>IF(ROW(G480)&lt;=Bidding!$D$11,Raw_hydro_bm!H480,"")</f>
        <v>2</v>
      </c>
      <c r="H480" t="str">
        <f>IF(ROW(H480)&lt;=Bidding!$D$11,Raw_hydro_bm!I480,"")</f>
        <v>20.0</v>
      </c>
      <c r="I480" s="16">
        <f t="shared" si="7"/>
        <v>20</v>
      </c>
    </row>
    <row r="481" spans="1:9" x14ac:dyDescent="0.3">
      <c r="A481" t="str">
        <f>IF(ROW(A481)&lt;=Bidding!$D$11,Raw_hydro_bm!B481,"")</f>
        <v>b</v>
      </c>
      <c r="B481" t="str">
        <f>IF(ROW(B481)&lt;=Bidding!$D$11,Raw_hydro_bm!C481,"")</f>
        <v>v</v>
      </c>
      <c r="C481" t="str">
        <f>IF(ROW(C481)&lt;=Bidding!$D$11,Raw_hydro_bm!D481,"")</f>
        <v>X</v>
      </c>
      <c r="D481">
        <f>IF(ROW(D481)&lt;=Bidding!$D$11,Raw_hydro_bm!E481,"")</f>
        <v>1</v>
      </c>
      <c r="E481">
        <f>IF(ROW(E481)&lt;=Bidding!$D$11,Raw_hydro_bm!F481,"")</f>
        <v>1</v>
      </c>
      <c r="F481">
        <f>IF(ROW(F481)&lt;=Bidding!$D$11,Raw_hydro_bm!G481,"")</f>
        <v>0</v>
      </c>
      <c r="G481">
        <f>IF(ROW(G481)&lt;=Bidding!$D$11,Raw_hydro_bm!H481,"")</f>
        <v>0</v>
      </c>
      <c r="H481" t="str">
        <f>IF(ROW(H481)&lt;=Bidding!$D$11,Raw_hydro_bm!I481,"")</f>
        <v>0.0</v>
      </c>
      <c r="I481" s="16">
        <f t="shared" si="7"/>
        <v>0</v>
      </c>
    </row>
    <row r="482" spans="1:9" x14ac:dyDescent="0.3">
      <c r="A482" t="str">
        <f>IF(ROW(A482)&lt;=Bidding!$D$11,Raw_hydro_bm!B482,"")</f>
        <v>b</v>
      </c>
      <c r="B482" t="str">
        <f>IF(ROW(B482)&lt;=Bidding!$D$11,Raw_hydro_bm!C482,"")</f>
        <v>v</v>
      </c>
      <c r="C482" t="str">
        <f>IF(ROW(C482)&lt;=Bidding!$D$11,Raw_hydro_bm!D482,"")</f>
        <v>X</v>
      </c>
      <c r="D482">
        <f>IF(ROW(D482)&lt;=Bidding!$D$11,Raw_hydro_bm!E482,"")</f>
        <v>1</v>
      </c>
      <c r="E482">
        <f>IF(ROW(E482)&lt;=Bidding!$D$11,Raw_hydro_bm!F482,"")</f>
        <v>1</v>
      </c>
      <c r="F482">
        <f>IF(ROW(F482)&lt;=Bidding!$D$11,Raw_hydro_bm!G482,"")</f>
        <v>0</v>
      </c>
      <c r="G482">
        <f>IF(ROW(G482)&lt;=Bidding!$D$11,Raw_hydro_bm!H482,"")</f>
        <v>1</v>
      </c>
      <c r="H482" t="str">
        <f>IF(ROW(H482)&lt;=Bidding!$D$11,Raw_hydro_bm!I482,"")</f>
        <v>0.0</v>
      </c>
      <c r="I482" s="16">
        <f t="shared" si="7"/>
        <v>0</v>
      </c>
    </row>
    <row r="483" spans="1:9" x14ac:dyDescent="0.3">
      <c r="A483" t="str">
        <f>IF(ROW(A483)&lt;=Bidding!$D$11,Raw_hydro_bm!B483,"")</f>
        <v>b</v>
      </c>
      <c r="B483" t="str">
        <f>IF(ROW(B483)&lt;=Bidding!$D$11,Raw_hydro_bm!C483,"")</f>
        <v>v</v>
      </c>
      <c r="C483" t="str">
        <f>IF(ROW(C483)&lt;=Bidding!$D$11,Raw_hydro_bm!D483,"")</f>
        <v>X</v>
      </c>
      <c r="D483">
        <f>IF(ROW(D483)&lt;=Bidding!$D$11,Raw_hydro_bm!E483,"")</f>
        <v>1</v>
      </c>
      <c r="E483">
        <f>IF(ROW(E483)&lt;=Bidding!$D$11,Raw_hydro_bm!F483,"")</f>
        <v>1</v>
      </c>
      <c r="F483">
        <f>IF(ROW(F483)&lt;=Bidding!$D$11,Raw_hydro_bm!G483,"")</f>
        <v>0</v>
      </c>
      <c r="G483">
        <f>IF(ROW(G483)&lt;=Bidding!$D$11,Raw_hydro_bm!H483,"")</f>
        <v>2</v>
      </c>
      <c r="H483" t="str">
        <f>IF(ROW(H483)&lt;=Bidding!$D$11,Raw_hydro_bm!I483,"")</f>
        <v>60.0</v>
      </c>
      <c r="I483" s="16">
        <f t="shared" si="7"/>
        <v>60</v>
      </c>
    </row>
    <row r="484" spans="1:9" x14ac:dyDescent="0.3">
      <c r="A484" t="str">
        <f>IF(ROW(A484)&lt;=Bidding!$D$11,Raw_hydro_bm!B484,"")</f>
        <v>p</v>
      </c>
      <c r="B484" t="str">
        <f>IF(ROW(B484)&lt;=Bidding!$D$11,Raw_hydro_bm!C484,"")</f>
        <v>c</v>
      </c>
      <c r="C484">
        <f>IF(ROW(C484)&lt;=Bidding!$D$11,Raw_hydro_bm!D484,"")</f>
        <v>1</v>
      </c>
      <c r="D484">
        <f>IF(ROW(D484)&lt;=Bidding!$D$11,Raw_hydro_bm!E484,"")</f>
        <v>1</v>
      </c>
      <c r="E484">
        <f>IF(ROW(E484)&lt;=Bidding!$D$11,Raw_hydro_bm!F484,"")</f>
        <v>0</v>
      </c>
      <c r="F484">
        <f>IF(ROW(F484)&lt;=Bidding!$D$11,Raw_hydro_bm!G484,"")</f>
        <v>0</v>
      </c>
      <c r="G484">
        <f>IF(ROW(G484)&lt;=Bidding!$D$11,Raw_hydro_bm!H484,"")</f>
        <v>0</v>
      </c>
      <c r="H484" t="str">
        <f>IF(ROW(H484)&lt;=Bidding!$D$11,Raw_hydro_bm!I484,"")</f>
        <v>0.0</v>
      </c>
      <c r="I484" s="16">
        <f t="shared" si="7"/>
        <v>0</v>
      </c>
    </row>
    <row r="485" spans="1:9" x14ac:dyDescent="0.3">
      <c r="A485" t="str">
        <f>IF(ROW(A485)&lt;=Bidding!$D$11,Raw_hydro_bm!B485,"")</f>
        <v>v</v>
      </c>
      <c r="B485" t="str">
        <f>IF(ROW(B485)&lt;=Bidding!$D$11,Raw_hydro_bm!C485,"")</f>
        <v>c</v>
      </c>
      <c r="C485">
        <f>IF(ROW(C485)&lt;=Bidding!$D$11,Raw_hydro_bm!D485,"")</f>
        <v>1</v>
      </c>
      <c r="D485">
        <f>IF(ROW(D485)&lt;=Bidding!$D$11,Raw_hydro_bm!E485,"")</f>
        <v>1</v>
      </c>
      <c r="E485">
        <f>IF(ROW(E485)&lt;=Bidding!$D$11,Raw_hydro_bm!F485,"")</f>
        <v>0</v>
      </c>
      <c r="F485">
        <f>IF(ROW(F485)&lt;=Bidding!$D$11,Raw_hydro_bm!G485,"")</f>
        <v>0</v>
      </c>
      <c r="G485">
        <f>IF(ROW(G485)&lt;=Bidding!$D$11,Raw_hydro_bm!H485,"")</f>
        <v>0</v>
      </c>
      <c r="H485" t="str">
        <f>IF(ROW(H485)&lt;=Bidding!$D$11,Raw_hydro_bm!I485,"")</f>
        <v>10.0</v>
      </c>
      <c r="I485" s="16">
        <f t="shared" si="7"/>
        <v>10</v>
      </c>
    </row>
    <row r="486" spans="1:9" x14ac:dyDescent="0.3">
      <c r="A486" t="str">
        <f>IF(ROW(A486)&lt;=Bidding!$D$11,Raw_hydro_bm!B486,"")</f>
        <v>p</v>
      </c>
      <c r="B486" t="str">
        <f>IF(ROW(B486)&lt;=Bidding!$D$11,Raw_hydro_bm!C486,"")</f>
        <v>c</v>
      </c>
      <c r="C486">
        <f>IF(ROW(C486)&lt;=Bidding!$D$11,Raw_hydro_bm!D486,"")</f>
        <v>1</v>
      </c>
      <c r="D486">
        <f>IF(ROW(D486)&lt;=Bidding!$D$11,Raw_hydro_bm!E486,"")</f>
        <v>1</v>
      </c>
      <c r="E486">
        <f>IF(ROW(E486)&lt;=Bidding!$D$11,Raw_hydro_bm!F486,"")</f>
        <v>0</v>
      </c>
      <c r="F486">
        <f>IF(ROW(F486)&lt;=Bidding!$D$11,Raw_hydro_bm!G486,"")</f>
        <v>0</v>
      </c>
      <c r="G486">
        <f>IF(ROW(G486)&lt;=Bidding!$D$11,Raw_hydro_bm!H486,"")</f>
        <v>1</v>
      </c>
      <c r="H486" t="str">
        <f>IF(ROW(H486)&lt;=Bidding!$D$11,Raw_hydro_bm!I486,"")</f>
        <v>0.0</v>
      </c>
      <c r="I486" s="16">
        <f t="shared" si="7"/>
        <v>0</v>
      </c>
    </row>
    <row r="487" spans="1:9" x14ac:dyDescent="0.3">
      <c r="A487" t="str">
        <f>IF(ROW(A487)&lt;=Bidding!$D$11,Raw_hydro_bm!B487,"")</f>
        <v>v</v>
      </c>
      <c r="B487" t="str">
        <f>IF(ROW(B487)&lt;=Bidding!$D$11,Raw_hydro_bm!C487,"")</f>
        <v>c</v>
      </c>
      <c r="C487">
        <f>IF(ROW(C487)&lt;=Bidding!$D$11,Raw_hydro_bm!D487,"")</f>
        <v>1</v>
      </c>
      <c r="D487">
        <f>IF(ROW(D487)&lt;=Bidding!$D$11,Raw_hydro_bm!E487,"")</f>
        <v>1</v>
      </c>
      <c r="E487">
        <f>IF(ROW(E487)&lt;=Bidding!$D$11,Raw_hydro_bm!F487,"")</f>
        <v>0</v>
      </c>
      <c r="F487">
        <f>IF(ROW(F487)&lt;=Bidding!$D$11,Raw_hydro_bm!G487,"")</f>
        <v>0</v>
      </c>
      <c r="G487">
        <f>IF(ROW(G487)&lt;=Bidding!$D$11,Raw_hydro_bm!H487,"")</f>
        <v>1</v>
      </c>
      <c r="H487" t="str">
        <f>IF(ROW(H487)&lt;=Bidding!$D$11,Raw_hydro_bm!I487,"")</f>
        <v>30.0</v>
      </c>
      <c r="I487" s="16">
        <f t="shared" si="7"/>
        <v>30</v>
      </c>
    </row>
    <row r="488" spans="1:9" x14ac:dyDescent="0.3">
      <c r="A488" t="str">
        <f>IF(ROW(A488)&lt;=Bidding!$D$11,Raw_hydro_bm!B488,"")</f>
        <v>p</v>
      </c>
      <c r="B488" t="str">
        <f>IF(ROW(B488)&lt;=Bidding!$D$11,Raw_hydro_bm!C488,"")</f>
        <v>c</v>
      </c>
      <c r="C488">
        <f>IF(ROW(C488)&lt;=Bidding!$D$11,Raw_hydro_bm!D488,"")</f>
        <v>1</v>
      </c>
      <c r="D488">
        <f>IF(ROW(D488)&lt;=Bidding!$D$11,Raw_hydro_bm!E488,"")</f>
        <v>1</v>
      </c>
      <c r="E488">
        <f>IF(ROW(E488)&lt;=Bidding!$D$11,Raw_hydro_bm!F488,"")</f>
        <v>0</v>
      </c>
      <c r="F488">
        <f>IF(ROW(F488)&lt;=Bidding!$D$11,Raw_hydro_bm!G488,"")</f>
        <v>0</v>
      </c>
      <c r="G488">
        <f>IF(ROW(G488)&lt;=Bidding!$D$11,Raw_hydro_bm!H488,"")</f>
        <v>2</v>
      </c>
      <c r="H488" t="str">
        <f>IF(ROW(H488)&lt;=Bidding!$D$11,Raw_hydro_bm!I488,"")</f>
        <v>0.0</v>
      </c>
      <c r="I488" s="16">
        <f t="shared" si="7"/>
        <v>0</v>
      </c>
    </row>
    <row r="489" spans="1:9" x14ac:dyDescent="0.3">
      <c r="A489" t="str">
        <f>IF(ROW(A489)&lt;=Bidding!$D$11,Raw_hydro_bm!B489,"")</f>
        <v>v</v>
      </c>
      <c r="B489" t="str">
        <f>IF(ROW(B489)&lt;=Bidding!$D$11,Raw_hydro_bm!C489,"")</f>
        <v>c</v>
      </c>
      <c r="C489">
        <f>IF(ROW(C489)&lt;=Bidding!$D$11,Raw_hydro_bm!D489,"")</f>
        <v>1</v>
      </c>
      <c r="D489">
        <f>IF(ROW(D489)&lt;=Bidding!$D$11,Raw_hydro_bm!E489,"")</f>
        <v>1</v>
      </c>
      <c r="E489">
        <f>IF(ROW(E489)&lt;=Bidding!$D$11,Raw_hydro_bm!F489,"")</f>
        <v>0</v>
      </c>
      <c r="F489">
        <f>IF(ROW(F489)&lt;=Bidding!$D$11,Raw_hydro_bm!G489,"")</f>
        <v>0</v>
      </c>
      <c r="G489">
        <f>IF(ROW(G489)&lt;=Bidding!$D$11,Raw_hydro_bm!H489,"")</f>
        <v>2</v>
      </c>
      <c r="H489" t="str">
        <f>IF(ROW(H489)&lt;=Bidding!$D$11,Raw_hydro_bm!I489,"")</f>
        <v>20.0</v>
      </c>
      <c r="I489" s="16">
        <f t="shared" si="7"/>
        <v>20</v>
      </c>
    </row>
    <row r="490" spans="1:9" x14ac:dyDescent="0.3">
      <c r="A490" t="str">
        <f>IF(ROW(A490)&lt;=Bidding!$D$11,Raw_hydro_bm!B490,"")</f>
        <v>p</v>
      </c>
      <c r="B490" t="str">
        <f>IF(ROW(B490)&lt;=Bidding!$D$11,Raw_hydro_bm!C490,"")</f>
        <v>c</v>
      </c>
      <c r="C490">
        <f>IF(ROW(C490)&lt;=Bidding!$D$11,Raw_hydro_bm!D490,"")</f>
        <v>1</v>
      </c>
      <c r="D490">
        <f>IF(ROW(D490)&lt;=Bidding!$D$11,Raw_hydro_bm!E490,"")</f>
        <v>1</v>
      </c>
      <c r="E490">
        <f>IF(ROW(E490)&lt;=Bidding!$D$11,Raw_hydro_bm!F490,"")</f>
        <v>0</v>
      </c>
      <c r="F490">
        <f>IF(ROW(F490)&lt;=Bidding!$D$11,Raw_hydro_bm!G490,"")</f>
        <v>1</v>
      </c>
      <c r="G490">
        <f>IF(ROW(G490)&lt;=Bidding!$D$11,Raw_hydro_bm!H490,"")</f>
        <v>0</v>
      </c>
      <c r="H490" t="str">
        <f>IF(ROW(H490)&lt;=Bidding!$D$11,Raw_hydro_bm!I490,"")</f>
        <v>0.0</v>
      </c>
      <c r="I490" s="16">
        <f t="shared" si="7"/>
        <v>0</v>
      </c>
    </row>
    <row r="491" spans="1:9" x14ac:dyDescent="0.3">
      <c r="A491" t="str">
        <f>IF(ROW(A491)&lt;=Bidding!$D$11,Raw_hydro_bm!B491,"")</f>
        <v>v</v>
      </c>
      <c r="B491" t="str">
        <f>IF(ROW(B491)&lt;=Bidding!$D$11,Raw_hydro_bm!C491,"")</f>
        <v>c</v>
      </c>
      <c r="C491">
        <f>IF(ROW(C491)&lt;=Bidding!$D$11,Raw_hydro_bm!D491,"")</f>
        <v>1</v>
      </c>
      <c r="D491">
        <f>IF(ROW(D491)&lt;=Bidding!$D$11,Raw_hydro_bm!E491,"")</f>
        <v>1</v>
      </c>
      <c r="E491">
        <f>IF(ROW(E491)&lt;=Bidding!$D$11,Raw_hydro_bm!F491,"")</f>
        <v>0</v>
      </c>
      <c r="F491">
        <f>IF(ROW(F491)&lt;=Bidding!$D$11,Raw_hydro_bm!G491,"")</f>
        <v>1</v>
      </c>
      <c r="G491">
        <f>IF(ROW(G491)&lt;=Bidding!$D$11,Raw_hydro_bm!H491,"")</f>
        <v>0</v>
      </c>
      <c r="H491" t="str">
        <f>IF(ROW(H491)&lt;=Bidding!$D$11,Raw_hydro_bm!I491,"")</f>
        <v>0.0</v>
      </c>
      <c r="I491" s="16">
        <f t="shared" si="7"/>
        <v>0</v>
      </c>
    </row>
    <row r="492" spans="1:9" x14ac:dyDescent="0.3">
      <c r="A492" t="str">
        <f>IF(ROW(A492)&lt;=Bidding!$D$11,Raw_hydro_bm!B492,"")</f>
        <v>p</v>
      </c>
      <c r="B492" t="str">
        <f>IF(ROW(B492)&lt;=Bidding!$D$11,Raw_hydro_bm!C492,"")</f>
        <v>c</v>
      </c>
      <c r="C492">
        <f>IF(ROW(C492)&lt;=Bidding!$D$11,Raw_hydro_bm!D492,"")</f>
        <v>1</v>
      </c>
      <c r="D492">
        <f>IF(ROW(D492)&lt;=Bidding!$D$11,Raw_hydro_bm!E492,"")</f>
        <v>1</v>
      </c>
      <c r="E492">
        <f>IF(ROW(E492)&lt;=Bidding!$D$11,Raw_hydro_bm!F492,"")</f>
        <v>0</v>
      </c>
      <c r="F492">
        <f>IF(ROW(F492)&lt;=Bidding!$D$11,Raw_hydro_bm!G492,"")</f>
        <v>1</v>
      </c>
      <c r="G492">
        <f>IF(ROW(G492)&lt;=Bidding!$D$11,Raw_hydro_bm!H492,"")</f>
        <v>1</v>
      </c>
      <c r="H492" t="str">
        <f>IF(ROW(H492)&lt;=Bidding!$D$11,Raw_hydro_bm!I492,"")</f>
        <v>0.0</v>
      </c>
      <c r="I492" s="16">
        <f t="shared" si="7"/>
        <v>0</v>
      </c>
    </row>
    <row r="493" spans="1:9" x14ac:dyDescent="0.3">
      <c r="A493" t="str">
        <f>IF(ROW(A493)&lt;=Bidding!$D$11,Raw_hydro_bm!B493,"")</f>
        <v>v</v>
      </c>
      <c r="B493" t="str">
        <f>IF(ROW(B493)&lt;=Bidding!$D$11,Raw_hydro_bm!C493,"")</f>
        <v>c</v>
      </c>
      <c r="C493">
        <f>IF(ROW(C493)&lt;=Bidding!$D$11,Raw_hydro_bm!D493,"")</f>
        <v>1</v>
      </c>
      <c r="D493">
        <f>IF(ROW(D493)&lt;=Bidding!$D$11,Raw_hydro_bm!E493,"")</f>
        <v>1</v>
      </c>
      <c r="E493">
        <f>IF(ROW(E493)&lt;=Bidding!$D$11,Raw_hydro_bm!F493,"")</f>
        <v>0</v>
      </c>
      <c r="F493">
        <f>IF(ROW(F493)&lt;=Bidding!$D$11,Raw_hydro_bm!G493,"")</f>
        <v>1</v>
      </c>
      <c r="G493">
        <f>IF(ROW(G493)&lt;=Bidding!$D$11,Raw_hydro_bm!H493,"")</f>
        <v>1</v>
      </c>
      <c r="H493" t="str">
        <f>IF(ROW(H493)&lt;=Bidding!$D$11,Raw_hydro_bm!I493,"")</f>
        <v>0.0</v>
      </c>
      <c r="I493" s="16">
        <f t="shared" si="7"/>
        <v>0</v>
      </c>
    </row>
    <row r="494" spans="1:9" x14ac:dyDescent="0.3">
      <c r="A494" t="str">
        <f>IF(ROW(A494)&lt;=Bidding!$D$11,Raw_hydro_bm!B494,"")</f>
        <v>p</v>
      </c>
      <c r="B494" t="str">
        <f>IF(ROW(B494)&lt;=Bidding!$D$11,Raw_hydro_bm!C494,"")</f>
        <v>c</v>
      </c>
      <c r="C494">
        <f>IF(ROW(C494)&lt;=Bidding!$D$11,Raw_hydro_bm!D494,"")</f>
        <v>1</v>
      </c>
      <c r="D494">
        <f>IF(ROW(D494)&lt;=Bidding!$D$11,Raw_hydro_bm!E494,"")</f>
        <v>1</v>
      </c>
      <c r="E494">
        <f>IF(ROW(E494)&lt;=Bidding!$D$11,Raw_hydro_bm!F494,"")</f>
        <v>0</v>
      </c>
      <c r="F494">
        <f>IF(ROW(F494)&lt;=Bidding!$D$11,Raw_hydro_bm!G494,"")</f>
        <v>1</v>
      </c>
      <c r="G494">
        <f>IF(ROW(G494)&lt;=Bidding!$D$11,Raw_hydro_bm!H494,"")</f>
        <v>2</v>
      </c>
      <c r="H494" t="str">
        <f>IF(ROW(H494)&lt;=Bidding!$D$11,Raw_hydro_bm!I494,"")</f>
        <v>0.0</v>
      </c>
      <c r="I494" s="16">
        <f t="shared" si="7"/>
        <v>0</v>
      </c>
    </row>
    <row r="495" spans="1:9" x14ac:dyDescent="0.3">
      <c r="A495" t="str">
        <f>IF(ROW(A495)&lt;=Bidding!$D$11,Raw_hydro_bm!B495,"")</f>
        <v>v</v>
      </c>
      <c r="B495" t="str">
        <f>IF(ROW(B495)&lt;=Bidding!$D$11,Raw_hydro_bm!C495,"")</f>
        <v>c</v>
      </c>
      <c r="C495">
        <f>IF(ROW(C495)&lt;=Bidding!$D$11,Raw_hydro_bm!D495,"")</f>
        <v>1</v>
      </c>
      <c r="D495">
        <f>IF(ROW(D495)&lt;=Bidding!$D$11,Raw_hydro_bm!E495,"")</f>
        <v>1</v>
      </c>
      <c r="E495">
        <f>IF(ROW(E495)&lt;=Bidding!$D$11,Raw_hydro_bm!F495,"")</f>
        <v>0</v>
      </c>
      <c r="F495">
        <f>IF(ROW(F495)&lt;=Bidding!$D$11,Raw_hydro_bm!G495,"")</f>
        <v>1</v>
      </c>
      <c r="G495">
        <f>IF(ROW(G495)&lt;=Bidding!$D$11,Raw_hydro_bm!H495,"")</f>
        <v>2</v>
      </c>
      <c r="H495" t="str">
        <f>IF(ROW(H495)&lt;=Bidding!$D$11,Raw_hydro_bm!I495,"")</f>
        <v>0.0</v>
      </c>
      <c r="I495" s="16">
        <f t="shared" si="7"/>
        <v>0</v>
      </c>
    </row>
    <row r="496" spans="1:9" x14ac:dyDescent="0.3">
      <c r="A496" t="str">
        <f>IF(ROW(A496)&lt;=Bidding!$D$11,Raw_hydro_bm!B496,"")</f>
        <v>b</v>
      </c>
      <c r="B496" t="str">
        <f>IF(ROW(B496)&lt;=Bidding!$D$11,Raw_hydro_bm!C496,"")</f>
        <v>v</v>
      </c>
      <c r="C496" t="str">
        <f>IF(ROW(C496)&lt;=Bidding!$D$11,Raw_hydro_bm!D496,"")</f>
        <v>X</v>
      </c>
      <c r="D496">
        <f>IF(ROW(D496)&lt;=Bidding!$D$11,Raw_hydro_bm!E496,"")</f>
        <v>1</v>
      </c>
      <c r="E496">
        <f>IF(ROW(E496)&lt;=Bidding!$D$11,Raw_hydro_bm!F496,"")</f>
        <v>1</v>
      </c>
      <c r="F496">
        <f>IF(ROW(F496)&lt;=Bidding!$D$11,Raw_hydro_bm!G496,"")</f>
        <v>1</v>
      </c>
      <c r="G496">
        <f>IF(ROW(G496)&lt;=Bidding!$D$11,Raw_hydro_bm!H496,"")</f>
        <v>0</v>
      </c>
      <c r="H496" t="str">
        <f>IF(ROW(H496)&lt;=Bidding!$D$11,Raw_hydro_bm!I496,"")</f>
        <v>0.0</v>
      </c>
      <c r="I496" s="16">
        <f t="shared" si="7"/>
        <v>0</v>
      </c>
    </row>
    <row r="497" spans="1:9" x14ac:dyDescent="0.3">
      <c r="A497" t="str">
        <f>IF(ROW(A497)&lt;=Bidding!$D$11,Raw_hydro_bm!B497,"")</f>
        <v>b</v>
      </c>
      <c r="B497" t="str">
        <f>IF(ROW(B497)&lt;=Bidding!$D$11,Raw_hydro_bm!C497,"")</f>
        <v>v</v>
      </c>
      <c r="C497" t="str">
        <f>IF(ROW(C497)&lt;=Bidding!$D$11,Raw_hydro_bm!D497,"")</f>
        <v>X</v>
      </c>
      <c r="D497">
        <f>IF(ROW(D497)&lt;=Bidding!$D$11,Raw_hydro_bm!E497,"")</f>
        <v>1</v>
      </c>
      <c r="E497">
        <f>IF(ROW(E497)&lt;=Bidding!$D$11,Raw_hydro_bm!F497,"")</f>
        <v>1</v>
      </c>
      <c r="F497">
        <f>IF(ROW(F497)&lt;=Bidding!$D$11,Raw_hydro_bm!G497,"")</f>
        <v>1</v>
      </c>
      <c r="G497">
        <f>IF(ROW(G497)&lt;=Bidding!$D$11,Raw_hydro_bm!H497,"")</f>
        <v>1</v>
      </c>
      <c r="H497" t="str">
        <f>IF(ROW(H497)&lt;=Bidding!$D$11,Raw_hydro_bm!I497,"")</f>
        <v>0.0</v>
      </c>
      <c r="I497" s="16">
        <f t="shared" si="7"/>
        <v>0</v>
      </c>
    </row>
    <row r="498" spans="1:9" x14ac:dyDescent="0.3">
      <c r="A498" t="str">
        <f>IF(ROW(A498)&lt;=Bidding!$D$11,Raw_hydro_bm!B498,"")</f>
        <v>b</v>
      </c>
      <c r="B498" t="str">
        <f>IF(ROW(B498)&lt;=Bidding!$D$11,Raw_hydro_bm!C498,"")</f>
        <v>v</v>
      </c>
      <c r="C498" t="str">
        <f>IF(ROW(C498)&lt;=Bidding!$D$11,Raw_hydro_bm!D498,"")</f>
        <v>X</v>
      </c>
      <c r="D498">
        <f>IF(ROW(D498)&lt;=Bidding!$D$11,Raw_hydro_bm!E498,"")</f>
        <v>1</v>
      </c>
      <c r="E498">
        <f>IF(ROW(E498)&lt;=Bidding!$D$11,Raw_hydro_bm!F498,"")</f>
        <v>1</v>
      </c>
      <c r="F498">
        <f>IF(ROW(F498)&lt;=Bidding!$D$11,Raw_hydro_bm!G498,"")</f>
        <v>1</v>
      </c>
      <c r="G498">
        <f>IF(ROW(G498)&lt;=Bidding!$D$11,Raw_hydro_bm!H498,"")</f>
        <v>2</v>
      </c>
      <c r="H498" t="str">
        <f>IF(ROW(H498)&lt;=Bidding!$D$11,Raw_hydro_bm!I498,"")</f>
        <v>60.0</v>
      </c>
      <c r="I498" s="16">
        <f t="shared" si="7"/>
        <v>60</v>
      </c>
    </row>
    <row r="499" spans="1:9" x14ac:dyDescent="0.3">
      <c r="A499" t="str">
        <f>IF(ROW(A499)&lt;=Bidding!$D$11,Raw_hydro_bm!B499,"")</f>
        <v>p</v>
      </c>
      <c r="B499" t="str">
        <f>IF(ROW(B499)&lt;=Bidding!$D$11,Raw_hydro_bm!C499,"")</f>
        <v>c</v>
      </c>
      <c r="C499">
        <f>IF(ROW(C499)&lt;=Bidding!$D$11,Raw_hydro_bm!D499,"")</f>
        <v>1</v>
      </c>
      <c r="D499">
        <f>IF(ROW(D499)&lt;=Bidding!$D$11,Raw_hydro_bm!E499,"")</f>
        <v>1</v>
      </c>
      <c r="E499">
        <f>IF(ROW(E499)&lt;=Bidding!$D$11,Raw_hydro_bm!F499,"")</f>
        <v>1</v>
      </c>
      <c r="F499">
        <f>IF(ROW(F499)&lt;=Bidding!$D$11,Raw_hydro_bm!G499,"")</f>
        <v>0</v>
      </c>
      <c r="G499">
        <f>IF(ROW(G499)&lt;=Bidding!$D$11,Raw_hydro_bm!H499,"")</f>
        <v>0</v>
      </c>
      <c r="H499" t="str">
        <f>IF(ROW(H499)&lt;=Bidding!$D$11,Raw_hydro_bm!I499,"")</f>
        <v>0.0</v>
      </c>
      <c r="I499" s="16">
        <f t="shared" si="7"/>
        <v>0</v>
      </c>
    </row>
    <row r="500" spans="1:9" x14ac:dyDescent="0.3">
      <c r="A500" t="str">
        <f>IF(ROW(A500)&lt;=Bidding!$D$11,Raw_hydro_bm!B500,"")</f>
        <v>v</v>
      </c>
      <c r="B500" t="str">
        <f>IF(ROW(B500)&lt;=Bidding!$D$11,Raw_hydro_bm!C500,"")</f>
        <v>c</v>
      </c>
      <c r="C500">
        <f>IF(ROW(C500)&lt;=Bidding!$D$11,Raw_hydro_bm!D500,"")</f>
        <v>1</v>
      </c>
      <c r="D500">
        <f>IF(ROW(D500)&lt;=Bidding!$D$11,Raw_hydro_bm!E500,"")</f>
        <v>1</v>
      </c>
      <c r="E500">
        <f>IF(ROW(E500)&lt;=Bidding!$D$11,Raw_hydro_bm!F500,"")</f>
        <v>1</v>
      </c>
      <c r="F500">
        <f>IF(ROW(F500)&lt;=Bidding!$D$11,Raw_hydro_bm!G500,"")</f>
        <v>0</v>
      </c>
      <c r="G500">
        <f>IF(ROW(G500)&lt;=Bidding!$D$11,Raw_hydro_bm!H500,"")</f>
        <v>0</v>
      </c>
      <c r="H500" t="str">
        <f>IF(ROW(H500)&lt;=Bidding!$D$11,Raw_hydro_bm!I500,"")</f>
        <v>0.0</v>
      </c>
      <c r="I500" s="16">
        <f t="shared" si="7"/>
        <v>0</v>
      </c>
    </row>
    <row r="501" spans="1:9" x14ac:dyDescent="0.3">
      <c r="A501" t="str">
        <f>IF(ROW(A501)&lt;=Bidding!$D$11,Raw_hydro_bm!B501,"")</f>
        <v>p</v>
      </c>
      <c r="B501" t="str">
        <f>IF(ROW(B501)&lt;=Bidding!$D$11,Raw_hydro_bm!C501,"")</f>
        <v>c</v>
      </c>
      <c r="C501">
        <f>IF(ROW(C501)&lt;=Bidding!$D$11,Raw_hydro_bm!D501,"")</f>
        <v>1</v>
      </c>
      <c r="D501">
        <f>IF(ROW(D501)&lt;=Bidding!$D$11,Raw_hydro_bm!E501,"")</f>
        <v>1</v>
      </c>
      <c r="E501">
        <f>IF(ROW(E501)&lt;=Bidding!$D$11,Raw_hydro_bm!F501,"")</f>
        <v>1</v>
      </c>
      <c r="F501">
        <f>IF(ROW(F501)&lt;=Bidding!$D$11,Raw_hydro_bm!G501,"")</f>
        <v>0</v>
      </c>
      <c r="G501">
        <f>IF(ROW(G501)&lt;=Bidding!$D$11,Raw_hydro_bm!H501,"")</f>
        <v>1</v>
      </c>
      <c r="H501" t="str">
        <f>IF(ROW(H501)&lt;=Bidding!$D$11,Raw_hydro_bm!I501,"")</f>
        <v>0.0</v>
      </c>
      <c r="I501" s="16">
        <f t="shared" si="7"/>
        <v>0</v>
      </c>
    </row>
    <row r="502" spans="1:9" x14ac:dyDescent="0.3">
      <c r="A502" t="str">
        <f>IF(ROW(A502)&lt;=Bidding!$D$11,Raw_hydro_bm!B502,"")</f>
        <v>v</v>
      </c>
      <c r="B502" t="str">
        <f>IF(ROW(B502)&lt;=Bidding!$D$11,Raw_hydro_bm!C502,"")</f>
        <v>c</v>
      </c>
      <c r="C502">
        <f>IF(ROW(C502)&lt;=Bidding!$D$11,Raw_hydro_bm!D502,"")</f>
        <v>1</v>
      </c>
      <c r="D502">
        <f>IF(ROW(D502)&lt;=Bidding!$D$11,Raw_hydro_bm!E502,"")</f>
        <v>1</v>
      </c>
      <c r="E502">
        <f>IF(ROW(E502)&lt;=Bidding!$D$11,Raw_hydro_bm!F502,"")</f>
        <v>1</v>
      </c>
      <c r="F502">
        <f>IF(ROW(F502)&lt;=Bidding!$D$11,Raw_hydro_bm!G502,"")</f>
        <v>0</v>
      </c>
      <c r="G502">
        <f>IF(ROW(G502)&lt;=Bidding!$D$11,Raw_hydro_bm!H502,"")</f>
        <v>1</v>
      </c>
      <c r="H502" t="str">
        <f>IF(ROW(H502)&lt;=Bidding!$D$11,Raw_hydro_bm!I502,"")</f>
        <v>0.0</v>
      </c>
      <c r="I502" s="16">
        <f t="shared" si="7"/>
        <v>0</v>
      </c>
    </row>
    <row r="503" spans="1:9" x14ac:dyDescent="0.3">
      <c r="A503" t="str">
        <f>IF(ROW(A503)&lt;=Bidding!$D$11,Raw_hydro_bm!B503,"")</f>
        <v>p</v>
      </c>
      <c r="B503" t="str">
        <f>IF(ROW(B503)&lt;=Bidding!$D$11,Raw_hydro_bm!C503,"")</f>
        <v>c</v>
      </c>
      <c r="C503">
        <f>IF(ROW(C503)&lt;=Bidding!$D$11,Raw_hydro_bm!D503,"")</f>
        <v>1</v>
      </c>
      <c r="D503">
        <f>IF(ROW(D503)&lt;=Bidding!$D$11,Raw_hydro_bm!E503,"")</f>
        <v>1</v>
      </c>
      <c r="E503">
        <f>IF(ROW(E503)&lt;=Bidding!$D$11,Raw_hydro_bm!F503,"")</f>
        <v>1</v>
      </c>
      <c r="F503">
        <f>IF(ROW(F503)&lt;=Bidding!$D$11,Raw_hydro_bm!G503,"")</f>
        <v>0</v>
      </c>
      <c r="G503">
        <f>IF(ROW(G503)&lt;=Bidding!$D$11,Raw_hydro_bm!H503,"")</f>
        <v>2</v>
      </c>
      <c r="H503" t="str">
        <f>IF(ROW(H503)&lt;=Bidding!$D$11,Raw_hydro_bm!I503,"")</f>
        <v>0.0</v>
      </c>
      <c r="I503" s="16">
        <f t="shared" si="7"/>
        <v>0</v>
      </c>
    </row>
    <row r="504" spans="1:9" x14ac:dyDescent="0.3">
      <c r="A504" t="str">
        <f>IF(ROW(A504)&lt;=Bidding!$D$11,Raw_hydro_bm!B504,"")</f>
        <v>v</v>
      </c>
      <c r="B504" t="str">
        <f>IF(ROW(B504)&lt;=Bidding!$D$11,Raw_hydro_bm!C504,"")</f>
        <v>c</v>
      </c>
      <c r="C504">
        <f>IF(ROW(C504)&lt;=Bidding!$D$11,Raw_hydro_bm!D504,"")</f>
        <v>1</v>
      </c>
      <c r="D504">
        <f>IF(ROW(D504)&lt;=Bidding!$D$11,Raw_hydro_bm!E504,"")</f>
        <v>1</v>
      </c>
      <c r="E504">
        <f>IF(ROW(E504)&lt;=Bidding!$D$11,Raw_hydro_bm!F504,"")</f>
        <v>1</v>
      </c>
      <c r="F504">
        <f>IF(ROW(F504)&lt;=Bidding!$D$11,Raw_hydro_bm!G504,"")</f>
        <v>0</v>
      </c>
      <c r="G504">
        <f>IF(ROW(G504)&lt;=Bidding!$D$11,Raw_hydro_bm!H504,"")</f>
        <v>2</v>
      </c>
      <c r="H504" t="str">
        <f>IF(ROW(H504)&lt;=Bidding!$D$11,Raw_hydro_bm!I504,"")</f>
        <v>0.0</v>
      </c>
      <c r="I504" s="16">
        <f t="shared" si="7"/>
        <v>0</v>
      </c>
    </row>
    <row r="505" spans="1:9" x14ac:dyDescent="0.3">
      <c r="A505" t="str">
        <f>IF(ROW(A505)&lt;=Bidding!$D$11,Raw_hydro_bm!B505,"")</f>
        <v>p</v>
      </c>
      <c r="B505" t="str">
        <f>IF(ROW(B505)&lt;=Bidding!$D$11,Raw_hydro_bm!C505,"")</f>
        <v>c</v>
      </c>
      <c r="C505">
        <f>IF(ROW(C505)&lt;=Bidding!$D$11,Raw_hydro_bm!D505,"")</f>
        <v>1</v>
      </c>
      <c r="D505">
        <f>IF(ROW(D505)&lt;=Bidding!$D$11,Raw_hydro_bm!E505,"")</f>
        <v>1</v>
      </c>
      <c r="E505">
        <f>IF(ROW(E505)&lt;=Bidding!$D$11,Raw_hydro_bm!F505,"")</f>
        <v>1</v>
      </c>
      <c r="F505">
        <f>IF(ROW(F505)&lt;=Bidding!$D$11,Raw_hydro_bm!G505,"")</f>
        <v>1</v>
      </c>
      <c r="G505">
        <f>IF(ROW(G505)&lt;=Bidding!$D$11,Raw_hydro_bm!H505,"")</f>
        <v>0</v>
      </c>
      <c r="H505" t="str">
        <f>IF(ROW(H505)&lt;=Bidding!$D$11,Raw_hydro_bm!I505,"")</f>
        <v>0.0</v>
      </c>
      <c r="I505" s="16">
        <f t="shared" si="7"/>
        <v>0</v>
      </c>
    </row>
    <row r="506" spans="1:9" x14ac:dyDescent="0.3">
      <c r="A506" t="str">
        <f>IF(ROW(A506)&lt;=Bidding!$D$11,Raw_hydro_bm!B506,"")</f>
        <v>v</v>
      </c>
      <c r="B506" t="str">
        <f>IF(ROW(B506)&lt;=Bidding!$D$11,Raw_hydro_bm!C506,"")</f>
        <v>c</v>
      </c>
      <c r="C506">
        <f>IF(ROW(C506)&lt;=Bidding!$D$11,Raw_hydro_bm!D506,"")</f>
        <v>1</v>
      </c>
      <c r="D506">
        <f>IF(ROW(D506)&lt;=Bidding!$D$11,Raw_hydro_bm!E506,"")</f>
        <v>1</v>
      </c>
      <c r="E506">
        <f>IF(ROW(E506)&lt;=Bidding!$D$11,Raw_hydro_bm!F506,"")</f>
        <v>1</v>
      </c>
      <c r="F506">
        <f>IF(ROW(F506)&lt;=Bidding!$D$11,Raw_hydro_bm!G506,"")</f>
        <v>1</v>
      </c>
      <c r="G506">
        <f>IF(ROW(G506)&lt;=Bidding!$D$11,Raw_hydro_bm!H506,"")</f>
        <v>0</v>
      </c>
      <c r="H506" t="str">
        <f>IF(ROW(H506)&lt;=Bidding!$D$11,Raw_hydro_bm!I506,"")</f>
        <v>10.0</v>
      </c>
      <c r="I506" s="16">
        <f t="shared" si="7"/>
        <v>10</v>
      </c>
    </row>
    <row r="507" spans="1:9" x14ac:dyDescent="0.3">
      <c r="A507" t="str">
        <f>IF(ROW(A507)&lt;=Bidding!$D$11,Raw_hydro_bm!B507,"")</f>
        <v>p</v>
      </c>
      <c r="B507" t="str">
        <f>IF(ROW(B507)&lt;=Bidding!$D$11,Raw_hydro_bm!C507,"")</f>
        <v>c</v>
      </c>
      <c r="C507">
        <f>IF(ROW(C507)&lt;=Bidding!$D$11,Raw_hydro_bm!D507,"")</f>
        <v>1</v>
      </c>
      <c r="D507">
        <f>IF(ROW(D507)&lt;=Bidding!$D$11,Raw_hydro_bm!E507,"")</f>
        <v>1</v>
      </c>
      <c r="E507">
        <f>IF(ROW(E507)&lt;=Bidding!$D$11,Raw_hydro_bm!F507,"")</f>
        <v>1</v>
      </c>
      <c r="F507">
        <f>IF(ROW(F507)&lt;=Bidding!$D$11,Raw_hydro_bm!G507,"")</f>
        <v>1</v>
      </c>
      <c r="G507">
        <f>IF(ROW(G507)&lt;=Bidding!$D$11,Raw_hydro_bm!H507,"")</f>
        <v>1</v>
      </c>
      <c r="H507" t="str">
        <f>IF(ROW(H507)&lt;=Bidding!$D$11,Raw_hydro_bm!I507,"")</f>
        <v>0.0</v>
      </c>
      <c r="I507" s="16">
        <f t="shared" si="7"/>
        <v>0</v>
      </c>
    </row>
    <row r="508" spans="1:9" x14ac:dyDescent="0.3">
      <c r="A508" t="str">
        <f>IF(ROW(A508)&lt;=Bidding!$D$11,Raw_hydro_bm!B508,"")</f>
        <v>v</v>
      </c>
      <c r="B508" t="str">
        <f>IF(ROW(B508)&lt;=Bidding!$D$11,Raw_hydro_bm!C508,"")</f>
        <v>c</v>
      </c>
      <c r="C508">
        <f>IF(ROW(C508)&lt;=Bidding!$D$11,Raw_hydro_bm!D508,"")</f>
        <v>1</v>
      </c>
      <c r="D508">
        <f>IF(ROW(D508)&lt;=Bidding!$D$11,Raw_hydro_bm!E508,"")</f>
        <v>1</v>
      </c>
      <c r="E508">
        <f>IF(ROW(E508)&lt;=Bidding!$D$11,Raw_hydro_bm!F508,"")</f>
        <v>1</v>
      </c>
      <c r="F508">
        <f>IF(ROW(F508)&lt;=Bidding!$D$11,Raw_hydro_bm!G508,"")</f>
        <v>1</v>
      </c>
      <c r="G508">
        <f>IF(ROW(G508)&lt;=Bidding!$D$11,Raw_hydro_bm!H508,"")</f>
        <v>1</v>
      </c>
      <c r="H508" t="str">
        <f>IF(ROW(H508)&lt;=Bidding!$D$11,Raw_hydro_bm!I508,"")</f>
        <v>30.0</v>
      </c>
      <c r="I508" s="16">
        <f t="shared" si="7"/>
        <v>30</v>
      </c>
    </row>
    <row r="509" spans="1:9" x14ac:dyDescent="0.3">
      <c r="A509" t="str">
        <f>IF(ROW(A509)&lt;=Bidding!$D$11,Raw_hydro_bm!B509,"")</f>
        <v>p</v>
      </c>
      <c r="B509" t="str">
        <f>IF(ROW(B509)&lt;=Bidding!$D$11,Raw_hydro_bm!C509,"")</f>
        <v>c</v>
      </c>
      <c r="C509">
        <f>IF(ROW(C509)&lt;=Bidding!$D$11,Raw_hydro_bm!D509,"")</f>
        <v>1</v>
      </c>
      <c r="D509">
        <f>IF(ROW(D509)&lt;=Bidding!$D$11,Raw_hydro_bm!E509,"")</f>
        <v>1</v>
      </c>
      <c r="E509">
        <f>IF(ROW(E509)&lt;=Bidding!$D$11,Raw_hydro_bm!F509,"")</f>
        <v>1</v>
      </c>
      <c r="F509">
        <f>IF(ROW(F509)&lt;=Bidding!$D$11,Raw_hydro_bm!G509,"")</f>
        <v>1</v>
      </c>
      <c r="G509">
        <f>IF(ROW(G509)&lt;=Bidding!$D$11,Raw_hydro_bm!H509,"")</f>
        <v>2</v>
      </c>
      <c r="H509" t="str">
        <f>IF(ROW(H509)&lt;=Bidding!$D$11,Raw_hydro_bm!I509,"")</f>
        <v>0.0</v>
      </c>
      <c r="I509" s="16">
        <f t="shared" si="7"/>
        <v>0</v>
      </c>
    </row>
    <row r="510" spans="1:9" x14ac:dyDescent="0.3">
      <c r="A510" t="str">
        <f>IF(ROW(A510)&lt;=Bidding!$D$11,Raw_hydro_bm!B510,"")</f>
        <v>v</v>
      </c>
      <c r="B510" t="str">
        <f>IF(ROW(B510)&lt;=Bidding!$D$11,Raw_hydro_bm!C510,"")</f>
        <v>c</v>
      </c>
      <c r="C510">
        <f>IF(ROW(C510)&lt;=Bidding!$D$11,Raw_hydro_bm!D510,"")</f>
        <v>1</v>
      </c>
      <c r="D510">
        <f>IF(ROW(D510)&lt;=Bidding!$D$11,Raw_hydro_bm!E510,"")</f>
        <v>1</v>
      </c>
      <c r="E510">
        <f>IF(ROW(E510)&lt;=Bidding!$D$11,Raw_hydro_bm!F510,"")</f>
        <v>1</v>
      </c>
      <c r="F510">
        <f>IF(ROW(F510)&lt;=Bidding!$D$11,Raw_hydro_bm!G510,"")</f>
        <v>1</v>
      </c>
      <c r="G510">
        <f>IF(ROW(G510)&lt;=Bidding!$D$11,Raw_hydro_bm!H510,"")</f>
        <v>2</v>
      </c>
      <c r="H510" t="str">
        <f>IF(ROW(H510)&lt;=Bidding!$D$11,Raw_hydro_bm!I510,"")</f>
        <v>20.0</v>
      </c>
      <c r="I510" s="16">
        <f t="shared" si="7"/>
        <v>20</v>
      </c>
    </row>
    <row r="511" spans="1:9" x14ac:dyDescent="0.3">
      <c r="A511" t="str">
        <f>IF(ROW(A511)&lt;=Bidding!$D$11,Raw_hydro_bm!B511,"")</f>
        <v>b</v>
      </c>
      <c r="B511" t="str">
        <f>IF(ROW(B511)&lt;=Bidding!$D$11,Raw_hydro_bm!C511,"")</f>
        <v>v</v>
      </c>
      <c r="C511" t="str">
        <f>IF(ROW(C511)&lt;=Bidding!$D$11,Raw_hydro_bm!D511,"")</f>
        <v>X</v>
      </c>
      <c r="D511">
        <f>IF(ROW(D511)&lt;=Bidding!$D$11,Raw_hydro_bm!E511,"")</f>
        <v>1</v>
      </c>
      <c r="E511">
        <f>IF(ROW(E511)&lt;=Bidding!$D$11,Raw_hydro_bm!F511,"")</f>
        <v>2</v>
      </c>
      <c r="F511">
        <f>IF(ROW(F511)&lt;=Bidding!$D$11,Raw_hydro_bm!G511,"")</f>
        <v>0</v>
      </c>
      <c r="G511">
        <f>IF(ROW(G511)&lt;=Bidding!$D$11,Raw_hydro_bm!H511,"")</f>
        <v>0</v>
      </c>
      <c r="H511" t="str">
        <f>IF(ROW(H511)&lt;=Bidding!$D$11,Raw_hydro_bm!I511,"")</f>
        <v>0.0</v>
      </c>
      <c r="I511" s="16">
        <f t="shared" si="7"/>
        <v>0</v>
      </c>
    </row>
    <row r="512" spans="1:9" x14ac:dyDescent="0.3">
      <c r="A512" t="str">
        <f>IF(ROW(A512)&lt;=Bidding!$D$11,Raw_hydro_bm!B512,"")</f>
        <v>b</v>
      </c>
      <c r="B512" t="str">
        <f>IF(ROW(B512)&lt;=Bidding!$D$11,Raw_hydro_bm!C512,"")</f>
        <v>v</v>
      </c>
      <c r="C512" t="str">
        <f>IF(ROW(C512)&lt;=Bidding!$D$11,Raw_hydro_bm!D512,"")</f>
        <v>X</v>
      </c>
      <c r="D512">
        <f>IF(ROW(D512)&lt;=Bidding!$D$11,Raw_hydro_bm!E512,"")</f>
        <v>1</v>
      </c>
      <c r="E512">
        <f>IF(ROW(E512)&lt;=Bidding!$D$11,Raw_hydro_bm!F512,"")</f>
        <v>2</v>
      </c>
      <c r="F512">
        <f>IF(ROW(F512)&lt;=Bidding!$D$11,Raw_hydro_bm!G512,"")</f>
        <v>0</v>
      </c>
      <c r="G512">
        <f>IF(ROW(G512)&lt;=Bidding!$D$11,Raw_hydro_bm!H512,"")</f>
        <v>1</v>
      </c>
      <c r="H512" t="str">
        <f>IF(ROW(H512)&lt;=Bidding!$D$11,Raw_hydro_bm!I512,"")</f>
        <v>0.0</v>
      </c>
      <c r="I512" s="16">
        <f t="shared" si="7"/>
        <v>0</v>
      </c>
    </row>
    <row r="513" spans="1:9" x14ac:dyDescent="0.3">
      <c r="A513" t="str">
        <f>IF(ROW(A513)&lt;=Bidding!$D$11,Raw_hydro_bm!B513,"")</f>
        <v>b</v>
      </c>
      <c r="B513" t="str">
        <f>IF(ROW(B513)&lt;=Bidding!$D$11,Raw_hydro_bm!C513,"")</f>
        <v>v</v>
      </c>
      <c r="C513" t="str">
        <f>IF(ROW(C513)&lt;=Bidding!$D$11,Raw_hydro_bm!D513,"")</f>
        <v>X</v>
      </c>
      <c r="D513">
        <f>IF(ROW(D513)&lt;=Bidding!$D$11,Raw_hydro_bm!E513,"")</f>
        <v>1</v>
      </c>
      <c r="E513">
        <f>IF(ROW(E513)&lt;=Bidding!$D$11,Raw_hydro_bm!F513,"")</f>
        <v>2</v>
      </c>
      <c r="F513">
        <f>IF(ROW(F513)&lt;=Bidding!$D$11,Raw_hydro_bm!G513,"")</f>
        <v>0</v>
      </c>
      <c r="G513">
        <f>IF(ROW(G513)&lt;=Bidding!$D$11,Raw_hydro_bm!H513,"")</f>
        <v>2</v>
      </c>
      <c r="H513" t="str">
        <f>IF(ROW(H513)&lt;=Bidding!$D$11,Raw_hydro_bm!I513,"")</f>
        <v>60.0</v>
      </c>
      <c r="I513" s="16">
        <f t="shared" si="7"/>
        <v>60</v>
      </c>
    </row>
    <row r="514" spans="1:9" x14ac:dyDescent="0.3">
      <c r="A514" t="str">
        <f>IF(ROW(A514)&lt;=Bidding!$D$11,Raw_hydro_bm!B514,"")</f>
        <v>p</v>
      </c>
      <c r="B514" t="str">
        <f>IF(ROW(B514)&lt;=Bidding!$D$11,Raw_hydro_bm!C514,"")</f>
        <v>c</v>
      </c>
      <c r="C514">
        <f>IF(ROW(C514)&lt;=Bidding!$D$11,Raw_hydro_bm!D514,"")</f>
        <v>1</v>
      </c>
      <c r="D514">
        <f>IF(ROW(D514)&lt;=Bidding!$D$11,Raw_hydro_bm!E514,"")</f>
        <v>2</v>
      </c>
      <c r="E514">
        <f>IF(ROW(E514)&lt;=Bidding!$D$11,Raw_hydro_bm!F514,"")</f>
        <v>0</v>
      </c>
      <c r="F514">
        <f>IF(ROW(F514)&lt;=Bidding!$D$11,Raw_hydro_bm!G514,"")</f>
        <v>0</v>
      </c>
      <c r="G514">
        <f>IF(ROW(G514)&lt;=Bidding!$D$11,Raw_hydro_bm!H514,"")</f>
        <v>0</v>
      </c>
      <c r="H514" t="str">
        <f>IF(ROW(H514)&lt;=Bidding!$D$11,Raw_hydro_bm!I514,"")</f>
        <v>0.0</v>
      </c>
      <c r="I514" s="16">
        <f t="shared" ref="I514:I577" si="8">IF(IFERROR(FIND("e",H514),-1)&lt;0,IFERROR(_xlfn.NUMBERVALUE(LEFT(H514,FIND(".",H514)-1))+_xlfn.NUMBERVALUE("0,"&amp;RIGHT(H514,LEN(H514)-FIND(".",H514))),""),0)</f>
        <v>0</v>
      </c>
    </row>
    <row r="515" spans="1:9" x14ac:dyDescent="0.3">
      <c r="A515" t="str">
        <f>IF(ROW(A515)&lt;=Bidding!$D$11,Raw_hydro_bm!B515,"")</f>
        <v>v</v>
      </c>
      <c r="B515" t="str">
        <f>IF(ROW(B515)&lt;=Bidding!$D$11,Raw_hydro_bm!C515,"")</f>
        <v>c</v>
      </c>
      <c r="C515">
        <f>IF(ROW(C515)&lt;=Bidding!$D$11,Raw_hydro_bm!D515,"")</f>
        <v>1</v>
      </c>
      <c r="D515">
        <f>IF(ROW(D515)&lt;=Bidding!$D$11,Raw_hydro_bm!E515,"")</f>
        <v>2</v>
      </c>
      <c r="E515">
        <f>IF(ROW(E515)&lt;=Bidding!$D$11,Raw_hydro_bm!F515,"")</f>
        <v>0</v>
      </c>
      <c r="F515">
        <f>IF(ROW(F515)&lt;=Bidding!$D$11,Raw_hydro_bm!G515,"")</f>
        <v>0</v>
      </c>
      <c r="G515">
        <f>IF(ROW(G515)&lt;=Bidding!$D$11,Raw_hydro_bm!H515,"")</f>
        <v>0</v>
      </c>
      <c r="H515" t="str">
        <f>IF(ROW(H515)&lt;=Bidding!$D$11,Raw_hydro_bm!I515,"")</f>
        <v>10.0</v>
      </c>
      <c r="I515" s="16">
        <f t="shared" si="8"/>
        <v>10</v>
      </c>
    </row>
    <row r="516" spans="1:9" x14ac:dyDescent="0.3">
      <c r="A516" t="str">
        <f>IF(ROW(A516)&lt;=Bidding!$D$11,Raw_hydro_bm!B516,"")</f>
        <v>p</v>
      </c>
      <c r="B516" t="str">
        <f>IF(ROW(B516)&lt;=Bidding!$D$11,Raw_hydro_bm!C516,"")</f>
        <v>c</v>
      </c>
      <c r="C516">
        <f>IF(ROW(C516)&lt;=Bidding!$D$11,Raw_hydro_bm!D516,"")</f>
        <v>1</v>
      </c>
      <c r="D516">
        <f>IF(ROW(D516)&lt;=Bidding!$D$11,Raw_hydro_bm!E516,"")</f>
        <v>2</v>
      </c>
      <c r="E516">
        <f>IF(ROW(E516)&lt;=Bidding!$D$11,Raw_hydro_bm!F516,"")</f>
        <v>0</v>
      </c>
      <c r="F516">
        <f>IF(ROW(F516)&lt;=Bidding!$D$11,Raw_hydro_bm!G516,"")</f>
        <v>0</v>
      </c>
      <c r="G516">
        <f>IF(ROW(G516)&lt;=Bidding!$D$11,Raw_hydro_bm!H516,"")</f>
        <v>1</v>
      </c>
      <c r="H516" t="str">
        <f>IF(ROW(H516)&lt;=Bidding!$D$11,Raw_hydro_bm!I516,"")</f>
        <v>0.0</v>
      </c>
      <c r="I516" s="16">
        <f t="shared" si="8"/>
        <v>0</v>
      </c>
    </row>
    <row r="517" spans="1:9" x14ac:dyDescent="0.3">
      <c r="A517" t="str">
        <f>IF(ROW(A517)&lt;=Bidding!$D$11,Raw_hydro_bm!B517,"")</f>
        <v>v</v>
      </c>
      <c r="B517" t="str">
        <f>IF(ROW(B517)&lt;=Bidding!$D$11,Raw_hydro_bm!C517,"")</f>
        <v>c</v>
      </c>
      <c r="C517">
        <f>IF(ROW(C517)&lt;=Bidding!$D$11,Raw_hydro_bm!D517,"")</f>
        <v>1</v>
      </c>
      <c r="D517">
        <f>IF(ROW(D517)&lt;=Bidding!$D$11,Raw_hydro_bm!E517,"")</f>
        <v>2</v>
      </c>
      <c r="E517">
        <f>IF(ROW(E517)&lt;=Bidding!$D$11,Raw_hydro_bm!F517,"")</f>
        <v>0</v>
      </c>
      <c r="F517">
        <f>IF(ROW(F517)&lt;=Bidding!$D$11,Raw_hydro_bm!G517,"")</f>
        <v>0</v>
      </c>
      <c r="G517">
        <f>IF(ROW(G517)&lt;=Bidding!$D$11,Raw_hydro_bm!H517,"")</f>
        <v>1</v>
      </c>
      <c r="H517" t="str">
        <f>IF(ROW(H517)&lt;=Bidding!$D$11,Raw_hydro_bm!I517,"")</f>
        <v>30.0</v>
      </c>
      <c r="I517" s="16">
        <f t="shared" si="8"/>
        <v>30</v>
      </c>
    </row>
    <row r="518" spans="1:9" x14ac:dyDescent="0.3">
      <c r="A518" t="str">
        <f>IF(ROW(A518)&lt;=Bidding!$D$11,Raw_hydro_bm!B518,"")</f>
        <v>p</v>
      </c>
      <c r="B518" t="str">
        <f>IF(ROW(B518)&lt;=Bidding!$D$11,Raw_hydro_bm!C518,"")</f>
        <v>c</v>
      </c>
      <c r="C518">
        <f>IF(ROW(C518)&lt;=Bidding!$D$11,Raw_hydro_bm!D518,"")</f>
        <v>1</v>
      </c>
      <c r="D518">
        <f>IF(ROW(D518)&lt;=Bidding!$D$11,Raw_hydro_bm!E518,"")</f>
        <v>2</v>
      </c>
      <c r="E518">
        <f>IF(ROW(E518)&lt;=Bidding!$D$11,Raw_hydro_bm!F518,"")</f>
        <v>0</v>
      </c>
      <c r="F518">
        <f>IF(ROW(F518)&lt;=Bidding!$D$11,Raw_hydro_bm!G518,"")</f>
        <v>0</v>
      </c>
      <c r="G518">
        <f>IF(ROW(G518)&lt;=Bidding!$D$11,Raw_hydro_bm!H518,"")</f>
        <v>2</v>
      </c>
      <c r="H518" t="str">
        <f>IF(ROW(H518)&lt;=Bidding!$D$11,Raw_hydro_bm!I518,"")</f>
        <v>0.0</v>
      </c>
      <c r="I518" s="16">
        <f t="shared" si="8"/>
        <v>0</v>
      </c>
    </row>
    <row r="519" spans="1:9" x14ac:dyDescent="0.3">
      <c r="A519" t="str">
        <f>IF(ROW(A519)&lt;=Bidding!$D$11,Raw_hydro_bm!B519,"")</f>
        <v>v</v>
      </c>
      <c r="B519" t="str">
        <f>IF(ROW(B519)&lt;=Bidding!$D$11,Raw_hydro_bm!C519,"")</f>
        <v>c</v>
      </c>
      <c r="C519">
        <f>IF(ROW(C519)&lt;=Bidding!$D$11,Raw_hydro_bm!D519,"")</f>
        <v>1</v>
      </c>
      <c r="D519">
        <f>IF(ROW(D519)&lt;=Bidding!$D$11,Raw_hydro_bm!E519,"")</f>
        <v>2</v>
      </c>
      <c r="E519">
        <f>IF(ROW(E519)&lt;=Bidding!$D$11,Raw_hydro_bm!F519,"")</f>
        <v>0</v>
      </c>
      <c r="F519">
        <f>IF(ROW(F519)&lt;=Bidding!$D$11,Raw_hydro_bm!G519,"")</f>
        <v>0</v>
      </c>
      <c r="G519">
        <f>IF(ROW(G519)&lt;=Bidding!$D$11,Raw_hydro_bm!H519,"")</f>
        <v>2</v>
      </c>
      <c r="H519" t="str">
        <f>IF(ROW(H519)&lt;=Bidding!$D$11,Raw_hydro_bm!I519,"")</f>
        <v>20.0</v>
      </c>
      <c r="I519" s="16">
        <f t="shared" si="8"/>
        <v>20</v>
      </c>
    </row>
    <row r="520" spans="1:9" x14ac:dyDescent="0.3">
      <c r="A520" t="str">
        <f>IF(ROW(A520)&lt;=Bidding!$D$11,Raw_hydro_bm!B520,"")</f>
        <v>p</v>
      </c>
      <c r="B520" t="str">
        <f>IF(ROW(B520)&lt;=Bidding!$D$11,Raw_hydro_bm!C520,"")</f>
        <v>c</v>
      </c>
      <c r="C520">
        <f>IF(ROW(C520)&lt;=Bidding!$D$11,Raw_hydro_bm!D520,"")</f>
        <v>1</v>
      </c>
      <c r="D520">
        <f>IF(ROW(D520)&lt;=Bidding!$D$11,Raw_hydro_bm!E520,"")</f>
        <v>2</v>
      </c>
      <c r="E520">
        <f>IF(ROW(E520)&lt;=Bidding!$D$11,Raw_hydro_bm!F520,"")</f>
        <v>0</v>
      </c>
      <c r="F520">
        <f>IF(ROW(F520)&lt;=Bidding!$D$11,Raw_hydro_bm!G520,"")</f>
        <v>1</v>
      </c>
      <c r="G520">
        <f>IF(ROW(G520)&lt;=Bidding!$D$11,Raw_hydro_bm!H520,"")</f>
        <v>0</v>
      </c>
      <c r="H520" t="str">
        <f>IF(ROW(H520)&lt;=Bidding!$D$11,Raw_hydro_bm!I520,"")</f>
        <v>0.0</v>
      </c>
      <c r="I520" s="16">
        <f t="shared" si="8"/>
        <v>0</v>
      </c>
    </row>
    <row r="521" spans="1:9" x14ac:dyDescent="0.3">
      <c r="A521" t="str">
        <f>IF(ROW(A521)&lt;=Bidding!$D$11,Raw_hydro_bm!B521,"")</f>
        <v>v</v>
      </c>
      <c r="B521" t="str">
        <f>IF(ROW(B521)&lt;=Bidding!$D$11,Raw_hydro_bm!C521,"")</f>
        <v>c</v>
      </c>
      <c r="C521">
        <f>IF(ROW(C521)&lt;=Bidding!$D$11,Raw_hydro_bm!D521,"")</f>
        <v>1</v>
      </c>
      <c r="D521">
        <f>IF(ROW(D521)&lt;=Bidding!$D$11,Raw_hydro_bm!E521,"")</f>
        <v>2</v>
      </c>
      <c r="E521">
        <f>IF(ROW(E521)&lt;=Bidding!$D$11,Raw_hydro_bm!F521,"")</f>
        <v>0</v>
      </c>
      <c r="F521">
        <f>IF(ROW(F521)&lt;=Bidding!$D$11,Raw_hydro_bm!G521,"")</f>
        <v>1</v>
      </c>
      <c r="G521">
        <f>IF(ROW(G521)&lt;=Bidding!$D$11,Raw_hydro_bm!H521,"")</f>
        <v>0</v>
      </c>
      <c r="H521" t="str">
        <f>IF(ROW(H521)&lt;=Bidding!$D$11,Raw_hydro_bm!I521,"")</f>
        <v>0.0</v>
      </c>
      <c r="I521" s="16">
        <f t="shared" si="8"/>
        <v>0</v>
      </c>
    </row>
    <row r="522" spans="1:9" x14ac:dyDescent="0.3">
      <c r="A522" t="str">
        <f>IF(ROW(A522)&lt;=Bidding!$D$11,Raw_hydro_bm!B522,"")</f>
        <v>p</v>
      </c>
      <c r="B522" t="str">
        <f>IF(ROW(B522)&lt;=Bidding!$D$11,Raw_hydro_bm!C522,"")</f>
        <v>c</v>
      </c>
      <c r="C522">
        <f>IF(ROW(C522)&lt;=Bidding!$D$11,Raw_hydro_bm!D522,"")</f>
        <v>1</v>
      </c>
      <c r="D522">
        <f>IF(ROW(D522)&lt;=Bidding!$D$11,Raw_hydro_bm!E522,"")</f>
        <v>2</v>
      </c>
      <c r="E522">
        <f>IF(ROW(E522)&lt;=Bidding!$D$11,Raw_hydro_bm!F522,"")</f>
        <v>0</v>
      </c>
      <c r="F522">
        <f>IF(ROW(F522)&lt;=Bidding!$D$11,Raw_hydro_bm!G522,"")</f>
        <v>1</v>
      </c>
      <c r="G522">
        <f>IF(ROW(G522)&lt;=Bidding!$D$11,Raw_hydro_bm!H522,"")</f>
        <v>1</v>
      </c>
      <c r="H522" t="str">
        <f>IF(ROW(H522)&lt;=Bidding!$D$11,Raw_hydro_bm!I522,"")</f>
        <v>0.0</v>
      </c>
      <c r="I522" s="16">
        <f t="shared" si="8"/>
        <v>0</v>
      </c>
    </row>
    <row r="523" spans="1:9" x14ac:dyDescent="0.3">
      <c r="A523" t="str">
        <f>IF(ROW(A523)&lt;=Bidding!$D$11,Raw_hydro_bm!B523,"")</f>
        <v>v</v>
      </c>
      <c r="B523" t="str">
        <f>IF(ROW(B523)&lt;=Bidding!$D$11,Raw_hydro_bm!C523,"")</f>
        <v>c</v>
      </c>
      <c r="C523">
        <f>IF(ROW(C523)&lt;=Bidding!$D$11,Raw_hydro_bm!D523,"")</f>
        <v>1</v>
      </c>
      <c r="D523">
        <f>IF(ROW(D523)&lt;=Bidding!$D$11,Raw_hydro_bm!E523,"")</f>
        <v>2</v>
      </c>
      <c r="E523">
        <f>IF(ROW(E523)&lt;=Bidding!$D$11,Raw_hydro_bm!F523,"")</f>
        <v>0</v>
      </c>
      <c r="F523">
        <f>IF(ROW(F523)&lt;=Bidding!$D$11,Raw_hydro_bm!G523,"")</f>
        <v>1</v>
      </c>
      <c r="G523">
        <f>IF(ROW(G523)&lt;=Bidding!$D$11,Raw_hydro_bm!H523,"")</f>
        <v>1</v>
      </c>
      <c r="H523" t="str">
        <f>IF(ROW(H523)&lt;=Bidding!$D$11,Raw_hydro_bm!I523,"")</f>
        <v>0.0</v>
      </c>
      <c r="I523" s="16">
        <f t="shared" si="8"/>
        <v>0</v>
      </c>
    </row>
    <row r="524" spans="1:9" x14ac:dyDescent="0.3">
      <c r="A524" t="str">
        <f>IF(ROW(A524)&lt;=Bidding!$D$11,Raw_hydro_bm!B524,"")</f>
        <v>p</v>
      </c>
      <c r="B524" t="str">
        <f>IF(ROW(B524)&lt;=Bidding!$D$11,Raw_hydro_bm!C524,"")</f>
        <v>c</v>
      </c>
      <c r="C524">
        <f>IF(ROW(C524)&lt;=Bidding!$D$11,Raw_hydro_bm!D524,"")</f>
        <v>1</v>
      </c>
      <c r="D524">
        <f>IF(ROW(D524)&lt;=Bidding!$D$11,Raw_hydro_bm!E524,"")</f>
        <v>2</v>
      </c>
      <c r="E524">
        <f>IF(ROW(E524)&lt;=Bidding!$D$11,Raw_hydro_bm!F524,"")</f>
        <v>0</v>
      </c>
      <c r="F524">
        <f>IF(ROW(F524)&lt;=Bidding!$D$11,Raw_hydro_bm!G524,"")</f>
        <v>1</v>
      </c>
      <c r="G524">
        <f>IF(ROW(G524)&lt;=Bidding!$D$11,Raw_hydro_bm!H524,"")</f>
        <v>2</v>
      </c>
      <c r="H524" t="str">
        <f>IF(ROW(H524)&lt;=Bidding!$D$11,Raw_hydro_bm!I524,"")</f>
        <v>0.0</v>
      </c>
      <c r="I524" s="16">
        <f t="shared" si="8"/>
        <v>0</v>
      </c>
    </row>
    <row r="525" spans="1:9" x14ac:dyDescent="0.3">
      <c r="A525" t="str">
        <f>IF(ROW(A525)&lt;=Bidding!$D$11,Raw_hydro_bm!B525,"")</f>
        <v>v</v>
      </c>
      <c r="B525" t="str">
        <f>IF(ROW(B525)&lt;=Bidding!$D$11,Raw_hydro_bm!C525,"")</f>
        <v>c</v>
      </c>
      <c r="C525">
        <f>IF(ROW(C525)&lt;=Bidding!$D$11,Raw_hydro_bm!D525,"")</f>
        <v>1</v>
      </c>
      <c r="D525">
        <f>IF(ROW(D525)&lt;=Bidding!$D$11,Raw_hydro_bm!E525,"")</f>
        <v>2</v>
      </c>
      <c r="E525">
        <f>IF(ROW(E525)&lt;=Bidding!$D$11,Raw_hydro_bm!F525,"")</f>
        <v>0</v>
      </c>
      <c r="F525">
        <f>IF(ROW(F525)&lt;=Bidding!$D$11,Raw_hydro_bm!G525,"")</f>
        <v>1</v>
      </c>
      <c r="G525">
        <f>IF(ROW(G525)&lt;=Bidding!$D$11,Raw_hydro_bm!H525,"")</f>
        <v>2</v>
      </c>
      <c r="H525" t="str">
        <f>IF(ROW(H525)&lt;=Bidding!$D$11,Raw_hydro_bm!I525,"")</f>
        <v>0.0</v>
      </c>
      <c r="I525" s="16">
        <f t="shared" si="8"/>
        <v>0</v>
      </c>
    </row>
    <row r="526" spans="1:9" x14ac:dyDescent="0.3">
      <c r="A526" t="str">
        <f>IF(ROW(A526)&lt;=Bidding!$D$11,Raw_hydro_bm!B526,"")</f>
        <v>b</v>
      </c>
      <c r="B526" t="str">
        <f>IF(ROW(B526)&lt;=Bidding!$D$11,Raw_hydro_bm!C526,"")</f>
        <v>v</v>
      </c>
      <c r="C526" t="str">
        <f>IF(ROW(C526)&lt;=Bidding!$D$11,Raw_hydro_bm!D526,"")</f>
        <v>X</v>
      </c>
      <c r="D526">
        <f>IF(ROW(D526)&lt;=Bidding!$D$11,Raw_hydro_bm!E526,"")</f>
        <v>1</v>
      </c>
      <c r="E526">
        <f>IF(ROW(E526)&lt;=Bidding!$D$11,Raw_hydro_bm!F526,"")</f>
        <v>2</v>
      </c>
      <c r="F526">
        <f>IF(ROW(F526)&lt;=Bidding!$D$11,Raw_hydro_bm!G526,"")</f>
        <v>1</v>
      </c>
      <c r="G526">
        <f>IF(ROW(G526)&lt;=Bidding!$D$11,Raw_hydro_bm!H526,"")</f>
        <v>0</v>
      </c>
      <c r="H526" t="str">
        <f>IF(ROW(H526)&lt;=Bidding!$D$11,Raw_hydro_bm!I526,"")</f>
        <v>0.0</v>
      </c>
      <c r="I526" s="16">
        <f t="shared" si="8"/>
        <v>0</v>
      </c>
    </row>
    <row r="527" spans="1:9" x14ac:dyDescent="0.3">
      <c r="A527" t="str">
        <f>IF(ROW(A527)&lt;=Bidding!$D$11,Raw_hydro_bm!B527,"")</f>
        <v>b</v>
      </c>
      <c r="B527" t="str">
        <f>IF(ROW(B527)&lt;=Bidding!$D$11,Raw_hydro_bm!C527,"")</f>
        <v>v</v>
      </c>
      <c r="C527" t="str">
        <f>IF(ROW(C527)&lt;=Bidding!$D$11,Raw_hydro_bm!D527,"")</f>
        <v>X</v>
      </c>
      <c r="D527">
        <f>IF(ROW(D527)&lt;=Bidding!$D$11,Raw_hydro_bm!E527,"")</f>
        <v>1</v>
      </c>
      <c r="E527">
        <f>IF(ROW(E527)&lt;=Bidding!$D$11,Raw_hydro_bm!F527,"")</f>
        <v>2</v>
      </c>
      <c r="F527">
        <f>IF(ROW(F527)&lt;=Bidding!$D$11,Raw_hydro_bm!G527,"")</f>
        <v>1</v>
      </c>
      <c r="G527">
        <f>IF(ROW(G527)&lt;=Bidding!$D$11,Raw_hydro_bm!H527,"")</f>
        <v>1</v>
      </c>
      <c r="H527" t="str">
        <f>IF(ROW(H527)&lt;=Bidding!$D$11,Raw_hydro_bm!I527,"")</f>
        <v>0.0</v>
      </c>
      <c r="I527" s="16">
        <f t="shared" si="8"/>
        <v>0</v>
      </c>
    </row>
    <row r="528" spans="1:9" x14ac:dyDescent="0.3">
      <c r="A528" t="str">
        <f>IF(ROW(A528)&lt;=Bidding!$D$11,Raw_hydro_bm!B528,"")</f>
        <v>b</v>
      </c>
      <c r="B528" t="str">
        <f>IF(ROW(B528)&lt;=Bidding!$D$11,Raw_hydro_bm!C528,"")</f>
        <v>v</v>
      </c>
      <c r="C528" t="str">
        <f>IF(ROW(C528)&lt;=Bidding!$D$11,Raw_hydro_bm!D528,"")</f>
        <v>X</v>
      </c>
      <c r="D528">
        <f>IF(ROW(D528)&lt;=Bidding!$D$11,Raw_hydro_bm!E528,"")</f>
        <v>1</v>
      </c>
      <c r="E528">
        <f>IF(ROW(E528)&lt;=Bidding!$D$11,Raw_hydro_bm!F528,"")</f>
        <v>2</v>
      </c>
      <c r="F528">
        <f>IF(ROW(F528)&lt;=Bidding!$D$11,Raw_hydro_bm!G528,"")</f>
        <v>1</v>
      </c>
      <c r="G528">
        <f>IF(ROW(G528)&lt;=Bidding!$D$11,Raw_hydro_bm!H528,"")</f>
        <v>2</v>
      </c>
      <c r="H528" t="str">
        <f>IF(ROW(H528)&lt;=Bidding!$D$11,Raw_hydro_bm!I528,"")</f>
        <v>60.0</v>
      </c>
      <c r="I528" s="16">
        <f t="shared" si="8"/>
        <v>60</v>
      </c>
    </row>
    <row r="529" spans="1:9" x14ac:dyDescent="0.3">
      <c r="A529" t="str">
        <f>IF(ROW(A529)&lt;=Bidding!$D$11,Raw_hydro_bm!B529,"")</f>
        <v>p</v>
      </c>
      <c r="B529" t="str">
        <f>IF(ROW(B529)&lt;=Bidding!$D$11,Raw_hydro_bm!C529,"")</f>
        <v>c</v>
      </c>
      <c r="C529">
        <f>IF(ROW(C529)&lt;=Bidding!$D$11,Raw_hydro_bm!D529,"")</f>
        <v>1</v>
      </c>
      <c r="D529">
        <f>IF(ROW(D529)&lt;=Bidding!$D$11,Raw_hydro_bm!E529,"")</f>
        <v>2</v>
      </c>
      <c r="E529">
        <f>IF(ROW(E529)&lt;=Bidding!$D$11,Raw_hydro_bm!F529,"")</f>
        <v>1</v>
      </c>
      <c r="F529">
        <f>IF(ROW(F529)&lt;=Bidding!$D$11,Raw_hydro_bm!G529,"")</f>
        <v>0</v>
      </c>
      <c r="G529">
        <f>IF(ROW(G529)&lt;=Bidding!$D$11,Raw_hydro_bm!H529,"")</f>
        <v>0</v>
      </c>
      <c r="H529" t="str">
        <f>IF(ROW(H529)&lt;=Bidding!$D$11,Raw_hydro_bm!I529,"")</f>
        <v>0.0</v>
      </c>
      <c r="I529" s="16">
        <f t="shared" si="8"/>
        <v>0</v>
      </c>
    </row>
    <row r="530" spans="1:9" x14ac:dyDescent="0.3">
      <c r="A530" t="str">
        <f>IF(ROW(A530)&lt;=Bidding!$D$11,Raw_hydro_bm!B530,"")</f>
        <v>v</v>
      </c>
      <c r="B530" t="str">
        <f>IF(ROW(B530)&lt;=Bidding!$D$11,Raw_hydro_bm!C530,"")</f>
        <v>c</v>
      </c>
      <c r="C530">
        <f>IF(ROW(C530)&lt;=Bidding!$D$11,Raw_hydro_bm!D530,"")</f>
        <v>1</v>
      </c>
      <c r="D530">
        <f>IF(ROW(D530)&lt;=Bidding!$D$11,Raw_hydro_bm!E530,"")</f>
        <v>2</v>
      </c>
      <c r="E530">
        <f>IF(ROW(E530)&lt;=Bidding!$D$11,Raw_hydro_bm!F530,"")</f>
        <v>1</v>
      </c>
      <c r="F530">
        <f>IF(ROW(F530)&lt;=Bidding!$D$11,Raw_hydro_bm!G530,"")</f>
        <v>0</v>
      </c>
      <c r="G530">
        <f>IF(ROW(G530)&lt;=Bidding!$D$11,Raw_hydro_bm!H530,"")</f>
        <v>0</v>
      </c>
      <c r="H530" t="str">
        <f>IF(ROW(H530)&lt;=Bidding!$D$11,Raw_hydro_bm!I530,"")</f>
        <v>0.0</v>
      </c>
      <c r="I530" s="16">
        <f t="shared" si="8"/>
        <v>0</v>
      </c>
    </row>
    <row r="531" spans="1:9" x14ac:dyDescent="0.3">
      <c r="A531" t="str">
        <f>IF(ROW(A531)&lt;=Bidding!$D$11,Raw_hydro_bm!B531,"")</f>
        <v>p</v>
      </c>
      <c r="B531" t="str">
        <f>IF(ROW(B531)&lt;=Bidding!$D$11,Raw_hydro_bm!C531,"")</f>
        <v>c</v>
      </c>
      <c r="C531">
        <f>IF(ROW(C531)&lt;=Bidding!$D$11,Raw_hydro_bm!D531,"")</f>
        <v>1</v>
      </c>
      <c r="D531">
        <f>IF(ROW(D531)&lt;=Bidding!$D$11,Raw_hydro_bm!E531,"")</f>
        <v>2</v>
      </c>
      <c r="E531">
        <f>IF(ROW(E531)&lt;=Bidding!$D$11,Raw_hydro_bm!F531,"")</f>
        <v>1</v>
      </c>
      <c r="F531">
        <f>IF(ROW(F531)&lt;=Bidding!$D$11,Raw_hydro_bm!G531,"")</f>
        <v>0</v>
      </c>
      <c r="G531">
        <f>IF(ROW(G531)&lt;=Bidding!$D$11,Raw_hydro_bm!H531,"")</f>
        <v>1</v>
      </c>
      <c r="H531" t="str">
        <f>IF(ROW(H531)&lt;=Bidding!$D$11,Raw_hydro_bm!I531,"")</f>
        <v>0.0</v>
      </c>
      <c r="I531" s="16">
        <f t="shared" si="8"/>
        <v>0</v>
      </c>
    </row>
    <row r="532" spans="1:9" x14ac:dyDescent="0.3">
      <c r="A532" t="str">
        <f>IF(ROW(A532)&lt;=Bidding!$D$11,Raw_hydro_bm!B532,"")</f>
        <v>v</v>
      </c>
      <c r="B532" t="str">
        <f>IF(ROW(B532)&lt;=Bidding!$D$11,Raw_hydro_bm!C532,"")</f>
        <v>c</v>
      </c>
      <c r="C532">
        <f>IF(ROW(C532)&lt;=Bidding!$D$11,Raw_hydro_bm!D532,"")</f>
        <v>1</v>
      </c>
      <c r="D532">
        <f>IF(ROW(D532)&lt;=Bidding!$D$11,Raw_hydro_bm!E532,"")</f>
        <v>2</v>
      </c>
      <c r="E532">
        <f>IF(ROW(E532)&lt;=Bidding!$D$11,Raw_hydro_bm!F532,"")</f>
        <v>1</v>
      </c>
      <c r="F532">
        <f>IF(ROW(F532)&lt;=Bidding!$D$11,Raw_hydro_bm!G532,"")</f>
        <v>0</v>
      </c>
      <c r="G532">
        <f>IF(ROW(G532)&lt;=Bidding!$D$11,Raw_hydro_bm!H532,"")</f>
        <v>1</v>
      </c>
      <c r="H532" t="str">
        <f>IF(ROW(H532)&lt;=Bidding!$D$11,Raw_hydro_bm!I532,"")</f>
        <v>0.0</v>
      </c>
      <c r="I532" s="16">
        <f t="shared" si="8"/>
        <v>0</v>
      </c>
    </row>
    <row r="533" spans="1:9" x14ac:dyDescent="0.3">
      <c r="A533" t="str">
        <f>IF(ROW(A533)&lt;=Bidding!$D$11,Raw_hydro_bm!B533,"")</f>
        <v>p</v>
      </c>
      <c r="B533" t="str">
        <f>IF(ROW(B533)&lt;=Bidding!$D$11,Raw_hydro_bm!C533,"")</f>
        <v>c</v>
      </c>
      <c r="C533">
        <f>IF(ROW(C533)&lt;=Bidding!$D$11,Raw_hydro_bm!D533,"")</f>
        <v>1</v>
      </c>
      <c r="D533">
        <f>IF(ROW(D533)&lt;=Bidding!$D$11,Raw_hydro_bm!E533,"")</f>
        <v>2</v>
      </c>
      <c r="E533">
        <f>IF(ROW(E533)&lt;=Bidding!$D$11,Raw_hydro_bm!F533,"")</f>
        <v>1</v>
      </c>
      <c r="F533">
        <f>IF(ROW(F533)&lt;=Bidding!$D$11,Raw_hydro_bm!G533,"")</f>
        <v>0</v>
      </c>
      <c r="G533">
        <f>IF(ROW(G533)&lt;=Bidding!$D$11,Raw_hydro_bm!H533,"")</f>
        <v>2</v>
      </c>
      <c r="H533" t="str">
        <f>IF(ROW(H533)&lt;=Bidding!$D$11,Raw_hydro_bm!I533,"")</f>
        <v>0.0</v>
      </c>
      <c r="I533" s="16">
        <f t="shared" si="8"/>
        <v>0</v>
      </c>
    </row>
    <row r="534" spans="1:9" x14ac:dyDescent="0.3">
      <c r="A534" t="str">
        <f>IF(ROW(A534)&lt;=Bidding!$D$11,Raw_hydro_bm!B534,"")</f>
        <v>v</v>
      </c>
      <c r="B534" t="str">
        <f>IF(ROW(B534)&lt;=Bidding!$D$11,Raw_hydro_bm!C534,"")</f>
        <v>c</v>
      </c>
      <c r="C534">
        <f>IF(ROW(C534)&lt;=Bidding!$D$11,Raw_hydro_bm!D534,"")</f>
        <v>1</v>
      </c>
      <c r="D534">
        <f>IF(ROW(D534)&lt;=Bidding!$D$11,Raw_hydro_bm!E534,"")</f>
        <v>2</v>
      </c>
      <c r="E534">
        <f>IF(ROW(E534)&lt;=Bidding!$D$11,Raw_hydro_bm!F534,"")</f>
        <v>1</v>
      </c>
      <c r="F534">
        <f>IF(ROW(F534)&lt;=Bidding!$D$11,Raw_hydro_bm!G534,"")</f>
        <v>0</v>
      </c>
      <c r="G534">
        <f>IF(ROW(G534)&lt;=Bidding!$D$11,Raw_hydro_bm!H534,"")</f>
        <v>2</v>
      </c>
      <c r="H534" t="str">
        <f>IF(ROW(H534)&lt;=Bidding!$D$11,Raw_hydro_bm!I534,"")</f>
        <v>0.0</v>
      </c>
      <c r="I534" s="16">
        <f t="shared" si="8"/>
        <v>0</v>
      </c>
    </row>
    <row r="535" spans="1:9" x14ac:dyDescent="0.3">
      <c r="A535" t="str">
        <f>IF(ROW(A535)&lt;=Bidding!$D$11,Raw_hydro_bm!B535,"")</f>
        <v>p</v>
      </c>
      <c r="B535" t="str">
        <f>IF(ROW(B535)&lt;=Bidding!$D$11,Raw_hydro_bm!C535,"")</f>
        <v>c</v>
      </c>
      <c r="C535">
        <f>IF(ROW(C535)&lt;=Bidding!$D$11,Raw_hydro_bm!D535,"")</f>
        <v>1</v>
      </c>
      <c r="D535">
        <f>IF(ROW(D535)&lt;=Bidding!$D$11,Raw_hydro_bm!E535,"")</f>
        <v>2</v>
      </c>
      <c r="E535">
        <f>IF(ROW(E535)&lt;=Bidding!$D$11,Raw_hydro_bm!F535,"")</f>
        <v>1</v>
      </c>
      <c r="F535">
        <f>IF(ROW(F535)&lt;=Bidding!$D$11,Raw_hydro_bm!G535,"")</f>
        <v>1</v>
      </c>
      <c r="G535">
        <f>IF(ROW(G535)&lt;=Bidding!$D$11,Raw_hydro_bm!H535,"")</f>
        <v>0</v>
      </c>
      <c r="H535" t="str">
        <f>IF(ROW(H535)&lt;=Bidding!$D$11,Raw_hydro_bm!I535,"")</f>
        <v>0.0</v>
      </c>
      <c r="I535" s="16">
        <f t="shared" si="8"/>
        <v>0</v>
      </c>
    </row>
    <row r="536" spans="1:9" x14ac:dyDescent="0.3">
      <c r="A536" t="str">
        <f>IF(ROW(A536)&lt;=Bidding!$D$11,Raw_hydro_bm!B536,"")</f>
        <v>v</v>
      </c>
      <c r="B536" t="str">
        <f>IF(ROW(B536)&lt;=Bidding!$D$11,Raw_hydro_bm!C536,"")</f>
        <v>c</v>
      </c>
      <c r="C536">
        <f>IF(ROW(C536)&lt;=Bidding!$D$11,Raw_hydro_bm!D536,"")</f>
        <v>1</v>
      </c>
      <c r="D536">
        <f>IF(ROW(D536)&lt;=Bidding!$D$11,Raw_hydro_bm!E536,"")</f>
        <v>2</v>
      </c>
      <c r="E536">
        <f>IF(ROW(E536)&lt;=Bidding!$D$11,Raw_hydro_bm!F536,"")</f>
        <v>1</v>
      </c>
      <c r="F536">
        <f>IF(ROW(F536)&lt;=Bidding!$D$11,Raw_hydro_bm!G536,"")</f>
        <v>1</v>
      </c>
      <c r="G536">
        <f>IF(ROW(G536)&lt;=Bidding!$D$11,Raw_hydro_bm!H536,"")</f>
        <v>0</v>
      </c>
      <c r="H536" t="str">
        <f>IF(ROW(H536)&lt;=Bidding!$D$11,Raw_hydro_bm!I536,"")</f>
        <v>10.0</v>
      </c>
      <c r="I536" s="16">
        <f t="shared" si="8"/>
        <v>10</v>
      </c>
    </row>
    <row r="537" spans="1:9" x14ac:dyDescent="0.3">
      <c r="A537" t="str">
        <f>IF(ROW(A537)&lt;=Bidding!$D$11,Raw_hydro_bm!B537,"")</f>
        <v>p</v>
      </c>
      <c r="B537" t="str">
        <f>IF(ROW(B537)&lt;=Bidding!$D$11,Raw_hydro_bm!C537,"")</f>
        <v>c</v>
      </c>
      <c r="C537">
        <f>IF(ROW(C537)&lt;=Bidding!$D$11,Raw_hydro_bm!D537,"")</f>
        <v>1</v>
      </c>
      <c r="D537">
        <f>IF(ROW(D537)&lt;=Bidding!$D$11,Raw_hydro_bm!E537,"")</f>
        <v>2</v>
      </c>
      <c r="E537">
        <f>IF(ROW(E537)&lt;=Bidding!$D$11,Raw_hydro_bm!F537,"")</f>
        <v>1</v>
      </c>
      <c r="F537">
        <f>IF(ROW(F537)&lt;=Bidding!$D$11,Raw_hydro_bm!G537,"")</f>
        <v>1</v>
      </c>
      <c r="G537">
        <f>IF(ROW(G537)&lt;=Bidding!$D$11,Raw_hydro_bm!H537,"")</f>
        <v>1</v>
      </c>
      <c r="H537" t="str">
        <f>IF(ROW(H537)&lt;=Bidding!$D$11,Raw_hydro_bm!I537,"")</f>
        <v>0.0</v>
      </c>
      <c r="I537" s="16">
        <f t="shared" si="8"/>
        <v>0</v>
      </c>
    </row>
    <row r="538" spans="1:9" x14ac:dyDescent="0.3">
      <c r="A538" t="str">
        <f>IF(ROW(A538)&lt;=Bidding!$D$11,Raw_hydro_bm!B538,"")</f>
        <v>v</v>
      </c>
      <c r="B538" t="str">
        <f>IF(ROW(B538)&lt;=Bidding!$D$11,Raw_hydro_bm!C538,"")</f>
        <v>c</v>
      </c>
      <c r="C538">
        <f>IF(ROW(C538)&lt;=Bidding!$D$11,Raw_hydro_bm!D538,"")</f>
        <v>1</v>
      </c>
      <c r="D538">
        <f>IF(ROW(D538)&lt;=Bidding!$D$11,Raw_hydro_bm!E538,"")</f>
        <v>2</v>
      </c>
      <c r="E538">
        <f>IF(ROW(E538)&lt;=Bidding!$D$11,Raw_hydro_bm!F538,"")</f>
        <v>1</v>
      </c>
      <c r="F538">
        <f>IF(ROW(F538)&lt;=Bidding!$D$11,Raw_hydro_bm!G538,"")</f>
        <v>1</v>
      </c>
      <c r="G538">
        <f>IF(ROW(G538)&lt;=Bidding!$D$11,Raw_hydro_bm!H538,"")</f>
        <v>1</v>
      </c>
      <c r="H538" t="str">
        <f>IF(ROW(H538)&lt;=Bidding!$D$11,Raw_hydro_bm!I538,"")</f>
        <v>30.0</v>
      </c>
      <c r="I538" s="16">
        <f t="shared" si="8"/>
        <v>30</v>
      </c>
    </row>
    <row r="539" spans="1:9" x14ac:dyDescent="0.3">
      <c r="A539" t="str">
        <f>IF(ROW(A539)&lt;=Bidding!$D$11,Raw_hydro_bm!B539,"")</f>
        <v>p</v>
      </c>
      <c r="B539" t="str">
        <f>IF(ROW(B539)&lt;=Bidding!$D$11,Raw_hydro_bm!C539,"")</f>
        <v>c</v>
      </c>
      <c r="C539">
        <f>IF(ROW(C539)&lt;=Bidding!$D$11,Raw_hydro_bm!D539,"")</f>
        <v>1</v>
      </c>
      <c r="D539">
        <f>IF(ROW(D539)&lt;=Bidding!$D$11,Raw_hydro_bm!E539,"")</f>
        <v>2</v>
      </c>
      <c r="E539">
        <f>IF(ROW(E539)&lt;=Bidding!$D$11,Raw_hydro_bm!F539,"")</f>
        <v>1</v>
      </c>
      <c r="F539">
        <f>IF(ROW(F539)&lt;=Bidding!$D$11,Raw_hydro_bm!G539,"")</f>
        <v>1</v>
      </c>
      <c r="G539">
        <f>IF(ROW(G539)&lt;=Bidding!$D$11,Raw_hydro_bm!H539,"")</f>
        <v>2</v>
      </c>
      <c r="H539" t="str">
        <f>IF(ROW(H539)&lt;=Bidding!$D$11,Raw_hydro_bm!I539,"")</f>
        <v>0.0</v>
      </c>
      <c r="I539" s="16">
        <f t="shared" si="8"/>
        <v>0</v>
      </c>
    </row>
    <row r="540" spans="1:9" x14ac:dyDescent="0.3">
      <c r="A540" t="str">
        <f>IF(ROW(A540)&lt;=Bidding!$D$11,Raw_hydro_bm!B540,"")</f>
        <v>v</v>
      </c>
      <c r="B540" t="str">
        <f>IF(ROW(B540)&lt;=Bidding!$D$11,Raw_hydro_bm!C540,"")</f>
        <v>c</v>
      </c>
      <c r="C540">
        <f>IF(ROW(C540)&lt;=Bidding!$D$11,Raw_hydro_bm!D540,"")</f>
        <v>1</v>
      </c>
      <c r="D540">
        <f>IF(ROW(D540)&lt;=Bidding!$D$11,Raw_hydro_bm!E540,"")</f>
        <v>2</v>
      </c>
      <c r="E540">
        <f>IF(ROW(E540)&lt;=Bidding!$D$11,Raw_hydro_bm!F540,"")</f>
        <v>1</v>
      </c>
      <c r="F540">
        <f>IF(ROW(F540)&lt;=Bidding!$D$11,Raw_hydro_bm!G540,"")</f>
        <v>1</v>
      </c>
      <c r="G540">
        <f>IF(ROW(G540)&lt;=Bidding!$D$11,Raw_hydro_bm!H540,"")</f>
        <v>2</v>
      </c>
      <c r="H540" t="str">
        <f>IF(ROW(H540)&lt;=Bidding!$D$11,Raw_hydro_bm!I540,"")</f>
        <v>20.0</v>
      </c>
      <c r="I540" s="16">
        <f t="shared" si="8"/>
        <v>20</v>
      </c>
    </row>
    <row r="541" spans="1:9" x14ac:dyDescent="0.3">
      <c r="A541" t="str">
        <f>IF(ROW(A541)&lt;=Bidding!$D$11,Raw_hydro_bm!B541,"")</f>
        <v>b</v>
      </c>
      <c r="B541" t="str">
        <f>IF(ROW(B541)&lt;=Bidding!$D$11,Raw_hydro_bm!C541,"")</f>
        <v>v</v>
      </c>
      <c r="C541" t="str">
        <f>IF(ROW(C541)&lt;=Bidding!$D$11,Raw_hydro_bm!D541,"")</f>
        <v>X</v>
      </c>
      <c r="D541">
        <f>IF(ROW(D541)&lt;=Bidding!$D$11,Raw_hydro_bm!E541,"")</f>
        <v>1</v>
      </c>
      <c r="E541">
        <f>IF(ROW(E541)&lt;=Bidding!$D$11,Raw_hydro_bm!F541,"")</f>
        <v>3</v>
      </c>
      <c r="F541">
        <f>IF(ROW(F541)&lt;=Bidding!$D$11,Raw_hydro_bm!G541,"")</f>
        <v>0</v>
      </c>
      <c r="G541">
        <f>IF(ROW(G541)&lt;=Bidding!$D$11,Raw_hydro_bm!H541,"")</f>
        <v>0</v>
      </c>
      <c r="H541" t="str">
        <f>IF(ROW(H541)&lt;=Bidding!$D$11,Raw_hydro_bm!I541,"")</f>
        <v>0.0</v>
      </c>
      <c r="I541" s="16">
        <f t="shared" si="8"/>
        <v>0</v>
      </c>
    </row>
    <row r="542" spans="1:9" x14ac:dyDescent="0.3">
      <c r="A542" t="str">
        <f>IF(ROW(A542)&lt;=Bidding!$D$11,Raw_hydro_bm!B542,"")</f>
        <v>b</v>
      </c>
      <c r="B542" t="str">
        <f>IF(ROW(B542)&lt;=Bidding!$D$11,Raw_hydro_bm!C542,"")</f>
        <v>v</v>
      </c>
      <c r="C542" t="str">
        <f>IF(ROW(C542)&lt;=Bidding!$D$11,Raw_hydro_bm!D542,"")</f>
        <v>X</v>
      </c>
      <c r="D542">
        <f>IF(ROW(D542)&lt;=Bidding!$D$11,Raw_hydro_bm!E542,"")</f>
        <v>1</v>
      </c>
      <c r="E542">
        <f>IF(ROW(E542)&lt;=Bidding!$D$11,Raw_hydro_bm!F542,"")</f>
        <v>3</v>
      </c>
      <c r="F542">
        <f>IF(ROW(F542)&lt;=Bidding!$D$11,Raw_hydro_bm!G542,"")</f>
        <v>0</v>
      </c>
      <c r="G542">
        <f>IF(ROW(G542)&lt;=Bidding!$D$11,Raw_hydro_bm!H542,"")</f>
        <v>1</v>
      </c>
      <c r="H542" t="str">
        <f>IF(ROW(H542)&lt;=Bidding!$D$11,Raw_hydro_bm!I542,"")</f>
        <v>0.0</v>
      </c>
      <c r="I542" s="16">
        <f t="shared" si="8"/>
        <v>0</v>
      </c>
    </row>
    <row r="543" spans="1:9" x14ac:dyDescent="0.3">
      <c r="A543" t="str">
        <f>IF(ROW(A543)&lt;=Bidding!$D$11,Raw_hydro_bm!B543,"")</f>
        <v>b</v>
      </c>
      <c r="B543" t="str">
        <f>IF(ROW(B543)&lt;=Bidding!$D$11,Raw_hydro_bm!C543,"")</f>
        <v>v</v>
      </c>
      <c r="C543" t="str">
        <f>IF(ROW(C543)&lt;=Bidding!$D$11,Raw_hydro_bm!D543,"")</f>
        <v>X</v>
      </c>
      <c r="D543">
        <f>IF(ROW(D543)&lt;=Bidding!$D$11,Raw_hydro_bm!E543,"")</f>
        <v>1</v>
      </c>
      <c r="E543">
        <f>IF(ROW(E543)&lt;=Bidding!$D$11,Raw_hydro_bm!F543,"")</f>
        <v>3</v>
      </c>
      <c r="F543">
        <f>IF(ROW(F543)&lt;=Bidding!$D$11,Raw_hydro_bm!G543,"")</f>
        <v>0</v>
      </c>
      <c r="G543">
        <f>IF(ROW(G543)&lt;=Bidding!$D$11,Raw_hydro_bm!H543,"")</f>
        <v>2</v>
      </c>
      <c r="H543" t="str">
        <f>IF(ROW(H543)&lt;=Bidding!$D$11,Raw_hydro_bm!I543,"")</f>
        <v>60.0</v>
      </c>
      <c r="I543" s="16">
        <f t="shared" si="8"/>
        <v>60</v>
      </c>
    </row>
    <row r="544" spans="1:9" x14ac:dyDescent="0.3">
      <c r="A544" t="str">
        <f>IF(ROW(A544)&lt;=Bidding!$D$11,Raw_hydro_bm!B544,"")</f>
        <v>p</v>
      </c>
      <c r="B544" t="str">
        <f>IF(ROW(B544)&lt;=Bidding!$D$11,Raw_hydro_bm!C544,"")</f>
        <v>c</v>
      </c>
      <c r="C544">
        <f>IF(ROW(C544)&lt;=Bidding!$D$11,Raw_hydro_bm!D544,"")</f>
        <v>1</v>
      </c>
      <c r="D544">
        <f>IF(ROW(D544)&lt;=Bidding!$D$11,Raw_hydro_bm!E544,"")</f>
        <v>3</v>
      </c>
      <c r="E544">
        <f>IF(ROW(E544)&lt;=Bidding!$D$11,Raw_hydro_bm!F544,"")</f>
        <v>0</v>
      </c>
      <c r="F544">
        <f>IF(ROW(F544)&lt;=Bidding!$D$11,Raw_hydro_bm!G544,"")</f>
        <v>0</v>
      </c>
      <c r="G544">
        <f>IF(ROW(G544)&lt;=Bidding!$D$11,Raw_hydro_bm!H544,"")</f>
        <v>0</v>
      </c>
      <c r="H544" t="str">
        <f>IF(ROW(H544)&lt;=Bidding!$D$11,Raw_hydro_bm!I544,"")</f>
        <v>0.0</v>
      </c>
      <c r="I544" s="16">
        <f t="shared" si="8"/>
        <v>0</v>
      </c>
    </row>
    <row r="545" spans="1:9" x14ac:dyDescent="0.3">
      <c r="A545" t="str">
        <f>IF(ROW(A545)&lt;=Bidding!$D$11,Raw_hydro_bm!B545,"")</f>
        <v>v</v>
      </c>
      <c r="B545" t="str">
        <f>IF(ROW(B545)&lt;=Bidding!$D$11,Raw_hydro_bm!C545,"")</f>
        <v>c</v>
      </c>
      <c r="C545">
        <f>IF(ROW(C545)&lt;=Bidding!$D$11,Raw_hydro_bm!D545,"")</f>
        <v>1</v>
      </c>
      <c r="D545">
        <f>IF(ROW(D545)&lt;=Bidding!$D$11,Raw_hydro_bm!E545,"")</f>
        <v>3</v>
      </c>
      <c r="E545">
        <f>IF(ROW(E545)&lt;=Bidding!$D$11,Raw_hydro_bm!F545,"")</f>
        <v>0</v>
      </c>
      <c r="F545">
        <f>IF(ROW(F545)&lt;=Bidding!$D$11,Raw_hydro_bm!G545,"")</f>
        <v>0</v>
      </c>
      <c r="G545">
        <f>IF(ROW(G545)&lt;=Bidding!$D$11,Raw_hydro_bm!H545,"")</f>
        <v>0</v>
      </c>
      <c r="H545" t="str">
        <f>IF(ROW(H545)&lt;=Bidding!$D$11,Raw_hydro_bm!I545,"")</f>
        <v>10.0</v>
      </c>
      <c r="I545" s="16">
        <f t="shared" si="8"/>
        <v>10</v>
      </c>
    </row>
    <row r="546" spans="1:9" x14ac:dyDescent="0.3">
      <c r="A546" t="str">
        <f>IF(ROW(A546)&lt;=Bidding!$D$11,Raw_hydro_bm!B546,"")</f>
        <v>p</v>
      </c>
      <c r="B546" t="str">
        <f>IF(ROW(B546)&lt;=Bidding!$D$11,Raw_hydro_bm!C546,"")</f>
        <v>c</v>
      </c>
      <c r="C546">
        <f>IF(ROW(C546)&lt;=Bidding!$D$11,Raw_hydro_bm!D546,"")</f>
        <v>1</v>
      </c>
      <c r="D546">
        <f>IF(ROW(D546)&lt;=Bidding!$D$11,Raw_hydro_bm!E546,"")</f>
        <v>3</v>
      </c>
      <c r="E546">
        <f>IF(ROW(E546)&lt;=Bidding!$D$11,Raw_hydro_bm!F546,"")</f>
        <v>0</v>
      </c>
      <c r="F546">
        <f>IF(ROW(F546)&lt;=Bidding!$D$11,Raw_hydro_bm!G546,"")</f>
        <v>0</v>
      </c>
      <c r="G546">
        <f>IF(ROW(G546)&lt;=Bidding!$D$11,Raw_hydro_bm!H546,"")</f>
        <v>1</v>
      </c>
      <c r="H546" t="str">
        <f>IF(ROW(H546)&lt;=Bidding!$D$11,Raw_hydro_bm!I546,"")</f>
        <v>0.0</v>
      </c>
      <c r="I546" s="16">
        <f t="shared" si="8"/>
        <v>0</v>
      </c>
    </row>
    <row r="547" spans="1:9" x14ac:dyDescent="0.3">
      <c r="A547" t="str">
        <f>IF(ROW(A547)&lt;=Bidding!$D$11,Raw_hydro_bm!B547,"")</f>
        <v>v</v>
      </c>
      <c r="B547" t="str">
        <f>IF(ROW(B547)&lt;=Bidding!$D$11,Raw_hydro_bm!C547,"")</f>
        <v>c</v>
      </c>
      <c r="C547">
        <f>IF(ROW(C547)&lt;=Bidding!$D$11,Raw_hydro_bm!D547,"")</f>
        <v>1</v>
      </c>
      <c r="D547">
        <f>IF(ROW(D547)&lt;=Bidding!$D$11,Raw_hydro_bm!E547,"")</f>
        <v>3</v>
      </c>
      <c r="E547">
        <f>IF(ROW(E547)&lt;=Bidding!$D$11,Raw_hydro_bm!F547,"")</f>
        <v>0</v>
      </c>
      <c r="F547">
        <f>IF(ROW(F547)&lt;=Bidding!$D$11,Raw_hydro_bm!G547,"")</f>
        <v>0</v>
      </c>
      <c r="G547">
        <f>IF(ROW(G547)&lt;=Bidding!$D$11,Raw_hydro_bm!H547,"")</f>
        <v>1</v>
      </c>
      <c r="H547" t="str">
        <f>IF(ROW(H547)&lt;=Bidding!$D$11,Raw_hydro_bm!I547,"")</f>
        <v>30.0</v>
      </c>
      <c r="I547" s="16">
        <f t="shared" si="8"/>
        <v>30</v>
      </c>
    </row>
    <row r="548" spans="1:9" x14ac:dyDescent="0.3">
      <c r="A548" t="str">
        <f>IF(ROW(A548)&lt;=Bidding!$D$11,Raw_hydro_bm!B548,"")</f>
        <v>p</v>
      </c>
      <c r="B548" t="str">
        <f>IF(ROW(B548)&lt;=Bidding!$D$11,Raw_hydro_bm!C548,"")</f>
        <v>c</v>
      </c>
      <c r="C548">
        <f>IF(ROW(C548)&lt;=Bidding!$D$11,Raw_hydro_bm!D548,"")</f>
        <v>1</v>
      </c>
      <c r="D548">
        <f>IF(ROW(D548)&lt;=Bidding!$D$11,Raw_hydro_bm!E548,"")</f>
        <v>3</v>
      </c>
      <c r="E548">
        <f>IF(ROW(E548)&lt;=Bidding!$D$11,Raw_hydro_bm!F548,"")</f>
        <v>0</v>
      </c>
      <c r="F548">
        <f>IF(ROW(F548)&lt;=Bidding!$D$11,Raw_hydro_bm!G548,"")</f>
        <v>0</v>
      </c>
      <c r="G548">
        <f>IF(ROW(G548)&lt;=Bidding!$D$11,Raw_hydro_bm!H548,"")</f>
        <v>2</v>
      </c>
      <c r="H548" t="str">
        <f>IF(ROW(H548)&lt;=Bidding!$D$11,Raw_hydro_bm!I548,"")</f>
        <v>0.0</v>
      </c>
      <c r="I548" s="16">
        <f t="shared" si="8"/>
        <v>0</v>
      </c>
    </row>
    <row r="549" spans="1:9" x14ac:dyDescent="0.3">
      <c r="A549" t="str">
        <f>IF(ROW(A549)&lt;=Bidding!$D$11,Raw_hydro_bm!B549,"")</f>
        <v>v</v>
      </c>
      <c r="B549" t="str">
        <f>IF(ROW(B549)&lt;=Bidding!$D$11,Raw_hydro_bm!C549,"")</f>
        <v>c</v>
      </c>
      <c r="C549">
        <f>IF(ROW(C549)&lt;=Bidding!$D$11,Raw_hydro_bm!D549,"")</f>
        <v>1</v>
      </c>
      <c r="D549">
        <f>IF(ROW(D549)&lt;=Bidding!$D$11,Raw_hydro_bm!E549,"")</f>
        <v>3</v>
      </c>
      <c r="E549">
        <f>IF(ROW(E549)&lt;=Bidding!$D$11,Raw_hydro_bm!F549,"")</f>
        <v>0</v>
      </c>
      <c r="F549">
        <f>IF(ROW(F549)&lt;=Bidding!$D$11,Raw_hydro_bm!G549,"")</f>
        <v>0</v>
      </c>
      <c r="G549">
        <f>IF(ROW(G549)&lt;=Bidding!$D$11,Raw_hydro_bm!H549,"")</f>
        <v>2</v>
      </c>
      <c r="H549" t="str">
        <f>IF(ROW(H549)&lt;=Bidding!$D$11,Raw_hydro_bm!I549,"")</f>
        <v>20.0</v>
      </c>
      <c r="I549" s="16">
        <f t="shared" si="8"/>
        <v>20</v>
      </c>
    </row>
    <row r="550" spans="1:9" x14ac:dyDescent="0.3">
      <c r="A550" t="str">
        <f>IF(ROW(A550)&lt;=Bidding!$D$11,Raw_hydro_bm!B550,"")</f>
        <v>p</v>
      </c>
      <c r="B550" t="str">
        <f>IF(ROW(B550)&lt;=Bidding!$D$11,Raw_hydro_bm!C550,"")</f>
        <v>c</v>
      </c>
      <c r="C550">
        <f>IF(ROW(C550)&lt;=Bidding!$D$11,Raw_hydro_bm!D550,"")</f>
        <v>1</v>
      </c>
      <c r="D550">
        <f>IF(ROW(D550)&lt;=Bidding!$D$11,Raw_hydro_bm!E550,"")</f>
        <v>3</v>
      </c>
      <c r="E550">
        <f>IF(ROW(E550)&lt;=Bidding!$D$11,Raw_hydro_bm!F550,"")</f>
        <v>0</v>
      </c>
      <c r="F550">
        <f>IF(ROW(F550)&lt;=Bidding!$D$11,Raw_hydro_bm!G550,"")</f>
        <v>1</v>
      </c>
      <c r="G550">
        <f>IF(ROW(G550)&lt;=Bidding!$D$11,Raw_hydro_bm!H550,"")</f>
        <v>0</v>
      </c>
      <c r="H550" t="str">
        <f>IF(ROW(H550)&lt;=Bidding!$D$11,Raw_hydro_bm!I550,"")</f>
        <v>0.0</v>
      </c>
      <c r="I550" s="16">
        <f t="shared" si="8"/>
        <v>0</v>
      </c>
    </row>
    <row r="551" spans="1:9" x14ac:dyDescent="0.3">
      <c r="A551" t="str">
        <f>IF(ROW(A551)&lt;=Bidding!$D$11,Raw_hydro_bm!B551,"")</f>
        <v>v</v>
      </c>
      <c r="B551" t="str">
        <f>IF(ROW(B551)&lt;=Bidding!$D$11,Raw_hydro_bm!C551,"")</f>
        <v>c</v>
      </c>
      <c r="C551">
        <f>IF(ROW(C551)&lt;=Bidding!$D$11,Raw_hydro_bm!D551,"")</f>
        <v>1</v>
      </c>
      <c r="D551">
        <f>IF(ROW(D551)&lt;=Bidding!$D$11,Raw_hydro_bm!E551,"")</f>
        <v>3</v>
      </c>
      <c r="E551">
        <f>IF(ROW(E551)&lt;=Bidding!$D$11,Raw_hydro_bm!F551,"")</f>
        <v>0</v>
      </c>
      <c r="F551">
        <f>IF(ROW(F551)&lt;=Bidding!$D$11,Raw_hydro_bm!G551,"")</f>
        <v>1</v>
      </c>
      <c r="G551">
        <f>IF(ROW(G551)&lt;=Bidding!$D$11,Raw_hydro_bm!H551,"")</f>
        <v>0</v>
      </c>
      <c r="H551" t="str">
        <f>IF(ROW(H551)&lt;=Bidding!$D$11,Raw_hydro_bm!I551,"")</f>
        <v>0.0</v>
      </c>
      <c r="I551" s="16">
        <f t="shared" si="8"/>
        <v>0</v>
      </c>
    </row>
    <row r="552" spans="1:9" x14ac:dyDescent="0.3">
      <c r="A552" t="str">
        <f>IF(ROW(A552)&lt;=Bidding!$D$11,Raw_hydro_bm!B552,"")</f>
        <v>p</v>
      </c>
      <c r="B552" t="str">
        <f>IF(ROW(B552)&lt;=Bidding!$D$11,Raw_hydro_bm!C552,"")</f>
        <v>c</v>
      </c>
      <c r="C552">
        <f>IF(ROW(C552)&lt;=Bidding!$D$11,Raw_hydro_bm!D552,"")</f>
        <v>1</v>
      </c>
      <c r="D552">
        <f>IF(ROW(D552)&lt;=Bidding!$D$11,Raw_hydro_bm!E552,"")</f>
        <v>3</v>
      </c>
      <c r="E552">
        <f>IF(ROW(E552)&lt;=Bidding!$D$11,Raw_hydro_bm!F552,"")</f>
        <v>0</v>
      </c>
      <c r="F552">
        <f>IF(ROW(F552)&lt;=Bidding!$D$11,Raw_hydro_bm!G552,"")</f>
        <v>1</v>
      </c>
      <c r="G552">
        <f>IF(ROW(G552)&lt;=Bidding!$D$11,Raw_hydro_bm!H552,"")</f>
        <v>1</v>
      </c>
      <c r="H552" t="str">
        <f>IF(ROW(H552)&lt;=Bidding!$D$11,Raw_hydro_bm!I552,"")</f>
        <v>0.0</v>
      </c>
      <c r="I552" s="16">
        <f t="shared" si="8"/>
        <v>0</v>
      </c>
    </row>
    <row r="553" spans="1:9" x14ac:dyDescent="0.3">
      <c r="A553" t="str">
        <f>IF(ROW(A553)&lt;=Bidding!$D$11,Raw_hydro_bm!B553,"")</f>
        <v>v</v>
      </c>
      <c r="B553" t="str">
        <f>IF(ROW(B553)&lt;=Bidding!$D$11,Raw_hydro_bm!C553,"")</f>
        <v>c</v>
      </c>
      <c r="C553">
        <f>IF(ROW(C553)&lt;=Bidding!$D$11,Raw_hydro_bm!D553,"")</f>
        <v>1</v>
      </c>
      <c r="D553">
        <f>IF(ROW(D553)&lt;=Bidding!$D$11,Raw_hydro_bm!E553,"")</f>
        <v>3</v>
      </c>
      <c r="E553">
        <f>IF(ROW(E553)&lt;=Bidding!$D$11,Raw_hydro_bm!F553,"")</f>
        <v>0</v>
      </c>
      <c r="F553">
        <f>IF(ROW(F553)&lt;=Bidding!$D$11,Raw_hydro_bm!G553,"")</f>
        <v>1</v>
      </c>
      <c r="G553">
        <f>IF(ROW(G553)&lt;=Bidding!$D$11,Raw_hydro_bm!H553,"")</f>
        <v>1</v>
      </c>
      <c r="H553" t="str">
        <f>IF(ROW(H553)&lt;=Bidding!$D$11,Raw_hydro_bm!I553,"")</f>
        <v>0.0</v>
      </c>
      <c r="I553" s="16">
        <f t="shared" si="8"/>
        <v>0</v>
      </c>
    </row>
    <row r="554" spans="1:9" x14ac:dyDescent="0.3">
      <c r="A554" t="str">
        <f>IF(ROW(A554)&lt;=Bidding!$D$11,Raw_hydro_bm!B554,"")</f>
        <v>p</v>
      </c>
      <c r="B554" t="str">
        <f>IF(ROW(B554)&lt;=Bidding!$D$11,Raw_hydro_bm!C554,"")</f>
        <v>c</v>
      </c>
      <c r="C554">
        <f>IF(ROW(C554)&lt;=Bidding!$D$11,Raw_hydro_bm!D554,"")</f>
        <v>1</v>
      </c>
      <c r="D554">
        <f>IF(ROW(D554)&lt;=Bidding!$D$11,Raw_hydro_bm!E554,"")</f>
        <v>3</v>
      </c>
      <c r="E554">
        <f>IF(ROW(E554)&lt;=Bidding!$D$11,Raw_hydro_bm!F554,"")</f>
        <v>0</v>
      </c>
      <c r="F554">
        <f>IF(ROW(F554)&lt;=Bidding!$D$11,Raw_hydro_bm!G554,"")</f>
        <v>1</v>
      </c>
      <c r="G554">
        <f>IF(ROW(G554)&lt;=Bidding!$D$11,Raw_hydro_bm!H554,"")</f>
        <v>2</v>
      </c>
      <c r="H554" t="str">
        <f>IF(ROW(H554)&lt;=Bidding!$D$11,Raw_hydro_bm!I554,"")</f>
        <v>0.0</v>
      </c>
      <c r="I554" s="16">
        <f t="shared" si="8"/>
        <v>0</v>
      </c>
    </row>
    <row r="555" spans="1:9" x14ac:dyDescent="0.3">
      <c r="A555" t="str">
        <f>IF(ROW(A555)&lt;=Bidding!$D$11,Raw_hydro_bm!B555,"")</f>
        <v>v</v>
      </c>
      <c r="B555" t="str">
        <f>IF(ROW(B555)&lt;=Bidding!$D$11,Raw_hydro_bm!C555,"")</f>
        <v>c</v>
      </c>
      <c r="C555">
        <f>IF(ROW(C555)&lt;=Bidding!$D$11,Raw_hydro_bm!D555,"")</f>
        <v>1</v>
      </c>
      <c r="D555">
        <f>IF(ROW(D555)&lt;=Bidding!$D$11,Raw_hydro_bm!E555,"")</f>
        <v>3</v>
      </c>
      <c r="E555">
        <f>IF(ROW(E555)&lt;=Bidding!$D$11,Raw_hydro_bm!F555,"")</f>
        <v>0</v>
      </c>
      <c r="F555">
        <f>IF(ROW(F555)&lt;=Bidding!$D$11,Raw_hydro_bm!G555,"")</f>
        <v>1</v>
      </c>
      <c r="G555">
        <f>IF(ROW(G555)&lt;=Bidding!$D$11,Raw_hydro_bm!H555,"")</f>
        <v>2</v>
      </c>
      <c r="H555" t="str">
        <f>IF(ROW(H555)&lt;=Bidding!$D$11,Raw_hydro_bm!I555,"")</f>
        <v>0.0</v>
      </c>
      <c r="I555" s="16">
        <f t="shared" si="8"/>
        <v>0</v>
      </c>
    </row>
    <row r="556" spans="1:9" x14ac:dyDescent="0.3">
      <c r="A556" t="str">
        <f>IF(ROW(A556)&lt;=Bidding!$D$11,Raw_hydro_bm!B556,"")</f>
        <v>b</v>
      </c>
      <c r="B556" t="str">
        <f>IF(ROW(B556)&lt;=Bidding!$D$11,Raw_hydro_bm!C556,"")</f>
        <v>v</v>
      </c>
      <c r="C556" t="str">
        <f>IF(ROW(C556)&lt;=Bidding!$D$11,Raw_hydro_bm!D556,"")</f>
        <v>X</v>
      </c>
      <c r="D556">
        <f>IF(ROW(D556)&lt;=Bidding!$D$11,Raw_hydro_bm!E556,"")</f>
        <v>1</v>
      </c>
      <c r="E556">
        <f>IF(ROW(E556)&lt;=Bidding!$D$11,Raw_hydro_bm!F556,"")</f>
        <v>3</v>
      </c>
      <c r="F556">
        <f>IF(ROW(F556)&lt;=Bidding!$D$11,Raw_hydro_bm!G556,"")</f>
        <v>1</v>
      </c>
      <c r="G556">
        <f>IF(ROW(G556)&lt;=Bidding!$D$11,Raw_hydro_bm!H556,"")</f>
        <v>0</v>
      </c>
      <c r="H556" t="str">
        <f>IF(ROW(H556)&lt;=Bidding!$D$11,Raw_hydro_bm!I556,"")</f>
        <v>0.0</v>
      </c>
      <c r="I556" s="16">
        <f t="shared" si="8"/>
        <v>0</v>
      </c>
    </row>
    <row r="557" spans="1:9" x14ac:dyDescent="0.3">
      <c r="A557" t="str">
        <f>IF(ROW(A557)&lt;=Bidding!$D$11,Raw_hydro_bm!B557,"")</f>
        <v>b</v>
      </c>
      <c r="B557" t="str">
        <f>IF(ROW(B557)&lt;=Bidding!$D$11,Raw_hydro_bm!C557,"")</f>
        <v>v</v>
      </c>
      <c r="C557" t="str">
        <f>IF(ROW(C557)&lt;=Bidding!$D$11,Raw_hydro_bm!D557,"")</f>
        <v>X</v>
      </c>
      <c r="D557">
        <f>IF(ROW(D557)&lt;=Bidding!$D$11,Raw_hydro_bm!E557,"")</f>
        <v>1</v>
      </c>
      <c r="E557">
        <f>IF(ROW(E557)&lt;=Bidding!$D$11,Raw_hydro_bm!F557,"")</f>
        <v>3</v>
      </c>
      <c r="F557">
        <f>IF(ROW(F557)&lt;=Bidding!$D$11,Raw_hydro_bm!G557,"")</f>
        <v>1</v>
      </c>
      <c r="G557">
        <f>IF(ROW(G557)&lt;=Bidding!$D$11,Raw_hydro_bm!H557,"")</f>
        <v>1</v>
      </c>
      <c r="H557" t="str">
        <f>IF(ROW(H557)&lt;=Bidding!$D$11,Raw_hydro_bm!I557,"")</f>
        <v>0.0</v>
      </c>
      <c r="I557" s="16">
        <f t="shared" si="8"/>
        <v>0</v>
      </c>
    </row>
    <row r="558" spans="1:9" x14ac:dyDescent="0.3">
      <c r="A558" t="str">
        <f>IF(ROW(A558)&lt;=Bidding!$D$11,Raw_hydro_bm!B558,"")</f>
        <v>b</v>
      </c>
      <c r="B558" t="str">
        <f>IF(ROW(B558)&lt;=Bidding!$D$11,Raw_hydro_bm!C558,"")</f>
        <v>v</v>
      </c>
      <c r="C558" t="str">
        <f>IF(ROW(C558)&lt;=Bidding!$D$11,Raw_hydro_bm!D558,"")</f>
        <v>X</v>
      </c>
      <c r="D558">
        <f>IF(ROW(D558)&lt;=Bidding!$D$11,Raw_hydro_bm!E558,"")</f>
        <v>1</v>
      </c>
      <c r="E558">
        <f>IF(ROW(E558)&lt;=Bidding!$D$11,Raw_hydro_bm!F558,"")</f>
        <v>3</v>
      </c>
      <c r="F558">
        <f>IF(ROW(F558)&lt;=Bidding!$D$11,Raw_hydro_bm!G558,"")</f>
        <v>1</v>
      </c>
      <c r="G558">
        <f>IF(ROW(G558)&lt;=Bidding!$D$11,Raw_hydro_bm!H558,"")</f>
        <v>2</v>
      </c>
      <c r="H558" t="str">
        <f>IF(ROW(H558)&lt;=Bidding!$D$11,Raw_hydro_bm!I558,"")</f>
        <v>45.0</v>
      </c>
      <c r="I558" s="16">
        <f t="shared" si="8"/>
        <v>45</v>
      </c>
    </row>
    <row r="559" spans="1:9" x14ac:dyDescent="0.3">
      <c r="A559" t="str">
        <f>IF(ROW(A559)&lt;=Bidding!$D$11,Raw_hydro_bm!B559,"")</f>
        <v>p</v>
      </c>
      <c r="B559" t="str">
        <f>IF(ROW(B559)&lt;=Bidding!$D$11,Raw_hydro_bm!C559,"")</f>
        <v>c</v>
      </c>
      <c r="C559">
        <f>IF(ROW(C559)&lt;=Bidding!$D$11,Raw_hydro_bm!D559,"")</f>
        <v>1</v>
      </c>
      <c r="D559">
        <f>IF(ROW(D559)&lt;=Bidding!$D$11,Raw_hydro_bm!E559,"")</f>
        <v>3</v>
      </c>
      <c r="E559">
        <f>IF(ROW(E559)&lt;=Bidding!$D$11,Raw_hydro_bm!F559,"")</f>
        <v>1</v>
      </c>
      <c r="F559">
        <f>IF(ROW(F559)&lt;=Bidding!$D$11,Raw_hydro_bm!G559,"")</f>
        <v>0</v>
      </c>
      <c r="G559">
        <f>IF(ROW(G559)&lt;=Bidding!$D$11,Raw_hydro_bm!H559,"")</f>
        <v>0</v>
      </c>
      <c r="H559" t="str">
        <f>IF(ROW(H559)&lt;=Bidding!$D$11,Raw_hydro_bm!I559,"")</f>
        <v>0.0</v>
      </c>
      <c r="I559" s="16">
        <f t="shared" si="8"/>
        <v>0</v>
      </c>
    </row>
    <row r="560" spans="1:9" x14ac:dyDescent="0.3">
      <c r="A560" t="str">
        <f>IF(ROW(A560)&lt;=Bidding!$D$11,Raw_hydro_bm!B560,"")</f>
        <v>v</v>
      </c>
      <c r="B560" t="str">
        <f>IF(ROW(B560)&lt;=Bidding!$D$11,Raw_hydro_bm!C560,"")</f>
        <v>c</v>
      </c>
      <c r="C560">
        <f>IF(ROW(C560)&lt;=Bidding!$D$11,Raw_hydro_bm!D560,"")</f>
        <v>1</v>
      </c>
      <c r="D560">
        <f>IF(ROW(D560)&lt;=Bidding!$D$11,Raw_hydro_bm!E560,"")</f>
        <v>3</v>
      </c>
      <c r="E560">
        <f>IF(ROW(E560)&lt;=Bidding!$D$11,Raw_hydro_bm!F560,"")</f>
        <v>1</v>
      </c>
      <c r="F560">
        <f>IF(ROW(F560)&lt;=Bidding!$D$11,Raw_hydro_bm!G560,"")</f>
        <v>0</v>
      </c>
      <c r="G560">
        <f>IF(ROW(G560)&lt;=Bidding!$D$11,Raw_hydro_bm!H560,"")</f>
        <v>0</v>
      </c>
      <c r="H560" t="str">
        <f>IF(ROW(H560)&lt;=Bidding!$D$11,Raw_hydro_bm!I560,"")</f>
        <v>0.0</v>
      </c>
      <c r="I560" s="16">
        <f t="shared" si="8"/>
        <v>0</v>
      </c>
    </row>
    <row r="561" spans="1:9" x14ac:dyDescent="0.3">
      <c r="A561" t="str">
        <f>IF(ROW(A561)&lt;=Bidding!$D$11,Raw_hydro_bm!B561,"")</f>
        <v>p</v>
      </c>
      <c r="B561" t="str">
        <f>IF(ROW(B561)&lt;=Bidding!$D$11,Raw_hydro_bm!C561,"")</f>
        <v>c</v>
      </c>
      <c r="C561">
        <f>IF(ROW(C561)&lt;=Bidding!$D$11,Raw_hydro_bm!D561,"")</f>
        <v>1</v>
      </c>
      <c r="D561">
        <f>IF(ROW(D561)&lt;=Bidding!$D$11,Raw_hydro_bm!E561,"")</f>
        <v>3</v>
      </c>
      <c r="E561">
        <f>IF(ROW(E561)&lt;=Bidding!$D$11,Raw_hydro_bm!F561,"")</f>
        <v>1</v>
      </c>
      <c r="F561">
        <f>IF(ROW(F561)&lt;=Bidding!$D$11,Raw_hydro_bm!G561,"")</f>
        <v>0</v>
      </c>
      <c r="G561">
        <f>IF(ROW(G561)&lt;=Bidding!$D$11,Raw_hydro_bm!H561,"")</f>
        <v>1</v>
      </c>
      <c r="H561" t="str">
        <f>IF(ROW(H561)&lt;=Bidding!$D$11,Raw_hydro_bm!I561,"")</f>
        <v>0.0</v>
      </c>
      <c r="I561" s="16">
        <f t="shared" si="8"/>
        <v>0</v>
      </c>
    </row>
    <row r="562" spans="1:9" x14ac:dyDescent="0.3">
      <c r="A562" t="str">
        <f>IF(ROW(A562)&lt;=Bidding!$D$11,Raw_hydro_bm!B562,"")</f>
        <v>v</v>
      </c>
      <c r="B562" t="str">
        <f>IF(ROW(B562)&lt;=Bidding!$D$11,Raw_hydro_bm!C562,"")</f>
        <v>c</v>
      </c>
      <c r="C562">
        <f>IF(ROW(C562)&lt;=Bidding!$D$11,Raw_hydro_bm!D562,"")</f>
        <v>1</v>
      </c>
      <c r="D562">
        <f>IF(ROW(D562)&lt;=Bidding!$D$11,Raw_hydro_bm!E562,"")</f>
        <v>3</v>
      </c>
      <c r="E562">
        <f>IF(ROW(E562)&lt;=Bidding!$D$11,Raw_hydro_bm!F562,"")</f>
        <v>1</v>
      </c>
      <c r="F562">
        <f>IF(ROW(F562)&lt;=Bidding!$D$11,Raw_hydro_bm!G562,"")</f>
        <v>0</v>
      </c>
      <c r="G562">
        <f>IF(ROW(G562)&lt;=Bidding!$D$11,Raw_hydro_bm!H562,"")</f>
        <v>1</v>
      </c>
      <c r="H562" t="str">
        <f>IF(ROW(H562)&lt;=Bidding!$D$11,Raw_hydro_bm!I562,"")</f>
        <v>0.0</v>
      </c>
      <c r="I562" s="16">
        <f t="shared" si="8"/>
        <v>0</v>
      </c>
    </row>
    <row r="563" spans="1:9" x14ac:dyDescent="0.3">
      <c r="A563" t="str">
        <f>IF(ROW(A563)&lt;=Bidding!$D$11,Raw_hydro_bm!B563,"")</f>
        <v>p</v>
      </c>
      <c r="B563" t="str">
        <f>IF(ROW(B563)&lt;=Bidding!$D$11,Raw_hydro_bm!C563,"")</f>
        <v>c</v>
      </c>
      <c r="C563">
        <f>IF(ROW(C563)&lt;=Bidding!$D$11,Raw_hydro_bm!D563,"")</f>
        <v>1</v>
      </c>
      <c r="D563">
        <f>IF(ROW(D563)&lt;=Bidding!$D$11,Raw_hydro_bm!E563,"")</f>
        <v>3</v>
      </c>
      <c r="E563">
        <f>IF(ROW(E563)&lt;=Bidding!$D$11,Raw_hydro_bm!F563,"")</f>
        <v>1</v>
      </c>
      <c r="F563">
        <f>IF(ROW(F563)&lt;=Bidding!$D$11,Raw_hydro_bm!G563,"")</f>
        <v>0</v>
      </c>
      <c r="G563">
        <f>IF(ROW(G563)&lt;=Bidding!$D$11,Raw_hydro_bm!H563,"")</f>
        <v>2</v>
      </c>
      <c r="H563" t="str">
        <f>IF(ROW(H563)&lt;=Bidding!$D$11,Raw_hydro_bm!I563,"")</f>
        <v>0.0</v>
      </c>
      <c r="I563" s="16">
        <f t="shared" si="8"/>
        <v>0</v>
      </c>
    </row>
    <row r="564" spans="1:9" x14ac:dyDescent="0.3">
      <c r="A564" t="str">
        <f>IF(ROW(A564)&lt;=Bidding!$D$11,Raw_hydro_bm!B564,"")</f>
        <v>v</v>
      </c>
      <c r="B564" t="str">
        <f>IF(ROW(B564)&lt;=Bidding!$D$11,Raw_hydro_bm!C564,"")</f>
        <v>c</v>
      </c>
      <c r="C564">
        <f>IF(ROW(C564)&lt;=Bidding!$D$11,Raw_hydro_bm!D564,"")</f>
        <v>1</v>
      </c>
      <c r="D564">
        <f>IF(ROW(D564)&lt;=Bidding!$D$11,Raw_hydro_bm!E564,"")</f>
        <v>3</v>
      </c>
      <c r="E564">
        <f>IF(ROW(E564)&lt;=Bidding!$D$11,Raw_hydro_bm!F564,"")</f>
        <v>1</v>
      </c>
      <c r="F564">
        <f>IF(ROW(F564)&lt;=Bidding!$D$11,Raw_hydro_bm!G564,"")</f>
        <v>0</v>
      </c>
      <c r="G564">
        <f>IF(ROW(G564)&lt;=Bidding!$D$11,Raw_hydro_bm!H564,"")</f>
        <v>2</v>
      </c>
      <c r="H564" t="str">
        <f>IF(ROW(H564)&lt;=Bidding!$D$11,Raw_hydro_bm!I564,"")</f>
        <v>0.0</v>
      </c>
      <c r="I564" s="16">
        <f t="shared" si="8"/>
        <v>0</v>
      </c>
    </row>
    <row r="565" spans="1:9" x14ac:dyDescent="0.3">
      <c r="A565" t="str">
        <f>IF(ROW(A565)&lt;=Bidding!$D$11,Raw_hydro_bm!B565,"")</f>
        <v>p</v>
      </c>
      <c r="B565" t="str">
        <f>IF(ROW(B565)&lt;=Bidding!$D$11,Raw_hydro_bm!C565,"")</f>
        <v>c</v>
      </c>
      <c r="C565">
        <f>IF(ROW(C565)&lt;=Bidding!$D$11,Raw_hydro_bm!D565,"")</f>
        <v>1</v>
      </c>
      <c r="D565">
        <f>IF(ROW(D565)&lt;=Bidding!$D$11,Raw_hydro_bm!E565,"")</f>
        <v>3</v>
      </c>
      <c r="E565">
        <f>IF(ROW(E565)&lt;=Bidding!$D$11,Raw_hydro_bm!F565,"")</f>
        <v>1</v>
      </c>
      <c r="F565">
        <f>IF(ROW(F565)&lt;=Bidding!$D$11,Raw_hydro_bm!G565,"")</f>
        <v>1</v>
      </c>
      <c r="G565">
        <f>IF(ROW(G565)&lt;=Bidding!$D$11,Raw_hydro_bm!H565,"")</f>
        <v>0</v>
      </c>
      <c r="H565" t="str">
        <f>IF(ROW(H565)&lt;=Bidding!$D$11,Raw_hydro_bm!I565,"")</f>
        <v>0.0</v>
      </c>
      <c r="I565" s="16">
        <f t="shared" si="8"/>
        <v>0</v>
      </c>
    </row>
    <row r="566" spans="1:9" x14ac:dyDescent="0.3">
      <c r="A566" t="str">
        <f>IF(ROW(A566)&lt;=Bidding!$D$11,Raw_hydro_bm!B566,"")</f>
        <v>v</v>
      </c>
      <c r="B566" t="str">
        <f>IF(ROW(B566)&lt;=Bidding!$D$11,Raw_hydro_bm!C566,"")</f>
        <v>c</v>
      </c>
      <c r="C566">
        <f>IF(ROW(C566)&lt;=Bidding!$D$11,Raw_hydro_bm!D566,"")</f>
        <v>1</v>
      </c>
      <c r="D566">
        <f>IF(ROW(D566)&lt;=Bidding!$D$11,Raw_hydro_bm!E566,"")</f>
        <v>3</v>
      </c>
      <c r="E566">
        <f>IF(ROW(E566)&lt;=Bidding!$D$11,Raw_hydro_bm!F566,"")</f>
        <v>1</v>
      </c>
      <c r="F566">
        <f>IF(ROW(F566)&lt;=Bidding!$D$11,Raw_hydro_bm!G566,"")</f>
        <v>1</v>
      </c>
      <c r="G566">
        <f>IF(ROW(G566)&lt;=Bidding!$D$11,Raw_hydro_bm!H566,"")</f>
        <v>0</v>
      </c>
      <c r="H566" t="str">
        <f>IF(ROW(H566)&lt;=Bidding!$D$11,Raw_hydro_bm!I566,"")</f>
        <v>10.0</v>
      </c>
      <c r="I566" s="16">
        <f t="shared" si="8"/>
        <v>10</v>
      </c>
    </row>
    <row r="567" spans="1:9" x14ac:dyDescent="0.3">
      <c r="A567" t="str">
        <f>IF(ROW(A567)&lt;=Bidding!$D$11,Raw_hydro_bm!B567,"")</f>
        <v>p</v>
      </c>
      <c r="B567" t="str">
        <f>IF(ROW(B567)&lt;=Bidding!$D$11,Raw_hydro_bm!C567,"")</f>
        <v>c</v>
      </c>
      <c r="C567">
        <f>IF(ROW(C567)&lt;=Bidding!$D$11,Raw_hydro_bm!D567,"")</f>
        <v>1</v>
      </c>
      <c r="D567">
        <f>IF(ROW(D567)&lt;=Bidding!$D$11,Raw_hydro_bm!E567,"")</f>
        <v>3</v>
      </c>
      <c r="E567">
        <f>IF(ROW(E567)&lt;=Bidding!$D$11,Raw_hydro_bm!F567,"")</f>
        <v>1</v>
      </c>
      <c r="F567">
        <f>IF(ROW(F567)&lt;=Bidding!$D$11,Raw_hydro_bm!G567,"")</f>
        <v>1</v>
      </c>
      <c r="G567">
        <f>IF(ROW(G567)&lt;=Bidding!$D$11,Raw_hydro_bm!H567,"")</f>
        <v>1</v>
      </c>
      <c r="H567" t="str">
        <f>IF(ROW(H567)&lt;=Bidding!$D$11,Raw_hydro_bm!I567,"")</f>
        <v>0.0</v>
      </c>
      <c r="I567" s="16">
        <f t="shared" si="8"/>
        <v>0</v>
      </c>
    </row>
    <row r="568" spans="1:9" x14ac:dyDescent="0.3">
      <c r="A568" t="str">
        <f>IF(ROW(A568)&lt;=Bidding!$D$11,Raw_hydro_bm!B568,"")</f>
        <v>v</v>
      </c>
      <c r="B568" t="str">
        <f>IF(ROW(B568)&lt;=Bidding!$D$11,Raw_hydro_bm!C568,"")</f>
        <v>c</v>
      </c>
      <c r="C568">
        <f>IF(ROW(C568)&lt;=Bidding!$D$11,Raw_hydro_bm!D568,"")</f>
        <v>1</v>
      </c>
      <c r="D568">
        <f>IF(ROW(D568)&lt;=Bidding!$D$11,Raw_hydro_bm!E568,"")</f>
        <v>3</v>
      </c>
      <c r="E568">
        <f>IF(ROW(E568)&lt;=Bidding!$D$11,Raw_hydro_bm!F568,"")</f>
        <v>1</v>
      </c>
      <c r="F568">
        <f>IF(ROW(F568)&lt;=Bidding!$D$11,Raw_hydro_bm!G568,"")</f>
        <v>1</v>
      </c>
      <c r="G568">
        <f>IF(ROW(G568)&lt;=Bidding!$D$11,Raw_hydro_bm!H568,"")</f>
        <v>1</v>
      </c>
      <c r="H568" t="str">
        <f>IF(ROW(H568)&lt;=Bidding!$D$11,Raw_hydro_bm!I568,"")</f>
        <v>15.0</v>
      </c>
      <c r="I568" s="16">
        <f t="shared" si="8"/>
        <v>15</v>
      </c>
    </row>
    <row r="569" spans="1:9" x14ac:dyDescent="0.3">
      <c r="A569" t="str">
        <f>IF(ROW(A569)&lt;=Bidding!$D$11,Raw_hydro_bm!B569,"")</f>
        <v>p</v>
      </c>
      <c r="B569" t="str">
        <f>IF(ROW(B569)&lt;=Bidding!$D$11,Raw_hydro_bm!C569,"")</f>
        <v>c</v>
      </c>
      <c r="C569">
        <f>IF(ROW(C569)&lt;=Bidding!$D$11,Raw_hydro_bm!D569,"")</f>
        <v>1</v>
      </c>
      <c r="D569">
        <f>IF(ROW(D569)&lt;=Bidding!$D$11,Raw_hydro_bm!E569,"")</f>
        <v>3</v>
      </c>
      <c r="E569">
        <f>IF(ROW(E569)&lt;=Bidding!$D$11,Raw_hydro_bm!F569,"")</f>
        <v>1</v>
      </c>
      <c r="F569">
        <f>IF(ROW(F569)&lt;=Bidding!$D$11,Raw_hydro_bm!G569,"")</f>
        <v>1</v>
      </c>
      <c r="G569">
        <f>IF(ROW(G569)&lt;=Bidding!$D$11,Raw_hydro_bm!H569,"")</f>
        <v>2</v>
      </c>
      <c r="H569" t="str">
        <f>IF(ROW(H569)&lt;=Bidding!$D$11,Raw_hydro_bm!I569,"")</f>
        <v>0.0</v>
      </c>
      <c r="I569" s="16">
        <f t="shared" si="8"/>
        <v>0</v>
      </c>
    </row>
    <row r="570" spans="1:9" x14ac:dyDescent="0.3">
      <c r="A570" t="str">
        <f>IF(ROW(A570)&lt;=Bidding!$D$11,Raw_hydro_bm!B570,"")</f>
        <v>v</v>
      </c>
      <c r="B570" t="str">
        <f>IF(ROW(B570)&lt;=Bidding!$D$11,Raw_hydro_bm!C570,"")</f>
        <v>c</v>
      </c>
      <c r="C570">
        <f>IF(ROW(C570)&lt;=Bidding!$D$11,Raw_hydro_bm!D570,"")</f>
        <v>1</v>
      </c>
      <c r="D570">
        <f>IF(ROW(D570)&lt;=Bidding!$D$11,Raw_hydro_bm!E570,"")</f>
        <v>3</v>
      </c>
      <c r="E570">
        <f>IF(ROW(E570)&lt;=Bidding!$D$11,Raw_hydro_bm!F570,"")</f>
        <v>1</v>
      </c>
      <c r="F570">
        <f>IF(ROW(F570)&lt;=Bidding!$D$11,Raw_hydro_bm!G570,"")</f>
        <v>1</v>
      </c>
      <c r="G570">
        <f>IF(ROW(G570)&lt;=Bidding!$D$11,Raw_hydro_bm!H570,"")</f>
        <v>2</v>
      </c>
      <c r="H570" t="str">
        <f>IF(ROW(H570)&lt;=Bidding!$D$11,Raw_hydro_bm!I570,"")</f>
        <v>20.0</v>
      </c>
      <c r="I570" s="16">
        <f t="shared" si="8"/>
        <v>20</v>
      </c>
    </row>
    <row r="571" spans="1:9" x14ac:dyDescent="0.3">
      <c r="A571" t="str">
        <f>IF(ROW(A571)&lt;=Bidding!$D$11,Raw_hydro_bm!B571,"")</f>
        <v>b</v>
      </c>
      <c r="B571" t="str">
        <f>IF(ROW(B571)&lt;=Bidding!$D$11,Raw_hydro_bm!C571,"")</f>
        <v>v</v>
      </c>
      <c r="C571" t="str">
        <f>IF(ROW(C571)&lt;=Bidding!$D$11,Raw_hydro_bm!D571,"")</f>
        <v>X</v>
      </c>
      <c r="D571">
        <f>IF(ROW(D571)&lt;=Bidding!$D$11,Raw_hydro_bm!E571,"")</f>
        <v>1</v>
      </c>
      <c r="E571">
        <f>IF(ROW(E571)&lt;=Bidding!$D$11,Raw_hydro_bm!F571,"")</f>
        <v>4</v>
      </c>
      <c r="F571">
        <f>IF(ROW(F571)&lt;=Bidding!$D$11,Raw_hydro_bm!G571,"")</f>
        <v>0</v>
      </c>
      <c r="G571">
        <f>IF(ROW(G571)&lt;=Bidding!$D$11,Raw_hydro_bm!H571,"")</f>
        <v>0</v>
      </c>
      <c r="H571" t="str">
        <f>IF(ROW(H571)&lt;=Bidding!$D$11,Raw_hydro_bm!I571,"")</f>
        <v>0.0</v>
      </c>
      <c r="I571" s="16">
        <f t="shared" si="8"/>
        <v>0</v>
      </c>
    </row>
    <row r="572" spans="1:9" x14ac:dyDescent="0.3">
      <c r="A572" t="str">
        <f>IF(ROW(A572)&lt;=Bidding!$D$11,Raw_hydro_bm!B572,"")</f>
        <v>b</v>
      </c>
      <c r="B572" t="str">
        <f>IF(ROW(B572)&lt;=Bidding!$D$11,Raw_hydro_bm!C572,"")</f>
        <v>v</v>
      </c>
      <c r="C572" t="str">
        <f>IF(ROW(C572)&lt;=Bidding!$D$11,Raw_hydro_bm!D572,"")</f>
        <v>X</v>
      </c>
      <c r="D572">
        <f>IF(ROW(D572)&lt;=Bidding!$D$11,Raw_hydro_bm!E572,"")</f>
        <v>1</v>
      </c>
      <c r="E572">
        <f>IF(ROW(E572)&lt;=Bidding!$D$11,Raw_hydro_bm!F572,"")</f>
        <v>4</v>
      </c>
      <c r="F572">
        <f>IF(ROW(F572)&lt;=Bidding!$D$11,Raw_hydro_bm!G572,"")</f>
        <v>0</v>
      </c>
      <c r="G572">
        <f>IF(ROW(G572)&lt;=Bidding!$D$11,Raw_hydro_bm!H572,"")</f>
        <v>1</v>
      </c>
      <c r="H572" t="str">
        <f>IF(ROW(H572)&lt;=Bidding!$D$11,Raw_hydro_bm!I572,"")</f>
        <v>0.0</v>
      </c>
      <c r="I572" s="16">
        <f t="shared" si="8"/>
        <v>0</v>
      </c>
    </row>
    <row r="573" spans="1:9" x14ac:dyDescent="0.3">
      <c r="A573" t="str">
        <f>IF(ROW(A573)&lt;=Bidding!$D$11,Raw_hydro_bm!B573,"")</f>
        <v>b</v>
      </c>
      <c r="B573" t="str">
        <f>IF(ROW(B573)&lt;=Bidding!$D$11,Raw_hydro_bm!C573,"")</f>
        <v>v</v>
      </c>
      <c r="C573" t="str">
        <f>IF(ROW(C573)&lt;=Bidding!$D$11,Raw_hydro_bm!D573,"")</f>
        <v>X</v>
      </c>
      <c r="D573">
        <f>IF(ROW(D573)&lt;=Bidding!$D$11,Raw_hydro_bm!E573,"")</f>
        <v>1</v>
      </c>
      <c r="E573">
        <f>IF(ROW(E573)&lt;=Bidding!$D$11,Raw_hydro_bm!F573,"")</f>
        <v>4</v>
      </c>
      <c r="F573">
        <f>IF(ROW(F573)&lt;=Bidding!$D$11,Raw_hydro_bm!G573,"")</f>
        <v>0</v>
      </c>
      <c r="G573">
        <f>IF(ROW(G573)&lt;=Bidding!$D$11,Raw_hydro_bm!H573,"")</f>
        <v>2</v>
      </c>
      <c r="H573" t="str">
        <f>IF(ROW(H573)&lt;=Bidding!$D$11,Raw_hydro_bm!I573,"")</f>
        <v>50.0</v>
      </c>
      <c r="I573" s="16">
        <f t="shared" si="8"/>
        <v>50</v>
      </c>
    </row>
    <row r="574" spans="1:9" x14ac:dyDescent="0.3">
      <c r="A574" t="str">
        <f>IF(ROW(A574)&lt;=Bidding!$D$11,Raw_hydro_bm!B574,"")</f>
        <v>p</v>
      </c>
      <c r="B574" t="str">
        <f>IF(ROW(B574)&lt;=Bidding!$D$11,Raw_hydro_bm!C574,"")</f>
        <v>c</v>
      </c>
      <c r="C574">
        <f>IF(ROW(C574)&lt;=Bidding!$D$11,Raw_hydro_bm!D574,"")</f>
        <v>1</v>
      </c>
      <c r="D574">
        <f>IF(ROW(D574)&lt;=Bidding!$D$11,Raw_hydro_bm!E574,"")</f>
        <v>4</v>
      </c>
      <c r="E574">
        <f>IF(ROW(E574)&lt;=Bidding!$D$11,Raw_hydro_bm!F574,"")</f>
        <v>0</v>
      </c>
      <c r="F574">
        <f>IF(ROW(F574)&lt;=Bidding!$D$11,Raw_hydro_bm!G574,"")</f>
        <v>0</v>
      </c>
      <c r="G574">
        <f>IF(ROW(G574)&lt;=Bidding!$D$11,Raw_hydro_bm!H574,"")</f>
        <v>0</v>
      </c>
      <c r="H574" t="str">
        <f>IF(ROW(H574)&lt;=Bidding!$D$11,Raw_hydro_bm!I574,"")</f>
        <v>0.0</v>
      </c>
      <c r="I574" s="16">
        <f t="shared" si="8"/>
        <v>0</v>
      </c>
    </row>
    <row r="575" spans="1:9" x14ac:dyDescent="0.3">
      <c r="A575" t="str">
        <f>IF(ROW(A575)&lt;=Bidding!$D$11,Raw_hydro_bm!B575,"")</f>
        <v>v</v>
      </c>
      <c r="B575" t="str">
        <f>IF(ROW(B575)&lt;=Bidding!$D$11,Raw_hydro_bm!C575,"")</f>
        <v>c</v>
      </c>
      <c r="C575">
        <f>IF(ROW(C575)&lt;=Bidding!$D$11,Raw_hydro_bm!D575,"")</f>
        <v>1</v>
      </c>
      <c r="D575">
        <f>IF(ROW(D575)&lt;=Bidding!$D$11,Raw_hydro_bm!E575,"")</f>
        <v>4</v>
      </c>
      <c r="E575">
        <f>IF(ROW(E575)&lt;=Bidding!$D$11,Raw_hydro_bm!F575,"")</f>
        <v>0</v>
      </c>
      <c r="F575">
        <f>IF(ROW(F575)&lt;=Bidding!$D$11,Raw_hydro_bm!G575,"")</f>
        <v>0</v>
      </c>
      <c r="G575">
        <f>IF(ROW(G575)&lt;=Bidding!$D$11,Raw_hydro_bm!H575,"")</f>
        <v>0</v>
      </c>
      <c r="H575" t="str">
        <f>IF(ROW(H575)&lt;=Bidding!$D$11,Raw_hydro_bm!I575,"")</f>
        <v>10.0</v>
      </c>
      <c r="I575" s="16">
        <f t="shared" si="8"/>
        <v>10</v>
      </c>
    </row>
    <row r="576" spans="1:9" x14ac:dyDescent="0.3">
      <c r="A576" t="str">
        <f>IF(ROW(A576)&lt;=Bidding!$D$11,Raw_hydro_bm!B576,"")</f>
        <v>p</v>
      </c>
      <c r="B576" t="str">
        <f>IF(ROW(B576)&lt;=Bidding!$D$11,Raw_hydro_bm!C576,"")</f>
        <v>c</v>
      </c>
      <c r="C576">
        <f>IF(ROW(C576)&lt;=Bidding!$D$11,Raw_hydro_bm!D576,"")</f>
        <v>1</v>
      </c>
      <c r="D576">
        <f>IF(ROW(D576)&lt;=Bidding!$D$11,Raw_hydro_bm!E576,"")</f>
        <v>4</v>
      </c>
      <c r="E576">
        <f>IF(ROW(E576)&lt;=Bidding!$D$11,Raw_hydro_bm!F576,"")</f>
        <v>0</v>
      </c>
      <c r="F576">
        <f>IF(ROW(F576)&lt;=Bidding!$D$11,Raw_hydro_bm!G576,"")</f>
        <v>0</v>
      </c>
      <c r="G576">
        <f>IF(ROW(G576)&lt;=Bidding!$D$11,Raw_hydro_bm!H576,"")</f>
        <v>1</v>
      </c>
      <c r="H576" t="str">
        <f>IF(ROW(H576)&lt;=Bidding!$D$11,Raw_hydro_bm!I576,"")</f>
        <v>0.0</v>
      </c>
      <c r="I576" s="16">
        <f t="shared" si="8"/>
        <v>0</v>
      </c>
    </row>
    <row r="577" spans="1:9" x14ac:dyDescent="0.3">
      <c r="A577" t="str">
        <f>IF(ROW(A577)&lt;=Bidding!$D$11,Raw_hydro_bm!B577,"")</f>
        <v>v</v>
      </c>
      <c r="B577" t="str">
        <f>IF(ROW(B577)&lt;=Bidding!$D$11,Raw_hydro_bm!C577,"")</f>
        <v>c</v>
      </c>
      <c r="C577">
        <f>IF(ROW(C577)&lt;=Bidding!$D$11,Raw_hydro_bm!D577,"")</f>
        <v>1</v>
      </c>
      <c r="D577">
        <f>IF(ROW(D577)&lt;=Bidding!$D$11,Raw_hydro_bm!E577,"")</f>
        <v>4</v>
      </c>
      <c r="E577">
        <f>IF(ROW(E577)&lt;=Bidding!$D$11,Raw_hydro_bm!F577,"")</f>
        <v>0</v>
      </c>
      <c r="F577">
        <f>IF(ROW(F577)&lt;=Bidding!$D$11,Raw_hydro_bm!G577,"")</f>
        <v>0</v>
      </c>
      <c r="G577">
        <f>IF(ROW(G577)&lt;=Bidding!$D$11,Raw_hydro_bm!H577,"")</f>
        <v>1</v>
      </c>
      <c r="H577" t="str">
        <f>IF(ROW(H577)&lt;=Bidding!$D$11,Raw_hydro_bm!I577,"")</f>
        <v>20.0</v>
      </c>
      <c r="I577" s="16">
        <f t="shared" si="8"/>
        <v>20</v>
      </c>
    </row>
    <row r="578" spans="1:9" x14ac:dyDescent="0.3">
      <c r="A578" t="str">
        <f>IF(ROW(A578)&lt;=Bidding!$D$11,Raw_hydro_bm!B578,"")</f>
        <v>p</v>
      </c>
      <c r="B578" t="str">
        <f>IF(ROW(B578)&lt;=Bidding!$D$11,Raw_hydro_bm!C578,"")</f>
        <v>c</v>
      </c>
      <c r="C578">
        <f>IF(ROW(C578)&lt;=Bidding!$D$11,Raw_hydro_bm!D578,"")</f>
        <v>1</v>
      </c>
      <c r="D578">
        <f>IF(ROW(D578)&lt;=Bidding!$D$11,Raw_hydro_bm!E578,"")</f>
        <v>4</v>
      </c>
      <c r="E578">
        <f>IF(ROW(E578)&lt;=Bidding!$D$11,Raw_hydro_bm!F578,"")</f>
        <v>0</v>
      </c>
      <c r="F578">
        <f>IF(ROW(F578)&lt;=Bidding!$D$11,Raw_hydro_bm!G578,"")</f>
        <v>0</v>
      </c>
      <c r="G578">
        <f>IF(ROW(G578)&lt;=Bidding!$D$11,Raw_hydro_bm!H578,"")</f>
        <v>2</v>
      </c>
      <c r="H578" t="str">
        <f>IF(ROW(H578)&lt;=Bidding!$D$11,Raw_hydro_bm!I578,"")</f>
        <v>0.0</v>
      </c>
      <c r="I578" s="16">
        <f t="shared" ref="I578:I641" si="9">IF(IFERROR(FIND("e",H578),-1)&lt;0,IFERROR(_xlfn.NUMBERVALUE(LEFT(H578,FIND(".",H578)-1))+_xlfn.NUMBERVALUE("0,"&amp;RIGHT(H578,LEN(H578)-FIND(".",H578))),""),0)</f>
        <v>0</v>
      </c>
    </row>
    <row r="579" spans="1:9" x14ac:dyDescent="0.3">
      <c r="A579" t="str">
        <f>IF(ROW(A579)&lt;=Bidding!$D$11,Raw_hydro_bm!B579,"")</f>
        <v>v</v>
      </c>
      <c r="B579" t="str">
        <f>IF(ROW(B579)&lt;=Bidding!$D$11,Raw_hydro_bm!C579,"")</f>
        <v>c</v>
      </c>
      <c r="C579">
        <f>IF(ROW(C579)&lt;=Bidding!$D$11,Raw_hydro_bm!D579,"")</f>
        <v>1</v>
      </c>
      <c r="D579">
        <f>IF(ROW(D579)&lt;=Bidding!$D$11,Raw_hydro_bm!E579,"")</f>
        <v>4</v>
      </c>
      <c r="E579">
        <f>IF(ROW(E579)&lt;=Bidding!$D$11,Raw_hydro_bm!F579,"")</f>
        <v>0</v>
      </c>
      <c r="F579">
        <f>IF(ROW(F579)&lt;=Bidding!$D$11,Raw_hydro_bm!G579,"")</f>
        <v>0</v>
      </c>
      <c r="G579">
        <f>IF(ROW(G579)&lt;=Bidding!$D$11,Raw_hydro_bm!H579,"")</f>
        <v>2</v>
      </c>
      <c r="H579" t="str">
        <f>IF(ROW(H579)&lt;=Bidding!$D$11,Raw_hydro_bm!I579,"")</f>
        <v>20.0</v>
      </c>
      <c r="I579" s="16">
        <f t="shared" si="9"/>
        <v>20</v>
      </c>
    </row>
    <row r="580" spans="1:9" x14ac:dyDescent="0.3">
      <c r="A580" t="str">
        <f>IF(ROW(A580)&lt;=Bidding!$D$11,Raw_hydro_bm!B580,"")</f>
        <v>p</v>
      </c>
      <c r="B580" t="str">
        <f>IF(ROW(B580)&lt;=Bidding!$D$11,Raw_hydro_bm!C580,"")</f>
        <v>c</v>
      </c>
      <c r="C580">
        <f>IF(ROW(C580)&lt;=Bidding!$D$11,Raw_hydro_bm!D580,"")</f>
        <v>1</v>
      </c>
      <c r="D580">
        <f>IF(ROW(D580)&lt;=Bidding!$D$11,Raw_hydro_bm!E580,"")</f>
        <v>4</v>
      </c>
      <c r="E580">
        <f>IF(ROW(E580)&lt;=Bidding!$D$11,Raw_hydro_bm!F580,"")</f>
        <v>0</v>
      </c>
      <c r="F580">
        <f>IF(ROW(F580)&lt;=Bidding!$D$11,Raw_hydro_bm!G580,"")</f>
        <v>1</v>
      </c>
      <c r="G580">
        <f>IF(ROW(G580)&lt;=Bidding!$D$11,Raw_hydro_bm!H580,"")</f>
        <v>0</v>
      </c>
      <c r="H580" t="str">
        <f>IF(ROW(H580)&lt;=Bidding!$D$11,Raw_hydro_bm!I580,"")</f>
        <v>0.0</v>
      </c>
      <c r="I580" s="16">
        <f t="shared" si="9"/>
        <v>0</v>
      </c>
    </row>
    <row r="581" spans="1:9" x14ac:dyDescent="0.3">
      <c r="A581" t="str">
        <f>IF(ROW(A581)&lt;=Bidding!$D$11,Raw_hydro_bm!B581,"")</f>
        <v>v</v>
      </c>
      <c r="B581" t="str">
        <f>IF(ROW(B581)&lt;=Bidding!$D$11,Raw_hydro_bm!C581,"")</f>
        <v>c</v>
      </c>
      <c r="C581">
        <f>IF(ROW(C581)&lt;=Bidding!$D$11,Raw_hydro_bm!D581,"")</f>
        <v>1</v>
      </c>
      <c r="D581">
        <f>IF(ROW(D581)&lt;=Bidding!$D$11,Raw_hydro_bm!E581,"")</f>
        <v>4</v>
      </c>
      <c r="E581">
        <f>IF(ROW(E581)&lt;=Bidding!$D$11,Raw_hydro_bm!F581,"")</f>
        <v>0</v>
      </c>
      <c r="F581">
        <f>IF(ROW(F581)&lt;=Bidding!$D$11,Raw_hydro_bm!G581,"")</f>
        <v>1</v>
      </c>
      <c r="G581">
        <f>IF(ROW(G581)&lt;=Bidding!$D$11,Raw_hydro_bm!H581,"")</f>
        <v>0</v>
      </c>
      <c r="H581" t="str">
        <f>IF(ROW(H581)&lt;=Bidding!$D$11,Raw_hydro_bm!I581,"")</f>
        <v>0.0</v>
      </c>
      <c r="I581" s="16">
        <f t="shared" si="9"/>
        <v>0</v>
      </c>
    </row>
    <row r="582" spans="1:9" x14ac:dyDescent="0.3">
      <c r="A582" t="str">
        <f>IF(ROW(A582)&lt;=Bidding!$D$11,Raw_hydro_bm!B582,"")</f>
        <v>p</v>
      </c>
      <c r="B582" t="str">
        <f>IF(ROW(B582)&lt;=Bidding!$D$11,Raw_hydro_bm!C582,"")</f>
        <v>c</v>
      </c>
      <c r="C582">
        <f>IF(ROW(C582)&lt;=Bidding!$D$11,Raw_hydro_bm!D582,"")</f>
        <v>1</v>
      </c>
      <c r="D582">
        <f>IF(ROW(D582)&lt;=Bidding!$D$11,Raw_hydro_bm!E582,"")</f>
        <v>4</v>
      </c>
      <c r="E582">
        <f>IF(ROW(E582)&lt;=Bidding!$D$11,Raw_hydro_bm!F582,"")</f>
        <v>0</v>
      </c>
      <c r="F582">
        <f>IF(ROW(F582)&lt;=Bidding!$D$11,Raw_hydro_bm!G582,"")</f>
        <v>1</v>
      </c>
      <c r="G582">
        <f>IF(ROW(G582)&lt;=Bidding!$D$11,Raw_hydro_bm!H582,"")</f>
        <v>1</v>
      </c>
      <c r="H582" t="str">
        <f>IF(ROW(H582)&lt;=Bidding!$D$11,Raw_hydro_bm!I582,"")</f>
        <v>0.0</v>
      </c>
      <c r="I582" s="16">
        <f t="shared" si="9"/>
        <v>0</v>
      </c>
    </row>
    <row r="583" spans="1:9" x14ac:dyDescent="0.3">
      <c r="A583" t="str">
        <f>IF(ROW(A583)&lt;=Bidding!$D$11,Raw_hydro_bm!B583,"")</f>
        <v>v</v>
      </c>
      <c r="B583" t="str">
        <f>IF(ROW(B583)&lt;=Bidding!$D$11,Raw_hydro_bm!C583,"")</f>
        <v>c</v>
      </c>
      <c r="C583">
        <f>IF(ROW(C583)&lt;=Bidding!$D$11,Raw_hydro_bm!D583,"")</f>
        <v>1</v>
      </c>
      <c r="D583">
        <f>IF(ROW(D583)&lt;=Bidding!$D$11,Raw_hydro_bm!E583,"")</f>
        <v>4</v>
      </c>
      <c r="E583">
        <f>IF(ROW(E583)&lt;=Bidding!$D$11,Raw_hydro_bm!F583,"")</f>
        <v>0</v>
      </c>
      <c r="F583">
        <f>IF(ROW(F583)&lt;=Bidding!$D$11,Raw_hydro_bm!G583,"")</f>
        <v>1</v>
      </c>
      <c r="G583">
        <f>IF(ROW(G583)&lt;=Bidding!$D$11,Raw_hydro_bm!H583,"")</f>
        <v>1</v>
      </c>
      <c r="H583" t="str">
        <f>IF(ROW(H583)&lt;=Bidding!$D$11,Raw_hydro_bm!I583,"")</f>
        <v>0.0</v>
      </c>
      <c r="I583" s="16">
        <f t="shared" si="9"/>
        <v>0</v>
      </c>
    </row>
    <row r="584" spans="1:9" x14ac:dyDescent="0.3">
      <c r="A584" t="str">
        <f>IF(ROW(A584)&lt;=Bidding!$D$11,Raw_hydro_bm!B584,"")</f>
        <v>p</v>
      </c>
      <c r="B584" t="str">
        <f>IF(ROW(B584)&lt;=Bidding!$D$11,Raw_hydro_bm!C584,"")</f>
        <v>c</v>
      </c>
      <c r="C584">
        <f>IF(ROW(C584)&lt;=Bidding!$D$11,Raw_hydro_bm!D584,"")</f>
        <v>1</v>
      </c>
      <c r="D584">
        <f>IF(ROW(D584)&lt;=Bidding!$D$11,Raw_hydro_bm!E584,"")</f>
        <v>4</v>
      </c>
      <c r="E584">
        <f>IF(ROW(E584)&lt;=Bidding!$D$11,Raw_hydro_bm!F584,"")</f>
        <v>0</v>
      </c>
      <c r="F584">
        <f>IF(ROW(F584)&lt;=Bidding!$D$11,Raw_hydro_bm!G584,"")</f>
        <v>1</v>
      </c>
      <c r="G584">
        <f>IF(ROW(G584)&lt;=Bidding!$D$11,Raw_hydro_bm!H584,"")</f>
        <v>2</v>
      </c>
      <c r="H584" t="str">
        <f>IF(ROW(H584)&lt;=Bidding!$D$11,Raw_hydro_bm!I584,"")</f>
        <v>0.0</v>
      </c>
      <c r="I584" s="16">
        <f t="shared" si="9"/>
        <v>0</v>
      </c>
    </row>
    <row r="585" spans="1:9" x14ac:dyDescent="0.3">
      <c r="A585" t="str">
        <f>IF(ROW(A585)&lt;=Bidding!$D$11,Raw_hydro_bm!B585,"")</f>
        <v>v</v>
      </c>
      <c r="B585" t="str">
        <f>IF(ROW(B585)&lt;=Bidding!$D$11,Raw_hydro_bm!C585,"")</f>
        <v>c</v>
      </c>
      <c r="C585">
        <f>IF(ROW(C585)&lt;=Bidding!$D$11,Raw_hydro_bm!D585,"")</f>
        <v>1</v>
      </c>
      <c r="D585">
        <f>IF(ROW(D585)&lt;=Bidding!$D$11,Raw_hydro_bm!E585,"")</f>
        <v>4</v>
      </c>
      <c r="E585">
        <f>IF(ROW(E585)&lt;=Bidding!$D$11,Raw_hydro_bm!F585,"")</f>
        <v>0</v>
      </c>
      <c r="F585">
        <f>IF(ROW(F585)&lt;=Bidding!$D$11,Raw_hydro_bm!G585,"")</f>
        <v>1</v>
      </c>
      <c r="G585">
        <f>IF(ROW(G585)&lt;=Bidding!$D$11,Raw_hydro_bm!H585,"")</f>
        <v>2</v>
      </c>
      <c r="H585" t="str">
        <f>IF(ROW(H585)&lt;=Bidding!$D$11,Raw_hydro_bm!I585,"")</f>
        <v>0.0</v>
      </c>
      <c r="I585" s="16">
        <f t="shared" si="9"/>
        <v>0</v>
      </c>
    </row>
    <row r="586" spans="1:9" x14ac:dyDescent="0.3">
      <c r="A586" t="str">
        <f>IF(ROW(A586)&lt;=Bidding!$D$11,Raw_hydro_bm!B586,"")</f>
        <v>b</v>
      </c>
      <c r="B586" t="str">
        <f>IF(ROW(B586)&lt;=Bidding!$D$11,Raw_hydro_bm!C586,"")</f>
        <v>v</v>
      </c>
      <c r="C586" t="str">
        <f>IF(ROW(C586)&lt;=Bidding!$D$11,Raw_hydro_bm!D586,"")</f>
        <v>X</v>
      </c>
      <c r="D586">
        <f>IF(ROW(D586)&lt;=Bidding!$D$11,Raw_hydro_bm!E586,"")</f>
        <v>1</v>
      </c>
      <c r="E586">
        <f>IF(ROW(E586)&lt;=Bidding!$D$11,Raw_hydro_bm!F586,"")</f>
        <v>4</v>
      </c>
      <c r="F586">
        <f>IF(ROW(F586)&lt;=Bidding!$D$11,Raw_hydro_bm!G586,"")</f>
        <v>1</v>
      </c>
      <c r="G586">
        <f>IF(ROW(G586)&lt;=Bidding!$D$11,Raw_hydro_bm!H586,"")</f>
        <v>0</v>
      </c>
      <c r="H586" t="str">
        <f>IF(ROW(H586)&lt;=Bidding!$D$11,Raw_hydro_bm!I586,"")</f>
        <v>0.0</v>
      </c>
      <c r="I586" s="16">
        <f t="shared" si="9"/>
        <v>0</v>
      </c>
    </row>
    <row r="587" spans="1:9" x14ac:dyDescent="0.3">
      <c r="A587" t="str">
        <f>IF(ROW(A587)&lt;=Bidding!$D$11,Raw_hydro_bm!B587,"")</f>
        <v>b</v>
      </c>
      <c r="B587" t="str">
        <f>IF(ROW(B587)&lt;=Bidding!$D$11,Raw_hydro_bm!C587,"")</f>
        <v>v</v>
      </c>
      <c r="C587" t="str">
        <f>IF(ROW(C587)&lt;=Bidding!$D$11,Raw_hydro_bm!D587,"")</f>
        <v>X</v>
      </c>
      <c r="D587">
        <f>IF(ROW(D587)&lt;=Bidding!$D$11,Raw_hydro_bm!E587,"")</f>
        <v>1</v>
      </c>
      <c r="E587">
        <f>IF(ROW(E587)&lt;=Bidding!$D$11,Raw_hydro_bm!F587,"")</f>
        <v>4</v>
      </c>
      <c r="F587">
        <f>IF(ROW(F587)&lt;=Bidding!$D$11,Raw_hydro_bm!G587,"")</f>
        <v>1</v>
      </c>
      <c r="G587">
        <f>IF(ROW(G587)&lt;=Bidding!$D$11,Raw_hydro_bm!H587,"")</f>
        <v>1</v>
      </c>
      <c r="H587" t="str">
        <f>IF(ROW(H587)&lt;=Bidding!$D$11,Raw_hydro_bm!I587,"")</f>
        <v>0.0</v>
      </c>
      <c r="I587" s="16">
        <f t="shared" si="9"/>
        <v>0</v>
      </c>
    </row>
    <row r="588" spans="1:9" x14ac:dyDescent="0.3">
      <c r="A588" t="str">
        <f>IF(ROW(A588)&lt;=Bidding!$D$11,Raw_hydro_bm!B588,"")</f>
        <v>b</v>
      </c>
      <c r="B588" t="str">
        <f>IF(ROW(B588)&lt;=Bidding!$D$11,Raw_hydro_bm!C588,"")</f>
        <v>v</v>
      </c>
      <c r="C588" t="str">
        <f>IF(ROW(C588)&lt;=Bidding!$D$11,Raw_hydro_bm!D588,"")</f>
        <v>X</v>
      </c>
      <c r="D588">
        <f>IF(ROW(D588)&lt;=Bidding!$D$11,Raw_hydro_bm!E588,"")</f>
        <v>1</v>
      </c>
      <c r="E588">
        <f>IF(ROW(E588)&lt;=Bidding!$D$11,Raw_hydro_bm!F588,"")</f>
        <v>4</v>
      </c>
      <c r="F588">
        <f>IF(ROW(F588)&lt;=Bidding!$D$11,Raw_hydro_bm!G588,"")</f>
        <v>1</v>
      </c>
      <c r="G588">
        <f>IF(ROW(G588)&lt;=Bidding!$D$11,Raw_hydro_bm!H588,"")</f>
        <v>2</v>
      </c>
      <c r="H588" t="str">
        <f>IF(ROW(H588)&lt;=Bidding!$D$11,Raw_hydro_bm!I588,"")</f>
        <v>60.0</v>
      </c>
      <c r="I588" s="16">
        <f t="shared" si="9"/>
        <v>60</v>
      </c>
    </row>
    <row r="589" spans="1:9" x14ac:dyDescent="0.3">
      <c r="A589" t="str">
        <f>IF(ROW(A589)&lt;=Bidding!$D$11,Raw_hydro_bm!B589,"")</f>
        <v>p</v>
      </c>
      <c r="B589" t="str">
        <f>IF(ROW(B589)&lt;=Bidding!$D$11,Raw_hydro_bm!C589,"")</f>
        <v>c</v>
      </c>
      <c r="C589">
        <f>IF(ROW(C589)&lt;=Bidding!$D$11,Raw_hydro_bm!D589,"")</f>
        <v>1</v>
      </c>
      <c r="D589">
        <f>IF(ROW(D589)&lt;=Bidding!$D$11,Raw_hydro_bm!E589,"")</f>
        <v>4</v>
      </c>
      <c r="E589">
        <f>IF(ROW(E589)&lt;=Bidding!$D$11,Raw_hydro_bm!F589,"")</f>
        <v>1</v>
      </c>
      <c r="F589">
        <f>IF(ROW(F589)&lt;=Bidding!$D$11,Raw_hydro_bm!G589,"")</f>
        <v>0</v>
      </c>
      <c r="G589">
        <f>IF(ROW(G589)&lt;=Bidding!$D$11,Raw_hydro_bm!H589,"")</f>
        <v>0</v>
      </c>
      <c r="H589" t="str">
        <f>IF(ROW(H589)&lt;=Bidding!$D$11,Raw_hydro_bm!I589,"")</f>
        <v>0.0</v>
      </c>
      <c r="I589" s="16">
        <f t="shared" si="9"/>
        <v>0</v>
      </c>
    </row>
    <row r="590" spans="1:9" x14ac:dyDescent="0.3">
      <c r="A590" t="str">
        <f>IF(ROW(A590)&lt;=Bidding!$D$11,Raw_hydro_bm!B590,"")</f>
        <v>v</v>
      </c>
      <c r="B590" t="str">
        <f>IF(ROW(B590)&lt;=Bidding!$D$11,Raw_hydro_bm!C590,"")</f>
        <v>c</v>
      </c>
      <c r="C590">
        <f>IF(ROW(C590)&lt;=Bidding!$D$11,Raw_hydro_bm!D590,"")</f>
        <v>1</v>
      </c>
      <c r="D590">
        <f>IF(ROW(D590)&lt;=Bidding!$D$11,Raw_hydro_bm!E590,"")</f>
        <v>4</v>
      </c>
      <c r="E590">
        <f>IF(ROW(E590)&lt;=Bidding!$D$11,Raw_hydro_bm!F590,"")</f>
        <v>1</v>
      </c>
      <c r="F590">
        <f>IF(ROW(F590)&lt;=Bidding!$D$11,Raw_hydro_bm!G590,"")</f>
        <v>0</v>
      </c>
      <c r="G590">
        <f>IF(ROW(G590)&lt;=Bidding!$D$11,Raw_hydro_bm!H590,"")</f>
        <v>0</v>
      </c>
      <c r="H590" t="str">
        <f>IF(ROW(H590)&lt;=Bidding!$D$11,Raw_hydro_bm!I590,"")</f>
        <v>0.0</v>
      </c>
      <c r="I590" s="16">
        <f t="shared" si="9"/>
        <v>0</v>
      </c>
    </row>
    <row r="591" spans="1:9" x14ac:dyDescent="0.3">
      <c r="A591" t="str">
        <f>IF(ROW(A591)&lt;=Bidding!$D$11,Raw_hydro_bm!B591,"")</f>
        <v>p</v>
      </c>
      <c r="B591" t="str">
        <f>IF(ROW(B591)&lt;=Bidding!$D$11,Raw_hydro_bm!C591,"")</f>
        <v>c</v>
      </c>
      <c r="C591">
        <f>IF(ROW(C591)&lt;=Bidding!$D$11,Raw_hydro_bm!D591,"")</f>
        <v>1</v>
      </c>
      <c r="D591">
        <f>IF(ROW(D591)&lt;=Bidding!$D$11,Raw_hydro_bm!E591,"")</f>
        <v>4</v>
      </c>
      <c r="E591">
        <f>IF(ROW(E591)&lt;=Bidding!$D$11,Raw_hydro_bm!F591,"")</f>
        <v>1</v>
      </c>
      <c r="F591">
        <f>IF(ROW(F591)&lt;=Bidding!$D$11,Raw_hydro_bm!G591,"")</f>
        <v>0</v>
      </c>
      <c r="G591">
        <f>IF(ROW(G591)&lt;=Bidding!$D$11,Raw_hydro_bm!H591,"")</f>
        <v>1</v>
      </c>
      <c r="H591" t="str">
        <f>IF(ROW(H591)&lt;=Bidding!$D$11,Raw_hydro_bm!I591,"")</f>
        <v>0.0</v>
      </c>
      <c r="I591" s="16">
        <f t="shared" si="9"/>
        <v>0</v>
      </c>
    </row>
    <row r="592" spans="1:9" x14ac:dyDescent="0.3">
      <c r="A592" t="str">
        <f>IF(ROW(A592)&lt;=Bidding!$D$11,Raw_hydro_bm!B592,"")</f>
        <v>v</v>
      </c>
      <c r="B592" t="str">
        <f>IF(ROW(B592)&lt;=Bidding!$D$11,Raw_hydro_bm!C592,"")</f>
        <v>c</v>
      </c>
      <c r="C592">
        <f>IF(ROW(C592)&lt;=Bidding!$D$11,Raw_hydro_bm!D592,"")</f>
        <v>1</v>
      </c>
      <c r="D592">
        <f>IF(ROW(D592)&lt;=Bidding!$D$11,Raw_hydro_bm!E592,"")</f>
        <v>4</v>
      </c>
      <c r="E592">
        <f>IF(ROW(E592)&lt;=Bidding!$D$11,Raw_hydro_bm!F592,"")</f>
        <v>1</v>
      </c>
      <c r="F592">
        <f>IF(ROW(F592)&lt;=Bidding!$D$11,Raw_hydro_bm!G592,"")</f>
        <v>0</v>
      </c>
      <c r="G592">
        <f>IF(ROW(G592)&lt;=Bidding!$D$11,Raw_hydro_bm!H592,"")</f>
        <v>1</v>
      </c>
      <c r="H592" t="str">
        <f>IF(ROW(H592)&lt;=Bidding!$D$11,Raw_hydro_bm!I592,"")</f>
        <v>0.0</v>
      </c>
      <c r="I592" s="16">
        <f t="shared" si="9"/>
        <v>0</v>
      </c>
    </row>
    <row r="593" spans="1:9" x14ac:dyDescent="0.3">
      <c r="A593" t="str">
        <f>IF(ROW(A593)&lt;=Bidding!$D$11,Raw_hydro_bm!B593,"")</f>
        <v>p</v>
      </c>
      <c r="B593" t="str">
        <f>IF(ROW(B593)&lt;=Bidding!$D$11,Raw_hydro_bm!C593,"")</f>
        <v>c</v>
      </c>
      <c r="C593">
        <f>IF(ROW(C593)&lt;=Bidding!$D$11,Raw_hydro_bm!D593,"")</f>
        <v>1</v>
      </c>
      <c r="D593">
        <f>IF(ROW(D593)&lt;=Bidding!$D$11,Raw_hydro_bm!E593,"")</f>
        <v>4</v>
      </c>
      <c r="E593">
        <f>IF(ROW(E593)&lt;=Bidding!$D$11,Raw_hydro_bm!F593,"")</f>
        <v>1</v>
      </c>
      <c r="F593">
        <f>IF(ROW(F593)&lt;=Bidding!$D$11,Raw_hydro_bm!G593,"")</f>
        <v>0</v>
      </c>
      <c r="G593">
        <f>IF(ROW(G593)&lt;=Bidding!$D$11,Raw_hydro_bm!H593,"")</f>
        <v>2</v>
      </c>
      <c r="H593" t="str">
        <f>IF(ROW(H593)&lt;=Bidding!$D$11,Raw_hydro_bm!I593,"")</f>
        <v>0.0</v>
      </c>
      <c r="I593" s="16">
        <f t="shared" si="9"/>
        <v>0</v>
      </c>
    </row>
    <row r="594" spans="1:9" x14ac:dyDescent="0.3">
      <c r="A594" t="str">
        <f>IF(ROW(A594)&lt;=Bidding!$D$11,Raw_hydro_bm!B594,"")</f>
        <v>v</v>
      </c>
      <c r="B594" t="str">
        <f>IF(ROW(B594)&lt;=Bidding!$D$11,Raw_hydro_bm!C594,"")</f>
        <v>c</v>
      </c>
      <c r="C594">
        <f>IF(ROW(C594)&lt;=Bidding!$D$11,Raw_hydro_bm!D594,"")</f>
        <v>1</v>
      </c>
      <c r="D594">
        <f>IF(ROW(D594)&lt;=Bidding!$D$11,Raw_hydro_bm!E594,"")</f>
        <v>4</v>
      </c>
      <c r="E594">
        <f>IF(ROW(E594)&lt;=Bidding!$D$11,Raw_hydro_bm!F594,"")</f>
        <v>1</v>
      </c>
      <c r="F594">
        <f>IF(ROW(F594)&lt;=Bidding!$D$11,Raw_hydro_bm!G594,"")</f>
        <v>0</v>
      </c>
      <c r="G594">
        <f>IF(ROW(G594)&lt;=Bidding!$D$11,Raw_hydro_bm!H594,"")</f>
        <v>2</v>
      </c>
      <c r="H594" t="str">
        <f>IF(ROW(H594)&lt;=Bidding!$D$11,Raw_hydro_bm!I594,"")</f>
        <v>0.0</v>
      </c>
      <c r="I594" s="16">
        <f t="shared" si="9"/>
        <v>0</v>
      </c>
    </row>
    <row r="595" spans="1:9" x14ac:dyDescent="0.3">
      <c r="A595" t="str">
        <f>IF(ROW(A595)&lt;=Bidding!$D$11,Raw_hydro_bm!B595,"")</f>
        <v>p</v>
      </c>
      <c r="B595" t="str">
        <f>IF(ROW(B595)&lt;=Bidding!$D$11,Raw_hydro_bm!C595,"")</f>
        <v>c</v>
      </c>
      <c r="C595">
        <f>IF(ROW(C595)&lt;=Bidding!$D$11,Raw_hydro_bm!D595,"")</f>
        <v>1</v>
      </c>
      <c r="D595">
        <f>IF(ROW(D595)&lt;=Bidding!$D$11,Raw_hydro_bm!E595,"")</f>
        <v>4</v>
      </c>
      <c r="E595">
        <f>IF(ROW(E595)&lt;=Bidding!$D$11,Raw_hydro_bm!F595,"")</f>
        <v>1</v>
      </c>
      <c r="F595">
        <f>IF(ROW(F595)&lt;=Bidding!$D$11,Raw_hydro_bm!G595,"")</f>
        <v>1</v>
      </c>
      <c r="G595">
        <f>IF(ROW(G595)&lt;=Bidding!$D$11,Raw_hydro_bm!H595,"")</f>
        <v>0</v>
      </c>
      <c r="H595" t="str">
        <f>IF(ROW(H595)&lt;=Bidding!$D$11,Raw_hydro_bm!I595,"")</f>
        <v>0.0</v>
      </c>
      <c r="I595" s="16">
        <f t="shared" si="9"/>
        <v>0</v>
      </c>
    </row>
    <row r="596" spans="1:9" x14ac:dyDescent="0.3">
      <c r="A596" t="str">
        <f>IF(ROW(A596)&lt;=Bidding!$D$11,Raw_hydro_bm!B596,"")</f>
        <v>v</v>
      </c>
      <c r="B596" t="str">
        <f>IF(ROW(B596)&lt;=Bidding!$D$11,Raw_hydro_bm!C596,"")</f>
        <v>c</v>
      </c>
      <c r="C596">
        <f>IF(ROW(C596)&lt;=Bidding!$D$11,Raw_hydro_bm!D596,"")</f>
        <v>1</v>
      </c>
      <c r="D596">
        <f>IF(ROW(D596)&lt;=Bidding!$D$11,Raw_hydro_bm!E596,"")</f>
        <v>4</v>
      </c>
      <c r="E596">
        <f>IF(ROW(E596)&lt;=Bidding!$D$11,Raw_hydro_bm!F596,"")</f>
        <v>1</v>
      </c>
      <c r="F596">
        <f>IF(ROW(F596)&lt;=Bidding!$D$11,Raw_hydro_bm!G596,"")</f>
        <v>1</v>
      </c>
      <c r="G596">
        <f>IF(ROW(G596)&lt;=Bidding!$D$11,Raw_hydro_bm!H596,"")</f>
        <v>0</v>
      </c>
      <c r="H596" t="str">
        <f>IF(ROW(H596)&lt;=Bidding!$D$11,Raw_hydro_bm!I596,"")</f>
        <v>10.0</v>
      </c>
      <c r="I596" s="16">
        <f t="shared" si="9"/>
        <v>10</v>
      </c>
    </row>
    <row r="597" spans="1:9" x14ac:dyDescent="0.3">
      <c r="A597" t="str">
        <f>IF(ROW(A597)&lt;=Bidding!$D$11,Raw_hydro_bm!B597,"")</f>
        <v>p</v>
      </c>
      <c r="B597" t="str">
        <f>IF(ROW(B597)&lt;=Bidding!$D$11,Raw_hydro_bm!C597,"")</f>
        <v>c</v>
      </c>
      <c r="C597">
        <f>IF(ROW(C597)&lt;=Bidding!$D$11,Raw_hydro_bm!D597,"")</f>
        <v>1</v>
      </c>
      <c r="D597">
        <f>IF(ROW(D597)&lt;=Bidding!$D$11,Raw_hydro_bm!E597,"")</f>
        <v>4</v>
      </c>
      <c r="E597">
        <f>IF(ROW(E597)&lt;=Bidding!$D$11,Raw_hydro_bm!F597,"")</f>
        <v>1</v>
      </c>
      <c r="F597">
        <f>IF(ROW(F597)&lt;=Bidding!$D$11,Raw_hydro_bm!G597,"")</f>
        <v>1</v>
      </c>
      <c r="G597">
        <f>IF(ROW(G597)&lt;=Bidding!$D$11,Raw_hydro_bm!H597,"")</f>
        <v>1</v>
      </c>
      <c r="H597" t="str">
        <f>IF(ROW(H597)&lt;=Bidding!$D$11,Raw_hydro_bm!I597,"")</f>
        <v>0.0</v>
      </c>
      <c r="I597" s="16">
        <f t="shared" si="9"/>
        <v>0</v>
      </c>
    </row>
    <row r="598" spans="1:9" x14ac:dyDescent="0.3">
      <c r="A598" t="str">
        <f>IF(ROW(A598)&lt;=Bidding!$D$11,Raw_hydro_bm!B598,"")</f>
        <v>v</v>
      </c>
      <c r="B598" t="str">
        <f>IF(ROW(B598)&lt;=Bidding!$D$11,Raw_hydro_bm!C598,"")</f>
        <v>c</v>
      </c>
      <c r="C598">
        <f>IF(ROW(C598)&lt;=Bidding!$D$11,Raw_hydro_bm!D598,"")</f>
        <v>1</v>
      </c>
      <c r="D598">
        <f>IF(ROW(D598)&lt;=Bidding!$D$11,Raw_hydro_bm!E598,"")</f>
        <v>4</v>
      </c>
      <c r="E598">
        <f>IF(ROW(E598)&lt;=Bidding!$D$11,Raw_hydro_bm!F598,"")</f>
        <v>1</v>
      </c>
      <c r="F598">
        <f>IF(ROW(F598)&lt;=Bidding!$D$11,Raw_hydro_bm!G598,"")</f>
        <v>1</v>
      </c>
      <c r="G598">
        <f>IF(ROW(G598)&lt;=Bidding!$D$11,Raw_hydro_bm!H598,"")</f>
        <v>1</v>
      </c>
      <c r="H598" t="str">
        <f>IF(ROW(H598)&lt;=Bidding!$D$11,Raw_hydro_bm!I598,"")</f>
        <v>30.0</v>
      </c>
      <c r="I598" s="16">
        <f t="shared" si="9"/>
        <v>30</v>
      </c>
    </row>
    <row r="599" spans="1:9" x14ac:dyDescent="0.3">
      <c r="A599" t="str">
        <f>IF(ROW(A599)&lt;=Bidding!$D$11,Raw_hydro_bm!B599,"")</f>
        <v>p</v>
      </c>
      <c r="B599" t="str">
        <f>IF(ROW(B599)&lt;=Bidding!$D$11,Raw_hydro_bm!C599,"")</f>
        <v>c</v>
      </c>
      <c r="C599">
        <f>IF(ROW(C599)&lt;=Bidding!$D$11,Raw_hydro_bm!D599,"")</f>
        <v>1</v>
      </c>
      <c r="D599">
        <f>IF(ROW(D599)&lt;=Bidding!$D$11,Raw_hydro_bm!E599,"")</f>
        <v>4</v>
      </c>
      <c r="E599">
        <f>IF(ROW(E599)&lt;=Bidding!$D$11,Raw_hydro_bm!F599,"")</f>
        <v>1</v>
      </c>
      <c r="F599">
        <f>IF(ROW(F599)&lt;=Bidding!$D$11,Raw_hydro_bm!G599,"")</f>
        <v>1</v>
      </c>
      <c r="G599">
        <f>IF(ROW(G599)&lt;=Bidding!$D$11,Raw_hydro_bm!H599,"")</f>
        <v>2</v>
      </c>
      <c r="H599" t="str">
        <f>IF(ROW(H599)&lt;=Bidding!$D$11,Raw_hydro_bm!I599,"")</f>
        <v>0.0</v>
      </c>
      <c r="I599" s="16">
        <f t="shared" si="9"/>
        <v>0</v>
      </c>
    </row>
    <row r="600" spans="1:9" x14ac:dyDescent="0.3">
      <c r="A600" t="str">
        <f>IF(ROW(A600)&lt;=Bidding!$D$11,Raw_hydro_bm!B600,"")</f>
        <v>v</v>
      </c>
      <c r="B600" t="str">
        <f>IF(ROW(B600)&lt;=Bidding!$D$11,Raw_hydro_bm!C600,"")</f>
        <v>c</v>
      </c>
      <c r="C600">
        <f>IF(ROW(C600)&lt;=Bidding!$D$11,Raw_hydro_bm!D600,"")</f>
        <v>1</v>
      </c>
      <c r="D600">
        <f>IF(ROW(D600)&lt;=Bidding!$D$11,Raw_hydro_bm!E600,"")</f>
        <v>4</v>
      </c>
      <c r="E600">
        <f>IF(ROW(E600)&lt;=Bidding!$D$11,Raw_hydro_bm!F600,"")</f>
        <v>1</v>
      </c>
      <c r="F600">
        <f>IF(ROW(F600)&lt;=Bidding!$D$11,Raw_hydro_bm!G600,"")</f>
        <v>1</v>
      </c>
      <c r="G600">
        <f>IF(ROW(G600)&lt;=Bidding!$D$11,Raw_hydro_bm!H600,"")</f>
        <v>2</v>
      </c>
      <c r="H600" t="str">
        <f>IF(ROW(H600)&lt;=Bidding!$D$11,Raw_hydro_bm!I600,"")</f>
        <v>20.0</v>
      </c>
      <c r="I600" s="16">
        <f t="shared" si="9"/>
        <v>20</v>
      </c>
    </row>
    <row r="601" spans="1:9" x14ac:dyDescent="0.3">
      <c r="A601" t="str">
        <f>IF(ROW(A601)&lt;=Bidding!$D$11,Raw_hydro_bm!B601,"")</f>
        <v>b</v>
      </c>
      <c r="B601" t="str">
        <f>IF(ROW(B601)&lt;=Bidding!$D$11,Raw_hydro_bm!C601,"")</f>
        <v>v</v>
      </c>
      <c r="C601" t="str">
        <f>IF(ROW(C601)&lt;=Bidding!$D$11,Raw_hydro_bm!D601,"")</f>
        <v>X</v>
      </c>
      <c r="D601">
        <f>IF(ROW(D601)&lt;=Bidding!$D$11,Raw_hydro_bm!E601,"")</f>
        <v>1</v>
      </c>
      <c r="E601">
        <f>IF(ROW(E601)&lt;=Bidding!$D$11,Raw_hydro_bm!F601,"")</f>
        <v>5</v>
      </c>
      <c r="F601">
        <f>IF(ROW(F601)&lt;=Bidding!$D$11,Raw_hydro_bm!G601,"")</f>
        <v>0</v>
      </c>
      <c r="G601">
        <f>IF(ROW(G601)&lt;=Bidding!$D$11,Raw_hydro_bm!H601,"")</f>
        <v>0</v>
      </c>
      <c r="H601" t="str">
        <f>IF(ROW(H601)&lt;=Bidding!$D$11,Raw_hydro_bm!I601,"")</f>
        <v>0.0</v>
      </c>
      <c r="I601" s="16">
        <f t="shared" si="9"/>
        <v>0</v>
      </c>
    </row>
    <row r="602" spans="1:9" x14ac:dyDescent="0.3">
      <c r="A602" t="str">
        <f>IF(ROW(A602)&lt;=Bidding!$D$11,Raw_hydro_bm!B602,"")</f>
        <v>b</v>
      </c>
      <c r="B602" t="str">
        <f>IF(ROW(B602)&lt;=Bidding!$D$11,Raw_hydro_bm!C602,"")</f>
        <v>v</v>
      </c>
      <c r="C602" t="str">
        <f>IF(ROW(C602)&lt;=Bidding!$D$11,Raw_hydro_bm!D602,"")</f>
        <v>X</v>
      </c>
      <c r="D602">
        <f>IF(ROW(D602)&lt;=Bidding!$D$11,Raw_hydro_bm!E602,"")</f>
        <v>1</v>
      </c>
      <c r="E602">
        <f>IF(ROW(E602)&lt;=Bidding!$D$11,Raw_hydro_bm!F602,"")</f>
        <v>5</v>
      </c>
      <c r="F602">
        <f>IF(ROW(F602)&lt;=Bidding!$D$11,Raw_hydro_bm!G602,"")</f>
        <v>0</v>
      </c>
      <c r="G602">
        <f>IF(ROW(G602)&lt;=Bidding!$D$11,Raw_hydro_bm!H602,"")</f>
        <v>1</v>
      </c>
      <c r="H602" t="str">
        <f>IF(ROW(H602)&lt;=Bidding!$D$11,Raw_hydro_bm!I602,"")</f>
        <v>0.0</v>
      </c>
      <c r="I602" s="16">
        <f t="shared" si="9"/>
        <v>0</v>
      </c>
    </row>
    <row r="603" spans="1:9" x14ac:dyDescent="0.3">
      <c r="A603" t="str">
        <f>IF(ROW(A603)&lt;=Bidding!$D$11,Raw_hydro_bm!B603,"")</f>
        <v>b</v>
      </c>
      <c r="B603" t="str">
        <f>IF(ROW(B603)&lt;=Bidding!$D$11,Raw_hydro_bm!C603,"")</f>
        <v>v</v>
      </c>
      <c r="C603" t="str">
        <f>IF(ROW(C603)&lt;=Bidding!$D$11,Raw_hydro_bm!D603,"")</f>
        <v>X</v>
      </c>
      <c r="D603">
        <f>IF(ROW(D603)&lt;=Bidding!$D$11,Raw_hydro_bm!E603,"")</f>
        <v>1</v>
      </c>
      <c r="E603">
        <f>IF(ROW(E603)&lt;=Bidding!$D$11,Raw_hydro_bm!F603,"")</f>
        <v>5</v>
      </c>
      <c r="F603">
        <f>IF(ROW(F603)&lt;=Bidding!$D$11,Raw_hydro_bm!G603,"")</f>
        <v>0</v>
      </c>
      <c r="G603">
        <f>IF(ROW(G603)&lt;=Bidding!$D$11,Raw_hydro_bm!H603,"")</f>
        <v>2</v>
      </c>
      <c r="H603" t="str">
        <f>IF(ROW(H603)&lt;=Bidding!$D$11,Raw_hydro_bm!I603,"")</f>
        <v>60.0</v>
      </c>
      <c r="I603" s="16">
        <f t="shared" si="9"/>
        <v>60</v>
      </c>
    </row>
    <row r="604" spans="1:9" x14ac:dyDescent="0.3">
      <c r="A604" t="str">
        <f>IF(ROW(A604)&lt;=Bidding!$D$11,Raw_hydro_bm!B604,"")</f>
        <v>p</v>
      </c>
      <c r="B604" t="str">
        <f>IF(ROW(B604)&lt;=Bidding!$D$11,Raw_hydro_bm!C604,"")</f>
        <v>c</v>
      </c>
      <c r="C604">
        <f>IF(ROW(C604)&lt;=Bidding!$D$11,Raw_hydro_bm!D604,"")</f>
        <v>1</v>
      </c>
      <c r="D604">
        <f>IF(ROW(D604)&lt;=Bidding!$D$11,Raw_hydro_bm!E604,"")</f>
        <v>5</v>
      </c>
      <c r="E604">
        <f>IF(ROW(E604)&lt;=Bidding!$D$11,Raw_hydro_bm!F604,"")</f>
        <v>0</v>
      </c>
      <c r="F604">
        <f>IF(ROW(F604)&lt;=Bidding!$D$11,Raw_hydro_bm!G604,"")</f>
        <v>0</v>
      </c>
      <c r="G604">
        <f>IF(ROW(G604)&lt;=Bidding!$D$11,Raw_hydro_bm!H604,"")</f>
        <v>0</v>
      </c>
      <c r="H604" t="str">
        <f>IF(ROW(H604)&lt;=Bidding!$D$11,Raw_hydro_bm!I604,"")</f>
        <v>0.0</v>
      </c>
      <c r="I604" s="16">
        <f t="shared" si="9"/>
        <v>0</v>
      </c>
    </row>
    <row r="605" spans="1:9" x14ac:dyDescent="0.3">
      <c r="A605" t="str">
        <f>IF(ROW(A605)&lt;=Bidding!$D$11,Raw_hydro_bm!B605,"")</f>
        <v>v</v>
      </c>
      <c r="B605" t="str">
        <f>IF(ROW(B605)&lt;=Bidding!$D$11,Raw_hydro_bm!C605,"")</f>
        <v>c</v>
      </c>
      <c r="C605">
        <f>IF(ROW(C605)&lt;=Bidding!$D$11,Raw_hydro_bm!D605,"")</f>
        <v>1</v>
      </c>
      <c r="D605">
        <f>IF(ROW(D605)&lt;=Bidding!$D$11,Raw_hydro_bm!E605,"")</f>
        <v>5</v>
      </c>
      <c r="E605">
        <f>IF(ROW(E605)&lt;=Bidding!$D$11,Raw_hydro_bm!F605,"")</f>
        <v>0</v>
      </c>
      <c r="F605">
        <f>IF(ROW(F605)&lt;=Bidding!$D$11,Raw_hydro_bm!G605,"")</f>
        <v>0</v>
      </c>
      <c r="G605">
        <f>IF(ROW(G605)&lt;=Bidding!$D$11,Raw_hydro_bm!H605,"")</f>
        <v>0</v>
      </c>
      <c r="H605" t="str">
        <f>IF(ROW(H605)&lt;=Bidding!$D$11,Raw_hydro_bm!I605,"")</f>
        <v>10.0</v>
      </c>
      <c r="I605" s="16">
        <f t="shared" si="9"/>
        <v>10</v>
      </c>
    </row>
    <row r="606" spans="1:9" x14ac:dyDescent="0.3">
      <c r="A606" t="str">
        <f>IF(ROW(A606)&lt;=Bidding!$D$11,Raw_hydro_bm!B606,"")</f>
        <v>p</v>
      </c>
      <c r="B606" t="str">
        <f>IF(ROW(B606)&lt;=Bidding!$D$11,Raw_hydro_bm!C606,"")</f>
        <v>c</v>
      </c>
      <c r="C606">
        <f>IF(ROW(C606)&lt;=Bidding!$D$11,Raw_hydro_bm!D606,"")</f>
        <v>1</v>
      </c>
      <c r="D606">
        <f>IF(ROW(D606)&lt;=Bidding!$D$11,Raw_hydro_bm!E606,"")</f>
        <v>5</v>
      </c>
      <c r="E606">
        <f>IF(ROW(E606)&lt;=Bidding!$D$11,Raw_hydro_bm!F606,"")</f>
        <v>0</v>
      </c>
      <c r="F606">
        <f>IF(ROW(F606)&lt;=Bidding!$D$11,Raw_hydro_bm!G606,"")</f>
        <v>0</v>
      </c>
      <c r="G606">
        <f>IF(ROW(G606)&lt;=Bidding!$D$11,Raw_hydro_bm!H606,"")</f>
        <v>1</v>
      </c>
      <c r="H606" t="str">
        <f>IF(ROW(H606)&lt;=Bidding!$D$11,Raw_hydro_bm!I606,"")</f>
        <v>0.0</v>
      </c>
      <c r="I606" s="16">
        <f t="shared" si="9"/>
        <v>0</v>
      </c>
    </row>
    <row r="607" spans="1:9" x14ac:dyDescent="0.3">
      <c r="A607" t="str">
        <f>IF(ROW(A607)&lt;=Bidding!$D$11,Raw_hydro_bm!B607,"")</f>
        <v>v</v>
      </c>
      <c r="B607" t="str">
        <f>IF(ROW(B607)&lt;=Bidding!$D$11,Raw_hydro_bm!C607,"")</f>
        <v>c</v>
      </c>
      <c r="C607">
        <f>IF(ROW(C607)&lt;=Bidding!$D$11,Raw_hydro_bm!D607,"")</f>
        <v>1</v>
      </c>
      <c r="D607">
        <f>IF(ROW(D607)&lt;=Bidding!$D$11,Raw_hydro_bm!E607,"")</f>
        <v>5</v>
      </c>
      <c r="E607">
        <f>IF(ROW(E607)&lt;=Bidding!$D$11,Raw_hydro_bm!F607,"")</f>
        <v>0</v>
      </c>
      <c r="F607">
        <f>IF(ROW(F607)&lt;=Bidding!$D$11,Raw_hydro_bm!G607,"")</f>
        <v>0</v>
      </c>
      <c r="G607">
        <f>IF(ROW(G607)&lt;=Bidding!$D$11,Raw_hydro_bm!H607,"")</f>
        <v>1</v>
      </c>
      <c r="H607" t="str">
        <f>IF(ROW(H607)&lt;=Bidding!$D$11,Raw_hydro_bm!I607,"")</f>
        <v>30.0</v>
      </c>
      <c r="I607" s="16">
        <f t="shared" si="9"/>
        <v>30</v>
      </c>
    </row>
    <row r="608" spans="1:9" x14ac:dyDescent="0.3">
      <c r="A608" t="str">
        <f>IF(ROW(A608)&lt;=Bidding!$D$11,Raw_hydro_bm!B608,"")</f>
        <v>p</v>
      </c>
      <c r="B608" t="str">
        <f>IF(ROW(B608)&lt;=Bidding!$D$11,Raw_hydro_bm!C608,"")</f>
        <v>c</v>
      </c>
      <c r="C608">
        <f>IF(ROW(C608)&lt;=Bidding!$D$11,Raw_hydro_bm!D608,"")</f>
        <v>1</v>
      </c>
      <c r="D608">
        <f>IF(ROW(D608)&lt;=Bidding!$D$11,Raw_hydro_bm!E608,"")</f>
        <v>5</v>
      </c>
      <c r="E608">
        <f>IF(ROW(E608)&lt;=Bidding!$D$11,Raw_hydro_bm!F608,"")</f>
        <v>0</v>
      </c>
      <c r="F608">
        <f>IF(ROW(F608)&lt;=Bidding!$D$11,Raw_hydro_bm!G608,"")</f>
        <v>0</v>
      </c>
      <c r="G608">
        <f>IF(ROW(G608)&lt;=Bidding!$D$11,Raw_hydro_bm!H608,"")</f>
        <v>2</v>
      </c>
      <c r="H608" t="str">
        <f>IF(ROW(H608)&lt;=Bidding!$D$11,Raw_hydro_bm!I608,"")</f>
        <v>0.0</v>
      </c>
      <c r="I608" s="16">
        <f t="shared" si="9"/>
        <v>0</v>
      </c>
    </row>
    <row r="609" spans="1:9" x14ac:dyDescent="0.3">
      <c r="A609" t="str">
        <f>IF(ROW(A609)&lt;=Bidding!$D$11,Raw_hydro_bm!B609,"")</f>
        <v>v</v>
      </c>
      <c r="B609" t="str">
        <f>IF(ROW(B609)&lt;=Bidding!$D$11,Raw_hydro_bm!C609,"")</f>
        <v>c</v>
      </c>
      <c r="C609">
        <f>IF(ROW(C609)&lt;=Bidding!$D$11,Raw_hydro_bm!D609,"")</f>
        <v>1</v>
      </c>
      <c r="D609">
        <f>IF(ROW(D609)&lt;=Bidding!$D$11,Raw_hydro_bm!E609,"")</f>
        <v>5</v>
      </c>
      <c r="E609">
        <f>IF(ROW(E609)&lt;=Bidding!$D$11,Raw_hydro_bm!F609,"")</f>
        <v>0</v>
      </c>
      <c r="F609">
        <f>IF(ROW(F609)&lt;=Bidding!$D$11,Raw_hydro_bm!G609,"")</f>
        <v>0</v>
      </c>
      <c r="G609">
        <f>IF(ROW(G609)&lt;=Bidding!$D$11,Raw_hydro_bm!H609,"")</f>
        <v>2</v>
      </c>
      <c r="H609" t="str">
        <f>IF(ROW(H609)&lt;=Bidding!$D$11,Raw_hydro_bm!I609,"")</f>
        <v>20.0</v>
      </c>
      <c r="I609" s="16">
        <f t="shared" si="9"/>
        <v>20</v>
      </c>
    </row>
    <row r="610" spans="1:9" x14ac:dyDescent="0.3">
      <c r="A610" t="str">
        <f>IF(ROW(A610)&lt;=Bidding!$D$11,Raw_hydro_bm!B610,"")</f>
        <v>p</v>
      </c>
      <c r="B610" t="str">
        <f>IF(ROW(B610)&lt;=Bidding!$D$11,Raw_hydro_bm!C610,"")</f>
        <v>c</v>
      </c>
      <c r="C610">
        <f>IF(ROW(C610)&lt;=Bidding!$D$11,Raw_hydro_bm!D610,"")</f>
        <v>1</v>
      </c>
      <c r="D610">
        <f>IF(ROW(D610)&lt;=Bidding!$D$11,Raw_hydro_bm!E610,"")</f>
        <v>5</v>
      </c>
      <c r="E610">
        <f>IF(ROW(E610)&lt;=Bidding!$D$11,Raw_hydro_bm!F610,"")</f>
        <v>0</v>
      </c>
      <c r="F610">
        <f>IF(ROW(F610)&lt;=Bidding!$D$11,Raw_hydro_bm!G610,"")</f>
        <v>1</v>
      </c>
      <c r="G610">
        <f>IF(ROW(G610)&lt;=Bidding!$D$11,Raw_hydro_bm!H610,"")</f>
        <v>0</v>
      </c>
      <c r="H610" t="str">
        <f>IF(ROW(H610)&lt;=Bidding!$D$11,Raw_hydro_bm!I610,"")</f>
        <v>0.0</v>
      </c>
      <c r="I610" s="16">
        <f t="shared" si="9"/>
        <v>0</v>
      </c>
    </row>
    <row r="611" spans="1:9" x14ac:dyDescent="0.3">
      <c r="A611" t="str">
        <f>IF(ROW(A611)&lt;=Bidding!$D$11,Raw_hydro_bm!B611,"")</f>
        <v>v</v>
      </c>
      <c r="B611" t="str">
        <f>IF(ROW(B611)&lt;=Bidding!$D$11,Raw_hydro_bm!C611,"")</f>
        <v>c</v>
      </c>
      <c r="C611">
        <f>IF(ROW(C611)&lt;=Bidding!$D$11,Raw_hydro_bm!D611,"")</f>
        <v>1</v>
      </c>
      <c r="D611">
        <f>IF(ROW(D611)&lt;=Bidding!$D$11,Raw_hydro_bm!E611,"")</f>
        <v>5</v>
      </c>
      <c r="E611">
        <f>IF(ROW(E611)&lt;=Bidding!$D$11,Raw_hydro_bm!F611,"")</f>
        <v>0</v>
      </c>
      <c r="F611">
        <f>IF(ROW(F611)&lt;=Bidding!$D$11,Raw_hydro_bm!G611,"")</f>
        <v>1</v>
      </c>
      <c r="G611">
        <f>IF(ROW(G611)&lt;=Bidding!$D$11,Raw_hydro_bm!H611,"")</f>
        <v>0</v>
      </c>
      <c r="H611" t="str">
        <f>IF(ROW(H611)&lt;=Bidding!$D$11,Raw_hydro_bm!I611,"")</f>
        <v>0.0</v>
      </c>
      <c r="I611" s="16">
        <f t="shared" si="9"/>
        <v>0</v>
      </c>
    </row>
    <row r="612" spans="1:9" x14ac:dyDescent="0.3">
      <c r="A612" t="str">
        <f>IF(ROW(A612)&lt;=Bidding!$D$11,Raw_hydro_bm!B612,"")</f>
        <v>p</v>
      </c>
      <c r="B612" t="str">
        <f>IF(ROW(B612)&lt;=Bidding!$D$11,Raw_hydro_bm!C612,"")</f>
        <v>c</v>
      </c>
      <c r="C612">
        <f>IF(ROW(C612)&lt;=Bidding!$D$11,Raw_hydro_bm!D612,"")</f>
        <v>1</v>
      </c>
      <c r="D612">
        <f>IF(ROW(D612)&lt;=Bidding!$D$11,Raw_hydro_bm!E612,"")</f>
        <v>5</v>
      </c>
      <c r="E612">
        <f>IF(ROW(E612)&lt;=Bidding!$D$11,Raw_hydro_bm!F612,"")</f>
        <v>0</v>
      </c>
      <c r="F612">
        <f>IF(ROW(F612)&lt;=Bidding!$D$11,Raw_hydro_bm!G612,"")</f>
        <v>1</v>
      </c>
      <c r="G612">
        <f>IF(ROW(G612)&lt;=Bidding!$D$11,Raw_hydro_bm!H612,"")</f>
        <v>1</v>
      </c>
      <c r="H612" t="str">
        <f>IF(ROW(H612)&lt;=Bidding!$D$11,Raw_hydro_bm!I612,"")</f>
        <v>0.0</v>
      </c>
      <c r="I612" s="16">
        <f t="shared" si="9"/>
        <v>0</v>
      </c>
    </row>
    <row r="613" spans="1:9" x14ac:dyDescent="0.3">
      <c r="A613" t="str">
        <f>IF(ROW(A613)&lt;=Bidding!$D$11,Raw_hydro_bm!B613,"")</f>
        <v>v</v>
      </c>
      <c r="B613" t="str">
        <f>IF(ROW(B613)&lt;=Bidding!$D$11,Raw_hydro_bm!C613,"")</f>
        <v>c</v>
      </c>
      <c r="C613">
        <f>IF(ROW(C613)&lt;=Bidding!$D$11,Raw_hydro_bm!D613,"")</f>
        <v>1</v>
      </c>
      <c r="D613">
        <f>IF(ROW(D613)&lt;=Bidding!$D$11,Raw_hydro_bm!E613,"")</f>
        <v>5</v>
      </c>
      <c r="E613">
        <f>IF(ROW(E613)&lt;=Bidding!$D$11,Raw_hydro_bm!F613,"")</f>
        <v>0</v>
      </c>
      <c r="F613">
        <f>IF(ROW(F613)&lt;=Bidding!$D$11,Raw_hydro_bm!G613,"")</f>
        <v>1</v>
      </c>
      <c r="G613">
        <f>IF(ROW(G613)&lt;=Bidding!$D$11,Raw_hydro_bm!H613,"")</f>
        <v>1</v>
      </c>
      <c r="H613" t="str">
        <f>IF(ROW(H613)&lt;=Bidding!$D$11,Raw_hydro_bm!I613,"")</f>
        <v>0.0</v>
      </c>
      <c r="I613" s="16">
        <f t="shared" si="9"/>
        <v>0</v>
      </c>
    </row>
    <row r="614" spans="1:9" x14ac:dyDescent="0.3">
      <c r="A614" t="str">
        <f>IF(ROW(A614)&lt;=Bidding!$D$11,Raw_hydro_bm!B614,"")</f>
        <v>p</v>
      </c>
      <c r="B614" t="str">
        <f>IF(ROW(B614)&lt;=Bidding!$D$11,Raw_hydro_bm!C614,"")</f>
        <v>c</v>
      </c>
      <c r="C614">
        <f>IF(ROW(C614)&lt;=Bidding!$D$11,Raw_hydro_bm!D614,"")</f>
        <v>1</v>
      </c>
      <c r="D614">
        <f>IF(ROW(D614)&lt;=Bidding!$D$11,Raw_hydro_bm!E614,"")</f>
        <v>5</v>
      </c>
      <c r="E614">
        <f>IF(ROW(E614)&lt;=Bidding!$D$11,Raw_hydro_bm!F614,"")</f>
        <v>0</v>
      </c>
      <c r="F614">
        <f>IF(ROW(F614)&lt;=Bidding!$D$11,Raw_hydro_bm!G614,"")</f>
        <v>1</v>
      </c>
      <c r="G614">
        <f>IF(ROW(G614)&lt;=Bidding!$D$11,Raw_hydro_bm!H614,"")</f>
        <v>2</v>
      </c>
      <c r="H614" t="str">
        <f>IF(ROW(H614)&lt;=Bidding!$D$11,Raw_hydro_bm!I614,"")</f>
        <v>0.0</v>
      </c>
      <c r="I614" s="16">
        <f t="shared" si="9"/>
        <v>0</v>
      </c>
    </row>
    <row r="615" spans="1:9" x14ac:dyDescent="0.3">
      <c r="A615" t="str">
        <f>IF(ROW(A615)&lt;=Bidding!$D$11,Raw_hydro_bm!B615,"")</f>
        <v>v</v>
      </c>
      <c r="B615" t="str">
        <f>IF(ROW(B615)&lt;=Bidding!$D$11,Raw_hydro_bm!C615,"")</f>
        <v>c</v>
      </c>
      <c r="C615">
        <f>IF(ROW(C615)&lt;=Bidding!$D$11,Raw_hydro_bm!D615,"")</f>
        <v>1</v>
      </c>
      <c r="D615">
        <f>IF(ROW(D615)&lt;=Bidding!$D$11,Raw_hydro_bm!E615,"")</f>
        <v>5</v>
      </c>
      <c r="E615">
        <f>IF(ROW(E615)&lt;=Bidding!$D$11,Raw_hydro_bm!F615,"")</f>
        <v>0</v>
      </c>
      <c r="F615">
        <f>IF(ROW(F615)&lt;=Bidding!$D$11,Raw_hydro_bm!G615,"")</f>
        <v>1</v>
      </c>
      <c r="G615">
        <f>IF(ROW(G615)&lt;=Bidding!$D$11,Raw_hydro_bm!H615,"")</f>
        <v>2</v>
      </c>
      <c r="H615" t="str">
        <f>IF(ROW(H615)&lt;=Bidding!$D$11,Raw_hydro_bm!I615,"")</f>
        <v>0.0</v>
      </c>
      <c r="I615" s="16">
        <f t="shared" si="9"/>
        <v>0</v>
      </c>
    </row>
    <row r="616" spans="1:9" x14ac:dyDescent="0.3">
      <c r="A616" t="str">
        <f>IF(ROW(A616)&lt;=Bidding!$D$11,Raw_hydro_bm!B616,"")</f>
        <v>b</v>
      </c>
      <c r="B616" t="str">
        <f>IF(ROW(B616)&lt;=Bidding!$D$11,Raw_hydro_bm!C616,"")</f>
        <v>v</v>
      </c>
      <c r="C616" t="str">
        <f>IF(ROW(C616)&lt;=Bidding!$D$11,Raw_hydro_bm!D616,"")</f>
        <v>X</v>
      </c>
      <c r="D616">
        <f>IF(ROW(D616)&lt;=Bidding!$D$11,Raw_hydro_bm!E616,"")</f>
        <v>1</v>
      </c>
      <c r="E616">
        <f>IF(ROW(E616)&lt;=Bidding!$D$11,Raw_hydro_bm!F616,"")</f>
        <v>5</v>
      </c>
      <c r="F616">
        <f>IF(ROW(F616)&lt;=Bidding!$D$11,Raw_hydro_bm!G616,"")</f>
        <v>1</v>
      </c>
      <c r="G616">
        <f>IF(ROW(G616)&lt;=Bidding!$D$11,Raw_hydro_bm!H616,"")</f>
        <v>0</v>
      </c>
      <c r="H616" t="str">
        <f>IF(ROW(H616)&lt;=Bidding!$D$11,Raw_hydro_bm!I616,"")</f>
        <v>0.0</v>
      </c>
      <c r="I616" s="16">
        <f t="shared" si="9"/>
        <v>0</v>
      </c>
    </row>
    <row r="617" spans="1:9" x14ac:dyDescent="0.3">
      <c r="A617" t="str">
        <f>IF(ROW(A617)&lt;=Bidding!$D$11,Raw_hydro_bm!B617,"")</f>
        <v>b</v>
      </c>
      <c r="B617" t="str">
        <f>IF(ROW(B617)&lt;=Bidding!$D$11,Raw_hydro_bm!C617,"")</f>
        <v>v</v>
      </c>
      <c r="C617" t="str">
        <f>IF(ROW(C617)&lt;=Bidding!$D$11,Raw_hydro_bm!D617,"")</f>
        <v>X</v>
      </c>
      <c r="D617">
        <f>IF(ROW(D617)&lt;=Bidding!$D$11,Raw_hydro_bm!E617,"")</f>
        <v>1</v>
      </c>
      <c r="E617">
        <f>IF(ROW(E617)&lt;=Bidding!$D$11,Raw_hydro_bm!F617,"")</f>
        <v>5</v>
      </c>
      <c r="F617">
        <f>IF(ROW(F617)&lt;=Bidding!$D$11,Raw_hydro_bm!G617,"")</f>
        <v>1</v>
      </c>
      <c r="G617">
        <f>IF(ROW(G617)&lt;=Bidding!$D$11,Raw_hydro_bm!H617,"")</f>
        <v>1</v>
      </c>
      <c r="H617" t="str">
        <f>IF(ROW(H617)&lt;=Bidding!$D$11,Raw_hydro_bm!I617,"")</f>
        <v>0.0</v>
      </c>
      <c r="I617" s="16">
        <f t="shared" si="9"/>
        <v>0</v>
      </c>
    </row>
    <row r="618" spans="1:9" x14ac:dyDescent="0.3">
      <c r="A618" t="str">
        <f>IF(ROW(A618)&lt;=Bidding!$D$11,Raw_hydro_bm!B618,"")</f>
        <v>b</v>
      </c>
      <c r="B618" t="str">
        <f>IF(ROW(B618)&lt;=Bidding!$D$11,Raw_hydro_bm!C618,"")</f>
        <v>v</v>
      </c>
      <c r="C618" t="str">
        <f>IF(ROW(C618)&lt;=Bidding!$D$11,Raw_hydro_bm!D618,"")</f>
        <v>X</v>
      </c>
      <c r="D618">
        <f>IF(ROW(D618)&lt;=Bidding!$D$11,Raw_hydro_bm!E618,"")</f>
        <v>1</v>
      </c>
      <c r="E618">
        <f>IF(ROW(E618)&lt;=Bidding!$D$11,Raw_hydro_bm!F618,"")</f>
        <v>5</v>
      </c>
      <c r="F618">
        <f>IF(ROW(F618)&lt;=Bidding!$D$11,Raw_hydro_bm!G618,"")</f>
        <v>1</v>
      </c>
      <c r="G618">
        <f>IF(ROW(G618)&lt;=Bidding!$D$11,Raw_hydro_bm!H618,"")</f>
        <v>2</v>
      </c>
      <c r="H618" t="str">
        <f>IF(ROW(H618)&lt;=Bidding!$D$11,Raw_hydro_bm!I618,"")</f>
        <v>55.0</v>
      </c>
      <c r="I618" s="16">
        <f t="shared" si="9"/>
        <v>55</v>
      </c>
    </row>
    <row r="619" spans="1:9" x14ac:dyDescent="0.3">
      <c r="A619" t="str">
        <f>IF(ROW(A619)&lt;=Bidding!$D$11,Raw_hydro_bm!B619,"")</f>
        <v/>
      </c>
      <c r="B619" t="str">
        <f>IF(ROW(B619)&lt;=Bidding!$D$11,Raw_hydro_bm!C619,"")</f>
        <v/>
      </c>
      <c r="C619" t="str">
        <f>IF(ROW(C619)&lt;=Bidding!$D$11,Raw_hydro_bm!D619,"")</f>
        <v/>
      </c>
      <c r="D619" t="str">
        <f>IF(ROW(D619)&lt;=Bidding!$D$11,Raw_hydro_bm!E619,"")</f>
        <v/>
      </c>
      <c r="E619" t="str">
        <f>IF(ROW(E619)&lt;=Bidding!$D$11,Raw_hydro_bm!F619,"")</f>
        <v/>
      </c>
      <c r="F619" t="str">
        <f>IF(ROW(F619)&lt;=Bidding!$D$11,Raw_hydro_bm!G619,"")</f>
        <v/>
      </c>
      <c r="G619" t="str">
        <f>IF(ROW(G619)&lt;=Bidding!$D$11,Raw_hydro_bm!H619,"")</f>
        <v/>
      </c>
      <c r="H619" t="str">
        <f>IF(ROW(H619)&lt;=Bidding!$D$11,Raw_hydro_bm!I619,"")</f>
        <v/>
      </c>
      <c r="I619" s="16" t="str">
        <f t="shared" si="9"/>
        <v/>
      </c>
    </row>
    <row r="620" spans="1:9" x14ac:dyDescent="0.3">
      <c r="A620" t="str">
        <f>IF(ROW(A620)&lt;=Bidding!$D$11,Raw_hydro_bm!B620,"")</f>
        <v/>
      </c>
      <c r="B620" t="str">
        <f>IF(ROW(B620)&lt;=Bidding!$D$11,Raw_hydro_bm!C620,"")</f>
        <v/>
      </c>
      <c r="C620" t="str">
        <f>IF(ROW(C620)&lt;=Bidding!$D$11,Raw_hydro_bm!D620,"")</f>
        <v/>
      </c>
      <c r="D620" t="str">
        <f>IF(ROW(D620)&lt;=Bidding!$D$11,Raw_hydro_bm!E620,"")</f>
        <v/>
      </c>
      <c r="E620" t="str">
        <f>IF(ROW(E620)&lt;=Bidding!$D$11,Raw_hydro_bm!F620,"")</f>
        <v/>
      </c>
      <c r="F620" t="str">
        <f>IF(ROW(F620)&lt;=Bidding!$D$11,Raw_hydro_bm!G620,"")</f>
        <v/>
      </c>
      <c r="G620" t="str">
        <f>IF(ROW(G620)&lt;=Bidding!$D$11,Raw_hydro_bm!H620,"")</f>
        <v/>
      </c>
      <c r="H620" t="str">
        <f>IF(ROW(H620)&lt;=Bidding!$D$11,Raw_hydro_bm!I620,"")</f>
        <v/>
      </c>
      <c r="I620" s="16" t="str">
        <f t="shared" si="9"/>
        <v/>
      </c>
    </row>
    <row r="621" spans="1:9" x14ac:dyDescent="0.3">
      <c r="A621" t="str">
        <f>IF(ROW(A621)&lt;=Bidding!$D$11,Raw_hydro_bm!B621,"")</f>
        <v/>
      </c>
      <c r="B621" t="str">
        <f>IF(ROW(B621)&lt;=Bidding!$D$11,Raw_hydro_bm!C621,"")</f>
        <v/>
      </c>
      <c r="C621" t="str">
        <f>IF(ROW(C621)&lt;=Bidding!$D$11,Raw_hydro_bm!D621,"")</f>
        <v/>
      </c>
      <c r="D621" t="str">
        <f>IF(ROW(D621)&lt;=Bidding!$D$11,Raw_hydro_bm!E621,"")</f>
        <v/>
      </c>
      <c r="E621" t="str">
        <f>IF(ROW(E621)&lt;=Bidding!$D$11,Raw_hydro_bm!F621,"")</f>
        <v/>
      </c>
      <c r="F621" t="str">
        <f>IF(ROW(F621)&lt;=Bidding!$D$11,Raw_hydro_bm!G621,"")</f>
        <v/>
      </c>
      <c r="G621" t="str">
        <f>IF(ROW(G621)&lt;=Bidding!$D$11,Raw_hydro_bm!H621,"")</f>
        <v/>
      </c>
      <c r="H621" t="str">
        <f>IF(ROW(H621)&lt;=Bidding!$D$11,Raw_hydro_bm!I621,"")</f>
        <v/>
      </c>
      <c r="I621" s="16" t="str">
        <f t="shared" si="9"/>
        <v/>
      </c>
    </row>
    <row r="622" spans="1:9" x14ac:dyDescent="0.3">
      <c r="A622" t="str">
        <f>IF(ROW(A622)&lt;=Bidding!$D$11,Raw_hydro_bm!B622,"")</f>
        <v/>
      </c>
      <c r="B622" t="str">
        <f>IF(ROW(B622)&lt;=Bidding!$D$11,Raw_hydro_bm!C622,"")</f>
        <v/>
      </c>
      <c r="C622" t="str">
        <f>IF(ROW(C622)&lt;=Bidding!$D$11,Raw_hydro_bm!D622,"")</f>
        <v/>
      </c>
      <c r="D622" t="str">
        <f>IF(ROW(D622)&lt;=Bidding!$D$11,Raw_hydro_bm!E622,"")</f>
        <v/>
      </c>
      <c r="E622" t="str">
        <f>IF(ROW(E622)&lt;=Bidding!$D$11,Raw_hydro_bm!F622,"")</f>
        <v/>
      </c>
      <c r="F622" t="str">
        <f>IF(ROW(F622)&lt;=Bidding!$D$11,Raw_hydro_bm!G622,"")</f>
        <v/>
      </c>
      <c r="G622" t="str">
        <f>IF(ROW(G622)&lt;=Bidding!$D$11,Raw_hydro_bm!H622,"")</f>
        <v/>
      </c>
      <c r="H622" t="str">
        <f>IF(ROW(H622)&lt;=Bidding!$D$11,Raw_hydro_bm!I622,"")</f>
        <v/>
      </c>
      <c r="I622" s="16" t="str">
        <f t="shared" si="9"/>
        <v/>
      </c>
    </row>
    <row r="623" spans="1:9" x14ac:dyDescent="0.3">
      <c r="A623" t="str">
        <f>IF(ROW(A623)&lt;=Bidding!$D$11,Raw_hydro_bm!B623,"")</f>
        <v/>
      </c>
      <c r="B623" t="str">
        <f>IF(ROW(B623)&lt;=Bidding!$D$11,Raw_hydro_bm!C623,"")</f>
        <v/>
      </c>
      <c r="C623" t="str">
        <f>IF(ROW(C623)&lt;=Bidding!$D$11,Raw_hydro_bm!D623,"")</f>
        <v/>
      </c>
      <c r="D623" t="str">
        <f>IF(ROW(D623)&lt;=Bidding!$D$11,Raw_hydro_bm!E623,"")</f>
        <v/>
      </c>
      <c r="E623" t="str">
        <f>IF(ROW(E623)&lt;=Bidding!$D$11,Raw_hydro_bm!F623,"")</f>
        <v/>
      </c>
      <c r="F623" t="str">
        <f>IF(ROW(F623)&lt;=Bidding!$D$11,Raw_hydro_bm!G623,"")</f>
        <v/>
      </c>
      <c r="G623" t="str">
        <f>IF(ROW(G623)&lt;=Bidding!$D$11,Raw_hydro_bm!H623,"")</f>
        <v/>
      </c>
      <c r="H623" t="str">
        <f>IF(ROW(H623)&lt;=Bidding!$D$11,Raw_hydro_bm!I623,"")</f>
        <v/>
      </c>
      <c r="I623" s="16" t="str">
        <f t="shared" si="9"/>
        <v/>
      </c>
    </row>
    <row r="624" spans="1:9" x14ac:dyDescent="0.3">
      <c r="A624" t="str">
        <f>IF(ROW(A624)&lt;=Bidding!$D$11,Raw_hydro_bm!B624,"")</f>
        <v/>
      </c>
      <c r="B624" t="str">
        <f>IF(ROW(B624)&lt;=Bidding!$D$11,Raw_hydro_bm!C624,"")</f>
        <v/>
      </c>
      <c r="C624" t="str">
        <f>IF(ROW(C624)&lt;=Bidding!$D$11,Raw_hydro_bm!D624,"")</f>
        <v/>
      </c>
      <c r="D624" t="str">
        <f>IF(ROW(D624)&lt;=Bidding!$D$11,Raw_hydro_bm!E624,"")</f>
        <v/>
      </c>
      <c r="E624" t="str">
        <f>IF(ROW(E624)&lt;=Bidding!$D$11,Raw_hydro_bm!F624,"")</f>
        <v/>
      </c>
      <c r="F624" t="str">
        <f>IF(ROW(F624)&lt;=Bidding!$D$11,Raw_hydro_bm!G624,"")</f>
        <v/>
      </c>
      <c r="G624" t="str">
        <f>IF(ROW(G624)&lt;=Bidding!$D$11,Raw_hydro_bm!H624,"")</f>
        <v/>
      </c>
      <c r="H624" t="str">
        <f>IF(ROW(H624)&lt;=Bidding!$D$11,Raw_hydro_bm!I624,"")</f>
        <v/>
      </c>
      <c r="I624" s="16" t="str">
        <f t="shared" si="9"/>
        <v/>
      </c>
    </row>
    <row r="625" spans="1:9" x14ac:dyDescent="0.3">
      <c r="A625" t="str">
        <f>IF(ROW(A625)&lt;=Bidding!$D$11,Raw_hydro_bm!B625,"")</f>
        <v/>
      </c>
      <c r="B625" t="str">
        <f>IF(ROW(B625)&lt;=Bidding!$D$11,Raw_hydro_bm!C625,"")</f>
        <v/>
      </c>
      <c r="C625" t="str">
        <f>IF(ROW(C625)&lt;=Bidding!$D$11,Raw_hydro_bm!D625,"")</f>
        <v/>
      </c>
      <c r="D625" t="str">
        <f>IF(ROW(D625)&lt;=Bidding!$D$11,Raw_hydro_bm!E625,"")</f>
        <v/>
      </c>
      <c r="E625" t="str">
        <f>IF(ROW(E625)&lt;=Bidding!$D$11,Raw_hydro_bm!F625,"")</f>
        <v/>
      </c>
      <c r="F625" t="str">
        <f>IF(ROW(F625)&lt;=Bidding!$D$11,Raw_hydro_bm!G625,"")</f>
        <v/>
      </c>
      <c r="G625" t="str">
        <f>IF(ROW(G625)&lt;=Bidding!$D$11,Raw_hydro_bm!H625,"")</f>
        <v/>
      </c>
      <c r="H625" t="str">
        <f>IF(ROW(H625)&lt;=Bidding!$D$11,Raw_hydro_bm!I625,"")</f>
        <v/>
      </c>
      <c r="I625" s="16" t="str">
        <f t="shared" si="9"/>
        <v/>
      </c>
    </row>
    <row r="626" spans="1:9" x14ac:dyDescent="0.3">
      <c r="A626" t="str">
        <f>IF(ROW(A626)&lt;=Bidding!$D$11,Raw_hydro_bm!B626,"")</f>
        <v/>
      </c>
      <c r="B626" t="str">
        <f>IF(ROW(B626)&lt;=Bidding!$D$11,Raw_hydro_bm!C626,"")</f>
        <v/>
      </c>
      <c r="C626" t="str">
        <f>IF(ROW(C626)&lt;=Bidding!$D$11,Raw_hydro_bm!D626,"")</f>
        <v/>
      </c>
      <c r="D626" t="str">
        <f>IF(ROW(D626)&lt;=Bidding!$D$11,Raw_hydro_bm!E626,"")</f>
        <v/>
      </c>
      <c r="E626" t="str">
        <f>IF(ROW(E626)&lt;=Bidding!$D$11,Raw_hydro_bm!F626,"")</f>
        <v/>
      </c>
      <c r="F626" t="str">
        <f>IF(ROW(F626)&lt;=Bidding!$D$11,Raw_hydro_bm!G626,"")</f>
        <v/>
      </c>
      <c r="G626" t="str">
        <f>IF(ROW(G626)&lt;=Bidding!$D$11,Raw_hydro_bm!H626,"")</f>
        <v/>
      </c>
      <c r="H626" t="str">
        <f>IF(ROW(H626)&lt;=Bidding!$D$11,Raw_hydro_bm!I626,"")</f>
        <v/>
      </c>
      <c r="I626" s="16" t="str">
        <f t="shared" si="9"/>
        <v/>
      </c>
    </row>
    <row r="627" spans="1:9" x14ac:dyDescent="0.3">
      <c r="A627" t="str">
        <f>IF(ROW(A627)&lt;=Bidding!$D$11,Raw_hydro_bm!B627,"")</f>
        <v/>
      </c>
      <c r="B627" t="str">
        <f>IF(ROW(B627)&lt;=Bidding!$D$11,Raw_hydro_bm!C627,"")</f>
        <v/>
      </c>
      <c r="C627" t="str">
        <f>IF(ROW(C627)&lt;=Bidding!$D$11,Raw_hydro_bm!D627,"")</f>
        <v/>
      </c>
      <c r="D627" t="str">
        <f>IF(ROW(D627)&lt;=Bidding!$D$11,Raw_hydro_bm!E627,"")</f>
        <v/>
      </c>
      <c r="E627" t="str">
        <f>IF(ROW(E627)&lt;=Bidding!$D$11,Raw_hydro_bm!F627,"")</f>
        <v/>
      </c>
      <c r="F627" t="str">
        <f>IF(ROW(F627)&lt;=Bidding!$D$11,Raw_hydro_bm!G627,"")</f>
        <v/>
      </c>
      <c r="G627" t="str">
        <f>IF(ROW(G627)&lt;=Bidding!$D$11,Raw_hydro_bm!H627,"")</f>
        <v/>
      </c>
      <c r="H627" t="str">
        <f>IF(ROW(H627)&lt;=Bidding!$D$11,Raw_hydro_bm!I627,"")</f>
        <v/>
      </c>
      <c r="I627" s="16" t="str">
        <f t="shared" si="9"/>
        <v/>
      </c>
    </row>
    <row r="628" spans="1:9" x14ac:dyDescent="0.3">
      <c r="A628" t="str">
        <f>IF(ROW(A628)&lt;=Bidding!$D$11,Raw_hydro_bm!B628,"")</f>
        <v/>
      </c>
      <c r="B628" t="str">
        <f>IF(ROW(B628)&lt;=Bidding!$D$11,Raw_hydro_bm!C628,"")</f>
        <v/>
      </c>
      <c r="C628" t="str">
        <f>IF(ROW(C628)&lt;=Bidding!$D$11,Raw_hydro_bm!D628,"")</f>
        <v/>
      </c>
      <c r="D628" t="str">
        <f>IF(ROW(D628)&lt;=Bidding!$D$11,Raw_hydro_bm!E628,"")</f>
        <v/>
      </c>
      <c r="E628" t="str">
        <f>IF(ROW(E628)&lt;=Bidding!$D$11,Raw_hydro_bm!F628,"")</f>
        <v/>
      </c>
      <c r="F628" t="str">
        <f>IF(ROW(F628)&lt;=Bidding!$D$11,Raw_hydro_bm!G628,"")</f>
        <v/>
      </c>
      <c r="G628" t="str">
        <f>IF(ROW(G628)&lt;=Bidding!$D$11,Raw_hydro_bm!H628,"")</f>
        <v/>
      </c>
      <c r="H628" t="str">
        <f>IF(ROW(H628)&lt;=Bidding!$D$11,Raw_hydro_bm!I628,"")</f>
        <v/>
      </c>
      <c r="I628" s="16" t="str">
        <f t="shared" si="9"/>
        <v/>
      </c>
    </row>
    <row r="629" spans="1:9" x14ac:dyDescent="0.3">
      <c r="A629" t="str">
        <f>IF(ROW(A629)&lt;=Bidding!$D$11,Raw_hydro_bm!B629,"")</f>
        <v/>
      </c>
      <c r="B629" t="str">
        <f>IF(ROW(B629)&lt;=Bidding!$D$11,Raw_hydro_bm!C629,"")</f>
        <v/>
      </c>
      <c r="C629" t="str">
        <f>IF(ROW(C629)&lt;=Bidding!$D$11,Raw_hydro_bm!D629,"")</f>
        <v/>
      </c>
      <c r="D629" t="str">
        <f>IF(ROW(D629)&lt;=Bidding!$D$11,Raw_hydro_bm!E629,"")</f>
        <v/>
      </c>
      <c r="E629" t="str">
        <f>IF(ROW(E629)&lt;=Bidding!$D$11,Raw_hydro_bm!F629,"")</f>
        <v/>
      </c>
      <c r="F629" t="str">
        <f>IF(ROW(F629)&lt;=Bidding!$D$11,Raw_hydro_bm!G629,"")</f>
        <v/>
      </c>
      <c r="G629" t="str">
        <f>IF(ROW(G629)&lt;=Bidding!$D$11,Raw_hydro_bm!H629,"")</f>
        <v/>
      </c>
      <c r="H629" t="str">
        <f>IF(ROW(H629)&lt;=Bidding!$D$11,Raw_hydro_bm!I629,"")</f>
        <v/>
      </c>
      <c r="I629" s="16" t="str">
        <f t="shared" si="9"/>
        <v/>
      </c>
    </row>
    <row r="630" spans="1:9" x14ac:dyDescent="0.3">
      <c r="A630" t="str">
        <f>IF(ROW(A630)&lt;=Bidding!$D$11,Raw_hydro_bm!B630,"")</f>
        <v/>
      </c>
      <c r="B630" t="str">
        <f>IF(ROW(B630)&lt;=Bidding!$D$11,Raw_hydro_bm!C630,"")</f>
        <v/>
      </c>
      <c r="C630" t="str">
        <f>IF(ROW(C630)&lt;=Bidding!$D$11,Raw_hydro_bm!D630,"")</f>
        <v/>
      </c>
      <c r="D630" t="str">
        <f>IF(ROW(D630)&lt;=Bidding!$D$11,Raw_hydro_bm!E630,"")</f>
        <v/>
      </c>
      <c r="E630" t="str">
        <f>IF(ROW(E630)&lt;=Bidding!$D$11,Raw_hydro_bm!F630,"")</f>
        <v/>
      </c>
      <c r="F630" t="str">
        <f>IF(ROW(F630)&lt;=Bidding!$D$11,Raw_hydro_bm!G630,"")</f>
        <v/>
      </c>
      <c r="G630" t="str">
        <f>IF(ROW(G630)&lt;=Bidding!$D$11,Raw_hydro_bm!H630,"")</f>
        <v/>
      </c>
      <c r="H630" t="str">
        <f>IF(ROW(H630)&lt;=Bidding!$D$11,Raw_hydro_bm!I630,"")</f>
        <v/>
      </c>
      <c r="I630" s="16" t="str">
        <f t="shared" si="9"/>
        <v/>
      </c>
    </row>
    <row r="631" spans="1:9" x14ac:dyDescent="0.3">
      <c r="A631" t="str">
        <f>IF(ROW(A631)&lt;=Bidding!$D$11,Raw_hydro_bm!B631,"")</f>
        <v/>
      </c>
      <c r="B631" t="str">
        <f>IF(ROW(B631)&lt;=Bidding!$D$11,Raw_hydro_bm!C631,"")</f>
        <v/>
      </c>
      <c r="C631" t="str">
        <f>IF(ROW(C631)&lt;=Bidding!$D$11,Raw_hydro_bm!D631,"")</f>
        <v/>
      </c>
      <c r="D631" t="str">
        <f>IF(ROW(D631)&lt;=Bidding!$D$11,Raw_hydro_bm!E631,"")</f>
        <v/>
      </c>
      <c r="E631" t="str">
        <f>IF(ROW(E631)&lt;=Bidding!$D$11,Raw_hydro_bm!F631,"")</f>
        <v/>
      </c>
      <c r="F631" t="str">
        <f>IF(ROW(F631)&lt;=Bidding!$D$11,Raw_hydro_bm!G631,"")</f>
        <v/>
      </c>
      <c r="G631" t="str">
        <f>IF(ROW(G631)&lt;=Bidding!$D$11,Raw_hydro_bm!H631,"")</f>
        <v/>
      </c>
      <c r="H631" t="str">
        <f>IF(ROW(H631)&lt;=Bidding!$D$11,Raw_hydro_bm!I631,"")</f>
        <v/>
      </c>
      <c r="I631" s="16" t="str">
        <f t="shared" si="9"/>
        <v/>
      </c>
    </row>
    <row r="632" spans="1:9" x14ac:dyDescent="0.3">
      <c r="A632" t="str">
        <f>IF(ROW(A632)&lt;=Bidding!$D$11,Raw_hydro_bm!B632,"")</f>
        <v/>
      </c>
      <c r="B632" t="str">
        <f>IF(ROW(B632)&lt;=Bidding!$D$11,Raw_hydro_bm!C632,"")</f>
        <v/>
      </c>
      <c r="C632" t="str">
        <f>IF(ROW(C632)&lt;=Bidding!$D$11,Raw_hydro_bm!D632,"")</f>
        <v/>
      </c>
      <c r="D632" t="str">
        <f>IF(ROW(D632)&lt;=Bidding!$D$11,Raw_hydro_bm!E632,"")</f>
        <v/>
      </c>
      <c r="E632" t="str">
        <f>IF(ROW(E632)&lt;=Bidding!$D$11,Raw_hydro_bm!F632,"")</f>
        <v/>
      </c>
      <c r="F632" t="str">
        <f>IF(ROW(F632)&lt;=Bidding!$D$11,Raw_hydro_bm!G632,"")</f>
        <v/>
      </c>
      <c r="G632" t="str">
        <f>IF(ROW(G632)&lt;=Bidding!$D$11,Raw_hydro_bm!H632,"")</f>
        <v/>
      </c>
      <c r="H632" t="str">
        <f>IF(ROW(H632)&lt;=Bidding!$D$11,Raw_hydro_bm!I632,"")</f>
        <v/>
      </c>
      <c r="I632" s="16" t="str">
        <f t="shared" si="9"/>
        <v/>
      </c>
    </row>
    <row r="633" spans="1:9" x14ac:dyDescent="0.3">
      <c r="A633" t="str">
        <f>IF(ROW(A633)&lt;=Bidding!$D$11,Raw_hydro_bm!B633,"")</f>
        <v/>
      </c>
      <c r="B633" t="str">
        <f>IF(ROW(B633)&lt;=Bidding!$D$11,Raw_hydro_bm!C633,"")</f>
        <v/>
      </c>
      <c r="C633" t="str">
        <f>IF(ROW(C633)&lt;=Bidding!$D$11,Raw_hydro_bm!D633,"")</f>
        <v/>
      </c>
      <c r="D633" t="str">
        <f>IF(ROW(D633)&lt;=Bidding!$D$11,Raw_hydro_bm!E633,"")</f>
        <v/>
      </c>
      <c r="E633" t="str">
        <f>IF(ROW(E633)&lt;=Bidding!$D$11,Raw_hydro_bm!F633,"")</f>
        <v/>
      </c>
      <c r="F633" t="str">
        <f>IF(ROW(F633)&lt;=Bidding!$D$11,Raw_hydro_bm!G633,"")</f>
        <v/>
      </c>
      <c r="G633" t="str">
        <f>IF(ROW(G633)&lt;=Bidding!$D$11,Raw_hydro_bm!H633,"")</f>
        <v/>
      </c>
      <c r="H633" t="str">
        <f>IF(ROW(H633)&lt;=Bidding!$D$11,Raw_hydro_bm!I633,"")</f>
        <v/>
      </c>
      <c r="I633" s="16" t="str">
        <f t="shared" si="9"/>
        <v/>
      </c>
    </row>
    <row r="634" spans="1:9" x14ac:dyDescent="0.3">
      <c r="A634" t="str">
        <f>IF(ROW(A634)&lt;=Bidding!$D$11,Raw_hydro_bm!B634,"")</f>
        <v/>
      </c>
      <c r="B634" t="str">
        <f>IF(ROW(B634)&lt;=Bidding!$D$11,Raw_hydro_bm!C634,"")</f>
        <v/>
      </c>
      <c r="C634" t="str">
        <f>IF(ROW(C634)&lt;=Bidding!$D$11,Raw_hydro_bm!D634,"")</f>
        <v/>
      </c>
      <c r="D634" t="str">
        <f>IF(ROW(D634)&lt;=Bidding!$D$11,Raw_hydro_bm!E634,"")</f>
        <v/>
      </c>
      <c r="E634" t="str">
        <f>IF(ROW(E634)&lt;=Bidding!$D$11,Raw_hydro_bm!F634,"")</f>
        <v/>
      </c>
      <c r="F634" t="str">
        <f>IF(ROW(F634)&lt;=Bidding!$D$11,Raw_hydro_bm!G634,"")</f>
        <v/>
      </c>
      <c r="G634" t="str">
        <f>IF(ROW(G634)&lt;=Bidding!$D$11,Raw_hydro_bm!H634,"")</f>
        <v/>
      </c>
      <c r="H634" t="str">
        <f>IF(ROW(H634)&lt;=Bidding!$D$11,Raw_hydro_bm!I634,"")</f>
        <v/>
      </c>
      <c r="I634" s="16" t="str">
        <f t="shared" si="9"/>
        <v/>
      </c>
    </row>
    <row r="635" spans="1:9" x14ac:dyDescent="0.3">
      <c r="A635" t="str">
        <f>IF(ROW(A635)&lt;=Bidding!$D$11,Raw_hydro_bm!B635,"")</f>
        <v/>
      </c>
      <c r="B635" t="str">
        <f>IF(ROW(B635)&lt;=Bidding!$D$11,Raw_hydro_bm!C635,"")</f>
        <v/>
      </c>
      <c r="C635" t="str">
        <f>IF(ROW(C635)&lt;=Bidding!$D$11,Raw_hydro_bm!D635,"")</f>
        <v/>
      </c>
      <c r="D635" t="str">
        <f>IF(ROW(D635)&lt;=Bidding!$D$11,Raw_hydro_bm!E635,"")</f>
        <v/>
      </c>
      <c r="E635" t="str">
        <f>IF(ROW(E635)&lt;=Bidding!$D$11,Raw_hydro_bm!F635,"")</f>
        <v/>
      </c>
      <c r="F635" t="str">
        <f>IF(ROW(F635)&lt;=Bidding!$D$11,Raw_hydro_bm!G635,"")</f>
        <v/>
      </c>
      <c r="G635" t="str">
        <f>IF(ROW(G635)&lt;=Bidding!$D$11,Raw_hydro_bm!H635,"")</f>
        <v/>
      </c>
      <c r="H635" t="str">
        <f>IF(ROW(H635)&lt;=Bidding!$D$11,Raw_hydro_bm!I635,"")</f>
        <v/>
      </c>
      <c r="I635" s="16" t="str">
        <f t="shared" si="9"/>
        <v/>
      </c>
    </row>
    <row r="636" spans="1:9" x14ac:dyDescent="0.3">
      <c r="A636" t="str">
        <f>IF(ROW(A636)&lt;=Bidding!$D$11,Raw_hydro_bm!B636,"")</f>
        <v/>
      </c>
      <c r="B636" t="str">
        <f>IF(ROW(B636)&lt;=Bidding!$D$11,Raw_hydro_bm!C636,"")</f>
        <v/>
      </c>
      <c r="C636" t="str">
        <f>IF(ROW(C636)&lt;=Bidding!$D$11,Raw_hydro_bm!D636,"")</f>
        <v/>
      </c>
      <c r="D636" t="str">
        <f>IF(ROW(D636)&lt;=Bidding!$D$11,Raw_hydro_bm!E636,"")</f>
        <v/>
      </c>
      <c r="E636" t="str">
        <f>IF(ROW(E636)&lt;=Bidding!$D$11,Raw_hydro_bm!F636,"")</f>
        <v/>
      </c>
      <c r="F636" t="str">
        <f>IF(ROW(F636)&lt;=Bidding!$D$11,Raw_hydro_bm!G636,"")</f>
        <v/>
      </c>
      <c r="G636" t="str">
        <f>IF(ROW(G636)&lt;=Bidding!$D$11,Raw_hydro_bm!H636,"")</f>
        <v/>
      </c>
      <c r="H636" t="str">
        <f>IF(ROW(H636)&lt;=Bidding!$D$11,Raw_hydro_bm!I636,"")</f>
        <v/>
      </c>
      <c r="I636" s="16" t="str">
        <f t="shared" si="9"/>
        <v/>
      </c>
    </row>
    <row r="637" spans="1:9" x14ac:dyDescent="0.3">
      <c r="A637" t="str">
        <f>IF(ROW(A637)&lt;=Bidding!$D$11,Raw_hydro_bm!B637,"")</f>
        <v/>
      </c>
      <c r="B637" t="str">
        <f>IF(ROW(B637)&lt;=Bidding!$D$11,Raw_hydro_bm!C637,"")</f>
        <v/>
      </c>
      <c r="C637" t="str">
        <f>IF(ROW(C637)&lt;=Bidding!$D$11,Raw_hydro_bm!D637,"")</f>
        <v/>
      </c>
      <c r="D637" t="str">
        <f>IF(ROW(D637)&lt;=Bidding!$D$11,Raw_hydro_bm!E637,"")</f>
        <v/>
      </c>
      <c r="E637" t="str">
        <f>IF(ROW(E637)&lt;=Bidding!$D$11,Raw_hydro_bm!F637,"")</f>
        <v/>
      </c>
      <c r="F637" t="str">
        <f>IF(ROW(F637)&lt;=Bidding!$D$11,Raw_hydro_bm!G637,"")</f>
        <v/>
      </c>
      <c r="G637" t="str">
        <f>IF(ROW(G637)&lt;=Bidding!$D$11,Raw_hydro_bm!H637,"")</f>
        <v/>
      </c>
      <c r="H637" t="str">
        <f>IF(ROW(H637)&lt;=Bidding!$D$11,Raw_hydro_bm!I637,"")</f>
        <v/>
      </c>
      <c r="I637" s="16" t="str">
        <f t="shared" si="9"/>
        <v/>
      </c>
    </row>
    <row r="638" spans="1:9" x14ac:dyDescent="0.3">
      <c r="A638" t="str">
        <f>IF(ROW(A638)&lt;=Bidding!$D$11,Raw_hydro_bm!B638,"")</f>
        <v/>
      </c>
      <c r="B638" t="str">
        <f>IF(ROW(B638)&lt;=Bidding!$D$11,Raw_hydro_bm!C638,"")</f>
        <v/>
      </c>
      <c r="C638" t="str">
        <f>IF(ROW(C638)&lt;=Bidding!$D$11,Raw_hydro_bm!D638,"")</f>
        <v/>
      </c>
      <c r="D638" t="str">
        <f>IF(ROW(D638)&lt;=Bidding!$D$11,Raw_hydro_bm!E638,"")</f>
        <v/>
      </c>
      <c r="E638" t="str">
        <f>IF(ROW(E638)&lt;=Bidding!$D$11,Raw_hydro_bm!F638,"")</f>
        <v/>
      </c>
      <c r="F638" t="str">
        <f>IF(ROW(F638)&lt;=Bidding!$D$11,Raw_hydro_bm!G638,"")</f>
        <v/>
      </c>
      <c r="G638" t="str">
        <f>IF(ROW(G638)&lt;=Bidding!$D$11,Raw_hydro_bm!H638,"")</f>
        <v/>
      </c>
      <c r="H638" t="str">
        <f>IF(ROW(H638)&lt;=Bidding!$D$11,Raw_hydro_bm!I638,"")</f>
        <v/>
      </c>
      <c r="I638" s="16" t="str">
        <f t="shared" si="9"/>
        <v/>
      </c>
    </row>
    <row r="639" spans="1:9" x14ac:dyDescent="0.3">
      <c r="A639" t="str">
        <f>IF(ROW(A639)&lt;=Bidding!$D$11,Raw_hydro_bm!B639,"")</f>
        <v/>
      </c>
      <c r="B639" t="str">
        <f>IF(ROW(B639)&lt;=Bidding!$D$11,Raw_hydro_bm!C639,"")</f>
        <v/>
      </c>
      <c r="C639" t="str">
        <f>IF(ROW(C639)&lt;=Bidding!$D$11,Raw_hydro_bm!D639,"")</f>
        <v/>
      </c>
      <c r="D639" t="str">
        <f>IF(ROW(D639)&lt;=Bidding!$D$11,Raw_hydro_bm!E639,"")</f>
        <v/>
      </c>
      <c r="E639" t="str">
        <f>IF(ROW(E639)&lt;=Bidding!$D$11,Raw_hydro_bm!F639,"")</f>
        <v/>
      </c>
      <c r="F639" t="str">
        <f>IF(ROW(F639)&lt;=Bidding!$D$11,Raw_hydro_bm!G639,"")</f>
        <v/>
      </c>
      <c r="G639" t="str">
        <f>IF(ROW(G639)&lt;=Bidding!$D$11,Raw_hydro_bm!H639,"")</f>
        <v/>
      </c>
      <c r="H639" t="str">
        <f>IF(ROW(H639)&lt;=Bidding!$D$11,Raw_hydro_bm!I639,"")</f>
        <v/>
      </c>
      <c r="I639" s="16" t="str">
        <f t="shared" si="9"/>
        <v/>
      </c>
    </row>
    <row r="640" spans="1:9" x14ac:dyDescent="0.3">
      <c r="A640" t="str">
        <f>IF(ROW(A640)&lt;=Bidding!$D$11,Raw_hydro_bm!B640,"")</f>
        <v/>
      </c>
      <c r="B640" t="str">
        <f>IF(ROW(B640)&lt;=Bidding!$D$11,Raw_hydro_bm!C640,"")</f>
        <v/>
      </c>
      <c r="C640" t="str">
        <f>IF(ROW(C640)&lt;=Bidding!$D$11,Raw_hydro_bm!D640,"")</f>
        <v/>
      </c>
      <c r="D640" t="str">
        <f>IF(ROW(D640)&lt;=Bidding!$D$11,Raw_hydro_bm!E640,"")</f>
        <v/>
      </c>
      <c r="E640" t="str">
        <f>IF(ROW(E640)&lt;=Bidding!$D$11,Raw_hydro_bm!F640,"")</f>
        <v/>
      </c>
      <c r="F640" t="str">
        <f>IF(ROW(F640)&lt;=Bidding!$D$11,Raw_hydro_bm!G640,"")</f>
        <v/>
      </c>
      <c r="G640" t="str">
        <f>IF(ROW(G640)&lt;=Bidding!$D$11,Raw_hydro_bm!H640,"")</f>
        <v/>
      </c>
      <c r="H640" t="str">
        <f>IF(ROW(H640)&lt;=Bidding!$D$11,Raw_hydro_bm!I640,"")</f>
        <v/>
      </c>
      <c r="I640" s="16" t="str">
        <f t="shared" si="9"/>
        <v/>
      </c>
    </row>
    <row r="641" spans="1:9" x14ac:dyDescent="0.3">
      <c r="A641" t="str">
        <f>IF(ROW(A641)&lt;=Bidding!$D$11,Raw_hydro_bm!B641,"")</f>
        <v/>
      </c>
      <c r="B641" t="str">
        <f>IF(ROW(B641)&lt;=Bidding!$D$11,Raw_hydro_bm!C641,"")</f>
        <v/>
      </c>
      <c r="C641" t="str">
        <f>IF(ROW(C641)&lt;=Bidding!$D$11,Raw_hydro_bm!D641,"")</f>
        <v/>
      </c>
      <c r="D641" t="str">
        <f>IF(ROW(D641)&lt;=Bidding!$D$11,Raw_hydro_bm!E641,"")</f>
        <v/>
      </c>
      <c r="E641" t="str">
        <f>IF(ROW(E641)&lt;=Bidding!$D$11,Raw_hydro_bm!F641,"")</f>
        <v/>
      </c>
      <c r="F641" t="str">
        <f>IF(ROW(F641)&lt;=Bidding!$D$11,Raw_hydro_bm!G641,"")</f>
        <v/>
      </c>
      <c r="G641" t="str">
        <f>IF(ROW(G641)&lt;=Bidding!$D$11,Raw_hydro_bm!H641,"")</f>
        <v/>
      </c>
      <c r="H641" t="str">
        <f>IF(ROW(H641)&lt;=Bidding!$D$11,Raw_hydro_bm!I641,"")</f>
        <v/>
      </c>
      <c r="I641" s="16" t="str">
        <f t="shared" si="9"/>
        <v/>
      </c>
    </row>
    <row r="642" spans="1:9" x14ac:dyDescent="0.3">
      <c r="A642" t="str">
        <f>IF(ROW(A642)&lt;=Bidding!$D$11,Raw_hydro_bm!B642,"")</f>
        <v/>
      </c>
      <c r="B642" t="str">
        <f>IF(ROW(B642)&lt;=Bidding!$D$11,Raw_hydro_bm!C642,"")</f>
        <v/>
      </c>
      <c r="C642" t="str">
        <f>IF(ROW(C642)&lt;=Bidding!$D$11,Raw_hydro_bm!D642,"")</f>
        <v/>
      </c>
      <c r="D642" t="str">
        <f>IF(ROW(D642)&lt;=Bidding!$D$11,Raw_hydro_bm!E642,"")</f>
        <v/>
      </c>
      <c r="E642" t="str">
        <f>IF(ROW(E642)&lt;=Bidding!$D$11,Raw_hydro_bm!F642,"")</f>
        <v/>
      </c>
      <c r="F642" t="str">
        <f>IF(ROW(F642)&lt;=Bidding!$D$11,Raw_hydro_bm!G642,"")</f>
        <v/>
      </c>
      <c r="G642" t="str">
        <f>IF(ROW(G642)&lt;=Bidding!$D$11,Raw_hydro_bm!H642,"")</f>
        <v/>
      </c>
      <c r="H642" t="str">
        <f>IF(ROW(H642)&lt;=Bidding!$D$11,Raw_hydro_bm!I642,"")</f>
        <v/>
      </c>
      <c r="I642" s="16" t="str">
        <f t="shared" ref="I642:I705" si="10">IF(IFERROR(FIND("e",H642),-1)&lt;0,IFERROR(_xlfn.NUMBERVALUE(LEFT(H642,FIND(".",H642)-1))+_xlfn.NUMBERVALUE("0,"&amp;RIGHT(H642,LEN(H642)-FIND(".",H642))),""),0)</f>
        <v/>
      </c>
    </row>
    <row r="643" spans="1:9" x14ac:dyDescent="0.3">
      <c r="A643" t="str">
        <f>IF(ROW(A643)&lt;=Bidding!$D$11,Raw_hydro_bm!B643,"")</f>
        <v/>
      </c>
      <c r="B643" t="str">
        <f>IF(ROW(B643)&lt;=Bidding!$D$11,Raw_hydro_bm!C643,"")</f>
        <v/>
      </c>
      <c r="C643" t="str">
        <f>IF(ROW(C643)&lt;=Bidding!$D$11,Raw_hydro_bm!D643,"")</f>
        <v/>
      </c>
      <c r="D643" t="str">
        <f>IF(ROW(D643)&lt;=Bidding!$D$11,Raw_hydro_bm!E643,"")</f>
        <v/>
      </c>
      <c r="E643" t="str">
        <f>IF(ROW(E643)&lt;=Bidding!$D$11,Raw_hydro_bm!F643,"")</f>
        <v/>
      </c>
      <c r="F643" t="str">
        <f>IF(ROW(F643)&lt;=Bidding!$D$11,Raw_hydro_bm!G643,"")</f>
        <v/>
      </c>
      <c r="G643" t="str">
        <f>IF(ROW(G643)&lt;=Bidding!$D$11,Raw_hydro_bm!H643,"")</f>
        <v/>
      </c>
      <c r="H643" t="str">
        <f>IF(ROW(H643)&lt;=Bidding!$D$11,Raw_hydro_bm!I643,"")</f>
        <v/>
      </c>
      <c r="I643" s="16" t="str">
        <f t="shared" si="10"/>
        <v/>
      </c>
    </row>
    <row r="644" spans="1:9" x14ac:dyDescent="0.3">
      <c r="A644" t="str">
        <f>IF(ROW(A644)&lt;=Bidding!$D$11,Raw_hydro_bm!B644,"")</f>
        <v/>
      </c>
      <c r="B644" t="str">
        <f>IF(ROW(B644)&lt;=Bidding!$D$11,Raw_hydro_bm!C644,"")</f>
        <v/>
      </c>
      <c r="C644" t="str">
        <f>IF(ROW(C644)&lt;=Bidding!$D$11,Raw_hydro_bm!D644,"")</f>
        <v/>
      </c>
      <c r="D644" t="str">
        <f>IF(ROW(D644)&lt;=Bidding!$D$11,Raw_hydro_bm!E644,"")</f>
        <v/>
      </c>
      <c r="E644" t="str">
        <f>IF(ROW(E644)&lt;=Bidding!$D$11,Raw_hydro_bm!F644,"")</f>
        <v/>
      </c>
      <c r="F644" t="str">
        <f>IF(ROW(F644)&lt;=Bidding!$D$11,Raw_hydro_bm!G644,"")</f>
        <v/>
      </c>
      <c r="G644" t="str">
        <f>IF(ROW(G644)&lt;=Bidding!$D$11,Raw_hydro_bm!H644,"")</f>
        <v/>
      </c>
      <c r="H644" t="str">
        <f>IF(ROW(H644)&lt;=Bidding!$D$11,Raw_hydro_bm!I644,"")</f>
        <v/>
      </c>
      <c r="I644" s="16" t="str">
        <f t="shared" si="10"/>
        <v/>
      </c>
    </row>
    <row r="645" spans="1:9" x14ac:dyDescent="0.3">
      <c r="A645" t="str">
        <f>IF(ROW(A645)&lt;=Bidding!$D$11,Raw_hydro_bm!B645,"")</f>
        <v/>
      </c>
      <c r="B645" t="str">
        <f>IF(ROW(B645)&lt;=Bidding!$D$11,Raw_hydro_bm!C645,"")</f>
        <v/>
      </c>
      <c r="C645" t="str">
        <f>IF(ROW(C645)&lt;=Bidding!$D$11,Raw_hydro_bm!D645,"")</f>
        <v/>
      </c>
      <c r="D645" t="str">
        <f>IF(ROW(D645)&lt;=Bidding!$D$11,Raw_hydro_bm!E645,"")</f>
        <v/>
      </c>
      <c r="E645" t="str">
        <f>IF(ROW(E645)&lt;=Bidding!$D$11,Raw_hydro_bm!F645,"")</f>
        <v/>
      </c>
      <c r="F645" t="str">
        <f>IF(ROW(F645)&lt;=Bidding!$D$11,Raw_hydro_bm!G645,"")</f>
        <v/>
      </c>
      <c r="G645" t="str">
        <f>IF(ROW(G645)&lt;=Bidding!$D$11,Raw_hydro_bm!H645,"")</f>
        <v/>
      </c>
      <c r="H645" t="str">
        <f>IF(ROW(H645)&lt;=Bidding!$D$11,Raw_hydro_bm!I645,"")</f>
        <v/>
      </c>
      <c r="I645" s="16" t="str">
        <f t="shared" si="10"/>
        <v/>
      </c>
    </row>
    <row r="646" spans="1:9" x14ac:dyDescent="0.3">
      <c r="A646" t="str">
        <f>IF(ROW(A646)&lt;=Bidding!$D$11,Raw_hydro_bm!B646,"")</f>
        <v/>
      </c>
      <c r="B646" t="str">
        <f>IF(ROW(B646)&lt;=Bidding!$D$11,Raw_hydro_bm!C646,"")</f>
        <v/>
      </c>
      <c r="C646" t="str">
        <f>IF(ROW(C646)&lt;=Bidding!$D$11,Raw_hydro_bm!D646,"")</f>
        <v/>
      </c>
      <c r="D646" t="str">
        <f>IF(ROW(D646)&lt;=Bidding!$D$11,Raw_hydro_bm!E646,"")</f>
        <v/>
      </c>
      <c r="E646" t="str">
        <f>IF(ROW(E646)&lt;=Bidding!$D$11,Raw_hydro_bm!F646,"")</f>
        <v/>
      </c>
      <c r="F646" t="str">
        <f>IF(ROW(F646)&lt;=Bidding!$D$11,Raw_hydro_bm!G646,"")</f>
        <v/>
      </c>
      <c r="G646" t="str">
        <f>IF(ROW(G646)&lt;=Bidding!$D$11,Raw_hydro_bm!H646,"")</f>
        <v/>
      </c>
      <c r="H646" t="str">
        <f>IF(ROW(H646)&lt;=Bidding!$D$11,Raw_hydro_bm!I646,"")</f>
        <v/>
      </c>
      <c r="I646" s="16" t="str">
        <f t="shared" si="10"/>
        <v/>
      </c>
    </row>
    <row r="647" spans="1:9" x14ac:dyDescent="0.3">
      <c r="A647" t="str">
        <f>IF(ROW(A647)&lt;=Bidding!$D$11,Raw_hydro_bm!B647,"")</f>
        <v/>
      </c>
      <c r="B647" t="str">
        <f>IF(ROW(B647)&lt;=Bidding!$D$11,Raw_hydro_bm!C647,"")</f>
        <v/>
      </c>
      <c r="C647" t="str">
        <f>IF(ROW(C647)&lt;=Bidding!$D$11,Raw_hydro_bm!D647,"")</f>
        <v/>
      </c>
      <c r="D647" t="str">
        <f>IF(ROW(D647)&lt;=Bidding!$D$11,Raw_hydro_bm!E647,"")</f>
        <v/>
      </c>
      <c r="E647" t="str">
        <f>IF(ROW(E647)&lt;=Bidding!$D$11,Raw_hydro_bm!F647,"")</f>
        <v/>
      </c>
      <c r="F647" t="str">
        <f>IF(ROW(F647)&lt;=Bidding!$D$11,Raw_hydro_bm!G647,"")</f>
        <v/>
      </c>
      <c r="G647" t="str">
        <f>IF(ROW(G647)&lt;=Bidding!$D$11,Raw_hydro_bm!H647,"")</f>
        <v/>
      </c>
      <c r="H647" t="str">
        <f>IF(ROW(H647)&lt;=Bidding!$D$11,Raw_hydro_bm!I647,"")</f>
        <v/>
      </c>
      <c r="I647" s="16" t="str">
        <f t="shared" si="10"/>
        <v/>
      </c>
    </row>
    <row r="648" spans="1:9" x14ac:dyDescent="0.3">
      <c r="A648" t="str">
        <f>IF(ROW(A648)&lt;=Bidding!$D$11,Raw_hydro_bm!B648,"")</f>
        <v/>
      </c>
      <c r="B648" t="str">
        <f>IF(ROW(B648)&lt;=Bidding!$D$11,Raw_hydro_bm!C648,"")</f>
        <v/>
      </c>
      <c r="C648" t="str">
        <f>IF(ROW(C648)&lt;=Bidding!$D$11,Raw_hydro_bm!D648,"")</f>
        <v/>
      </c>
      <c r="D648" t="str">
        <f>IF(ROW(D648)&lt;=Bidding!$D$11,Raw_hydro_bm!E648,"")</f>
        <v/>
      </c>
      <c r="E648" t="str">
        <f>IF(ROW(E648)&lt;=Bidding!$D$11,Raw_hydro_bm!F648,"")</f>
        <v/>
      </c>
      <c r="F648" t="str">
        <f>IF(ROW(F648)&lt;=Bidding!$D$11,Raw_hydro_bm!G648,"")</f>
        <v/>
      </c>
      <c r="G648" t="str">
        <f>IF(ROW(G648)&lt;=Bidding!$D$11,Raw_hydro_bm!H648,"")</f>
        <v/>
      </c>
      <c r="H648" t="str">
        <f>IF(ROW(H648)&lt;=Bidding!$D$11,Raw_hydro_bm!I648,"")</f>
        <v/>
      </c>
      <c r="I648" s="16" t="str">
        <f t="shared" si="10"/>
        <v/>
      </c>
    </row>
    <row r="649" spans="1:9" x14ac:dyDescent="0.3">
      <c r="A649" t="str">
        <f>IF(ROW(A649)&lt;=Bidding!$D$11,Raw_hydro_bm!B649,"")</f>
        <v/>
      </c>
      <c r="B649" t="str">
        <f>IF(ROW(B649)&lt;=Bidding!$D$11,Raw_hydro_bm!C649,"")</f>
        <v/>
      </c>
      <c r="C649" t="str">
        <f>IF(ROW(C649)&lt;=Bidding!$D$11,Raw_hydro_bm!D649,"")</f>
        <v/>
      </c>
      <c r="D649" t="str">
        <f>IF(ROW(D649)&lt;=Bidding!$D$11,Raw_hydro_bm!E649,"")</f>
        <v/>
      </c>
      <c r="E649" t="str">
        <f>IF(ROW(E649)&lt;=Bidding!$D$11,Raw_hydro_bm!F649,"")</f>
        <v/>
      </c>
      <c r="F649" t="str">
        <f>IF(ROW(F649)&lt;=Bidding!$D$11,Raw_hydro_bm!G649,"")</f>
        <v/>
      </c>
      <c r="G649" t="str">
        <f>IF(ROW(G649)&lt;=Bidding!$D$11,Raw_hydro_bm!H649,"")</f>
        <v/>
      </c>
      <c r="H649" t="str">
        <f>IF(ROW(H649)&lt;=Bidding!$D$11,Raw_hydro_bm!I649,"")</f>
        <v/>
      </c>
      <c r="I649" s="16" t="str">
        <f t="shared" si="10"/>
        <v/>
      </c>
    </row>
    <row r="650" spans="1:9" x14ac:dyDescent="0.3">
      <c r="A650" t="str">
        <f>IF(ROW(A650)&lt;=Bidding!$D$11,Raw_hydro_bm!B650,"")</f>
        <v/>
      </c>
      <c r="B650" t="str">
        <f>IF(ROW(B650)&lt;=Bidding!$D$11,Raw_hydro_bm!C650,"")</f>
        <v/>
      </c>
      <c r="C650" t="str">
        <f>IF(ROW(C650)&lt;=Bidding!$D$11,Raw_hydro_bm!D650,"")</f>
        <v/>
      </c>
      <c r="D650" t="str">
        <f>IF(ROW(D650)&lt;=Bidding!$D$11,Raw_hydro_bm!E650,"")</f>
        <v/>
      </c>
      <c r="E650" t="str">
        <f>IF(ROW(E650)&lt;=Bidding!$D$11,Raw_hydro_bm!F650,"")</f>
        <v/>
      </c>
      <c r="F650" t="str">
        <f>IF(ROW(F650)&lt;=Bidding!$D$11,Raw_hydro_bm!G650,"")</f>
        <v/>
      </c>
      <c r="G650" t="str">
        <f>IF(ROW(G650)&lt;=Bidding!$D$11,Raw_hydro_bm!H650,"")</f>
        <v/>
      </c>
      <c r="H650" t="str">
        <f>IF(ROW(H650)&lt;=Bidding!$D$11,Raw_hydro_bm!I650,"")</f>
        <v/>
      </c>
      <c r="I650" s="16" t="str">
        <f t="shared" si="10"/>
        <v/>
      </c>
    </row>
    <row r="651" spans="1:9" x14ac:dyDescent="0.3">
      <c r="A651" t="str">
        <f>IF(ROW(A651)&lt;=Bidding!$D$11,Raw_hydro_bm!B651,"")</f>
        <v/>
      </c>
      <c r="B651" t="str">
        <f>IF(ROW(B651)&lt;=Bidding!$D$11,Raw_hydro_bm!C651,"")</f>
        <v/>
      </c>
      <c r="C651" t="str">
        <f>IF(ROW(C651)&lt;=Bidding!$D$11,Raw_hydro_bm!D651,"")</f>
        <v/>
      </c>
      <c r="D651" t="str">
        <f>IF(ROW(D651)&lt;=Bidding!$D$11,Raw_hydro_bm!E651,"")</f>
        <v/>
      </c>
      <c r="E651" t="str">
        <f>IF(ROW(E651)&lt;=Bidding!$D$11,Raw_hydro_bm!F651,"")</f>
        <v/>
      </c>
      <c r="F651" t="str">
        <f>IF(ROW(F651)&lt;=Bidding!$D$11,Raw_hydro_bm!G651,"")</f>
        <v/>
      </c>
      <c r="G651" t="str">
        <f>IF(ROW(G651)&lt;=Bidding!$D$11,Raw_hydro_bm!H651,"")</f>
        <v/>
      </c>
      <c r="H651" t="str">
        <f>IF(ROW(H651)&lt;=Bidding!$D$11,Raw_hydro_bm!I651,"")</f>
        <v/>
      </c>
      <c r="I651" s="16" t="str">
        <f t="shared" si="10"/>
        <v/>
      </c>
    </row>
    <row r="652" spans="1:9" x14ac:dyDescent="0.3">
      <c r="A652" t="str">
        <f>IF(ROW(A652)&lt;=Bidding!$D$11,Raw_hydro_bm!B652,"")</f>
        <v/>
      </c>
      <c r="B652" t="str">
        <f>IF(ROW(B652)&lt;=Bidding!$D$11,Raw_hydro_bm!C652,"")</f>
        <v/>
      </c>
      <c r="C652" t="str">
        <f>IF(ROW(C652)&lt;=Bidding!$D$11,Raw_hydro_bm!D652,"")</f>
        <v/>
      </c>
      <c r="D652" t="str">
        <f>IF(ROW(D652)&lt;=Bidding!$D$11,Raw_hydro_bm!E652,"")</f>
        <v/>
      </c>
      <c r="E652" t="str">
        <f>IF(ROW(E652)&lt;=Bidding!$D$11,Raw_hydro_bm!F652,"")</f>
        <v/>
      </c>
      <c r="F652" t="str">
        <f>IF(ROW(F652)&lt;=Bidding!$D$11,Raw_hydro_bm!G652,"")</f>
        <v/>
      </c>
      <c r="G652" t="str">
        <f>IF(ROW(G652)&lt;=Bidding!$D$11,Raw_hydro_bm!H652,"")</f>
        <v/>
      </c>
      <c r="H652" t="str">
        <f>IF(ROW(H652)&lt;=Bidding!$D$11,Raw_hydro_bm!I652,"")</f>
        <v/>
      </c>
      <c r="I652" s="16" t="str">
        <f t="shared" si="10"/>
        <v/>
      </c>
    </row>
    <row r="653" spans="1:9" x14ac:dyDescent="0.3">
      <c r="A653" t="str">
        <f>IF(ROW(A653)&lt;=Bidding!$D$11,Raw_hydro_bm!B653,"")</f>
        <v/>
      </c>
      <c r="B653" t="str">
        <f>IF(ROW(B653)&lt;=Bidding!$D$11,Raw_hydro_bm!C653,"")</f>
        <v/>
      </c>
      <c r="C653" t="str">
        <f>IF(ROW(C653)&lt;=Bidding!$D$11,Raw_hydro_bm!D653,"")</f>
        <v/>
      </c>
      <c r="D653" t="str">
        <f>IF(ROW(D653)&lt;=Bidding!$D$11,Raw_hydro_bm!E653,"")</f>
        <v/>
      </c>
      <c r="E653" t="str">
        <f>IF(ROW(E653)&lt;=Bidding!$D$11,Raw_hydro_bm!F653,"")</f>
        <v/>
      </c>
      <c r="F653" t="str">
        <f>IF(ROW(F653)&lt;=Bidding!$D$11,Raw_hydro_bm!G653,"")</f>
        <v/>
      </c>
      <c r="G653" t="str">
        <f>IF(ROW(G653)&lt;=Bidding!$D$11,Raw_hydro_bm!H653,"")</f>
        <v/>
      </c>
      <c r="H653" t="str">
        <f>IF(ROW(H653)&lt;=Bidding!$D$11,Raw_hydro_bm!I653,"")</f>
        <v/>
      </c>
      <c r="I653" s="16" t="str">
        <f t="shared" si="10"/>
        <v/>
      </c>
    </row>
    <row r="654" spans="1:9" x14ac:dyDescent="0.3">
      <c r="A654" t="str">
        <f>IF(ROW(A654)&lt;=Bidding!$D$11,Raw_hydro_bm!B654,"")</f>
        <v/>
      </c>
      <c r="B654" t="str">
        <f>IF(ROW(B654)&lt;=Bidding!$D$11,Raw_hydro_bm!C654,"")</f>
        <v/>
      </c>
      <c r="C654" t="str">
        <f>IF(ROW(C654)&lt;=Bidding!$D$11,Raw_hydro_bm!D654,"")</f>
        <v/>
      </c>
      <c r="D654" t="str">
        <f>IF(ROW(D654)&lt;=Bidding!$D$11,Raw_hydro_bm!E654,"")</f>
        <v/>
      </c>
      <c r="E654" t="str">
        <f>IF(ROW(E654)&lt;=Bidding!$D$11,Raw_hydro_bm!F654,"")</f>
        <v/>
      </c>
      <c r="F654" t="str">
        <f>IF(ROW(F654)&lt;=Bidding!$D$11,Raw_hydro_bm!G654,"")</f>
        <v/>
      </c>
      <c r="G654" t="str">
        <f>IF(ROW(G654)&lt;=Bidding!$D$11,Raw_hydro_bm!H654,"")</f>
        <v/>
      </c>
      <c r="H654" t="str">
        <f>IF(ROW(H654)&lt;=Bidding!$D$11,Raw_hydro_bm!I654,"")</f>
        <v/>
      </c>
      <c r="I654" s="16" t="str">
        <f t="shared" si="10"/>
        <v/>
      </c>
    </row>
    <row r="655" spans="1:9" x14ac:dyDescent="0.3">
      <c r="A655" t="str">
        <f>IF(ROW(A655)&lt;=Bidding!$D$11,Raw_hydro_bm!B655,"")</f>
        <v/>
      </c>
      <c r="B655" t="str">
        <f>IF(ROW(B655)&lt;=Bidding!$D$11,Raw_hydro_bm!C655,"")</f>
        <v/>
      </c>
      <c r="C655" t="str">
        <f>IF(ROW(C655)&lt;=Bidding!$D$11,Raw_hydro_bm!D655,"")</f>
        <v/>
      </c>
      <c r="D655" t="str">
        <f>IF(ROW(D655)&lt;=Bidding!$D$11,Raw_hydro_bm!E655,"")</f>
        <v/>
      </c>
      <c r="E655" t="str">
        <f>IF(ROW(E655)&lt;=Bidding!$D$11,Raw_hydro_bm!F655,"")</f>
        <v/>
      </c>
      <c r="F655" t="str">
        <f>IF(ROW(F655)&lt;=Bidding!$D$11,Raw_hydro_bm!G655,"")</f>
        <v/>
      </c>
      <c r="G655" t="str">
        <f>IF(ROW(G655)&lt;=Bidding!$D$11,Raw_hydro_bm!H655,"")</f>
        <v/>
      </c>
      <c r="H655" t="str">
        <f>IF(ROW(H655)&lt;=Bidding!$D$11,Raw_hydro_bm!I655,"")</f>
        <v/>
      </c>
      <c r="I655" s="16" t="str">
        <f t="shared" si="10"/>
        <v/>
      </c>
    </row>
    <row r="656" spans="1:9" x14ac:dyDescent="0.3">
      <c r="A656" t="str">
        <f>IF(ROW(A656)&lt;=Bidding!$D$11,Raw_hydro_bm!B656,"")</f>
        <v/>
      </c>
      <c r="B656" t="str">
        <f>IF(ROW(B656)&lt;=Bidding!$D$11,Raw_hydro_bm!C656,"")</f>
        <v/>
      </c>
      <c r="C656" t="str">
        <f>IF(ROW(C656)&lt;=Bidding!$D$11,Raw_hydro_bm!D656,"")</f>
        <v/>
      </c>
      <c r="D656" t="str">
        <f>IF(ROW(D656)&lt;=Bidding!$D$11,Raw_hydro_bm!E656,"")</f>
        <v/>
      </c>
      <c r="E656" t="str">
        <f>IF(ROW(E656)&lt;=Bidding!$D$11,Raw_hydro_bm!F656,"")</f>
        <v/>
      </c>
      <c r="F656" t="str">
        <f>IF(ROW(F656)&lt;=Bidding!$D$11,Raw_hydro_bm!G656,"")</f>
        <v/>
      </c>
      <c r="G656" t="str">
        <f>IF(ROW(G656)&lt;=Bidding!$D$11,Raw_hydro_bm!H656,"")</f>
        <v/>
      </c>
      <c r="H656" t="str">
        <f>IF(ROW(H656)&lt;=Bidding!$D$11,Raw_hydro_bm!I656,"")</f>
        <v/>
      </c>
      <c r="I656" s="16" t="str">
        <f t="shared" si="10"/>
        <v/>
      </c>
    </row>
    <row r="657" spans="1:9" x14ac:dyDescent="0.3">
      <c r="A657" t="str">
        <f>IF(ROW(A657)&lt;=Bidding!$D$11,Raw_hydro_bm!B657,"")</f>
        <v/>
      </c>
      <c r="B657" t="str">
        <f>IF(ROW(B657)&lt;=Bidding!$D$11,Raw_hydro_bm!C657,"")</f>
        <v/>
      </c>
      <c r="C657" t="str">
        <f>IF(ROW(C657)&lt;=Bidding!$D$11,Raw_hydro_bm!D657,"")</f>
        <v/>
      </c>
      <c r="D657" t="str">
        <f>IF(ROW(D657)&lt;=Bidding!$D$11,Raw_hydro_bm!E657,"")</f>
        <v/>
      </c>
      <c r="E657" t="str">
        <f>IF(ROW(E657)&lt;=Bidding!$D$11,Raw_hydro_bm!F657,"")</f>
        <v/>
      </c>
      <c r="F657" t="str">
        <f>IF(ROW(F657)&lt;=Bidding!$D$11,Raw_hydro_bm!G657,"")</f>
        <v/>
      </c>
      <c r="G657" t="str">
        <f>IF(ROW(G657)&lt;=Bidding!$D$11,Raw_hydro_bm!H657,"")</f>
        <v/>
      </c>
      <c r="H657" t="str">
        <f>IF(ROW(H657)&lt;=Bidding!$D$11,Raw_hydro_bm!I657,"")</f>
        <v/>
      </c>
      <c r="I657" s="16" t="str">
        <f t="shared" si="10"/>
        <v/>
      </c>
    </row>
    <row r="658" spans="1:9" x14ac:dyDescent="0.3">
      <c r="A658" t="str">
        <f>IF(ROW(A658)&lt;=Bidding!$D$11,Raw_hydro_bm!B658,"")</f>
        <v/>
      </c>
      <c r="B658" t="str">
        <f>IF(ROW(B658)&lt;=Bidding!$D$11,Raw_hydro_bm!C658,"")</f>
        <v/>
      </c>
      <c r="C658" t="str">
        <f>IF(ROW(C658)&lt;=Bidding!$D$11,Raw_hydro_bm!D658,"")</f>
        <v/>
      </c>
      <c r="D658" t="str">
        <f>IF(ROW(D658)&lt;=Bidding!$D$11,Raw_hydro_bm!E658,"")</f>
        <v/>
      </c>
      <c r="E658" t="str">
        <f>IF(ROW(E658)&lt;=Bidding!$D$11,Raw_hydro_bm!F658,"")</f>
        <v/>
      </c>
      <c r="F658" t="str">
        <f>IF(ROW(F658)&lt;=Bidding!$D$11,Raw_hydro_bm!G658,"")</f>
        <v/>
      </c>
      <c r="G658" t="str">
        <f>IF(ROW(G658)&lt;=Bidding!$D$11,Raw_hydro_bm!H658,"")</f>
        <v/>
      </c>
      <c r="H658" t="str">
        <f>IF(ROW(H658)&lt;=Bidding!$D$11,Raw_hydro_bm!I658,"")</f>
        <v/>
      </c>
      <c r="I658" s="16" t="str">
        <f t="shared" si="10"/>
        <v/>
      </c>
    </row>
    <row r="659" spans="1:9" x14ac:dyDescent="0.3">
      <c r="A659" t="str">
        <f>IF(ROW(A659)&lt;=Bidding!$D$11,Raw_hydro_bm!B659,"")</f>
        <v/>
      </c>
      <c r="B659" t="str">
        <f>IF(ROW(B659)&lt;=Bidding!$D$11,Raw_hydro_bm!C659,"")</f>
        <v/>
      </c>
      <c r="C659" t="str">
        <f>IF(ROW(C659)&lt;=Bidding!$D$11,Raw_hydro_bm!D659,"")</f>
        <v/>
      </c>
      <c r="D659" t="str">
        <f>IF(ROW(D659)&lt;=Bidding!$D$11,Raw_hydro_bm!E659,"")</f>
        <v/>
      </c>
      <c r="E659" t="str">
        <f>IF(ROW(E659)&lt;=Bidding!$D$11,Raw_hydro_bm!F659,"")</f>
        <v/>
      </c>
      <c r="F659" t="str">
        <f>IF(ROW(F659)&lt;=Bidding!$D$11,Raw_hydro_bm!G659,"")</f>
        <v/>
      </c>
      <c r="G659" t="str">
        <f>IF(ROW(G659)&lt;=Bidding!$D$11,Raw_hydro_bm!H659,"")</f>
        <v/>
      </c>
      <c r="H659" t="str">
        <f>IF(ROW(H659)&lt;=Bidding!$D$11,Raw_hydro_bm!I659,"")</f>
        <v/>
      </c>
      <c r="I659" s="16" t="str">
        <f t="shared" si="10"/>
        <v/>
      </c>
    </row>
    <row r="660" spans="1:9" x14ac:dyDescent="0.3">
      <c r="A660" t="str">
        <f>IF(ROW(A660)&lt;=Bidding!$D$11,Raw_hydro_bm!B660,"")</f>
        <v/>
      </c>
      <c r="B660" t="str">
        <f>IF(ROW(B660)&lt;=Bidding!$D$11,Raw_hydro_bm!C660,"")</f>
        <v/>
      </c>
      <c r="C660" t="str">
        <f>IF(ROW(C660)&lt;=Bidding!$D$11,Raw_hydro_bm!D660,"")</f>
        <v/>
      </c>
      <c r="D660" t="str">
        <f>IF(ROW(D660)&lt;=Bidding!$D$11,Raw_hydro_bm!E660,"")</f>
        <v/>
      </c>
      <c r="E660" t="str">
        <f>IF(ROW(E660)&lt;=Bidding!$D$11,Raw_hydro_bm!F660,"")</f>
        <v/>
      </c>
      <c r="F660" t="str">
        <f>IF(ROW(F660)&lt;=Bidding!$D$11,Raw_hydro_bm!G660,"")</f>
        <v/>
      </c>
      <c r="G660" t="str">
        <f>IF(ROW(G660)&lt;=Bidding!$D$11,Raw_hydro_bm!H660,"")</f>
        <v/>
      </c>
      <c r="H660" t="str">
        <f>IF(ROW(H660)&lt;=Bidding!$D$11,Raw_hydro_bm!I660,"")</f>
        <v/>
      </c>
      <c r="I660" s="16" t="str">
        <f t="shared" si="10"/>
        <v/>
      </c>
    </row>
    <row r="661" spans="1:9" x14ac:dyDescent="0.3">
      <c r="A661" t="str">
        <f>IF(ROW(A661)&lt;=Bidding!$D$11,Raw_hydro_bm!B661,"")</f>
        <v/>
      </c>
      <c r="B661" t="str">
        <f>IF(ROW(B661)&lt;=Bidding!$D$11,Raw_hydro_bm!C661,"")</f>
        <v/>
      </c>
      <c r="C661" t="str">
        <f>IF(ROW(C661)&lt;=Bidding!$D$11,Raw_hydro_bm!D661,"")</f>
        <v/>
      </c>
      <c r="D661" t="str">
        <f>IF(ROW(D661)&lt;=Bidding!$D$11,Raw_hydro_bm!E661,"")</f>
        <v/>
      </c>
      <c r="E661" t="str">
        <f>IF(ROW(E661)&lt;=Bidding!$D$11,Raw_hydro_bm!F661,"")</f>
        <v/>
      </c>
      <c r="F661" t="str">
        <f>IF(ROW(F661)&lt;=Bidding!$D$11,Raw_hydro_bm!G661,"")</f>
        <v/>
      </c>
      <c r="G661" t="str">
        <f>IF(ROW(G661)&lt;=Bidding!$D$11,Raw_hydro_bm!H661,"")</f>
        <v/>
      </c>
      <c r="H661" t="str">
        <f>IF(ROW(H661)&lt;=Bidding!$D$11,Raw_hydro_bm!I661,"")</f>
        <v/>
      </c>
      <c r="I661" s="16" t="str">
        <f t="shared" si="10"/>
        <v/>
      </c>
    </row>
    <row r="662" spans="1:9" x14ac:dyDescent="0.3">
      <c r="A662" t="str">
        <f>IF(ROW(A662)&lt;=Bidding!$D$11,Raw_hydro_bm!B662,"")</f>
        <v/>
      </c>
      <c r="B662" t="str">
        <f>IF(ROW(B662)&lt;=Bidding!$D$11,Raw_hydro_bm!C662,"")</f>
        <v/>
      </c>
      <c r="C662" t="str">
        <f>IF(ROW(C662)&lt;=Bidding!$D$11,Raw_hydro_bm!D662,"")</f>
        <v/>
      </c>
      <c r="D662" t="str">
        <f>IF(ROW(D662)&lt;=Bidding!$D$11,Raw_hydro_bm!E662,"")</f>
        <v/>
      </c>
      <c r="E662" t="str">
        <f>IF(ROW(E662)&lt;=Bidding!$D$11,Raw_hydro_bm!F662,"")</f>
        <v/>
      </c>
      <c r="F662" t="str">
        <f>IF(ROW(F662)&lt;=Bidding!$D$11,Raw_hydro_bm!G662,"")</f>
        <v/>
      </c>
      <c r="G662" t="str">
        <f>IF(ROW(G662)&lt;=Bidding!$D$11,Raw_hydro_bm!H662,"")</f>
        <v/>
      </c>
      <c r="H662" t="str">
        <f>IF(ROW(H662)&lt;=Bidding!$D$11,Raw_hydro_bm!I662,"")</f>
        <v/>
      </c>
      <c r="I662" s="16" t="str">
        <f t="shared" si="10"/>
        <v/>
      </c>
    </row>
    <row r="663" spans="1:9" x14ac:dyDescent="0.3">
      <c r="A663" t="str">
        <f>IF(ROW(A663)&lt;=Bidding!$D$11,Raw_hydro_bm!B663,"")</f>
        <v/>
      </c>
      <c r="B663" t="str">
        <f>IF(ROW(B663)&lt;=Bidding!$D$11,Raw_hydro_bm!C663,"")</f>
        <v/>
      </c>
      <c r="C663" t="str">
        <f>IF(ROW(C663)&lt;=Bidding!$D$11,Raw_hydro_bm!D663,"")</f>
        <v/>
      </c>
      <c r="D663" t="str">
        <f>IF(ROW(D663)&lt;=Bidding!$D$11,Raw_hydro_bm!E663,"")</f>
        <v/>
      </c>
      <c r="E663" t="str">
        <f>IF(ROW(E663)&lt;=Bidding!$D$11,Raw_hydro_bm!F663,"")</f>
        <v/>
      </c>
      <c r="F663" t="str">
        <f>IF(ROW(F663)&lt;=Bidding!$D$11,Raw_hydro_bm!G663,"")</f>
        <v/>
      </c>
      <c r="G663" t="str">
        <f>IF(ROW(G663)&lt;=Bidding!$D$11,Raw_hydro_bm!H663,"")</f>
        <v/>
      </c>
      <c r="H663" t="str">
        <f>IF(ROW(H663)&lt;=Bidding!$D$11,Raw_hydro_bm!I663,"")</f>
        <v/>
      </c>
      <c r="I663" s="16" t="str">
        <f t="shared" si="10"/>
        <v/>
      </c>
    </row>
    <row r="664" spans="1:9" x14ac:dyDescent="0.3">
      <c r="A664" t="str">
        <f>IF(ROW(A664)&lt;=Bidding!$D$11,Raw_hydro_bm!B664,"")</f>
        <v/>
      </c>
      <c r="B664" t="str">
        <f>IF(ROW(B664)&lt;=Bidding!$D$11,Raw_hydro_bm!C664,"")</f>
        <v/>
      </c>
      <c r="C664" t="str">
        <f>IF(ROW(C664)&lt;=Bidding!$D$11,Raw_hydro_bm!D664,"")</f>
        <v/>
      </c>
      <c r="D664" t="str">
        <f>IF(ROW(D664)&lt;=Bidding!$D$11,Raw_hydro_bm!E664,"")</f>
        <v/>
      </c>
      <c r="E664" t="str">
        <f>IF(ROW(E664)&lt;=Bidding!$D$11,Raw_hydro_bm!F664,"")</f>
        <v/>
      </c>
      <c r="F664" t="str">
        <f>IF(ROW(F664)&lt;=Bidding!$D$11,Raw_hydro_bm!G664,"")</f>
        <v/>
      </c>
      <c r="G664" t="str">
        <f>IF(ROW(G664)&lt;=Bidding!$D$11,Raw_hydro_bm!H664,"")</f>
        <v/>
      </c>
      <c r="H664" t="str">
        <f>IF(ROW(H664)&lt;=Bidding!$D$11,Raw_hydro_bm!I664,"")</f>
        <v/>
      </c>
      <c r="I664" s="16" t="str">
        <f t="shared" si="10"/>
        <v/>
      </c>
    </row>
    <row r="665" spans="1:9" x14ac:dyDescent="0.3">
      <c r="A665" t="str">
        <f>IF(ROW(A665)&lt;=Bidding!$D$11,Raw_hydro_bm!B665,"")</f>
        <v/>
      </c>
      <c r="B665" t="str">
        <f>IF(ROW(B665)&lt;=Bidding!$D$11,Raw_hydro_bm!C665,"")</f>
        <v/>
      </c>
      <c r="C665" t="str">
        <f>IF(ROW(C665)&lt;=Bidding!$D$11,Raw_hydro_bm!D665,"")</f>
        <v/>
      </c>
      <c r="D665" t="str">
        <f>IF(ROW(D665)&lt;=Bidding!$D$11,Raw_hydro_bm!E665,"")</f>
        <v/>
      </c>
      <c r="E665" t="str">
        <f>IF(ROW(E665)&lt;=Bidding!$D$11,Raw_hydro_bm!F665,"")</f>
        <v/>
      </c>
      <c r="F665" t="str">
        <f>IF(ROW(F665)&lt;=Bidding!$D$11,Raw_hydro_bm!G665,"")</f>
        <v/>
      </c>
      <c r="G665" t="str">
        <f>IF(ROW(G665)&lt;=Bidding!$D$11,Raw_hydro_bm!H665,"")</f>
        <v/>
      </c>
      <c r="H665" t="str">
        <f>IF(ROW(H665)&lt;=Bidding!$D$11,Raw_hydro_bm!I665,"")</f>
        <v/>
      </c>
      <c r="I665" s="16" t="str">
        <f t="shared" si="10"/>
        <v/>
      </c>
    </row>
    <row r="666" spans="1:9" x14ac:dyDescent="0.3">
      <c r="A666" t="str">
        <f>IF(ROW(A666)&lt;=Bidding!$D$11,Raw_hydro_bm!B666,"")</f>
        <v/>
      </c>
      <c r="B666" t="str">
        <f>IF(ROW(B666)&lt;=Bidding!$D$11,Raw_hydro_bm!C666,"")</f>
        <v/>
      </c>
      <c r="C666" t="str">
        <f>IF(ROW(C666)&lt;=Bidding!$D$11,Raw_hydro_bm!D666,"")</f>
        <v/>
      </c>
      <c r="D666" t="str">
        <f>IF(ROW(D666)&lt;=Bidding!$D$11,Raw_hydro_bm!E666,"")</f>
        <v/>
      </c>
      <c r="E666" t="str">
        <f>IF(ROW(E666)&lt;=Bidding!$D$11,Raw_hydro_bm!F666,"")</f>
        <v/>
      </c>
      <c r="F666" t="str">
        <f>IF(ROW(F666)&lt;=Bidding!$D$11,Raw_hydro_bm!G666,"")</f>
        <v/>
      </c>
      <c r="G666" t="str">
        <f>IF(ROW(G666)&lt;=Bidding!$D$11,Raw_hydro_bm!H666,"")</f>
        <v/>
      </c>
      <c r="H666" t="str">
        <f>IF(ROW(H666)&lt;=Bidding!$D$11,Raw_hydro_bm!I666,"")</f>
        <v/>
      </c>
      <c r="I666" s="16" t="str">
        <f t="shared" si="10"/>
        <v/>
      </c>
    </row>
    <row r="667" spans="1:9" x14ac:dyDescent="0.3">
      <c r="A667" t="str">
        <f>IF(ROW(A667)&lt;=Bidding!$D$11,Raw_hydro_bm!B667,"")</f>
        <v/>
      </c>
      <c r="B667" t="str">
        <f>IF(ROW(B667)&lt;=Bidding!$D$11,Raw_hydro_bm!C667,"")</f>
        <v/>
      </c>
      <c r="C667" t="str">
        <f>IF(ROW(C667)&lt;=Bidding!$D$11,Raw_hydro_bm!D667,"")</f>
        <v/>
      </c>
      <c r="D667" t="str">
        <f>IF(ROW(D667)&lt;=Bidding!$D$11,Raw_hydro_bm!E667,"")</f>
        <v/>
      </c>
      <c r="E667" t="str">
        <f>IF(ROW(E667)&lt;=Bidding!$D$11,Raw_hydro_bm!F667,"")</f>
        <v/>
      </c>
      <c r="F667" t="str">
        <f>IF(ROW(F667)&lt;=Bidding!$D$11,Raw_hydro_bm!G667,"")</f>
        <v/>
      </c>
      <c r="G667" t="str">
        <f>IF(ROW(G667)&lt;=Bidding!$D$11,Raw_hydro_bm!H667,"")</f>
        <v/>
      </c>
      <c r="H667" t="str">
        <f>IF(ROW(H667)&lt;=Bidding!$D$11,Raw_hydro_bm!I667,"")</f>
        <v/>
      </c>
      <c r="I667" s="16" t="str">
        <f t="shared" si="10"/>
        <v/>
      </c>
    </row>
    <row r="668" spans="1:9" x14ac:dyDescent="0.3">
      <c r="A668" t="str">
        <f>IF(ROW(A668)&lt;=Bidding!$D$11,Raw_hydro_bm!B668,"")</f>
        <v/>
      </c>
      <c r="B668" t="str">
        <f>IF(ROW(B668)&lt;=Bidding!$D$11,Raw_hydro_bm!C668,"")</f>
        <v/>
      </c>
      <c r="C668" t="str">
        <f>IF(ROW(C668)&lt;=Bidding!$D$11,Raw_hydro_bm!D668,"")</f>
        <v/>
      </c>
      <c r="D668" t="str">
        <f>IF(ROW(D668)&lt;=Bidding!$D$11,Raw_hydro_bm!E668,"")</f>
        <v/>
      </c>
      <c r="E668" t="str">
        <f>IF(ROW(E668)&lt;=Bidding!$D$11,Raw_hydro_bm!F668,"")</f>
        <v/>
      </c>
      <c r="F668" t="str">
        <f>IF(ROW(F668)&lt;=Bidding!$D$11,Raw_hydro_bm!G668,"")</f>
        <v/>
      </c>
      <c r="G668" t="str">
        <f>IF(ROW(G668)&lt;=Bidding!$D$11,Raw_hydro_bm!H668,"")</f>
        <v/>
      </c>
      <c r="H668" t="str">
        <f>IF(ROW(H668)&lt;=Bidding!$D$11,Raw_hydro_bm!I668,"")</f>
        <v/>
      </c>
      <c r="I668" s="16" t="str">
        <f t="shared" si="10"/>
        <v/>
      </c>
    </row>
    <row r="669" spans="1:9" x14ac:dyDescent="0.3">
      <c r="A669" t="str">
        <f>IF(ROW(A669)&lt;=Bidding!$D$11,Raw_hydro_bm!B669,"")</f>
        <v/>
      </c>
      <c r="B669" t="str">
        <f>IF(ROW(B669)&lt;=Bidding!$D$11,Raw_hydro_bm!C669,"")</f>
        <v/>
      </c>
      <c r="C669" t="str">
        <f>IF(ROW(C669)&lt;=Bidding!$D$11,Raw_hydro_bm!D669,"")</f>
        <v/>
      </c>
      <c r="D669" t="str">
        <f>IF(ROW(D669)&lt;=Bidding!$D$11,Raw_hydro_bm!E669,"")</f>
        <v/>
      </c>
      <c r="E669" t="str">
        <f>IF(ROW(E669)&lt;=Bidding!$D$11,Raw_hydro_bm!F669,"")</f>
        <v/>
      </c>
      <c r="F669" t="str">
        <f>IF(ROW(F669)&lt;=Bidding!$D$11,Raw_hydro_bm!G669,"")</f>
        <v/>
      </c>
      <c r="G669" t="str">
        <f>IF(ROW(G669)&lt;=Bidding!$D$11,Raw_hydro_bm!H669,"")</f>
        <v/>
      </c>
      <c r="H669" t="str">
        <f>IF(ROW(H669)&lt;=Bidding!$D$11,Raw_hydro_bm!I669,"")</f>
        <v/>
      </c>
      <c r="I669" s="16" t="str">
        <f t="shared" si="10"/>
        <v/>
      </c>
    </row>
    <row r="670" spans="1:9" x14ac:dyDescent="0.3">
      <c r="A670" t="str">
        <f>IF(ROW(A670)&lt;=Bidding!$D$11,Raw_hydro_bm!B670,"")</f>
        <v/>
      </c>
      <c r="B670" t="str">
        <f>IF(ROW(B670)&lt;=Bidding!$D$11,Raw_hydro_bm!C670,"")</f>
        <v/>
      </c>
      <c r="C670" t="str">
        <f>IF(ROW(C670)&lt;=Bidding!$D$11,Raw_hydro_bm!D670,"")</f>
        <v/>
      </c>
      <c r="D670" t="str">
        <f>IF(ROW(D670)&lt;=Bidding!$D$11,Raw_hydro_bm!E670,"")</f>
        <v/>
      </c>
      <c r="E670" t="str">
        <f>IF(ROW(E670)&lt;=Bidding!$D$11,Raw_hydro_bm!F670,"")</f>
        <v/>
      </c>
      <c r="F670" t="str">
        <f>IF(ROW(F670)&lt;=Bidding!$D$11,Raw_hydro_bm!G670,"")</f>
        <v/>
      </c>
      <c r="G670" t="str">
        <f>IF(ROW(G670)&lt;=Bidding!$D$11,Raw_hydro_bm!H670,"")</f>
        <v/>
      </c>
      <c r="H670" t="str">
        <f>IF(ROW(H670)&lt;=Bidding!$D$11,Raw_hydro_bm!I670,"")</f>
        <v/>
      </c>
      <c r="I670" s="16" t="str">
        <f t="shared" si="10"/>
        <v/>
      </c>
    </row>
    <row r="671" spans="1:9" x14ac:dyDescent="0.3">
      <c r="A671" t="str">
        <f>IF(ROW(A671)&lt;=Bidding!$D$11,Raw_hydro_bm!B671,"")</f>
        <v/>
      </c>
      <c r="B671" t="str">
        <f>IF(ROW(B671)&lt;=Bidding!$D$11,Raw_hydro_bm!C671,"")</f>
        <v/>
      </c>
      <c r="C671" t="str">
        <f>IF(ROW(C671)&lt;=Bidding!$D$11,Raw_hydro_bm!D671,"")</f>
        <v/>
      </c>
      <c r="D671" t="str">
        <f>IF(ROW(D671)&lt;=Bidding!$D$11,Raw_hydro_bm!E671,"")</f>
        <v/>
      </c>
      <c r="E671" t="str">
        <f>IF(ROW(E671)&lt;=Bidding!$D$11,Raw_hydro_bm!F671,"")</f>
        <v/>
      </c>
      <c r="F671" t="str">
        <f>IF(ROW(F671)&lt;=Bidding!$D$11,Raw_hydro_bm!G671,"")</f>
        <v/>
      </c>
      <c r="G671" t="str">
        <f>IF(ROW(G671)&lt;=Bidding!$D$11,Raw_hydro_bm!H671,"")</f>
        <v/>
      </c>
      <c r="H671" t="str">
        <f>IF(ROW(H671)&lt;=Bidding!$D$11,Raw_hydro_bm!I671,"")</f>
        <v/>
      </c>
      <c r="I671" s="16" t="str">
        <f t="shared" si="10"/>
        <v/>
      </c>
    </row>
    <row r="672" spans="1:9" x14ac:dyDescent="0.3">
      <c r="A672" t="str">
        <f>IF(ROW(A672)&lt;=Bidding!$D$11,Raw_hydro_bm!B672,"")</f>
        <v/>
      </c>
      <c r="B672" t="str">
        <f>IF(ROW(B672)&lt;=Bidding!$D$11,Raw_hydro_bm!C672,"")</f>
        <v/>
      </c>
      <c r="C672" t="str">
        <f>IF(ROW(C672)&lt;=Bidding!$D$11,Raw_hydro_bm!D672,"")</f>
        <v/>
      </c>
      <c r="D672" t="str">
        <f>IF(ROW(D672)&lt;=Bidding!$D$11,Raw_hydro_bm!E672,"")</f>
        <v/>
      </c>
      <c r="E672" t="str">
        <f>IF(ROW(E672)&lt;=Bidding!$D$11,Raw_hydro_bm!F672,"")</f>
        <v/>
      </c>
      <c r="F672" t="str">
        <f>IF(ROW(F672)&lt;=Bidding!$D$11,Raw_hydro_bm!G672,"")</f>
        <v/>
      </c>
      <c r="G672" t="str">
        <f>IF(ROW(G672)&lt;=Bidding!$D$11,Raw_hydro_bm!H672,"")</f>
        <v/>
      </c>
      <c r="H672" t="str">
        <f>IF(ROW(H672)&lt;=Bidding!$D$11,Raw_hydro_bm!I672,"")</f>
        <v/>
      </c>
      <c r="I672" s="16" t="str">
        <f t="shared" si="10"/>
        <v/>
      </c>
    </row>
    <row r="673" spans="1:9" x14ac:dyDescent="0.3">
      <c r="A673" t="str">
        <f>IF(ROW(A673)&lt;=Bidding!$D$11,Raw_hydro_bm!B673,"")</f>
        <v/>
      </c>
      <c r="B673" t="str">
        <f>IF(ROW(B673)&lt;=Bidding!$D$11,Raw_hydro_bm!C673,"")</f>
        <v/>
      </c>
      <c r="C673" t="str">
        <f>IF(ROW(C673)&lt;=Bidding!$D$11,Raw_hydro_bm!D673,"")</f>
        <v/>
      </c>
      <c r="D673" t="str">
        <f>IF(ROW(D673)&lt;=Bidding!$D$11,Raw_hydro_bm!E673,"")</f>
        <v/>
      </c>
      <c r="E673" t="str">
        <f>IF(ROW(E673)&lt;=Bidding!$D$11,Raw_hydro_bm!F673,"")</f>
        <v/>
      </c>
      <c r="F673" t="str">
        <f>IF(ROW(F673)&lt;=Bidding!$D$11,Raw_hydro_bm!G673,"")</f>
        <v/>
      </c>
      <c r="G673" t="str">
        <f>IF(ROW(G673)&lt;=Bidding!$D$11,Raw_hydro_bm!H673,"")</f>
        <v/>
      </c>
      <c r="H673" t="str">
        <f>IF(ROW(H673)&lt;=Bidding!$D$11,Raw_hydro_bm!I673,"")</f>
        <v/>
      </c>
      <c r="I673" s="16" t="str">
        <f t="shared" si="10"/>
        <v/>
      </c>
    </row>
    <row r="674" spans="1:9" x14ac:dyDescent="0.3">
      <c r="A674" t="str">
        <f>IF(ROW(A674)&lt;=Bidding!$D$11,Raw_hydro_bm!B674,"")</f>
        <v/>
      </c>
      <c r="B674" t="str">
        <f>IF(ROW(B674)&lt;=Bidding!$D$11,Raw_hydro_bm!C674,"")</f>
        <v/>
      </c>
      <c r="C674" t="str">
        <f>IF(ROW(C674)&lt;=Bidding!$D$11,Raw_hydro_bm!D674,"")</f>
        <v/>
      </c>
      <c r="D674" t="str">
        <f>IF(ROW(D674)&lt;=Bidding!$D$11,Raw_hydro_bm!E674,"")</f>
        <v/>
      </c>
      <c r="E674" t="str">
        <f>IF(ROW(E674)&lt;=Bidding!$D$11,Raw_hydro_bm!F674,"")</f>
        <v/>
      </c>
      <c r="F674" t="str">
        <f>IF(ROW(F674)&lt;=Bidding!$D$11,Raw_hydro_bm!G674,"")</f>
        <v/>
      </c>
      <c r="G674" t="str">
        <f>IF(ROW(G674)&lt;=Bidding!$D$11,Raw_hydro_bm!H674,"")</f>
        <v/>
      </c>
      <c r="H674" t="str">
        <f>IF(ROW(H674)&lt;=Bidding!$D$11,Raw_hydro_bm!I674,"")</f>
        <v/>
      </c>
      <c r="I674" s="16" t="str">
        <f t="shared" si="10"/>
        <v/>
      </c>
    </row>
    <row r="675" spans="1:9" x14ac:dyDescent="0.3">
      <c r="A675" t="str">
        <f>IF(ROW(A675)&lt;=Bidding!$D$11,Raw_hydro_bm!B675,"")</f>
        <v/>
      </c>
      <c r="B675" t="str">
        <f>IF(ROW(B675)&lt;=Bidding!$D$11,Raw_hydro_bm!C675,"")</f>
        <v/>
      </c>
      <c r="C675" t="str">
        <f>IF(ROW(C675)&lt;=Bidding!$D$11,Raw_hydro_bm!D675,"")</f>
        <v/>
      </c>
      <c r="D675" t="str">
        <f>IF(ROW(D675)&lt;=Bidding!$D$11,Raw_hydro_bm!E675,"")</f>
        <v/>
      </c>
      <c r="E675" t="str">
        <f>IF(ROW(E675)&lt;=Bidding!$D$11,Raw_hydro_bm!F675,"")</f>
        <v/>
      </c>
      <c r="F675" t="str">
        <f>IF(ROW(F675)&lt;=Bidding!$D$11,Raw_hydro_bm!G675,"")</f>
        <v/>
      </c>
      <c r="G675" t="str">
        <f>IF(ROW(G675)&lt;=Bidding!$D$11,Raw_hydro_bm!H675,"")</f>
        <v/>
      </c>
      <c r="H675" t="str">
        <f>IF(ROW(H675)&lt;=Bidding!$D$11,Raw_hydro_bm!I675,"")</f>
        <v/>
      </c>
      <c r="I675" s="16" t="str">
        <f t="shared" si="10"/>
        <v/>
      </c>
    </row>
    <row r="676" spans="1:9" x14ac:dyDescent="0.3">
      <c r="A676" t="str">
        <f>IF(ROW(A676)&lt;=Bidding!$D$11,Raw_hydro_bm!B676,"")</f>
        <v/>
      </c>
      <c r="B676" t="str">
        <f>IF(ROW(B676)&lt;=Bidding!$D$11,Raw_hydro_bm!C676,"")</f>
        <v/>
      </c>
      <c r="C676" t="str">
        <f>IF(ROW(C676)&lt;=Bidding!$D$11,Raw_hydro_bm!D676,"")</f>
        <v/>
      </c>
      <c r="D676" t="str">
        <f>IF(ROW(D676)&lt;=Bidding!$D$11,Raw_hydro_bm!E676,"")</f>
        <v/>
      </c>
      <c r="E676" t="str">
        <f>IF(ROW(E676)&lt;=Bidding!$D$11,Raw_hydro_bm!F676,"")</f>
        <v/>
      </c>
      <c r="F676" t="str">
        <f>IF(ROW(F676)&lt;=Bidding!$D$11,Raw_hydro_bm!G676,"")</f>
        <v/>
      </c>
      <c r="G676" t="str">
        <f>IF(ROW(G676)&lt;=Bidding!$D$11,Raw_hydro_bm!H676,"")</f>
        <v/>
      </c>
      <c r="H676" t="str">
        <f>IF(ROW(H676)&lt;=Bidding!$D$11,Raw_hydro_bm!I676,"")</f>
        <v/>
      </c>
      <c r="I676" s="16" t="str">
        <f t="shared" si="10"/>
        <v/>
      </c>
    </row>
    <row r="677" spans="1:9" x14ac:dyDescent="0.3">
      <c r="A677" t="str">
        <f>IF(ROW(A677)&lt;=Bidding!$D$11,Raw_hydro_bm!B677,"")</f>
        <v/>
      </c>
      <c r="B677" t="str">
        <f>IF(ROW(B677)&lt;=Bidding!$D$11,Raw_hydro_bm!C677,"")</f>
        <v/>
      </c>
      <c r="C677" t="str">
        <f>IF(ROW(C677)&lt;=Bidding!$D$11,Raw_hydro_bm!D677,"")</f>
        <v/>
      </c>
      <c r="D677" t="str">
        <f>IF(ROW(D677)&lt;=Bidding!$D$11,Raw_hydro_bm!E677,"")</f>
        <v/>
      </c>
      <c r="E677" t="str">
        <f>IF(ROW(E677)&lt;=Bidding!$D$11,Raw_hydro_bm!F677,"")</f>
        <v/>
      </c>
      <c r="F677" t="str">
        <f>IF(ROW(F677)&lt;=Bidding!$D$11,Raw_hydro_bm!G677,"")</f>
        <v/>
      </c>
      <c r="G677" t="str">
        <f>IF(ROW(G677)&lt;=Bidding!$D$11,Raw_hydro_bm!H677,"")</f>
        <v/>
      </c>
      <c r="H677" t="str">
        <f>IF(ROW(H677)&lt;=Bidding!$D$11,Raw_hydro_bm!I677,"")</f>
        <v/>
      </c>
      <c r="I677" s="16" t="str">
        <f t="shared" si="10"/>
        <v/>
      </c>
    </row>
    <row r="678" spans="1:9" x14ac:dyDescent="0.3">
      <c r="A678" t="str">
        <f>IF(ROW(A678)&lt;=Bidding!$D$11,Raw_hydro_bm!B678,"")</f>
        <v/>
      </c>
      <c r="B678" t="str">
        <f>IF(ROW(B678)&lt;=Bidding!$D$11,Raw_hydro_bm!C678,"")</f>
        <v/>
      </c>
      <c r="C678" t="str">
        <f>IF(ROW(C678)&lt;=Bidding!$D$11,Raw_hydro_bm!D678,"")</f>
        <v/>
      </c>
      <c r="D678" t="str">
        <f>IF(ROW(D678)&lt;=Bidding!$D$11,Raw_hydro_bm!E678,"")</f>
        <v/>
      </c>
      <c r="E678" t="str">
        <f>IF(ROW(E678)&lt;=Bidding!$D$11,Raw_hydro_bm!F678,"")</f>
        <v/>
      </c>
      <c r="F678" t="str">
        <f>IF(ROW(F678)&lt;=Bidding!$D$11,Raw_hydro_bm!G678,"")</f>
        <v/>
      </c>
      <c r="G678" t="str">
        <f>IF(ROW(G678)&lt;=Bidding!$D$11,Raw_hydro_bm!H678,"")</f>
        <v/>
      </c>
      <c r="H678" t="str">
        <f>IF(ROW(H678)&lt;=Bidding!$D$11,Raw_hydro_bm!I678,"")</f>
        <v/>
      </c>
      <c r="I678" s="16" t="str">
        <f t="shared" si="10"/>
        <v/>
      </c>
    </row>
    <row r="679" spans="1:9" x14ac:dyDescent="0.3">
      <c r="A679" t="str">
        <f>IF(ROW(A679)&lt;=Bidding!$D$11,Raw_hydro_bm!B679,"")</f>
        <v/>
      </c>
      <c r="B679" t="str">
        <f>IF(ROW(B679)&lt;=Bidding!$D$11,Raw_hydro_bm!C679,"")</f>
        <v/>
      </c>
      <c r="C679" t="str">
        <f>IF(ROW(C679)&lt;=Bidding!$D$11,Raw_hydro_bm!D679,"")</f>
        <v/>
      </c>
      <c r="D679" t="str">
        <f>IF(ROW(D679)&lt;=Bidding!$D$11,Raw_hydro_bm!E679,"")</f>
        <v/>
      </c>
      <c r="E679" t="str">
        <f>IF(ROW(E679)&lt;=Bidding!$D$11,Raw_hydro_bm!F679,"")</f>
        <v/>
      </c>
      <c r="F679" t="str">
        <f>IF(ROW(F679)&lt;=Bidding!$D$11,Raw_hydro_bm!G679,"")</f>
        <v/>
      </c>
      <c r="G679" t="str">
        <f>IF(ROW(G679)&lt;=Bidding!$D$11,Raw_hydro_bm!H679,"")</f>
        <v/>
      </c>
      <c r="H679" t="str">
        <f>IF(ROW(H679)&lt;=Bidding!$D$11,Raw_hydro_bm!I679,"")</f>
        <v/>
      </c>
      <c r="I679" s="16" t="str">
        <f t="shared" si="10"/>
        <v/>
      </c>
    </row>
    <row r="680" spans="1:9" x14ac:dyDescent="0.3">
      <c r="A680" t="str">
        <f>IF(ROW(A680)&lt;=Bidding!$D$11,Raw_hydro_bm!B680,"")</f>
        <v/>
      </c>
      <c r="B680" t="str">
        <f>IF(ROW(B680)&lt;=Bidding!$D$11,Raw_hydro_bm!C680,"")</f>
        <v/>
      </c>
      <c r="C680" t="str">
        <f>IF(ROW(C680)&lt;=Bidding!$D$11,Raw_hydro_bm!D680,"")</f>
        <v/>
      </c>
      <c r="D680" t="str">
        <f>IF(ROW(D680)&lt;=Bidding!$D$11,Raw_hydro_bm!E680,"")</f>
        <v/>
      </c>
      <c r="E680" t="str">
        <f>IF(ROW(E680)&lt;=Bidding!$D$11,Raw_hydro_bm!F680,"")</f>
        <v/>
      </c>
      <c r="F680" t="str">
        <f>IF(ROW(F680)&lt;=Bidding!$D$11,Raw_hydro_bm!G680,"")</f>
        <v/>
      </c>
      <c r="G680" t="str">
        <f>IF(ROW(G680)&lt;=Bidding!$D$11,Raw_hydro_bm!H680,"")</f>
        <v/>
      </c>
      <c r="H680" t="str">
        <f>IF(ROW(H680)&lt;=Bidding!$D$11,Raw_hydro_bm!I680,"")</f>
        <v/>
      </c>
      <c r="I680" s="16" t="str">
        <f t="shared" si="10"/>
        <v/>
      </c>
    </row>
    <row r="681" spans="1:9" x14ac:dyDescent="0.3">
      <c r="A681" t="str">
        <f>IF(ROW(A681)&lt;=Bidding!$D$11,Raw_hydro_bm!B681,"")</f>
        <v/>
      </c>
      <c r="B681" t="str">
        <f>IF(ROW(B681)&lt;=Bidding!$D$11,Raw_hydro_bm!C681,"")</f>
        <v/>
      </c>
      <c r="C681" t="str">
        <f>IF(ROW(C681)&lt;=Bidding!$D$11,Raw_hydro_bm!D681,"")</f>
        <v/>
      </c>
      <c r="D681" t="str">
        <f>IF(ROW(D681)&lt;=Bidding!$D$11,Raw_hydro_bm!E681,"")</f>
        <v/>
      </c>
      <c r="E681" t="str">
        <f>IF(ROW(E681)&lt;=Bidding!$D$11,Raw_hydro_bm!F681,"")</f>
        <v/>
      </c>
      <c r="F681" t="str">
        <f>IF(ROW(F681)&lt;=Bidding!$D$11,Raw_hydro_bm!G681,"")</f>
        <v/>
      </c>
      <c r="G681" t="str">
        <f>IF(ROW(G681)&lt;=Bidding!$D$11,Raw_hydro_bm!H681,"")</f>
        <v/>
      </c>
      <c r="H681" t="str">
        <f>IF(ROW(H681)&lt;=Bidding!$D$11,Raw_hydro_bm!I681,"")</f>
        <v/>
      </c>
      <c r="I681" s="16" t="str">
        <f t="shared" si="10"/>
        <v/>
      </c>
    </row>
    <row r="682" spans="1:9" x14ac:dyDescent="0.3">
      <c r="A682" t="str">
        <f>IF(ROW(A682)&lt;=Bidding!$D$11,Raw_hydro_bm!B682,"")</f>
        <v/>
      </c>
      <c r="B682" t="str">
        <f>IF(ROW(B682)&lt;=Bidding!$D$11,Raw_hydro_bm!C682,"")</f>
        <v/>
      </c>
      <c r="C682" t="str">
        <f>IF(ROW(C682)&lt;=Bidding!$D$11,Raw_hydro_bm!D682,"")</f>
        <v/>
      </c>
      <c r="D682" t="str">
        <f>IF(ROW(D682)&lt;=Bidding!$D$11,Raw_hydro_bm!E682,"")</f>
        <v/>
      </c>
      <c r="E682" t="str">
        <f>IF(ROW(E682)&lt;=Bidding!$D$11,Raw_hydro_bm!F682,"")</f>
        <v/>
      </c>
      <c r="F682" t="str">
        <f>IF(ROW(F682)&lt;=Bidding!$D$11,Raw_hydro_bm!G682,"")</f>
        <v/>
      </c>
      <c r="G682" t="str">
        <f>IF(ROW(G682)&lt;=Bidding!$D$11,Raw_hydro_bm!H682,"")</f>
        <v/>
      </c>
      <c r="H682" t="str">
        <f>IF(ROW(H682)&lt;=Bidding!$D$11,Raw_hydro_bm!I682,"")</f>
        <v/>
      </c>
      <c r="I682" s="16" t="str">
        <f t="shared" si="10"/>
        <v/>
      </c>
    </row>
    <row r="683" spans="1:9" x14ac:dyDescent="0.3">
      <c r="A683" t="str">
        <f>IF(ROW(A683)&lt;=Bidding!$D$11,Raw_hydro_bm!B683,"")</f>
        <v/>
      </c>
      <c r="B683" t="str">
        <f>IF(ROW(B683)&lt;=Bidding!$D$11,Raw_hydro_bm!C683,"")</f>
        <v/>
      </c>
      <c r="C683" t="str">
        <f>IF(ROW(C683)&lt;=Bidding!$D$11,Raw_hydro_bm!D683,"")</f>
        <v/>
      </c>
      <c r="D683" t="str">
        <f>IF(ROW(D683)&lt;=Bidding!$D$11,Raw_hydro_bm!E683,"")</f>
        <v/>
      </c>
      <c r="E683" t="str">
        <f>IF(ROW(E683)&lt;=Bidding!$D$11,Raw_hydro_bm!F683,"")</f>
        <v/>
      </c>
      <c r="F683" t="str">
        <f>IF(ROW(F683)&lt;=Bidding!$D$11,Raw_hydro_bm!G683,"")</f>
        <v/>
      </c>
      <c r="G683" t="str">
        <f>IF(ROW(G683)&lt;=Bidding!$D$11,Raw_hydro_bm!H683,"")</f>
        <v/>
      </c>
      <c r="H683" t="str">
        <f>IF(ROW(H683)&lt;=Bidding!$D$11,Raw_hydro_bm!I683,"")</f>
        <v/>
      </c>
      <c r="I683" s="16" t="str">
        <f t="shared" si="10"/>
        <v/>
      </c>
    </row>
    <row r="684" spans="1:9" x14ac:dyDescent="0.3">
      <c r="A684" t="str">
        <f>IF(ROW(A684)&lt;=Bidding!$D$11,Raw_hydro_bm!B684,"")</f>
        <v/>
      </c>
      <c r="B684" t="str">
        <f>IF(ROW(B684)&lt;=Bidding!$D$11,Raw_hydro_bm!C684,"")</f>
        <v/>
      </c>
      <c r="C684" t="str">
        <f>IF(ROW(C684)&lt;=Bidding!$D$11,Raw_hydro_bm!D684,"")</f>
        <v/>
      </c>
      <c r="D684" t="str">
        <f>IF(ROW(D684)&lt;=Bidding!$D$11,Raw_hydro_bm!E684,"")</f>
        <v/>
      </c>
      <c r="E684" t="str">
        <f>IF(ROW(E684)&lt;=Bidding!$D$11,Raw_hydro_bm!F684,"")</f>
        <v/>
      </c>
      <c r="F684" t="str">
        <f>IF(ROW(F684)&lt;=Bidding!$D$11,Raw_hydro_bm!G684,"")</f>
        <v/>
      </c>
      <c r="G684" t="str">
        <f>IF(ROW(G684)&lt;=Bidding!$D$11,Raw_hydro_bm!H684,"")</f>
        <v/>
      </c>
      <c r="H684" t="str">
        <f>IF(ROW(H684)&lt;=Bidding!$D$11,Raw_hydro_bm!I684,"")</f>
        <v/>
      </c>
      <c r="I684" s="16" t="str">
        <f t="shared" si="10"/>
        <v/>
      </c>
    </row>
    <row r="685" spans="1:9" x14ac:dyDescent="0.3">
      <c r="A685" t="str">
        <f>IF(ROW(A685)&lt;=Bidding!$D$11,Raw_hydro_bm!B685,"")</f>
        <v/>
      </c>
      <c r="B685" t="str">
        <f>IF(ROW(B685)&lt;=Bidding!$D$11,Raw_hydro_bm!C685,"")</f>
        <v/>
      </c>
      <c r="C685" t="str">
        <f>IF(ROW(C685)&lt;=Bidding!$D$11,Raw_hydro_bm!D685,"")</f>
        <v/>
      </c>
      <c r="D685" t="str">
        <f>IF(ROW(D685)&lt;=Bidding!$D$11,Raw_hydro_bm!E685,"")</f>
        <v/>
      </c>
      <c r="E685" t="str">
        <f>IF(ROW(E685)&lt;=Bidding!$D$11,Raw_hydro_bm!F685,"")</f>
        <v/>
      </c>
      <c r="F685" t="str">
        <f>IF(ROW(F685)&lt;=Bidding!$D$11,Raw_hydro_bm!G685,"")</f>
        <v/>
      </c>
      <c r="G685" t="str">
        <f>IF(ROW(G685)&lt;=Bidding!$D$11,Raw_hydro_bm!H685,"")</f>
        <v/>
      </c>
      <c r="H685" t="str">
        <f>IF(ROW(H685)&lt;=Bidding!$D$11,Raw_hydro_bm!I685,"")</f>
        <v/>
      </c>
      <c r="I685" s="16" t="str">
        <f t="shared" si="10"/>
        <v/>
      </c>
    </row>
    <row r="686" spans="1:9" x14ac:dyDescent="0.3">
      <c r="A686" t="str">
        <f>IF(ROW(A686)&lt;=Bidding!$D$11,Raw_hydro_bm!B686,"")</f>
        <v/>
      </c>
      <c r="B686" t="str">
        <f>IF(ROW(B686)&lt;=Bidding!$D$11,Raw_hydro_bm!C686,"")</f>
        <v/>
      </c>
      <c r="C686" t="str">
        <f>IF(ROW(C686)&lt;=Bidding!$D$11,Raw_hydro_bm!D686,"")</f>
        <v/>
      </c>
      <c r="D686" t="str">
        <f>IF(ROW(D686)&lt;=Bidding!$D$11,Raw_hydro_bm!E686,"")</f>
        <v/>
      </c>
      <c r="E686" t="str">
        <f>IF(ROW(E686)&lt;=Bidding!$D$11,Raw_hydro_bm!F686,"")</f>
        <v/>
      </c>
      <c r="F686" t="str">
        <f>IF(ROW(F686)&lt;=Bidding!$D$11,Raw_hydro_bm!G686,"")</f>
        <v/>
      </c>
      <c r="G686" t="str">
        <f>IF(ROW(G686)&lt;=Bidding!$D$11,Raw_hydro_bm!H686,"")</f>
        <v/>
      </c>
      <c r="H686" t="str">
        <f>IF(ROW(H686)&lt;=Bidding!$D$11,Raw_hydro_bm!I686,"")</f>
        <v/>
      </c>
      <c r="I686" s="16" t="str">
        <f t="shared" si="10"/>
        <v/>
      </c>
    </row>
    <row r="687" spans="1:9" x14ac:dyDescent="0.3">
      <c r="A687" t="str">
        <f>IF(ROW(A687)&lt;=Bidding!$D$11,Raw_hydro_bm!B687,"")</f>
        <v/>
      </c>
      <c r="B687" t="str">
        <f>IF(ROW(B687)&lt;=Bidding!$D$11,Raw_hydro_bm!C687,"")</f>
        <v/>
      </c>
      <c r="C687" t="str">
        <f>IF(ROW(C687)&lt;=Bidding!$D$11,Raw_hydro_bm!D687,"")</f>
        <v/>
      </c>
      <c r="D687" t="str">
        <f>IF(ROW(D687)&lt;=Bidding!$D$11,Raw_hydro_bm!E687,"")</f>
        <v/>
      </c>
      <c r="E687" t="str">
        <f>IF(ROW(E687)&lt;=Bidding!$D$11,Raw_hydro_bm!F687,"")</f>
        <v/>
      </c>
      <c r="F687" t="str">
        <f>IF(ROW(F687)&lt;=Bidding!$D$11,Raw_hydro_bm!G687,"")</f>
        <v/>
      </c>
      <c r="G687" t="str">
        <f>IF(ROW(G687)&lt;=Bidding!$D$11,Raw_hydro_bm!H687,"")</f>
        <v/>
      </c>
      <c r="H687" t="str">
        <f>IF(ROW(H687)&lt;=Bidding!$D$11,Raw_hydro_bm!I687,"")</f>
        <v/>
      </c>
      <c r="I687" s="16" t="str">
        <f t="shared" si="10"/>
        <v/>
      </c>
    </row>
    <row r="688" spans="1:9" x14ac:dyDescent="0.3">
      <c r="A688" t="str">
        <f>IF(ROW(A688)&lt;=Bidding!$D$11,Raw_hydro_bm!B688,"")</f>
        <v/>
      </c>
      <c r="B688" t="str">
        <f>IF(ROW(B688)&lt;=Bidding!$D$11,Raw_hydro_bm!C688,"")</f>
        <v/>
      </c>
      <c r="C688" t="str">
        <f>IF(ROW(C688)&lt;=Bidding!$D$11,Raw_hydro_bm!D688,"")</f>
        <v/>
      </c>
      <c r="D688" t="str">
        <f>IF(ROW(D688)&lt;=Bidding!$D$11,Raw_hydro_bm!E688,"")</f>
        <v/>
      </c>
      <c r="E688" t="str">
        <f>IF(ROW(E688)&lt;=Bidding!$D$11,Raw_hydro_bm!F688,"")</f>
        <v/>
      </c>
      <c r="F688" t="str">
        <f>IF(ROW(F688)&lt;=Bidding!$D$11,Raw_hydro_bm!G688,"")</f>
        <v/>
      </c>
      <c r="G688" t="str">
        <f>IF(ROW(G688)&lt;=Bidding!$D$11,Raw_hydro_bm!H688,"")</f>
        <v/>
      </c>
      <c r="H688" t="str">
        <f>IF(ROW(H688)&lt;=Bidding!$D$11,Raw_hydro_bm!I688,"")</f>
        <v/>
      </c>
      <c r="I688" s="16" t="str">
        <f t="shared" si="10"/>
        <v/>
      </c>
    </row>
    <row r="689" spans="1:9" x14ac:dyDescent="0.3">
      <c r="A689" t="str">
        <f>IF(ROW(A689)&lt;=Bidding!$D$11,Raw_hydro_bm!B689,"")</f>
        <v/>
      </c>
      <c r="B689" t="str">
        <f>IF(ROW(B689)&lt;=Bidding!$D$11,Raw_hydro_bm!C689,"")</f>
        <v/>
      </c>
      <c r="C689" t="str">
        <f>IF(ROW(C689)&lt;=Bidding!$D$11,Raw_hydro_bm!D689,"")</f>
        <v/>
      </c>
      <c r="D689" t="str">
        <f>IF(ROW(D689)&lt;=Bidding!$D$11,Raw_hydro_bm!E689,"")</f>
        <v/>
      </c>
      <c r="E689" t="str">
        <f>IF(ROW(E689)&lt;=Bidding!$D$11,Raw_hydro_bm!F689,"")</f>
        <v/>
      </c>
      <c r="F689" t="str">
        <f>IF(ROW(F689)&lt;=Bidding!$D$11,Raw_hydro_bm!G689,"")</f>
        <v/>
      </c>
      <c r="G689" t="str">
        <f>IF(ROW(G689)&lt;=Bidding!$D$11,Raw_hydro_bm!H689,"")</f>
        <v/>
      </c>
      <c r="H689" t="str">
        <f>IF(ROW(H689)&lt;=Bidding!$D$11,Raw_hydro_bm!I689,"")</f>
        <v/>
      </c>
      <c r="I689" s="16" t="str">
        <f t="shared" si="10"/>
        <v/>
      </c>
    </row>
    <row r="690" spans="1:9" x14ac:dyDescent="0.3">
      <c r="A690" t="str">
        <f>IF(ROW(A690)&lt;=Bidding!$D$11,Raw_hydro_bm!B690,"")</f>
        <v/>
      </c>
      <c r="B690" t="str">
        <f>IF(ROW(B690)&lt;=Bidding!$D$11,Raw_hydro_bm!C690,"")</f>
        <v/>
      </c>
      <c r="C690" t="str">
        <f>IF(ROW(C690)&lt;=Bidding!$D$11,Raw_hydro_bm!D690,"")</f>
        <v/>
      </c>
      <c r="D690" t="str">
        <f>IF(ROW(D690)&lt;=Bidding!$D$11,Raw_hydro_bm!E690,"")</f>
        <v/>
      </c>
      <c r="E690" t="str">
        <f>IF(ROW(E690)&lt;=Bidding!$D$11,Raw_hydro_bm!F690,"")</f>
        <v/>
      </c>
      <c r="F690" t="str">
        <f>IF(ROW(F690)&lt;=Bidding!$D$11,Raw_hydro_bm!G690,"")</f>
        <v/>
      </c>
      <c r="G690" t="str">
        <f>IF(ROW(G690)&lt;=Bidding!$D$11,Raw_hydro_bm!H690,"")</f>
        <v/>
      </c>
      <c r="H690" t="str">
        <f>IF(ROW(H690)&lt;=Bidding!$D$11,Raw_hydro_bm!I690,"")</f>
        <v/>
      </c>
      <c r="I690" s="16" t="str">
        <f t="shared" si="10"/>
        <v/>
      </c>
    </row>
    <row r="691" spans="1:9" x14ac:dyDescent="0.3">
      <c r="A691" t="str">
        <f>IF(ROW(A691)&lt;=Bidding!$D$11,Raw_hydro_bm!B691,"")</f>
        <v/>
      </c>
      <c r="B691" t="str">
        <f>IF(ROW(B691)&lt;=Bidding!$D$11,Raw_hydro_bm!C691,"")</f>
        <v/>
      </c>
      <c r="C691" t="str">
        <f>IF(ROW(C691)&lt;=Bidding!$D$11,Raw_hydro_bm!D691,"")</f>
        <v/>
      </c>
      <c r="D691" t="str">
        <f>IF(ROW(D691)&lt;=Bidding!$D$11,Raw_hydro_bm!E691,"")</f>
        <v/>
      </c>
      <c r="E691" t="str">
        <f>IF(ROW(E691)&lt;=Bidding!$D$11,Raw_hydro_bm!F691,"")</f>
        <v/>
      </c>
      <c r="F691" t="str">
        <f>IF(ROW(F691)&lt;=Bidding!$D$11,Raw_hydro_bm!G691,"")</f>
        <v/>
      </c>
      <c r="G691" t="str">
        <f>IF(ROW(G691)&lt;=Bidding!$D$11,Raw_hydro_bm!H691,"")</f>
        <v/>
      </c>
      <c r="H691" t="str">
        <f>IF(ROW(H691)&lt;=Bidding!$D$11,Raw_hydro_bm!I691,"")</f>
        <v/>
      </c>
      <c r="I691" s="16" t="str">
        <f t="shared" si="10"/>
        <v/>
      </c>
    </row>
    <row r="692" spans="1:9" x14ac:dyDescent="0.3">
      <c r="A692" t="str">
        <f>IF(ROW(A692)&lt;=Bidding!$D$11,Raw_hydro_bm!B692,"")</f>
        <v/>
      </c>
      <c r="B692" t="str">
        <f>IF(ROW(B692)&lt;=Bidding!$D$11,Raw_hydro_bm!C692,"")</f>
        <v/>
      </c>
      <c r="C692" t="str">
        <f>IF(ROW(C692)&lt;=Bidding!$D$11,Raw_hydro_bm!D692,"")</f>
        <v/>
      </c>
      <c r="D692" t="str">
        <f>IF(ROW(D692)&lt;=Bidding!$D$11,Raw_hydro_bm!E692,"")</f>
        <v/>
      </c>
      <c r="E692" t="str">
        <f>IF(ROW(E692)&lt;=Bidding!$D$11,Raw_hydro_bm!F692,"")</f>
        <v/>
      </c>
      <c r="F692" t="str">
        <f>IF(ROW(F692)&lt;=Bidding!$D$11,Raw_hydro_bm!G692,"")</f>
        <v/>
      </c>
      <c r="G692" t="str">
        <f>IF(ROW(G692)&lt;=Bidding!$D$11,Raw_hydro_bm!H692,"")</f>
        <v/>
      </c>
      <c r="H692" t="str">
        <f>IF(ROW(H692)&lt;=Bidding!$D$11,Raw_hydro_bm!I692,"")</f>
        <v/>
      </c>
      <c r="I692" s="16" t="str">
        <f t="shared" si="10"/>
        <v/>
      </c>
    </row>
    <row r="693" spans="1:9" x14ac:dyDescent="0.3">
      <c r="A693" t="str">
        <f>IF(ROW(A693)&lt;=Bidding!$D$11,Raw_hydro_bm!B693,"")</f>
        <v/>
      </c>
      <c r="B693" t="str">
        <f>IF(ROW(B693)&lt;=Bidding!$D$11,Raw_hydro_bm!C693,"")</f>
        <v/>
      </c>
      <c r="C693" t="str">
        <f>IF(ROW(C693)&lt;=Bidding!$D$11,Raw_hydro_bm!D693,"")</f>
        <v/>
      </c>
      <c r="D693" t="str">
        <f>IF(ROW(D693)&lt;=Bidding!$D$11,Raw_hydro_bm!E693,"")</f>
        <v/>
      </c>
      <c r="E693" t="str">
        <f>IF(ROW(E693)&lt;=Bidding!$D$11,Raw_hydro_bm!F693,"")</f>
        <v/>
      </c>
      <c r="F693" t="str">
        <f>IF(ROW(F693)&lt;=Bidding!$D$11,Raw_hydro_bm!G693,"")</f>
        <v/>
      </c>
      <c r="G693" t="str">
        <f>IF(ROW(G693)&lt;=Bidding!$D$11,Raw_hydro_bm!H693,"")</f>
        <v/>
      </c>
      <c r="H693" t="str">
        <f>IF(ROW(H693)&lt;=Bidding!$D$11,Raw_hydro_bm!I693,"")</f>
        <v/>
      </c>
      <c r="I693" s="16" t="str">
        <f t="shared" si="10"/>
        <v/>
      </c>
    </row>
    <row r="694" spans="1:9" x14ac:dyDescent="0.3">
      <c r="A694" t="str">
        <f>IF(ROW(A694)&lt;=Bidding!$D$11,Raw_hydro_bm!B694,"")</f>
        <v/>
      </c>
      <c r="B694" t="str">
        <f>IF(ROW(B694)&lt;=Bidding!$D$11,Raw_hydro_bm!C694,"")</f>
        <v/>
      </c>
      <c r="C694" t="str">
        <f>IF(ROW(C694)&lt;=Bidding!$D$11,Raw_hydro_bm!D694,"")</f>
        <v/>
      </c>
      <c r="D694" t="str">
        <f>IF(ROW(D694)&lt;=Bidding!$D$11,Raw_hydro_bm!E694,"")</f>
        <v/>
      </c>
      <c r="E694" t="str">
        <f>IF(ROW(E694)&lt;=Bidding!$D$11,Raw_hydro_bm!F694,"")</f>
        <v/>
      </c>
      <c r="F694" t="str">
        <f>IF(ROW(F694)&lt;=Bidding!$D$11,Raw_hydro_bm!G694,"")</f>
        <v/>
      </c>
      <c r="G694" t="str">
        <f>IF(ROW(G694)&lt;=Bidding!$D$11,Raw_hydro_bm!H694,"")</f>
        <v/>
      </c>
      <c r="H694" t="str">
        <f>IF(ROW(H694)&lt;=Bidding!$D$11,Raw_hydro_bm!I694,"")</f>
        <v/>
      </c>
      <c r="I694" s="16" t="str">
        <f t="shared" si="10"/>
        <v/>
      </c>
    </row>
    <row r="695" spans="1:9" x14ac:dyDescent="0.3">
      <c r="A695" t="str">
        <f>IF(ROW(A695)&lt;=Bidding!$D$11,Raw_hydro_bm!B695,"")</f>
        <v/>
      </c>
      <c r="B695" t="str">
        <f>IF(ROW(B695)&lt;=Bidding!$D$11,Raw_hydro_bm!C695,"")</f>
        <v/>
      </c>
      <c r="C695" t="str">
        <f>IF(ROW(C695)&lt;=Bidding!$D$11,Raw_hydro_bm!D695,"")</f>
        <v/>
      </c>
      <c r="D695" t="str">
        <f>IF(ROW(D695)&lt;=Bidding!$D$11,Raw_hydro_bm!E695,"")</f>
        <v/>
      </c>
      <c r="E695" t="str">
        <f>IF(ROW(E695)&lt;=Bidding!$D$11,Raw_hydro_bm!F695,"")</f>
        <v/>
      </c>
      <c r="F695" t="str">
        <f>IF(ROW(F695)&lt;=Bidding!$D$11,Raw_hydro_bm!G695,"")</f>
        <v/>
      </c>
      <c r="G695" t="str">
        <f>IF(ROW(G695)&lt;=Bidding!$D$11,Raw_hydro_bm!H695,"")</f>
        <v/>
      </c>
      <c r="H695" t="str">
        <f>IF(ROW(H695)&lt;=Bidding!$D$11,Raw_hydro_bm!I695,"")</f>
        <v/>
      </c>
      <c r="I695" s="16" t="str">
        <f t="shared" si="10"/>
        <v/>
      </c>
    </row>
    <row r="696" spans="1:9" x14ac:dyDescent="0.3">
      <c r="A696" t="str">
        <f>IF(ROW(A696)&lt;=Bidding!$D$11,Raw_hydro_bm!B696,"")</f>
        <v/>
      </c>
      <c r="B696" t="str">
        <f>IF(ROW(B696)&lt;=Bidding!$D$11,Raw_hydro_bm!C696,"")</f>
        <v/>
      </c>
      <c r="C696" t="str">
        <f>IF(ROW(C696)&lt;=Bidding!$D$11,Raw_hydro_bm!D696,"")</f>
        <v/>
      </c>
      <c r="D696" t="str">
        <f>IF(ROW(D696)&lt;=Bidding!$D$11,Raw_hydro_bm!E696,"")</f>
        <v/>
      </c>
      <c r="E696" t="str">
        <f>IF(ROW(E696)&lt;=Bidding!$D$11,Raw_hydro_bm!F696,"")</f>
        <v/>
      </c>
      <c r="F696" t="str">
        <f>IF(ROW(F696)&lt;=Bidding!$D$11,Raw_hydro_bm!G696,"")</f>
        <v/>
      </c>
      <c r="G696" t="str">
        <f>IF(ROW(G696)&lt;=Bidding!$D$11,Raw_hydro_bm!H696,"")</f>
        <v/>
      </c>
      <c r="H696" t="str">
        <f>IF(ROW(H696)&lt;=Bidding!$D$11,Raw_hydro_bm!I696,"")</f>
        <v/>
      </c>
      <c r="I696" s="16" t="str">
        <f t="shared" si="10"/>
        <v/>
      </c>
    </row>
    <row r="697" spans="1:9" x14ac:dyDescent="0.3">
      <c r="A697" t="str">
        <f>IF(ROW(A697)&lt;=Bidding!$D$11,Raw_hydro_bm!B697,"")</f>
        <v/>
      </c>
      <c r="B697" t="str">
        <f>IF(ROW(B697)&lt;=Bidding!$D$11,Raw_hydro_bm!C697,"")</f>
        <v/>
      </c>
      <c r="C697" t="str">
        <f>IF(ROW(C697)&lt;=Bidding!$D$11,Raw_hydro_bm!D697,"")</f>
        <v/>
      </c>
      <c r="D697" t="str">
        <f>IF(ROW(D697)&lt;=Bidding!$D$11,Raw_hydro_bm!E697,"")</f>
        <v/>
      </c>
      <c r="E697" t="str">
        <f>IF(ROW(E697)&lt;=Bidding!$D$11,Raw_hydro_bm!F697,"")</f>
        <v/>
      </c>
      <c r="F697" t="str">
        <f>IF(ROW(F697)&lt;=Bidding!$D$11,Raw_hydro_bm!G697,"")</f>
        <v/>
      </c>
      <c r="G697" t="str">
        <f>IF(ROW(G697)&lt;=Bidding!$D$11,Raw_hydro_bm!H697,"")</f>
        <v/>
      </c>
      <c r="H697" t="str">
        <f>IF(ROW(H697)&lt;=Bidding!$D$11,Raw_hydro_bm!I697,"")</f>
        <v/>
      </c>
      <c r="I697" s="16" t="str">
        <f t="shared" si="10"/>
        <v/>
      </c>
    </row>
    <row r="698" spans="1:9" x14ac:dyDescent="0.3">
      <c r="A698" t="str">
        <f>IF(ROW(A698)&lt;=Bidding!$D$11,Raw_hydro_bm!B698,"")</f>
        <v/>
      </c>
      <c r="B698" t="str">
        <f>IF(ROW(B698)&lt;=Bidding!$D$11,Raw_hydro_bm!C698,"")</f>
        <v/>
      </c>
      <c r="C698" t="str">
        <f>IF(ROW(C698)&lt;=Bidding!$D$11,Raw_hydro_bm!D698,"")</f>
        <v/>
      </c>
      <c r="D698" t="str">
        <f>IF(ROW(D698)&lt;=Bidding!$D$11,Raw_hydro_bm!E698,"")</f>
        <v/>
      </c>
      <c r="E698" t="str">
        <f>IF(ROW(E698)&lt;=Bidding!$D$11,Raw_hydro_bm!F698,"")</f>
        <v/>
      </c>
      <c r="F698" t="str">
        <f>IF(ROW(F698)&lt;=Bidding!$D$11,Raw_hydro_bm!G698,"")</f>
        <v/>
      </c>
      <c r="G698" t="str">
        <f>IF(ROW(G698)&lt;=Bidding!$D$11,Raw_hydro_bm!H698,"")</f>
        <v/>
      </c>
      <c r="H698" t="str">
        <f>IF(ROW(H698)&lt;=Bidding!$D$11,Raw_hydro_bm!I698,"")</f>
        <v/>
      </c>
      <c r="I698" s="16" t="str">
        <f t="shared" si="10"/>
        <v/>
      </c>
    </row>
    <row r="699" spans="1:9" x14ac:dyDescent="0.3">
      <c r="A699" t="str">
        <f>IF(ROW(A699)&lt;=Bidding!$D$11,Raw_hydro_bm!B699,"")</f>
        <v/>
      </c>
      <c r="B699" t="str">
        <f>IF(ROW(B699)&lt;=Bidding!$D$11,Raw_hydro_bm!C699,"")</f>
        <v/>
      </c>
      <c r="C699" t="str">
        <f>IF(ROW(C699)&lt;=Bidding!$D$11,Raw_hydro_bm!D699,"")</f>
        <v/>
      </c>
      <c r="D699" t="str">
        <f>IF(ROW(D699)&lt;=Bidding!$D$11,Raw_hydro_bm!E699,"")</f>
        <v/>
      </c>
      <c r="E699" t="str">
        <f>IF(ROW(E699)&lt;=Bidding!$D$11,Raw_hydro_bm!F699,"")</f>
        <v/>
      </c>
      <c r="F699" t="str">
        <f>IF(ROW(F699)&lt;=Bidding!$D$11,Raw_hydro_bm!G699,"")</f>
        <v/>
      </c>
      <c r="G699" t="str">
        <f>IF(ROW(G699)&lt;=Bidding!$D$11,Raw_hydro_bm!H699,"")</f>
        <v/>
      </c>
      <c r="H699" t="str">
        <f>IF(ROW(H699)&lt;=Bidding!$D$11,Raw_hydro_bm!I699,"")</f>
        <v/>
      </c>
      <c r="I699" s="16" t="str">
        <f t="shared" si="10"/>
        <v/>
      </c>
    </row>
    <row r="700" spans="1:9" x14ac:dyDescent="0.3">
      <c r="A700" t="str">
        <f>IF(ROW(A700)&lt;=Bidding!$D$11,Raw_hydro_bm!B700,"")</f>
        <v/>
      </c>
      <c r="B700" t="str">
        <f>IF(ROW(B700)&lt;=Bidding!$D$11,Raw_hydro_bm!C700,"")</f>
        <v/>
      </c>
      <c r="C700" t="str">
        <f>IF(ROW(C700)&lt;=Bidding!$D$11,Raw_hydro_bm!D700,"")</f>
        <v/>
      </c>
      <c r="D700" t="str">
        <f>IF(ROW(D700)&lt;=Bidding!$D$11,Raw_hydro_bm!E700,"")</f>
        <v/>
      </c>
      <c r="E700" t="str">
        <f>IF(ROW(E700)&lt;=Bidding!$D$11,Raw_hydro_bm!F700,"")</f>
        <v/>
      </c>
      <c r="F700" t="str">
        <f>IF(ROW(F700)&lt;=Bidding!$D$11,Raw_hydro_bm!G700,"")</f>
        <v/>
      </c>
      <c r="G700" t="str">
        <f>IF(ROW(G700)&lt;=Bidding!$D$11,Raw_hydro_bm!H700,"")</f>
        <v/>
      </c>
      <c r="H700" t="str">
        <f>IF(ROW(H700)&lt;=Bidding!$D$11,Raw_hydro_bm!I700,"")</f>
        <v/>
      </c>
      <c r="I700" s="16" t="str">
        <f t="shared" si="10"/>
        <v/>
      </c>
    </row>
    <row r="701" spans="1:9" x14ac:dyDescent="0.3">
      <c r="A701" t="str">
        <f>IF(ROW(A701)&lt;=Bidding!$D$11,Raw_hydro_bm!B701,"")</f>
        <v/>
      </c>
      <c r="B701" t="str">
        <f>IF(ROW(B701)&lt;=Bidding!$D$11,Raw_hydro_bm!C701,"")</f>
        <v/>
      </c>
      <c r="C701" t="str">
        <f>IF(ROW(C701)&lt;=Bidding!$D$11,Raw_hydro_bm!D701,"")</f>
        <v/>
      </c>
      <c r="D701" t="str">
        <f>IF(ROW(D701)&lt;=Bidding!$D$11,Raw_hydro_bm!E701,"")</f>
        <v/>
      </c>
      <c r="E701" t="str">
        <f>IF(ROW(E701)&lt;=Bidding!$D$11,Raw_hydro_bm!F701,"")</f>
        <v/>
      </c>
      <c r="F701" t="str">
        <f>IF(ROW(F701)&lt;=Bidding!$D$11,Raw_hydro_bm!G701,"")</f>
        <v/>
      </c>
      <c r="G701" t="str">
        <f>IF(ROW(G701)&lt;=Bidding!$D$11,Raw_hydro_bm!H701,"")</f>
        <v/>
      </c>
      <c r="H701" t="str">
        <f>IF(ROW(H701)&lt;=Bidding!$D$11,Raw_hydro_bm!I701,"")</f>
        <v/>
      </c>
      <c r="I701" s="16" t="str">
        <f t="shared" si="10"/>
        <v/>
      </c>
    </row>
    <row r="702" spans="1:9" x14ac:dyDescent="0.3">
      <c r="A702" t="str">
        <f>IF(ROW(A702)&lt;=Bidding!$D$11,Raw_hydro_bm!B702,"")</f>
        <v/>
      </c>
      <c r="B702" t="str">
        <f>IF(ROW(B702)&lt;=Bidding!$D$11,Raw_hydro_bm!C702,"")</f>
        <v/>
      </c>
      <c r="C702" t="str">
        <f>IF(ROW(C702)&lt;=Bidding!$D$11,Raw_hydro_bm!D702,"")</f>
        <v/>
      </c>
      <c r="D702" t="str">
        <f>IF(ROW(D702)&lt;=Bidding!$D$11,Raw_hydro_bm!E702,"")</f>
        <v/>
      </c>
      <c r="E702" t="str">
        <f>IF(ROW(E702)&lt;=Bidding!$D$11,Raw_hydro_bm!F702,"")</f>
        <v/>
      </c>
      <c r="F702" t="str">
        <f>IF(ROW(F702)&lt;=Bidding!$D$11,Raw_hydro_bm!G702,"")</f>
        <v/>
      </c>
      <c r="G702" t="str">
        <f>IF(ROW(G702)&lt;=Bidding!$D$11,Raw_hydro_bm!H702,"")</f>
        <v/>
      </c>
      <c r="H702" t="str">
        <f>IF(ROW(H702)&lt;=Bidding!$D$11,Raw_hydro_bm!I702,"")</f>
        <v/>
      </c>
      <c r="I702" s="16" t="str">
        <f t="shared" si="10"/>
        <v/>
      </c>
    </row>
    <row r="703" spans="1:9" x14ac:dyDescent="0.3">
      <c r="A703" t="str">
        <f>IF(ROW(A703)&lt;=Bidding!$D$11,Raw_hydro_bm!B703,"")</f>
        <v/>
      </c>
      <c r="B703" t="str">
        <f>IF(ROW(B703)&lt;=Bidding!$D$11,Raw_hydro_bm!C703,"")</f>
        <v/>
      </c>
      <c r="C703" t="str">
        <f>IF(ROW(C703)&lt;=Bidding!$D$11,Raw_hydro_bm!D703,"")</f>
        <v/>
      </c>
      <c r="D703" t="str">
        <f>IF(ROW(D703)&lt;=Bidding!$D$11,Raw_hydro_bm!E703,"")</f>
        <v/>
      </c>
      <c r="E703" t="str">
        <f>IF(ROW(E703)&lt;=Bidding!$D$11,Raw_hydro_bm!F703,"")</f>
        <v/>
      </c>
      <c r="F703" t="str">
        <f>IF(ROW(F703)&lt;=Bidding!$D$11,Raw_hydro_bm!G703,"")</f>
        <v/>
      </c>
      <c r="G703" t="str">
        <f>IF(ROW(G703)&lt;=Bidding!$D$11,Raw_hydro_bm!H703,"")</f>
        <v/>
      </c>
      <c r="H703" t="str">
        <f>IF(ROW(H703)&lt;=Bidding!$D$11,Raw_hydro_bm!I703,"")</f>
        <v/>
      </c>
      <c r="I703" s="16" t="str">
        <f t="shared" si="10"/>
        <v/>
      </c>
    </row>
    <row r="704" spans="1:9" x14ac:dyDescent="0.3">
      <c r="A704" t="str">
        <f>IF(ROW(A704)&lt;=Bidding!$D$11,Raw_hydro_bm!B704,"")</f>
        <v/>
      </c>
      <c r="B704" t="str">
        <f>IF(ROW(B704)&lt;=Bidding!$D$11,Raw_hydro_bm!C704,"")</f>
        <v/>
      </c>
      <c r="C704" t="str">
        <f>IF(ROW(C704)&lt;=Bidding!$D$11,Raw_hydro_bm!D704,"")</f>
        <v/>
      </c>
      <c r="D704" t="str">
        <f>IF(ROW(D704)&lt;=Bidding!$D$11,Raw_hydro_bm!E704,"")</f>
        <v/>
      </c>
      <c r="E704" t="str">
        <f>IF(ROW(E704)&lt;=Bidding!$D$11,Raw_hydro_bm!F704,"")</f>
        <v/>
      </c>
      <c r="F704" t="str">
        <f>IF(ROW(F704)&lt;=Bidding!$D$11,Raw_hydro_bm!G704,"")</f>
        <v/>
      </c>
      <c r="G704" t="str">
        <f>IF(ROW(G704)&lt;=Bidding!$D$11,Raw_hydro_bm!H704,"")</f>
        <v/>
      </c>
      <c r="H704" t="str">
        <f>IF(ROW(H704)&lt;=Bidding!$D$11,Raw_hydro_bm!I704,"")</f>
        <v/>
      </c>
      <c r="I704" s="16" t="str">
        <f t="shared" si="10"/>
        <v/>
      </c>
    </row>
    <row r="705" spans="1:9" x14ac:dyDescent="0.3">
      <c r="A705" t="str">
        <f>IF(ROW(A705)&lt;=Bidding!$D$11,Raw_hydro_bm!B705,"")</f>
        <v/>
      </c>
      <c r="B705" t="str">
        <f>IF(ROW(B705)&lt;=Bidding!$D$11,Raw_hydro_bm!C705,"")</f>
        <v/>
      </c>
      <c r="C705" t="str">
        <f>IF(ROW(C705)&lt;=Bidding!$D$11,Raw_hydro_bm!D705,"")</f>
        <v/>
      </c>
      <c r="D705" t="str">
        <f>IF(ROW(D705)&lt;=Bidding!$D$11,Raw_hydro_bm!E705,"")</f>
        <v/>
      </c>
      <c r="E705" t="str">
        <f>IF(ROW(E705)&lt;=Bidding!$D$11,Raw_hydro_bm!F705,"")</f>
        <v/>
      </c>
      <c r="F705" t="str">
        <f>IF(ROW(F705)&lt;=Bidding!$D$11,Raw_hydro_bm!G705,"")</f>
        <v/>
      </c>
      <c r="G705" t="str">
        <f>IF(ROW(G705)&lt;=Bidding!$D$11,Raw_hydro_bm!H705,"")</f>
        <v/>
      </c>
      <c r="H705" t="str">
        <f>IF(ROW(H705)&lt;=Bidding!$D$11,Raw_hydro_bm!I705,"")</f>
        <v/>
      </c>
      <c r="I705" s="16" t="str">
        <f t="shared" si="10"/>
        <v/>
      </c>
    </row>
    <row r="706" spans="1:9" x14ac:dyDescent="0.3">
      <c r="A706" t="str">
        <f>IF(ROW(A706)&lt;=Bidding!$D$11,Raw_hydro_bm!B706,"")</f>
        <v/>
      </c>
      <c r="B706" t="str">
        <f>IF(ROW(B706)&lt;=Bidding!$D$11,Raw_hydro_bm!C706,"")</f>
        <v/>
      </c>
      <c r="C706" t="str">
        <f>IF(ROW(C706)&lt;=Bidding!$D$11,Raw_hydro_bm!D706,"")</f>
        <v/>
      </c>
      <c r="D706" t="str">
        <f>IF(ROW(D706)&lt;=Bidding!$D$11,Raw_hydro_bm!E706,"")</f>
        <v/>
      </c>
      <c r="E706" t="str">
        <f>IF(ROW(E706)&lt;=Bidding!$D$11,Raw_hydro_bm!F706,"")</f>
        <v/>
      </c>
      <c r="F706" t="str">
        <f>IF(ROW(F706)&lt;=Bidding!$D$11,Raw_hydro_bm!G706,"")</f>
        <v/>
      </c>
      <c r="G706" t="str">
        <f>IF(ROW(G706)&lt;=Bidding!$D$11,Raw_hydro_bm!H706,"")</f>
        <v/>
      </c>
      <c r="H706" t="str">
        <f>IF(ROW(H706)&lt;=Bidding!$D$11,Raw_hydro_bm!I706,"")</f>
        <v/>
      </c>
      <c r="I706" s="16" t="str">
        <f t="shared" ref="I706:I769" si="11">IF(IFERROR(FIND("e",H706),-1)&lt;0,IFERROR(_xlfn.NUMBERVALUE(LEFT(H706,FIND(".",H706)-1))+_xlfn.NUMBERVALUE("0,"&amp;RIGHT(H706,LEN(H706)-FIND(".",H706))),""),0)</f>
        <v/>
      </c>
    </row>
    <row r="707" spans="1:9" x14ac:dyDescent="0.3">
      <c r="A707" t="str">
        <f>IF(ROW(A707)&lt;=Bidding!$D$11,Raw_hydro_bm!B707,"")</f>
        <v/>
      </c>
      <c r="B707" t="str">
        <f>IF(ROW(B707)&lt;=Bidding!$D$11,Raw_hydro_bm!C707,"")</f>
        <v/>
      </c>
      <c r="C707" t="str">
        <f>IF(ROW(C707)&lt;=Bidding!$D$11,Raw_hydro_bm!D707,"")</f>
        <v/>
      </c>
      <c r="D707" t="str">
        <f>IF(ROW(D707)&lt;=Bidding!$D$11,Raw_hydro_bm!E707,"")</f>
        <v/>
      </c>
      <c r="E707" t="str">
        <f>IF(ROW(E707)&lt;=Bidding!$D$11,Raw_hydro_bm!F707,"")</f>
        <v/>
      </c>
      <c r="F707" t="str">
        <f>IF(ROW(F707)&lt;=Bidding!$D$11,Raw_hydro_bm!G707,"")</f>
        <v/>
      </c>
      <c r="G707" t="str">
        <f>IF(ROW(G707)&lt;=Bidding!$D$11,Raw_hydro_bm!H707,"")</f>
        <v/>
      </c>
      <c r="H707" t="str">
        <f>IF(ROW(H707)&lt;=Bidding!$D$11,Raw_hydro_bm!I707,"")</f>
        <v/>
      </c>
      <c r="I707" s="16" t="str">
        <f t="shared" si="11"/>
        <v/>
      </c>
    </row>
    <row r="708" spans="1:9" x14ac:dyDescent="0.3">
      <c r="A708" t="str">
        <f>IF(ROW(A708)&lt;=Bidding!$D$11,Raw_hydro_bm!B708,"")</f>
        <v/>
      </c>
      <c r="B708" t="str">
        <f>IF(ROW(B708)&lt;=Bidding!$D$11,Raw_hydro_bm!C708,"")</f>
        <v/>
      </c>
      <c r="C708" t="str">
        <f>IF(ROW(C708)&lt;=Bidding!$D$11,Raw_hydro_bm!D708,"")</f>
        <v/>
      </c>
      <c r="D708" t="str">
        <f>IF(ROW(D708)&lt;=Bidding!$D$11,Raw_hydro_bm!E708,"")</f>
        <v/>
      </c>
      <c r="E708" t="str">
        <f>IF(ROW(E708)&lt;=Bidding!$D$11,Raw_hydro_bm!F708,"")</f>
        <v/>
      </c>
      <c r="F708" t="str">
        <f>IF(ROW(F708)&lt;=Bidding!$D$11,Raw_hydro_bm!G708,"")</f>
        <v/>
      </c>
      <c r="G708" t="str">
        <f>IF(ROW(G708)&lt;=Bidding!$D$11,Raw_hydro_bm!H708,"")</f>
        <v/>
      </c>
      <c r="H708" t="str">
        <f>IF(ROW(H708)&lt;=Bidding!$D$11,Raw_hydro_bm!I708,"")</f>
        <v/>
      </c>
      <c r="I708" s="16" t="str">
        <f t="shared" si="11"/>
        <v/>
      </c>
    </row>
    <row r="709" spans="1:9" x14ac:dyDescent="0.3">
      <c r="A709" t="str">
        <f>IF(ROW(A709)&lt;=Bidding!$D$11,Raw_hydro_bm!B709,"")</f>
        <v/>
      </c>
      <c r="B709" t="str">
        <f>IF(ROW(B709)&lt;=Bidding!$D$11,Raw_hydro_bm!C709,"")</f>
        <v/>
      </c>
      <c r="C709" t="str">
        <f>IF(ROW(C709)&lt;=Bidding!$D$11,Raw_hydro_bm!D709,"")</f>
        <v/>
      </c>
      <c r="D709" t="str">
        <f>IF(ROW(D709)&lt;=Bidding!$D$11,Raw_hydro_bm!E709,"")</f>
        <v/>
      </c>
      <c r="E709" t="str">
        <f>IF(ROW(E709)&lt;=Bidding!$D$11,Raw_hydro_bm!F709,"")</f>
        <v/>
      </c>
      <c r="F709" t="str">
        <f>IF(ROW(F709)&lt;=Bidding!$D$11,Raw_hydro_bm!G709,"")</f>
        <v/>
      </c>
      <c r="G709" t="str">
        <f>IF(ROW(G709)&lt;=Bidding!$D$11,Raw_hydro_bm!H709,"")</f>
        <v/>
      </c>
      <c r="H709" t="str">
        <f>IF(ROW(H709)&lt;=Bidding!$D$11,Raw_hydro_bm!I709,"")</f>
        <v/>
      </c>
      <c r="I709" s="16" t="str">
        <f t="shared" si="11"/>
        <v/>
      </c>
    </row>
    <row r="710" spans="1:9" x14ac:dyDescent="0.3">
      <c r="A710" t="str">
        <f>IF(ROW(A710)&lt;=Bidding!$D$11,Raw_hydro_bm!B710,"")</f>
        <v/>
      </c>
      <c r="B710" t="str">
        <f>IF(ROW(B710)&lt;=Bidding!$D$11,Raw_hydro_bm!C710,"")</f>
        <v/>
      </c>
      <c r="C710" t="str">
        <f>IF(ROW(C710)&lt;=Bidding!$D$11,Raw_hydro_bm!D710,"")</f>
        <v/>
      </c>
      <c r="D710" t="str">
        <f>IF(ROW(D710)&lt;=Bidding!$D$11,Raw_hydro_bm!E710,"")</f>
        <v/>
      </c>
      <c r="E710" t="str">
        <f>IF(ROW(E710)&lt;=Bidding!$D$11,Raw_hydro_bm!F710,"")</f>
        <v/>
      </c>
      <c r="F710" t="str">
        <f>IF(ROW(F710)&lt;=Bidding!$D$11,Raw_hydro_bm!G710,"")</f>
        <v/>
      </c>
      <c r="G710" t="str">
        <f>IF(ROW(G710)&lt;=Bidding!$D$11,Raw_hydro_bm!H710,"")</f>
        <v/>
      </c>
      <c r="H710" t="str">
        <f>IF(ROW(H710)&lt;=Bidding!$D$11,Raw_hydro_bm!I710,"")</f>
        <v/>
      </c>
      <c r="I710" s="16" t="str">
        <f t="shared" si="11"/>
        <v/>
      </c>
    </row>
    <row r="711" spans="1:9" x14ac:dyDescent="0.3">
      <c r="A711" t="str">
        <f>IF(ROW(A711)&lt;=Bidding!$D$11,Raw_hydro_bm!B711,"")</f>
        <v/>
      </c>
      <c r="B711" t="str">
        <f>IF(ROW(B711)&lt;=Bidding!$D$11,Raw_hydro_bm!C711,"")</f>
        <v/>
      </c>
      <c r="C711" t="str">
        <f>IF(ROW(C711)&lt;=Bidding!$D$11,Raw_hydro_bm!D711,"")</f>
        <v/>
      </c>
      <c r="D711" t="str">
        <f>IF(ROW(D711)&lt;=Bidding!$D$11,Raw_hydro_bm!E711,"")</f>
        <v/>
      </c>
      <c r="E711" t="str">
        <f>IF(ROW(E711)&lt;=Bidding!$D$11,Raw_hydro_bm!F711,"")</f>
        <v/>
      </c>
      <c r="F711" t="str">
        <f>IF(ROW(F711)&lt;=Bidding!$D$11,Raw_hydro_bm!G711,"")</f>
        <v/>
      </c>
      <c r="G711" t="str">
        <f>IF(ROW(G711)&lt;=Bidding!$D$11,Raw_hydro_bm!H711,"")</f>
        <v/>
      </c>
      <c r="H711" t="str">
        <f>IF(ROW(H711)&lt;=Bidding!$D$11,Raw_hydro_bm!I711,"")</f>
        <v/>
      </c>
      <c r="I711" s="16" t="str">
        <f t="shared" si="11"/>
        <v/>
      </c>
    </row>
    <row r="712" spans="1:9" x14ac:dyDescent="0.3">
      <c r="A712" t="str">
        <f>IF(ROW(A712)&lt;=Bidding!$D$11,Raw_hydro_bm!B712,"")</f>
        <v/>
      </c>
      <c r="B712" t="str">
        <f>IF(ROW(B712)&lt;=Bidding!$D$11,Raw_hydro_bm!C712,"")</f>
        <v/>
      </c>
      <c r="C712" t="str">
        <f>IF(ROW(C712)&lt;=Bidding!$D$11,Raw_hydro_bm!D712,"")</f>
        <v/>
      </c>
      <c r="D712" t="str">
        <f>IF(ROW(D712)&lt;=Bidding!$D$11,Raw_hydro_bm!E712,"")</f>
        <v/>
      </c>
      <c r="E712" t="str">
        <f>IF(ROW(E712)&lt;=Bidding!$D$11,Raw_hydro_bm!F712,"")</f>
        <v/>
      </c>
      <c r="F712" t="str">
        <f>IF(ROW(F712)&lt;=Bidding!$D$11,Raw_hydro_bm!G712,"")</f>
        <v/>
      </c>
      <c r="G712" t="str">
        <f>IF(ROW(G712)&lt;=Bidding!$D$11,Raw_hydro_bm!H712,"")</f>
        <v/>
      </c>
      <c r="H712" t="str">
        <f>IF(ROW(H712)&lt;=Bidding!$D$11,Raw_hydro_bm!I712,"")</f>
        <v/>
      </c>
      <c r="I712" s="16" t="str">
        <f t="shared" si="11"/>
        <v/>
      </c>
    </row>
    <row r="713" spans="1:9" x14ac:dyDescent="0.3">
      <c r="A713" t="str">
        <f>IF(ROW(A713)&lt;=Bidding!$D$11,Raw_hydro_bm!B713,"")</f>
        <v/>
      </c>
      <c r="B713" t="str">
        <f>IF(ROW(B713)&lt;=Bidding!$D$11,Raw_hydro_bm!C713,"")</f>
        <v/>
      </c>
      <c r="C713" t="str">
        <f>IF(ROW(C713)&lt;=Bidding!$D$11,Raw_hydro_bm!D713,"")</f>
        <v/>
      </c>
      <c r="D713" t="str">
        <f>IF(ROW(D713)&lt;=Bidding!$D$11,Raw_hydro_bm!E713,"")</f>
        <v/>
      </c>
      <c r="E713" t="str">
        <f>IF(ROW(E713)&lt;=Bidding!$D$11,Raw_hydro_bm!F713,"")</f>
        <v/>
      </c>
      <c r="F713" t="str">
        <f>IF(ROW(F713)&lt;=Bidding!$D$11,Raw_hydro_bm!G713,"")</f>
        <v/>
      </c>
      <c r="G713" t="str">
        <f>IF(ROW(G713)&lt;=Bidding!$D$11,Raw_hydro_bm!H713,"")</f>
        <v/>
      </c>
      <c r="H713" t="str">
        <f>IF(ROW(H713)&lt;=Bidding!$D$11,Raw_hydro_bm!I713,"")</f>
        <v/>
      </c>
      <c r="I713" s="16" t="str">
        <f t="shared" si="11"/>
        <v/>
      </c>
    </row>
    <row r="714" spans="1:9" x14ac:dyDescent="0.3">
      <c r="A714" t="str">
        <f>IF(ROW(A714)&lt;=Bidding!$D$11,Raw_hydro_bm!B714,"")</f>
        <v/>
      </c>
      <c r="B714" t="str">
        <f>IF(ROW(B714)&lt;=Bidding!$D$11,Raw_hydro_bm!C714,"")</f>
        <v/>
      </c>
      <c r="C714" t="str">
        <f>IF(ROW(C714)&lt;=Bidding!$D$11,Raw_hydro_bm!D714,"")</f>
        <v/>
      </c>
      <c r="D714" t="str">
        <f>IF(ROW(D714)&lt;=Bidding!$D$11,Raw_hydro_bm!E714,"")</f>
        <v/>
      </c>
      <c r="E714" t="str">
        <f>IF(ROW(E714)&lt;=Bidding!$D$11,Raw_hydro_bm!F714,"")</f>
        <v/>
      </c>
      <c r="F714" t="str">
        <f>IF(ROW(F714)&lt;=Bidding!$D$11,Raw_hydro_bm!G714,"")</f>
        <v/>
      </c>
      <c r="G714" t="str">
        <f>IF(ROW(G714)&lt;=Bidding!$D$11,Raw_hydro_bm!H714,"")</f>
        <v/>
      </c>
      <c r="H714" t="str">
        <f>IF(ROW(H714)&lt;=Bidding!$D$11,Raw_hydro_bm!I714,"")</f>
        <v/>
      </c>
      <c r="I714" s="16" t="str">
        <f t="shared" si="11"/>
        <v/>
      </c>
    </row>
    <row r="715" spans="1:9" x14ac:dyDescent="0.3">
      <c r="A715" t="str">
        <f>IF(ROW(A715)&lt;=Bidding!$D$11,Raw_hydro_bm!B715,"")</f>
        <v/>
      </c>
      <c r="B715" t="str">
        <f>IF(ROW(B715)&lt;=Bidding!$D$11,Raw_hydro_bm!C715,"")</f>
        <v/>
      </c>
      <c r="C715" t="str">
        <f>IF(ROW(C715)&lt;=Bidding!$D$11,Raw_hydro_bm!D715,"")</f>
        <v/>
      </c>
      <c r="D715" t="str">
        <f>IF(ROW(D715)&lt;=Bidding!$D$11,Raw_hydro_bm!E715,"")</f>
        <v/>
      </c>
      <c r="E715" t="str">
        <f>IF(ROW(E715)&lt;=Bidding!$D$11,Raw_hydro_bm!F715,"")</f>
        <v/>
      </c>
      <c r="F715" t="str">
        <f>IF(ROW(F715)&lt;=Bidding!$D$11,Raw_hydro_bm!G715,"")</f>
        <v/>
      </c>
      <c r="G715" t="str">
        <f>IF(ROW(G715)&lt;=Bidding!$D$11,Raw_hydro_bm!H715,"")</f>
        <v/>
      </c>
      <c r="H715" t="str">
        <f>IF(ROW(H715)&lt;=Bidding!$D$11,Raw_hydro_bm!I715,"")</f>
        <v/>
      </c>
      <c r="I715" s="16" t="str">
        <f t="shared" si="11"/>
        <v/>
      </c>
    </row>
    <row r="716" spans="1:9" x14ac:dyDescent="0.3">
      <c r="A716" t="str">
        <f>IF(ROW(A716)&lt;=Bidding!$D$11,Raw_hydro_bm!B716,"")</f>
        <v/>
      </c>
      <c r="B716" t="str">
        <f>IF(ROW(B716)&lt;=Bidding!$D$11,Raw_hydro_bm!C716,"")</f>
        <v/>
      </c>
      <c r="C716" t="str">
        <f>IF(ROW(C716)&lt;=Bidding!$D$11,Raw_hydro_bm!D716,"")</f>
        <v/>
      </c>
      <c r="D716" t="str">
        <f>IF(ROW(D716)&lt;=Bidding!$D$11,Raw_hydro_bm!E716,"")</f>
        <v/>
      </c>
      <c r="E716" t="str">
        <f>IF(ROW(E716)&lt;=Bidding!$D$11,Raw_hydro_bm!F716,"")</f>
        <v/>
      </c>
      <c r="F716" t="str">
        <f>IF(ROW(F716)&lt;=Bidding!$D$11,Raw_hydro_bm!G716,"")</f>
        <v/>
      </c>
      <c r="G716" t="str">
        <f>IF(ROW(G716)&lt;=Bidding!$D$11,Raw_hydro_bm!H716,"")</f>
        <v/>
      </c>
      <c r="H716" t="str">
        <f>IF(ROW(H716)&lt;=Bidding!$D$11,Raw_hydro_bm!I716,"")</f>
        <v/>
      </c>
      <c r="I716" s="16" t="str">
        <f t="shared" si="11"/>
        <v/>
      </c>
    </row>
    <row r="717" spans="1:9" x14ac:dyDescent="0.3">
      <c r="A717" t="str">
        <f>IF(ROW(A717)&lt;=Bidding!$D$11,Raw_hydro_bm!B717,"")</f>
        <v/>
      </c>
      <c r="B717" t="str">
        <f>IF(ROW(B717)&lt;=Bidding!$D$11,Raw_hydro_bm!C717,"")</f>
        <v/>
      </c>
      <c r="C717" t="str">
        <f>IF(ROW(C717)&lt;=Bidding!$D$11,Raw_hydro_bm!D717,"")</f>
        <v/>
      </c>
      <c r="D717" t="str">
        <f>IF(ROW(D717)&lt;=Bidding!$D$11,Raw_hydro_bm!E717,"")</f>
        <v/>
      </c>
      <c r="E717" t="str">
        <f>IF(ROW(E717)&lt;=Bidding!$D$11,Raw_hydro_bm!F717,"")</f>
        <v/>
      </c>
      <c r="F717" t="str">
        <f>IF(ROW(F717)&lt;=Bidding!$D$11,Raw_hydro_bm!G717,"")</f>
        <v/>
      </c>
      <c r="G717" t="str">
        <f>IF(ROW(G717)&lt;=Bidding!$D$11,Raw_hydro_bm!H717,"")</f>
        <v/>
      </c>
      <c r="H717" t="str">
        <f>IF(ROW(H717)&lt;=Bidding!$D$11,Raw_hydro_bm!I717,"")</f>
        <v/>
      </c>
      <c r="I717" s="16" t="str">
        <f t="shared" si="11"/>
        <v/>
      </c>
    </row>
    <row r="718" spans="1:9" x14ac:dyDescent="0.3">
      <c r="A718" t="str">
        <f>IF(ROW(A718)&lt;=Bidding!$D$11,Raw_hydro_bm!B718,"")</f>
        <v/>
      </c>
      <c r="B718" t="str">
        <f>IF(ROW(B718)&lt;=Bidding!$D$11,Raw_hydro_bm!C718,"")</f>
        <v/>
      </c>
      <c r="C718" t="str">
        <f>IF(ROW(C718)&lt;=Bidding!$D$11,Raw_hydro_bm!D718,"")</f>
        <v/>
      </c>
      <c r="D718" t="str">
        <f>IF(ROW(D718)&lt;=Bidding!$D$11,Raw_hydro_bm!E718,"")</f>
        <v/>
      </c>
      <c r="E718" t="str">
        <f>IF(ROW(E718)&lt;=Bidding!$D$11,Raw_hydro_bm!F718,"")</f>
        <v/>
      </c>
      <c r="F718" t="str">
        <f>IF(ROW(F718)&lt;=Bidding!$D$11,Raw_hydro_bm!G718,"")</f>
        <v/>
      </c>
      <c r="G718" t="str">
        <f>IF(ROW(G718)&lt;=Bidding!$D$11,Raw_hydro_bm!H718,"")</f>
        <v/>
      </c>
      <c r="H718" t="str">
        <f>IF(ROW(H718)&lt;=Bidding!$D$11,Raw_hydro_bm!I718,"")</f>
        <v/>
      </c>
      <c r="I718" s="16" t="str">
        <f t="shared" si="11"/>
        <v/>
      </c>
    </row>
    <row r="719" spans="1:9" x14ac:dyDescent="0.3">
      <c r="A719" t="str">
        <f>IF(ROW(A719)&lt;=Bidding!$D$11,Raw_hydro_bm!B719,"")</f>
        <v/>
      </c>
      <c r="B719" t="str">
        <f>IF(ROW(B719)&lt;=Bidding!$D$11,Raw_hydro_bm!C719,"")</f>
        <v/>
      </c>
      <c r="C719" t="str">
        <f>IF(ROW(C719)&lt;=Bidding!$D$11,Raw_hydro_bm!D719,"")</f>
        <v/>
      </c>
      <c r="D719" t="str">
        <f>IF(ROW(D719)&lt;=Bidding!$D$11,Raw_hydro_bm!E719,"")</f>
        <v/>
      </c>
      <c r="E719" t="str">
        <f>IF(ROW(E719)&lt;=Bidding!$D$11,Raw_hydro_bm!F719,"")</f>
        <v/>
      </c>
      <c r="F719" t="str">
        <f>IF(ROW(F719)&lt;=Bidding!$D$11,Raw_hydro_bm!G719,"")</f>
        <v/>
      </c>
      <c r="G719" t="str">
        <f>IF(ROW(G719)&lt;=Bidding!$D$11,Raw_hydro_bm!H719,"")</f>
        <v/>
      </c>
      <c r="H719" t="str">
        <f>IF(ROW(H719)&lt;=Bidding!$D$11,Raw_hydro_bm!I719,"")</f>
        <v/>
      </c>
      <c r="I719" s="16" t="str">
        <f t="shared" si="11"/>
        <v/>
      </c>
    </row>
    <row r="720" spans="1:9" x14ac:dyDescent="0.3">
      <c r="A720" t="str">
        <f>IF(ROW(A720)&lt;=Bidding!$D$11,Raw_hydro_bm!B720,"")</f>
        <v/>
      </c>
      <c r="B720" t="str">
        <f>IF(ROW(B720)&lt;=Bidding!$D$11,Raw_hydro_bm!C720,"")</f>
        <v/>
      </c>
      <c r="C720" t="str">
        <f>IF(ROW(C720)&lt;=Bidding!$D$11,Raw_hydro_bm!D720,"")</f>
        <v/>
      </c>
      <c r="D720" t="str">
        <f>IF(ROW(D720)&lt;=Bidding!$D$11,Raw_hydro_bm!E720,"")</f>
        <v/>
      </c>
      <c r="E720" t="str">
        <f>IF(ROW(E720)&lt;=Bidding!$D$11,Raw_hydro_bm!F720,"")</f>
        <v/>
      </c>
      <c r="F720" t="str">
        <f>IF(ROW(F720)&lt;=Bidding!$D$11,Raw_hydro_bm!G720,"")</f>
        <v/>
      </c>
      <c r="G720" t="str">
        <f>IF(ROW(G720)&lt;=Bidding!$D$11,Raw_hydro_bm!H720,"")</f>
        <v/>
      </c>
      <c r="H720" t="str">
        <f>IF(ROW(H720)&lt;=Bidding!$D$11,Raw_hydro_bm!I720,"")</f>
        <v/>
      </c>
      <c r="I720" s="16" t="str">
        <f t="shared" si="11"/>
        <v/>
      </c>
    </row>
    <row r="721" spans="1:9" x14ac:dyDescent="0.3">
      <c r="A721" t="str">
        <f>IF(ROW(A721)&lt;=Bidding!$D$11,Raw_hydro_bm!B721,"")</f>
        <v/>
      </c>
      <c r="B721" t="str">
        <f>IF(ROW(B721)&lt;=Bidding!$D$11,Raw_hydro_bm!C721,"")</f>
        <v/>
      </c>
      <c r="C721" t="str">
        <f>IF(ROW(C721)&lt;=Bidding!$D$11,Raw_hydro_bm!D721,"")</f>
        <v/>
      </c>
      <c r="D721" t="str">
        <f>IF(ROW(D721)&lt;=Bidding!$D$11,Raw_hydro_bm!E721,"")</f>
        <v/>
      </c>
      <c r="E721" t="str">
        <f>IF(ROW(E721)&lt;=Bidding!$D$11,Raw_hydro_bm!F721,"")</f>
        <v/>
      </c>
      <c r="F721" t="str">
        <f>IF(ROW(F721)&lt;=Bidding!$D$11,Raw_hydro_bm!G721,"")</f>
        <v/>
      </c>
      <c r="G721" t="str">
        <f>IF(ROW(G721)&lt;=Bidding!$D$11,Raw_hydro_bm!H721,"")</f>
        <v/>
      </c>
      <c r="H721" t="str">
        <f>IF(ROW(H721)&lt;=Bidding!$D$11,Raw_hydro_bm!I721,"")</f>
        <v/>
      </c>
      <c r="I721" s="16" t="str">
        <f t="shared" si="11"/>
        <v/>
      </c>
    </row>
    <row r="722" spans="1:9" x14ac:dyDescent="0.3">
      <c r="A722" t="str">
        <f>IF(ROW(A722)&lt;=Bidding!$D$11,Raw_hydro_bm!B722,"")</f>
        <v/>
      </c>
      <c r="B722" t="str">
        <f>IF(ROW(B722)&lt;=Bidding!$D$11,Raw_hydro_bm!C722,"")</f>
        <v/>
      </c>
      <c r="C722" t="str">
        <f>IF(ROW(C722)&lt;=Bidding!$D$11,Raw_hydro_bm!D722,"")</f>
        <v/>
      </c>
      <c r="D722" t="str">
        <f>IF(ROW(D722)&lt;=Bidding!$D$11,Raw_hydro_bm!E722,"")</f>
        <v/>
      </c>
      <c r="E722" t="str">
        <f>IF(ROW(E722)&lt;=Bidding!$D$11,Raw_hydro_bm!F722,"")</f>
        <v/>
      </c>
      <c r="F722" t="str">
        <f>IF(ROW(F722)&lt;=Bidding!$D$11,Raw_hydro_bm!G722,"")</f>
        <v/>
      </c>
      <c r="G722" t="str">
        <f>IF(ROW(G722)&lt;=Bidding!$D$11,Raw_hydro_bm!H722,"")</f>
        <v/>
      </c>
      <c r="H722" t="str">
        <f>IF(ROW(H722)&lt;=Bidding!$D$11,Raw_hydro_bm!I722,"")</f>
        <v/>
      </c>
      <c r="I722" s="16" t="str">
        <f t="shared" si="11"/>
        <v/>
      </c>
    </row>
    <row r="723" spans="1:9" x14ac:dyDescent="0.3">
      <c r="A723" t="str">
        <f>IF(ROW(A723)&lt;=Bidding!$D$11,Raw_hydro_bm!B723,"")</f>
        <v/>
      </c>
      <c r="B723" t="str">
        <f>IF(ROW(B723)&lt;=Bidding!$D$11,Raw_hydro_bm!C723,"")</f>
        <v/>
      </c>
      <c r="C723" t="str">
        <f>IF(ROW(C723)&lt;=Bidding!$D$11,Raw_hydro_bm!D723,"")</f>
        <v/>
      </c>
      <c r="D723" t="str">
        <f>IF(ROW(D723)&lt;=Bidding!$D$11,Raw_hydro_bm!E723,"")</f>
        <v/>
      </c>
      <c r="E723" t="str">
        <f>IF(ROW(E723)&lt;=Bidding!$D$11,Raw_hydro_bm!F723,"")</f>
        <v/>
      </c>
      <c r="F723" t="str">
        <f>IF(ROW(F723)&lt;=Bidding!$D$11,Raw_hydro_bm!G723,"")</f>
        <v/>
      </c>
      <c r="G723" t="str">
        <f>IF(ROW(G723)&lt;=Bidding!$D$11,Raw_hydro_bm!H723,"")</f>
        <v/>
      </c>
      <c r="H723" t="str">
        <f>IF(ROW(H723)&lt;=Bidding!$D$11,Raw_hydro_bm!I723,"")</f>
        <v/>
      </c>
      <c r="I723" s="16" t="str">
        <f t="shared" si="11"/>
        <v/>
      </c>
    </row>
    <row r="724" spans="1:9" x14ac:dyDescent="0.3">
      <c r="A724" t="str">
        <f>IF(ROW(A724)&lt;=Bidding!$D$11,Raw_hydro_bm!B724,"")</f>
        <v/>
      </c>
      <c r="B724" t="str">
        <f>IF(ROW(B724)&lt;=Bidding!$D$11,Raw_hydro_bm!C724,"")</f>
        <v/>
      </c>
      <c r="C724" t="str">
        <f>IF(ROW(C724)&lt;=Bidding!$D$11,Raw_hydro_bm!D724,"")</f>
        <v/>
      </c>
      <c r="D724" t="str">
        <f>IF(ROW(D724)&lt;=Bidding!$D$11,Raw_hydro_bm!E724,"")</f>
        <v/>
      </c>
      <c r="E724" t="str">
        <f>IF(ROW(E724)&lt;=Bidding!$D$11,Raw_hydro_bm!F724,"")</f>
        <v/>
      </c>
      <c r="F724" t="str">
        <f>IF(ROW(F724)&lt;=Bidding!$D$11,Raw_hydro_bm!G724,"")</f>
        <v/>
      </c>
      <c r="G724" t="str">
        <f>IF(ROW(G724)&lt;=Bidding!$D$11,Raw_hydro_bm!H724,"")</f>
        <v/>
      </c>
      <c r="H724" t="str">
        <f>IF(ROW(H724)&lt;=Bidding!$D$11,Raw_hydro_bm!I724,"")</f>
        <v/>
      </c>
      <c r="I724" s="16" t="str">
        <f t="shared" si="11"/>
        <v/>
      </c>
    </row>
    <row r="725" spans="1:9" x14ac:dyDescent="0.3">
      <c r="A725" t="str">
        <f>IF(ROW(A725)&lt;=Bidding!$D$11,Raw_hydro_bm!B725,"")</f>
        <v/>
      </c>
      <c r="B725" t="str">
        <f>IF(ROW(B725)&lt;=Bidding!$D$11,Raw_hydro_bm!C725,"")</f>
        <v/>
      </c>
      <c r="C725" t="str">
        <f>IF(ROW(C725)&lt;=Bidding!$D$11,Raw_hydro_bm!D725,"")</f>
        <v/>
      </c>
      <c r="D725" t="str">
        <f>IF(ROW(D725)&lt;=Bidding!$D$11,Raw_hydro_bm!E725,"")</f>
        <v/>
      </c>
      <c r="E725" t="str">
        <f>IF(ROW(E725)&lt;=Bidding!$D$11,Raw_hydro_bm!F725,"")</f>
        <v/>
      </c>
      <c r="F725" t="str">
        <f>IF(ROW(F725)&lt;=Bidding!$D$11,Raw_hydro_bm!G725,"")</f>
        <v/>
      </c>
      <c r="G725" t="str">
        <f>IF(ROW(G725)&lt;=Bidding!$D$11,Raw_hydro_bm!H725,"")</f>
        <v/>
      </c>
      <c r="H725" t="str">
        <f>IF(ROW(H725)&lt;=Bidding!$D$11,Raw_hydro_bm!I725,"")</f>
        <v/>
      </c>
      <c r="I725" s="16" t="str">
        <f t="shared" si="11"/>
        <v/>
      </c>
    </row>
    <row r="726" spans="1:9" x14ac:dyDescent="0.3">
      <c r="A726" t="str">
        <f>IF(ROW(A726)&lt;=Bidding!$D$11,Raw_hydro_bm!B726,"")</f>
        <v/>
      </c>
      <c r="B726" t="str">
        <f>IF(ROW(B726)&lt;=Bidding!$D$11,Raw_hydro_bm!C726,"")</f>
        <v/>
      </c>
      <c r="C726" t="str">
        <f>IF(ROW(C726)&lt;=Bidding!$D$11,Raw_hydro_bm!D726,"")</f>
        <v/>
      </c>
      <c r="D726" t="str">
        <f>IF(ROW(D726)&lt;=Bidding!$D$11,Raw_hydro_bm!E726,"")</f>
        <v/>
      </c>
      <c r="E726" t="str">
        <f>IF(ROW(E726)&lt;=Bidding!$D$11,Raw_hydro_bm!F726,"")</f>
        <v/>
      </c>
      <c r="F726" t="str">
        <f>IF(ROW(F726)&lt;=Bidding!$D$11,Raw_hydro_bm!G726,"")</f>
        <v/>
      </c>
      <c r="G726" t="str">
        <f>IF(ROW(G726)&lt;=Bidding!$D$11,Raw_hydro_bm!H726,"")</f>
        <v/>
      </c>
      <c r="H726" t="str">
        <f>IF(ROW(H726)&lt;=Bidding!$D$11,Raw_hydro_bm!I726,"")</f>
        <v/>
      </c>
      <c r="I726" s="16" t="str">
        <f t="shared" si="11"/>
        <v/>
      </c>
    </row>
    <row r="727" spans="1:9" x14ac:dyDescent="0.3">
      <c r="A727" t="str">
        <f>IF(ROW(A727)&lt;=Bidding!$D$11,Raw_hydro_bm!B727,"")</f>
        <v/>
      </c>
      <c r="B727" t="str">
        <f>IF(ROW(B727)&lt;=Bidding!$D$11,Raw_hydro_bm!C727,"")</f>
        <v/>
      </c>
      <c r="C727" t="str">
        <f>IF(ROW(C727)&lt;=Bidding!$D$11,Raw_hydro_bm!D727,"")</f>
        <v/>
      </c>
      <c r="D727" t="str">
        <f>IF(ROW(D727)&lt;=Bidding!$D$11,Raw_hydro_bm!E727,"")</f>
        <v/>
      </c>
      <c r="E727" t="str">
        <f>IF(ROW(E727)&lt;=Bidding!$D$11,Raw_hydro_bm!F727,"")</f>
        <v/>
      </c>
      <c r="F727" t="str">
        <f>IF(ROW(F727)&lt;=Bidding!$D$11,Raw_hydro_bm!G727,"")</f>
        <v/>
      </c>
      <c r="G727" t="str">
        <f>IF(ROW(G727)&lt;=Bidding!$D$11,Raw_hydro_bm!H727,"")</f>
        <v/>
      </c>
      <c r="H727" t="str">
        <f>IF(ROW(H727)&lt;=Bidding!$D$11,Raw_hydro_bm!I727,"")</f>
        <v/>
      </c>
      <c r="I727" s="16" t="str">
        <f t="shared" si="11"/>
        <v/>
      </c>
    </row>
    <row r="728" spans="1:9" x14ac:dyDescent="0.3">
      <c r="A728" t="str">
        <f>IF(ROW(A728)&lt;=Bidding!$D$11,Raw_hydro_bm!B728,"")</f>
        <v/>
      </c>
      <c r="B728" t="str">
        <f>IF(ROW(B728)&lt;=Bidding!$D$11,Raw_hydro_bm!C728,"")</f>
        <v/>
      </c>
      <c r="C728" t="str">
        <f>IF(ROW(C728)&lt;=Bidding!$D$11,Raw_hydro_bm!D728,"")</f>
        <v/>
      </c>
      <c r="D728" t="str">
        <f>IF(ROW(D728)&lt;=Bidding!$D$11,Raw_hydro_bm!E728,"")</f>
        <v/>
      </c>
      <c r="E728" t="str">
        <f>IF(ROW(E728)&lt;=Bidding!$D$11,Raw_hydro_bm!F728,"")</f>
        <v/>
      </c>
      <c r="F728" t="str">
        <f>IF(ROW(F728)&lt;=Bidding!$D$11,Raw_hydro_bm!G728,"")</f>
        <v/>
      </c>
      <c r="G728" t="str">
        <f>IF(ROW(G728)&lt;=Bidding!$D$11,Raw_hydro_bm!H728,"")</f>
        <v/>
      </c>
      <c r="H728" t="str">
        <f>IF(ROW(H728)&lt;=Bidding!$D$11,Raw_hydro_bm!I728,"")</f>
        <v/>
      </c>
      <c r="I728" s="16" t="str">
        <f t="shared" si="11"/>
        <v/>
      </c>
    </row>
    <row r="729" spans="1:9" x14ac:dyDescent="0.3">
      <c r="A729" t="str">
        <f>IF(ROW(A729)&lt;=Bidding!$D$11,Raw_hydro_bm!B729,"")</f>
        <v/>
      </c>
      <c r="B729" t="str">
        <f>IF(ROW(B729)&lt;=Bidding!$D$11,Raw_hydro_bm!C729,"")</f>
        <v/>
      </c>
      <c r="C729" t="str">
        <f>IF(ROW(C729)&lt;=Bidding!$D$11,Raw_hydro_bm!D729,"")</f>
        <v/>
      </c>
      <c r="D729" t="str">
        <f>IF(ROW(D729)&lt;=Bidding!$D$11,Raw_hydro_bm!E729,"")</f>
        <v/>
      </c>
      <c r="E729" t="str">
        <f>IF(ROW(E729)&lt;=Bidding!$D$11,Raw_hydro_bm!F729,"")</f>
        <v/>
      </c>
      <c r="F729" t="str">
        <f>IF(ROW(F729)&lt;=Bidding!$D$11,Raw_hydro_bm!G729,"")</f>
        <v/>
      </c>
      <c r="G729" t="str">
        <f>IF(ROW(G729)&lt;=Bidding!$D$11,Raw_hydro_bm!H729,"")</f>
        <v/>
      </c>
      <c r="H729" t="str">
        <f>IF(ROW(H729)&lt;=Bidding!$D$11,Raw_hydro_bm!I729,"")</f>
        <v/>
      </c>
      <c r="I729" s="16" t="str">
        <f t="shared" si="11"/>
        <v/>
      </c>
    </row>
    <row r="730" spans="1:9" x14ac:dyDescent="0.3">
      <c r="A730" t="str">
        <f>IF(ROW(A730)&lt;=Bidding!$D$11,Raw_hydro_bm!B730,"")</f>
        <v/>
      </c>
      <c r="B730" t="str">
        <f>IF(ROW(B730)&lt;=Bidding!$D$11,Raw_hydro_bm!C730,"")</f>
        <v/>
      </c>
      <c r="C730" t="str">
        <f>IF(ROW(C730)&lt;=Bidding!$D$11,Raw_hydro_bm!D730,"")</f>
        <v/>
      </c>
      <c r="D730" t="str">
        <f>IF(ROW(D730)&lt;=Bidding!$D$11,Raw_hydro_bm!E730,"")</f>
        <v/>
      </c>
      <c r="E730" t="str">
        <f>IF(ROW(E730)&lt;=Bidding!$D$11,Raw_hydro_bm!F730,"")</f>
        <v/>
      </c>
      <c r="F730" t="str">
        <f>IF(ROW(F730)&lt;=Bidding!$D$11,Raw_hydro_bm!G730,"")</f>
        <v/>
      </c>
      <c r="G730" t="str">
        <f>IF(ROW(G730)&lt;=Bidding!$D$11,Raw_hydro_bm!H730,"")</f>
        <v/>
      </c>
      <c r="H730" t="str">
        <f>IF(ROW(H730)&lt;=Bidding!$D$11,Raw_hydro_bm!I730,"")</f>
        <v/>
      </c>
      <c r="I730" s="16" t="str">
        <f t="shared" si="11"/>
        <v/>
      </c>
    </row>
    <row r="731" spans="1:9" x14ac:dyDescent="0.3">
      <c r="A731" t="str">
        <f>IF(ROW(A731)&lt;=Bidding!$D$11,Raw_hydro_bm!B731,"")</f>
        <v/>
      </c>
      <c r="B731" t="str">
        <f>IF(ROW(B731)&lt;=Bidding!$D$11,Raw_hydro_bm!C731,"")</f>
        <v/>
      </c>
      <c r="C731" t="str">
        <f>IF(ROW(C731)&lt;=Bidding!$D$11,Raw_hydro_bm!D731,"")</f>
        <v/>
      </c>
      <c r="D731" t="str">
        <f>IF(ROW(D731)&lt;=Bidding!$D$11,Raw_hydro_bm!E731,"")</f>
        <v/>
      </c>
      <c r="E731" t="str">
        <f>IF(ROW(E731)&lt;=Bidding!$D$11,Raw_hydro_bm!F731,"")</f>
        <v/>
      </c>
      <c r="F731" t="str">
        <f>IF(ROW(F731)&lt;=Bidding!$D$11,Raw_hydro_bm!G731,"")</f>
        <v/>
      </c>
      <c r="G731" t="str">
        <f>IF(ROW(G731)&lt;=Bidding!$D$11,Raw_hydro_bm!H731,"")</f>
        <v/>
      </c>
      <c r="H731" t="str">
        <f>IF(ROW(H731)&lt;=Bidding!$D$11,Raw_hydro_bm!I731,"")</f>
        <v/>
      </c>
      <c r="I731" s="16" t="str">
        <f t="shared" si="11"/>
        <v/>
      </c>
    </row>
    <row r="732" spans="1:9" x14ac:dyDescent="0.3">
      <c r="A732" t="str">
        <f>IF(ROW(A732)&lt;=Bidding!$D$11,Raw_hydro_bm!B732,"")</f>
        <v/>
      </c>
      <c r="B732" t="str">
        <f>IF(ROW(B732)&lt;=Bidding!$D$11,Raw_hydro_bm!C732,"")</f>
        <v/>
      </c>
      <c r="C732" t="str">
        <f>IF(ROW(C732)&lt;=Bidding!$D$11,Raw_hydro_bm!D732,"")</f>
        <v/>
      </c>
      <c r="D732" t="str">
        <f>IF(ROW(D732)&lt;=Bidding!$D$11,Raw_hydro_bm!E732,"")</f>
        <v/>
      </c>
      <c r="E732" t="str">
        <f>IF(ROW(E732)&lt;=Bidding!$D$11,Raw_hydro_bm!F732,"")</f>
        <v/>
      </c>
      <c r="F732" t="str">
        <f>IF(ROW(F732)&lt;=Bidding!$D$11,Raw_hydro_bm!G732,"")</f>
        <v/>
      </c>
      <c r="G732" t="str">
        <f>IF(ROW(G732)&lt;=Bidding!$D$11,Raw_hydro_bm!H732,"")</f>
        <v/>
      </c>
      <c r="H732" t="str">
        <f>IF(ROW(H732)&lt;=Bidding!$D$11,Raw_hydro_bm!I732,"")</f>
        <v/>
      </c>
      <c r="I732" s="16" t="str">
        <f t="shared" si="11"/>
        <v/>
      </c>
    </row>
    <row r="733" spans="1:9" x14ac:dyDescent="0.3">
      <c r="A733" t="str">
        <f>IF(ROW(A733)&lt;=Bidding!$D$11,Raw_hydro_bm!B733,"")</f>
        <v/>
      </c>
      <c r="B733" t="str">
        <f>IF(ROW(B733)&lt;=Bidding!$D$11,Raw_hydro_bm!C733,"")</f>
        <v/>
      </c>
      <c r="C733" t="str">
        <f>IF(ROW(C733)&lt;=Bidding!$D$11,Raw_hydro_bm!D733,"")</f>
        <v/>
      </c>
      <c r="D733" t="str">
        <f>IF(ROW(D733)&lt;=Bidding!$D$11,Raw_hydro_bm!E733,"")</f>
        <v/>
      </c>
      <c r="E733" t="str">
        <f>IF(ROW(E733)&lt;=Bidding!$D$11,Raw_hydro_bm!F733,"")</f>
        <v/>
      </c>
      <c r="F733" t="str">
        <f>IF(ROW(F733)&lt;=Bidding!$D$11,Raw_hydro_bm!G733,"")</f>
        <v/>
      </c>
      <c r="G733" t="str">
        <f>IF(ROW(G733)&lt;=Bidding!$D$11,Raw_hydro_bm!H733,"")</f>
        <v/>
      </c>
      <c r="H733" t="str">
        <f>IF(ROW(H733)&lt;=Bidding!$D$11,Raw_hydro_bm!I733,"")</f>
        <v/>
      </c>
      <c r="I733" s="16" t="str">
        <f t="shared" si="11"/>
        <v/>
      </c>
    </row>
    <row r="734" spans="1:9" x14ac:dyDescent="0.3">
      <c r="A734" t="str">
        <f>IF(ROW(A734)&lt;=Bidding!$D$11,Raw_hydro_bm!B734,"")</f>
        <v/>
      </c>
      <c r="B734" t="str">
        <f>IF(ROW(B734)&lt;=Bidding!$D$11,Raw_hydro_bm!C734,"")</f>
        <v/>
      </c>
      <c r="C734" t="str">
        <f>IF(ROW(C734)&lt;=Bidding!$D$11,Raw_hydro_bm!D734,"")</f>
        <v/>
      </c>
      <c r="D734" t="str">
        <f>IF(ROW(D734)&lt;=Bidding!$D$11,Raw_hydro_bm!E734,"")</f>
        <v/>
      </c>
      <c r="E734" t="str">
        <f>IF(ROW(E734)&lt;=Bidding!$D$11,Raw_hydro_bm!F734,"")</f>
        <v/>
      </c>
      <c r="F734" t="str">
        <f>IF(ROW(F734)&lt;=Bidding!$D$11,Raw_hydro_bm!G734,"")</f>
        <v/>
      </c>
      <c r="G734" t="str">
        <f>IF(ROW(G734)&lt;=Bidding!$D$11,Raw_hydro_bm!H734,"")</f>
        <v/>
      </c>
      <c r="H734" t="str">
        <f>IF(ROW(H734)&lt;=Bidding!$D$11,Raw_hydro_bm!I734,"")</f>
        <v/>
      </c>
      <c r="I734" s="16" t="str">
        <f t="shared" si="11"/>
        <v/>
      </c>
    </row>
    <row r="735" spans="1:9" x14ac:dyDescent="0.3">
      <c r="A735" t="str">
        <f>IF(ROW(A735)&lt;=Bidding!$D$11,Raw_hydro_bm!B735,"")</f>
        <v/>
      </c>
      <c r="B735" t="str">
        <f>IF(ROW(B735)&lt;=Bidding!$D$11,Raw_hydro_bm!C735,"")</f>
        <v/>
      </c>
      <c r="C735" t="str">
        <f>IF(ROW(C735)&lt;=Bidding!$D$11,Raw_hydro_bm!D735,"")</f>
        <v/>
      </c>
      <c r="D735" t="str">
        <f>IF(ROW(D735)&lt;=Bidding!$D$11,Raw_hydro_bm!E735,"")</f>
        <v/>
      </c>
      <c r="E735" t="str">
        <f>IF(ROW(E735)&lt;=Bidding!$D$11,Raw_hydro_bm!F735,"")</f>
        <v/>
      </c>
      <c r="F735" t="str">
        <f>IF(ROW(F735)&lt;=Bidding!$D$11,Raw_hydro_bm!G735,"")</f>
        <v/>
      </c>
      <c r="G735" t="str">
        <f>IF(ROW(G735)&lt;=Bidding!$D$11,Raw_hydro_bm!H735,"")</f>
        <v/>
      </c>
      <c r="H735" t="str">
        <f>IF(ROW(H735)&lt;=Bidding!$D$11,Raw_hydro_bm!I735,"")</f>
        <v/>
      </c>
      <c r="I735" s="16" t="str">
        <f t="shared" si="11"/>
        <v/>
      </c>
    </row>
    <row r="736" spans="1:9" x14ac:dyDescent="0.3">
      <c r="A736" t="str">
        <f>IF(ROW(A736)&lt;=Bidding!$D$11,Raw_hydro_bm!B736,"")</f>
        <v/>
      </c>
      <c r="B736" t="str">
        <f>IF(ROW(B736)&lt;=Bidding!$D$11,Raw_hydro_bm!C736,"")</f>
        <v/>
      </c>
      <c r="C736" t="str">
        <f>IF(ROW(C736)&lt;=Bidding!$D$11,Raw_hydro_bm!D736,"")</f>
        <v/>
      </c>
      <c r="D736" t="str">
        <f>IF(ROW(D736)&lt;=Bidding!$D$11,Raw_hydro_bm!E736,"")</f>
        <v/>
      </c>
      <c r="E736" t="str">
        <f>IF(ROW(E736)&lt;=Bidding!$D$11,Raw_hydro_bm!F736,"")</f>
        <v/>
      </c>
      <c r="F736" t="str">
        <f>IF(ROW(F736)&lt;=Bidding!$D$11,Raw_hydro_bm!G736,"")</f>
        <v/>
      </c>
      <c r="G736" t="str">
        <f>IF(ROW(G736)&lt;=Bidding!$D$11,Raw_hydro_bm!H736,"")</f>
        <v/>
      </c>
      <c r="H736" t="str">
        <f>IF(ROW(H736)&lt;=Bidding!$D$11,Raw_hydro_bm!I736,"")</f>
        <v/>
      </c>
      <c r="I736" s="16" t="str">
        <f t="shared" si="11"/>
        <v/>
      </c>
    </row>
    <row r="737" spans="1:9" x14ac:dyDescent="0.3">
      <c r="A737" t="str">
        <f>IF(ROW(A737)&lt;=Bidding!$D$11,Raw_hydro_bm!B737,"")</f>
        <v/>
      </c>
      <c r="B737" t="str">
        <f>IF(ROW(B737)&lt;=Bidding!$D$11,Raw_hydro_bm!C737,"")</f>
        <v/>
      </c>
      <c r="C737" t="str">
        <f>IF(ROW(C737)&lt;=Bidding!$D$11,Raw_hydro_bm!D737,"")</f>
        <v/>
      </c>
      <c r="D737" t="str">
        <f>IF(ROW(D737)&lt;=Bidding!$D$11,Raw_hydro_bm!E737,"")</f>
        <v/>
      </c>
      <c r="E737" t="str">
        <f>IF(ROW(E737)&lt;=Bidding!$D$11,Raw_hydro_bm!F737,"")</f>
        <v/>
      </c>
      <c r="F737" t="str">
        <f>IF(ROW(F737)&lt;=Bidding!$D$11,Raw_hydro_bm!G737,"")</f>
        <v/>
      </c>
      <c r="G737" t="str">
        <f>IF(ROW(G737)&lt;=Bidding!$D$11,Raw_hydro_bm!H737,"")</f>
        <v/>
      </c>
      <c r="H737" t="str">
        <f>IF(ROW(H737)&lt;=Bidding!$D$11,Raw_hydro_bm!I737,"")</f>
        <v/>
      </c>
      <c r="I737" s="16" t="str">
        <f t="shared" si="11"/>
        <v/>
      </c>
    </row>
    <row r="738" spans="1:9" x14ac:dyDescent="0.3">
      <c r="A738" t="str">
        <f>IF(ROW(A738)&lt;=Bidding!$D$11,Raw_hydro_bm!B738,"")</f>
        <v/>
      </c>
      <c r="B738" t="str">
        <f>IF(ROW(B738)&lt;=Bidding!$D$11,Raw_hydro_bm!C738,"")</f>
        <v/>
      </c>
      <c r="C738" t="str">
        <f>IF(ROW(C738)&lt;=Bidding!$D$11,Raw_hydro_bm!D738,"")</f>
        <v/>
      </c>
      <c r="D738" t="str">
        <f>IF(ROW(D738)&lt;=Bidding!$D$11,Raw_hydro_bm!E738,"")</f>
        <v/>
      </c>
      <c r="E738" t="str">
        <f>IF(ROW(E738)&lt;=Bidding!$D$11,Raw_hydro_bm!F738,"")</f>
        <v/>
      </c>
      <c r="F738" t="str">
        <f>IF(ROW(F738)&lt;=Bidding!$D$11,Raw_hydro_bm!G738,"")</f>
        <v/>
      </c>
      <c r="G738" t="str">
        <f>IF(ROW(G738)&lt;=Bidding!$D$11,Raw_hydro_bm!H738,"")</f>
        <v/>
      </c>
      <c r="H738" t="str">
        <f>IF(ROW(H738)&lt;=Bidding!$D$11,Raw_hydro_bm!I738,"")</f>
        <v/>
      </c>
      <c r="I738" s="16" t="str">
        <f t="shared" si="11"/>
        <v/>
      </c>
    </row>
    <row r="739" spans="1:9" x14ac:dyDescent="0.3">
      <c r="A739" t="str">
        <f>IF(ROW(A739)&lt;=Bidding!$D$11,Raw_hydro_bm!B739,"")</f>
        <v/>
      </c>
      <c r="B739" t="str">
        <f>IF(ROW(B739)&lt;=Bidding!$D$11,Raw_hydro_bm!C739,"")</f>
        <v/>
      </c>
      <c r="C739" t="str">
        <f>IF(ROW(C739)&lt;=Bidding!$D$11,Raw_hydro_bm!D739,"")</f>
        <v/>
      </c>
      <c r="D739" t="str">
        <f>IF(ROW(D739)&lt;=Bidding!$D$11,Raw_hydro_bm!E739,"")</f>
        <v/>
      </c>
      <c r="E739" t="str">
        <f>IF(ROW(E739)&lt;=Bidding!$D$11,Raw_hydro_bm!F739,"")</f>
        <v/>
      </c>
      <c r="F739" t="str">
        <f>IF(ROW(F739)&lt;=Bidding!$D$11,Raw_hydro_bm!G739,"")</f>
        <v/>
      </c>
      <c r="G739" t="str">
        <f>IF(ROW(G739)&lt;=Bidding!$D$11,Raw_hydro_bm!H739,"")</f>
        <v/>
      </c>
      <c r="H739" t="str">
        <f>IF(ROW(H739)&lt;=Bidding!$D$11,Raw_hydro_bm!I739,"")</f>
        <v/>
      </c>
      <c r="I739" s="16" t="str">
        <f t="shared" si="11"/>
        <v/>
      </c>
    </row>
    <row r="740" spans="1:9" x14ac:dyDescent="0.3">
      <c r="A740" t="str">
        <f>IF(ROW(A740)&lt;=Bidding!$D$11,Raw_hydro_bm!B740,"")</f>
        <v/>
      </c>
      <c r="B740" t="str">
        <f>IF(ROW(B740)&lt;=Bidding!$D$11,Raw_hydro_bm!C740,"")</f>
        <v/>
      </c>
      <c r="C740" t="str">
        <f>IF(ROW(C740)&lt;=Bidding!$D$11,Raw_hydro_bm!D740,"")</f>
        <v/>
      </c>
      <c r="D740" t="str">
        <f>IF(ROW(D740)&lt;=Bidding!$D$11,Raw_hydro_bm!E740,"")</f>
        <v/>
      </c>
      <c r="E740" t="str">
        <f>IF(ROW(E740)&lt;=Bidding!$D$11,Raw_hydro_bm!F740,"")</f>
        <v/>
      </c>
      <c r="F740" t="str">
        <f>IF(ROW(F740)&lt;=Bidding!$D$11,Raw_hydro_bm!G740,"")</f>
        <v/>
      </c>
      <c r="G740" t="str">
        <f>IF(ROW(G740)&lt;=Bidding!$D$11,Raw_hydro_bm!H740,"")</f>
        <v/>
      </c>
      <c r="H740" t="str">
        <f>IF(ROW(H740)&lt;=Bidding!$D$11,Raw_hydro_bm!I740,"")</f>
        <v/>
      </c>
      <c r="I740" s="16" t="str">
        <f t="shared" si="11"/>
        <v/>
      </c>
    </row>
    <row r="741" spans="1:9" x14ac:dyDescent="0.3">
      <c r="A741" t="str">
        <f>IF(ROW(A741)&lt;=Bidding!$D$11,Raw_hydro_bm!B741,"")</f>
        <v/>
      </c>
      <c r="B741" t="str">
        <f>IF(ROW(B741)&lt;=Bidding!$D$11,Raw_hydro_bm!C741,"")</f>
        <v/>
      </c>
      <c r="C741" t="str">
        <f>IF(ROW(C741)&lt;=Bidding!$D$11,Raw_hydro_bm!D741,"")</f>
        <v/>
      </c>
      <c r="D741" t="str">
        <f>IF(ROW(D741)&lt;=Bidding!$D$11,Raw_hydro_bm!E741,"")</f>
        <v/>
      </c>
      <c r="E741" t="str">
        <f>IF(ROW(E741)&lt;=Bidding!$D$11,Raw_hydro_bm!F741,"")</f>
        <v/>
      </c>
      <c r="F741" t="str">
        <f>IF(ROW(F741)&lt;=Bidding!$D$11,Raw_hydro_bm!G741,"")</f>
        <v/>
      </c>
      <c r="G741" t="str">
        <f>IF(ROW(G741)&lt;=Bidding!$D$11,Raw_hydro_bm!H741,"")</f>
        <v/>
      </c>
      <c r="H741" t="str">
        <f>IF(ROW(H741)&lt;=Bidding!$D$11,Raw_hydro_bm!I741,"")</f>
        <v/>
      </c>
      <c r="I741" s="16" t="str">
        <f t="shared" si="11"/>
        <v/>
      </c>
    </row>
    <row r="742" spans="1:9" x14ac:dyDescent="0.3">
      <c r="A742" t="str">
        <f>IF(ROW(A742)&lt;=Bidding!$D$11,Raw_hydro_bm!B742,"")</f>
        <v/>
      </c>
      <c r="B742" t="str">
        <f>IF(ROW(B742)&lt;=Bidding!$D$11,Raw_hydro_bm!C742,"")</f>
        <v/>
      </c>
      <c r="C742" t="str">
        <f>IF(ROW(C742)&lt;=Bidding!$D$11,Raw_hydro_bm!D742,"")</f>
        <v/>
      </c>
      <c r="D742" t="str">
        <f>IF(ROW(D742)&lt;=Bidding!$D$11,Raw_hydro_bm!E742,"")</f>
        <v/>
      </c>
      <c r="E742" t="str">
        <f>IF(ROW(E742)&lt;=Bidding!$D$11,Raw_hydro_bm!F742,"")</f>
        <v/>
      </c>
      <c r="F742" t="str">
        <f>IF(ROW(F742)&lt;=Bidding!$D$11,Raw_hydro_bm!G742,"")</f>
        <v/>
      </c>
      <c r="G742" t="str">
        <f>IF(ROW(G742)&lt;=Bidding!$D$11,Raw_hydro_bm!H742,"")</f>
        <v/>
      </c>
      <c r="H742" t="str">
        <f>IF(ROW(H742)&lt;=Bidding!$D$11,Raw_hydro_bm!I742,"")</f>
        <v/>
      </c>
      <c r="I742" s="16" t="str">
        <f t="shared" si="11"/>
        <v/>
      </c>
    </row>
    <row r="743" spans="1:9" x14ac:dyDescent="0.3">
      <c r="A743" t="str">
        <f>IF(ROW(A743)&lt;=Bidding!$D$11,Raw_hydro_bm!B743,"")</f>
        <v/>
      </c>
      <c r="B743" t="str">
        <f>IF(ROW(B743)&lt;=Bidding!$D$11,Raw_hydro_bm!C743,"")</f>
        <v/>
      </c>
      <c r="C743" t="str">
        <f>IF(ROW(C743)&lt;=Bidding!$D$11,Raw_hydro_bm!D743,"")</f>
        <v/>
      </c>
      <c r="D743" t="str">
        <f>IF(ROW(D743)&lt;=Bidding!$D$11,Raw_hydro_bm!E743,"")</f>
        <v/>
      </c>
      <c r="E743" t="str">
        <f>IF(ROW(E743)&lt;=Bidding!$D$11,Raw_hydro_bm!F743,"")</f>
        <v/>
      </c>
      <c r="F743" t="str">
        <f>IF(ROW(F743)&lt;=Bidding!$D$11,Raw_hydro_bm!G743,"")</f>
        <v/>
      </c>
      <c r="G743" t="str">
        <f>IF(ROW(G743)&lt;=Bidding!$D$11,Raw_hydro_bm!H743,"")</f>
        <v/>
      </c>
      <c r="H743" t="str">
        <f>IF(ROW(H743)&lt;=Bidding!$D$11,Raw_hydro_bm!I743,"")</f>
        <v/>
      </c>
      <c r="I743" s="16" t="str">
        <f t="shared" si="11"/>
        <v/>
      </c>
    </row>
    <row r="744" spans="1:9" x14ac:dyDescent="0.3">
      <c r="A744" t="str">
        <f>IF(ROW(A744)&lt;=Bidding!$D$11,Raw_hydro_bm!B744,"")</f>
        <v/>
      </c>
      <c r="B744" t="str">
        <f>IF(ROW(B744)&lt;=Bidding!$D$11,Raw_hydro_bm!C744,"")</f>
        <v/>
      </c>
      <c r="C744" t="str">
        <f>IF(ROW(C744)&lt;=Bidding!$D$11,Raw_hydro_bm!D744,"")</f>
        <v/>
      </c>
      <c r="D744" t="str">
        <f>IF(ROW(D744)&lt;=Bidding!$D$11,Raw_hydro_bm!E744,"")</f>
        <v/>
      </c>
      <c r="E744" t="str">
        <f>IF(ROW(E744)&lt;=Bidding!$D$11,Raw_hydro_bm!F744,"")</f>
        <v/>
      </c>
      <c r="F744" t="str">
        <f>IF(ROW(F744)&lt;=Bidding!$D$11,Raw_hydro_bm!G744,"")</f>
        <v/>
      </c>
      <c r="G744" t="str">
        <f>IF(ROW(G744)&lt;=Bidding!$D$11,Raw_hydro_bm!H744,"")</f>
        <v/>
      </c>
      <c r="H744" t="str">
        <f>IF(ROW(H744)&lt;=Bidding!$D$11,Raw_hydro_bm!I744,"")</f>
        <v/>
      </c>
      <c r="I744" s="16" t="str">
        <f t="shared" si="11"/>
        <v/>
      </c>
    </row>
    <row r="745" spans="1:9" x14ac:dyDescent="0.3">
      <c r="A745" t="str">
        <f>IF(ROW(A745)&lt;=Bidding!$D$11,Raw_hydro_bm!B745,"")</f>
        <v/>
      </c>
      <c r="B745" t="str">
        <f>IF(ROW(B745)&lt;=Bidding!$D$11,Raw_hydro_bm!C745,"")</f>
        <v/>
      </c>
      <c r="C745" t="str">
        <f>IF(ROW(C745)&lt;=Bidding!$D$11,Raw_hydro_bm!D745,"")</f>
        <v/>
      </c>
      <c r="D745" t="str">
        <f>IF(ROW(D745)&lt;=Bidding!$D$11,Raw_hydro_bm!E745,"")</f>
        <v/>
      </c>
      <c r="E745" t="str">
        <f>IF(ROW(E745)&lt;=Bidding!$D$11,Raw_hydro_bm!F745,"")</f>
        <v/>
      </c>
      <c r="F745" t="str">
        <f>IF(ROW(F745)&lt;=Bidding!$D$11,Raw_hydro_bm!G745,"")</f>
        <v/>
      </c>
      <c r="G745" t="str">
        <f>IF(ROW(G745)&lt;=Bidding!$D$11,Raw_hydro_bm!H745,"")</f>
        <v/>
      </c>
      <c r="H745" t="str">
        <f>IF(ROW(H745)&lt;=Bidding!$D$11,Raw_hydro_bm!I745,"")</f>
        <v/>
      </c>
      <c r="I745" s="16" t="str">
        <f t="shared" si="11"/>
        <v/>
      </c>
    </row>
    <row r="746" spans="1:9" x14ac:dyDescent="0.3">
      <c r="A746" t="str">
        <f>IF(ROW(A746)&lt;=Bidding!$D$11,Raw_hydro_bm!B746,"")</f>
        <v/>
      </c>
      <c r="B746" t="str">
        <f>IF(ROW(B746)&lt;=Bidding!$D$11,Raw_hydro_bm!C746,"")</f>
        <v/>
      </c>
      <c r="C746" t="str">
        <f>IF(ROW(C746)&lt;=Bidding!$D$11,Raw_hydro_bm!D746,"")</f>
        <v/>
      </c>
      <c r="D746" t="str">
        <f>IF(ROW(D746)&lt;=Bidding!$D$11,Raw_hydro_bm!E746,"")</f>
        <v/>
      </c>
      <c r="E746" t="str">
        <f>IF(ROW(E746)&lt;=Bidding!$D$11,Raw_hydro_bm!F746,"")</f>
        <v/>
      </c>
      <c r="F746" t="str">
        <f>IF(ROW(F746)&lt;=Bidding!$D$11,Raw_hydro_bm!G746,"")</f>
        <v/>
      </c>
      <c r="G746" t="str">
        <f>IF(ROW(G746)&lt;=Bidding!$D$11,Raw_hydro_bm!H746,"")</f>
        <v/>
      </c>
      <c r="H746" t="str">
        <f>IF(ROW(H746)&lt;=Bidding!$D$11,Raw_hydro_bm!I746,"")</f>
        <v/>
      </c>
      <c r="I746" s="16" t="str">
        <f t="shared" si="11"/>
        <v/>
      </c>
    </row>
    <row r="747" spans="1:9" x14ac:dyDescent="0.3">
      <c r="A747" t="str">
        <f>IF(ROW(A747)&lt;=Bidding!$D$11,Raw_hydro_bm!B747,"")</f>
        <v/>
      </c>
      <c r="B747" t="str">
        <f>IF(ROW(B747)&lt;=Bidding!$D$11,Raw_hydro_bm!C747,"")</f>
        <v/>
      </c>
      <c r="C747" t="str">
        <f>IF(ROW(C747)&lt;=Bidding!$D$11,Raw_hydro_bm!D747,"")</f>
        <v/>
      </c>
      <c r="D747" t="str">
        <f>IF(ROW(D747)&lt;=Bidding!$D$11,Raw_hydro_bm!E747,"")</f>
        <v/>
      </c>
      <c r="E747" t="str">
        <f>IF(ROW(E747)&lt;=Bidding!$D$11,Raw_hydro_bm!F747,"")</f>
        <v/>
      </c>
      <c r="F747" t="str">
        <f>IF(ROW(F747)&lt;=Bidding!$D$11,Raw_hydro_bm!G747,"")</f>
        <v/>
      </c>
      <c r="G747" t="str">
        <f>IF(ROW(G747)&lt;=Bidding!$D$11,Raw_hydro_bm!H747,"")</f>
        <v/>
      </c>
      <c r="H747" t="str">
        <f>IF(ROW(H747)&lt;=Bidding!$D$11,Raw_hydro_bm!I747,"")</f>
        <v/>
      </c>
      <c r="I747" s="16" t="str">
        <f t="shared" si="11"/>
        <v/>
      </c>
    </row>
    <row r="748" spans="1:9" x14ac:dyDescent="0.3">
      <c r="A748" t="str">
        <f>IF(ROW(A748)&lt;=Bidding!$D$11,Raw_hydro_bm!B748,"")</f>
        <v/>
      </c>
      <c r="B748" t="str">
        <f>IF(ROW(B748)&lt;=Bidding!$D$11,Raw_hydro_bm!C748,"")</f>
        <v/>
      </c>
      <c r="C748" t="str">
        <f>IF(ROW(C748)&lt;=Bidding!$D$11,Raw_hydro_bm!D748,"")</f>
        <v/>
      </c>
      <c r="D748" t="str">
        <f>IF(ROW(D748)&lt;=Bidding!$D$11,Raw_hydro_bm!E748,"")</f>
        <v/>
      </c>
      <c r="E748" t="str">
        <f>IF(ROW(E748)&lt;=Bidding!$D$11,Raw_hydro_bm!F748,"")</f>
        <v/>
      </c>
      <c r="F748" t="str">
        <f>IF(ROW(F748)&lt;=Bidding!$D$11,Raw_hydro_bm!G748,"")</f>
        <v/>
      </c>
      <c r="G748" t="str">
        <f>IF(ROW(G748)&lt;=Bidding!$D$11,Raw_hydro_bm!H748,"")</f>
        <v/>
      </c>
      <c r="H748" t="str">
        <f>IF(ROW(H748)&lt;=Bidding!$D$11,Raw_hydro_bm!I748,"")</f>
        <v/>
      </c>
      <c r="I748" s="16" t="str">
        <f t="shared" si="11"/>
        <v/>
      </c>
    </row>
    <row r="749" spans="1:9" x14ac:dyDescent="0.3">
      <c r="A749" t="str">
        <f>IF(ROW(A749)&lt;=Bidding!$D$11,Raw_hydro_bm!B749,"")</f>
        <v/>
      </c>
      <c r="B749" t="str">
        <f>IF(ROW(B749)&lt;=Bidding!$D$11,Raw_hydro_bm!C749,"")</f>
        <v/>
      </c>
      <c r="C749" t="str">
        <f>IF(ROW(C749)&lt;=Bidding!$D$11,Raw_hydro_bm!D749,"")</f>
        <v/>
      </c>
      <c r="D749" t="str">
        <f>IF(ROW(D749)&lt;=Bidding!$D$11,Raw_hydro_bm!E749,"")</f>
        <v/>
      </c>
      <c r="E749" t="str">
        <f>IF(ROW(E749)&lt;=Bidding!$D$11,Raw_hydro_bm!F749,"")</f>
        <v/>
      </c>
      <c r="F749" t="str">
        <f>IF(ROW(F749)&lt;=Bidding!$D$11,Raw_hydro_bm!G749,"")</f>
        <v/>
      </c>
      <c r="G749" t="str">
        <f>IF(ROW(G749)&lt;=Bidding!$D$11,Raw_hydro_bm!H749,"")</f>
        <v/>
      </c>
      <c r="H749" t="str">
        <f>IF(ROW(H749)&lt;=Bidding!$D$11,Raw_hydro_bm!I749,"")</f>
        <v/>
      </c>
      <c r="I749" s="16" t="str">
        <f t="shared" si="11"/>
        <v/>
      </c>
    </row>
    <row r="750" spans="1:9" x14ac:dyDescent="0.3">
      <c r="A750" t="str">
        <f>IF(ROW(A750)&lt;=Bidding!$D$11,Raw_hydro_bm!B750,"")</f>
        <v/>
      </c>
      <c r="B750" t="str">
        <f>IF(ROW(B750)&lt;=Bidding!$D$11,Raw_hydro_bm!C750,"")</f>
        <v/>
      </c>
      <c r="C750" t="str">
        <f>IF(ROW(C750)&lt;=Bidding!$D$11,Raw_hydro_bm!D750,"")</f>
        <v/>
      </c>
      <c r="D750" t="str">
        <f>IF(ROW(D750)&lt;=Bidding!$D$11,Raw_hydro_bm!E750,"")</f>
        <v/>
      </c>
      <c r="E750" t="str">
        <f>IF(ROW(E750)&lt;=Bidding!$D$11,Raw_hydro_bm!F750,"")</f>
        <v/>
      </c>
      <c r="F750" t="str">
        <f>IF(ROW(F750)&lt;=Bidding!$D$11,Raw_hydro_bm!G750,"")</f>
        <v/>
      </c>
      <c r="G750" t="str">
        <f>IF(ROW(G750)&lt;=Bidding!$D$11,Raw_hydro_bm!H750,"")</f>
        <v/>
      </c>
      <c r="H750" t="str">
        <f>IF(ROW(H750)&lt;=Bidding!$D$11,Raw_hydro_bm!I750,"")</f>
        <v/>
      </c>
      <c r="I750" s="16" t="str">
        <f t="shared" si="11"/>
        <v/>
      </c>
    </row>
    <row r="751" spans="1:9" x14ac:dyDescent="0.3">
      <c r="A751" t="str">
        <f>IF(ROW(A751)&lt;=Bidding!$D$11,Raw_hydro_bm!B751,"")</f>
        <v/>
      </c>
      <c r="B751" t="str">
        <f>IF(ROW(B751)&lt;=Bidding!$D$11,Raw_hydro_bm!C751,"")</f>
        <v/>
      </c>
      <c r="C751" t="str">
        <f>IF(ROW(C751)&lt;=Bidding!$D$11,Raw_hydro_bm!D751,"")</f>
        <v/>
      </c>
      <c r="D751" t="str">
        <f>IF(ROW(D751)&lt;=Bidding!$D$11,Raw_hydro_bm!E751,"")</f>
        <v/>
      </c>
      <c r="E751" t="str">
        <f>IF(ROW(E751)&lt;=Bidding!$D$11,Raw_hydro_bm!F751,"")</f>
        <v/>
      </c>
      <c r="F751" t="str">
        <f>IF(ROW(F751)&lt;=Bidding!$D$11,Raw_hydro_bm!G751,"")</f>
        <v/>
      </c>
      <c r="G751" t="str">
        <f>IF(ROW(G751)&lt;=Bidding!$D$11,Raw_hydro_bm!H751,"")</f>
        <v/>
      </c>
      <c r="H751" t="str">
        <f>IF(ROW(H751)&lt;=Bidding!$D$11,Raw_hydro_bm!I751,"")</f>
        <v/>
      </c>
      <c r="I751" s="16" t="str">
        <f t="shared" si="11"/>
        <v/>
      </c>
    </row>
    <row r="752" spans="1:9" x14ac:dyDescent="0.3">
      <c r="A752" t="str">
        <f>IF(ROW(A752)&lt;=Bidding!$D$11,Raw_hydro_bm!B752,"")</f>
        <v/>
      </c>
      <c r="B752" t="str">
        <f>IF(ROW(B752)&lt;=Bidding!$D$11,Raw_hydro_bm!C752,"")</f>
        <v/>
      </c>
      <c r="C752" t="str">
        <f>IF(ROW(C752)&lt;=Bidding!$D$11,Raw_hydro_bm!D752,"")</f>
        <v/>
      </c>
      <c r="D752" t="str">
        <f>IF(ROW(D752)&lt;=Bidding!$D$11,Raw_hydro_bm!E752,"")</f>
        <v/>
      </c>
      <c r="E752" t="str">
        <f>IF(ROW(E752)&lt;=Bidding!$D$11,Raw_hydro_bm!F752,"")</f>
        <v/>
      </c>
      <c r="F752" t="str">
        <f>IF(ROW(F752)&lt;=Bidding!$D$11,Raw_hydro_bm!G752,"")</f>
        <v/>
      </c>
      <c r="G752" t="str">
        <f>IF(ROW(G752)&lt;=Bidding!$D$11,Raw_hydro_bm!H752,"")</f>
        <v/>
      </c>
      <c r="H752" t="str">
        <f>IF(ROW(H752)&lt;=Bidding!$D$11,Raw_hydro_bm!I752,"")</f>
        <v/>
      </c>
      <c r="I752" s="16" t="str">
        <f t="shared" si="11"/>
        <v/>
      </c>
    </row>
    <row r="753" spans="1:9" x14ac:dyDescent="0.3">
      <c r="A753" t="str">
        <f>IF(ROW(A753)&lt;=Bidding!$D$11,Raw_hydro_bm!B753,"")</f>
        <v/>
      </c>
      <c r="B753" t="str">
        <f>IF(ROW(B753)&lt;=Bidding!$D$11,Raw_hydro_bm!C753,"")</f>
        <v/>
      </c>
      <c r="C753" t="str">
        <f>IF(ROW(C753)&lt;=Bidding!$D$11,Raw_hydro_bm!D753,"")</f>
        <v/>
      </c>
      <c r="D753" t="str">
        <f>IF(ROW(D753)&lt;=Bidding!$D$11,Raw_hydro_bm!E753,"")</f>
        <v/>
      </c>
      <c r="E753" t="str">
        <f>IF(ROW(E753)&lt;=Bidding!$D$11,Raw_hydro_bm!F753,"")</f>
        <v/>
      </c>
      <c r="F753" t="str">
        <f>IF(ROW(F753)&lt;=Bidding!$D$11,Raw_hydro_bm!G753,"")</f>
        <v/>
      </c>
      <c r="G753" t="str">
        <f>IF(ROW(G753)&lt;=Bidding!$D$11,Raw_hydro_bm!H753,"")</f>
        <v/>
      </c>
      <c r="H753" t="str">
        <f>IF(ROW(H753)&lt;=Bidding!$D$11,Raw_hydro_bm!I753,"")</f>
        <v/>
      </c>
      <c r="I753" s="16" t="str">
        <f t="shared" si="11"/>
        <v/>
      </c>
    </row>
    <row r="754" spans="1:9" x14ac:dyDescent="0.3">
      <c r="A754" t="str">
        <f>IF(ROW(A754)&lt;=Bidding!$D$11,Raw_hydro_bm!B754,"")</f>
        <v/>
      </c>
      <c r="B754" t="str">
        <f>IF(ROW(B754)&lt;=Bidding!$D$11,Raw_hydro_bm!C754,"")</f>
        <v/>
      </c>
      <c r="C754" t="str">
        <f>IF(ROW(C754)&lt;=Bidding!$D$11,Raw_hydro_bm!D754,"")</f>
        <v/>
      </c>
      <c r="D754" t="str">
        <f>IF(ROW(D754)&lt;=Bidding!$D$11,Raw_hydro_bm!E754,"")</f>
        <v/>
      </c>
      <c r="E754" t="str">
        <f>IF(ROW(E754)&lt;=Bidding!$D$11,Raw_hydro_bm!F754,"")</f>
        <v/>
      </c>
      <c r="F754" t="str">
        <f>IF(ROW(F754)&lt;=Bidding!$D$11,Raw_hydro_bm!G754,"")</f>
        <v/>
      </c>
      <c r="G754" t="str">
        <f>IF(ROW(G754)&lt;=Bidding!$D$11,Raw_hydro_bm!H754,"")</f>
        <v/>
      </c>
      <c r="H754" t="str">
        <f>IF(ROW(H754)&lt;=Bidding!$D$11,Raw_hydro_bm!I754,"")</f>
        <v/>
      </c>
      <c r="I754" s="16" t="str">
        <f t="shared" si="11"/>
        <v/>
      </c>
    </row>
    <row r="755" spans="1:9" x14ac:dyDescent="0.3">
      <c r="A755" t="str">
        <f>IF(ROW(A755)&lt;=Bidding!$D$11,Raw_hydro_bm!B755,"")</f>
        <v/>
      </c>
      <c r="B755" t="str">
        <f>IF(ROW(B755)&lt;=Bidding!$D$11,Raw_hydro_bm!C755,"")</f>
        <v/>
      </c>
      <c r="C755" t="str">
        <f>IF(ROW(C755)&lt;=Bidding!$D$11,Raw_hydro_bm!D755,"")</f>
        <v/>
      </c>
      <c r="D755" t="str">
        <f>IF(ROW(D755)&lt;=Bidding!$D$11,Raw_hydro_bm!E755,"")</f>
        <v/>
      </c>
      <c r="E755" t="str">
        <f>IF(ROW(E755)&lt;=Bidding!$D$11,Raw_hydro_bm!F755,"")</f>
        <v/>
      </c>
      <c r="F755" t="str">
        <f>IF(ROW(F755)&lt;=Bidding!$D$11,Raw_hydro_bm!G755,"")</f>
        <v/>
      </c>
      <c r="G755" t="str">
        <f>IF(ROW(G755)&lt;=Bidding!$D$11,Raw_hydro_bm!H755,"")</f>
        <v/>
      </c>
      <c r="H755" t="str">
        <f>IF(ROW(H755)&lt;=Bidding!$D$11,Raw_hydro_bm!I755,"")</f>
        <v/>
      </c>
      <c r="I755" s="16" t="str">
        <f t="shared" si="11"/>
        <v/>
      </c>
    </row>
    <row r="756" spans="1:9" x14ac:dyDescent="0.3">
      <c r="A756" t="str">
        <f>IF(ROW(A756)&lt;=Bidding!$D$11,Raw_hydro_bm!B756,"")</f>
        <v/>
      </c>
      <c r="B756" t="str">
        <f>IF(ROW(B756)&lt;=Bidding!$D$11,Raw_hydro_bm!C756,"")</f>
        <v/>
      </c>
      <c r="C756" t="str">
        <f>IF(ROW(C756)&lt;=Bidding!$D$11,Raw_hydro_bm!D756,"")</f>
        <v/>
      </c>
      <c r="D756" t="str">
        <f>IF(ROW(D756)&lt;=Bidding!$D$11,Raw_hydro_bm!E756,"")</f>
        <v/>
      </c>
      <c r="E756" t="str">
        <f>IF(ROW(E756)&lt;=Bidding!$D$11,Raw_hydro_bm!F756,"")</f>
        <v/>
      </c>
      <c r="F756" t="str">
        <f>IF(ROW(F756)&lt;=Bidding!$D$11,Raw_hydro_bm!G756,"")</f>
        <v/>
      </c>
      <c r="G756" t="str">
        <f>IF(ROW(G756)&lt;=Bidding!$D$11,Raw_hydro_bm!H756,"")</f>
        <v/>
      </c>
      <c r="H756" t="str">
        <f>IF(ROW(H756)&lt;=Bidding!$D$11,Raw_hydro_bm!I756,"")</f>
        <v/>
      </c>
      <c r="I756" s="16" t="str">
        <f t="shared" si="11"/>
        <v/>
      </c>
    </row>
    <row r="757" spans="1:9" x14ac:dyDescent="0.3">
      <c r="A757" t="str">
        <f>IF(ROW(A757)&lt;=Bidding!$D$11,Raw_hydro_bm!B757,"")</f>
        <v/>
      </c>
      <c r="B757" t="str">
        <f>IF(ROW(B757)&lt;=Bidding!$D$11,Raw_hydro_bm!C757,"")</f>
        <v/>
      </c>
      <c r="C757" t="str">
        <f>IF(ROW(C757)&lt;=Bidding!$D$11,Raw_hydro_bm!D757,"")</f>
        <v/>
      </c>
      <c r="D757" t="str">
        <f>IF(ROW(D757)&lt;=Bidding!$D$11,Raw_hydro_bm!E757,"")</f>
        <v/>
      </c>
      <c r="E757" t="str">
        <f>IF(ROW(E757)&lt;=Bidding!$D$11,Raw_hydro_bm!F757,"")</f>
        <v/>
      </c>
      <c r="F757" t="str">
        <f>IF(ROW(F757)&lt;=Bidding!$D$11,Raw_hydro_bm!G757,"")</f>
        <v/>
      </c>
      <c r="G757" t="str">
        <f>IF(ROW(G757)&lt;=Bidding!$D$11,Raw_hydro_bm!H757,"")</f>
        <v/>
      </c>
      <c r="H757" t="str">
        <f>IF(ROW(H757)&lt;=Bidding!$D$11,Raw_hydro_bm!I757,"")</f>
        <v/>
      </c>
      <c r="I757" s="16" t="str">
        <f t="shared" si="11"/>
        <v/>
      </c>
    </row>
    <row r="758" spans="1:9" x14ac:dyDescent="0.3">
      <c r="A758" t="str">
        <f>IF(ROW(A758)&lt;=Bidding!$D$11,Raw_hydro_bm!B758,"")</f>
        <v/>
      </c>
      <c r="B758" t="str">
        <f>IF(ROW(B758)&lt;=Bidding!$D$11,Raw_hydro_bm!C758,"")</f>
        <v/>
      </c>
      <c r="C758" t="str">
        <f>IF(ROW(C758)&lt;=Bidding!$D$11,Raw_hydro_bm!D758,"")</f>
        <v/>
      </c>
      <c r="D758" t="str">
        <f>IF(ROW(D758)&lt;=Bidding!$D$11,Raw_hydro_bm!E758,"")</f>
        <v/>
      </c>
      <c r="E758" t="str">
        <f>IF(ROW(E758)&lt;=Bidding!$D$11,Raw_hydro_bm!F758,"")</f>
        <v/>
      </c>
      <c r="F758" t="str">
        <f>IF(ROW(F758)&lt;=Bidding!$D$11,Raw_hydro_bm!G758,"")</f>
        <v/>
      </c>
      <c r="G758" t="str">
        <f>IF(ROW(G758)&lt;=Bidding!$D$11,Raw_hydro_bm!H758,"")</f>
        <v/>
      </c>
      <c r="H758" t="str">
        <f>IF(ROW(H758)&lt;=Bidding!$D$11,Raw_hydro_bm!I758,"")</f>
        <v/>
      </c>
      <c r="I758" s="16" t="str">
        <f t="shared" si="11"/>
        <v/>
      </c>
    </row>
    <row r="759" spans="1:9" x14ac:dyDescent="0.3">
      <c r="A759" t="str">
        <f>IF(ROW(A759)&lt;=Bidding!$D$11,Raw_hydro_bm!B759,"")</f>
        <v/>
      </c>
      <c r="B759" t="str">
        <f>IF(ROW(B759)&lt;=Bidding!$D$11,Raw_hydro_bm!C759,"")</f>
        <v/>
      </c>
      <c r="C759" t="str">
        <f>IF(ROW(C759)&lt;=Bidding!$D$11,Raw_hydro_bm!D759,"")</f>
        <v/>
      </c>
      <c r="D759" t="str">
        <f>IF(ROW(D759)&lt;=Bidding!$D$11,Raw_hydro_bm!E759,"")</f>
        <v/>
      </c>
      <c r="E759" t="str">
        <f>IF(ROW(E759)&lt;=Bidding!$D$11,Raw_hydro_bm!F759,"")</f>
        <v/>
      </c>
      <c r="F759" t="str">
        <f>IF(ROW(F759)&lt;=Bidding!$D$11,Raw_hydro_bm!G759,"")</f>
        <v/>
      </c>
      <c r="G759" t="str">
        <f>IF(ROW(G759)&lt;=Bidding!$D$11,Raw_hydro_bm!H759,"")</f>
        <v/>
      </c>
      <c r="H759" t="str">
        <f>IF(ROW(H759)&lt;=Bidding!$D$11,Raw_hydro_bm!I759,"")</f>
        <v/>
      </c>
      <c r="I759" s="16" t="str">
        <f t="shared" si="11"/>
        <v/>
      </c>
    </row>
    <row r="760" spans="1:9" x14ac:dyDescent="0.3">
      <c r="A760" t="str">
        <f>IF(ROW(A760)&lt;=Bidding!$D$11,Raw_hydro_bm!B760,"")</f>
        <v/>
      </c>
      <c r="B760" t="str">
        <f>IF(ROW(B760)&lt;=Bidding!$D$11,Raw_hydro_bm!C760,"")</f>
        <v/>
      </c>
      <c r="C760" t="str">
        <f>IF(ROW(C760)&lt;=Bidding!$D$11,Raw_hydro_bm!D760,"")</f>
        <v/>
      </c>
      <c r="D760" t="str">
        <f>IF(ROW(D760)&lt;=Bidding!$D$11,Raw_hydro_bm!E760,"")</f>
        <v/>
      </c>
      <c r="E760" t="str">
        <f>IF(ROW(E760)&lt;=Bidding!$D$11,Raw_hydro_bm!F760,"")</f>
        <v/>
      </c>
      <c r="F760" t="str">
        <f>IF(ROW(F760)&lt;=Bidding!$D$11,Raw_hydro_bm!G760,"")</f>
        <v/>
      </c>
      <c r="G760" t="str">
        <f>IF(ROW(G760)&lt;=Bidding!$D$11,Raw_hydro_bm!H760,"")</f>
        <v/>
      </c>
      <c r="H760" t="str">
        <f>IF(ROW(H760)&lt;=Bidding!$D$11,Raw_hydro_bm!I760,"")</f>
        <v/>
      </c>
      <c r="I760" s="16" t="str">
        <f t="shared" si="11"/>
        <v/>
      </c>
    </row>
    <row r="761" spans="1:9" x14ac:dyDescent="0.3">
      <c r="A761" t="str">
        <f>IF(ROW(A761)&lt;=Bidding!$D$11,Raw_hydro_bm!B761,"")</f>
        <v/>
      </c>
      <c r="B761" t="str">
        <f>IF(ROW(B761)&lt;=Bidding!$D$11,Raw_hydro_bm!C761,"")</f>
        <v/>
      </c>
      <c r="C761" t="str">
        <f>IF(ROW(C761)&lt;=Bidding!$D$11,Raw_hydro_bm!D761,"")</f>
        <v/>
      </c>
      <c r="D761" t="str">
        <f>IF(ROW(D761)&lt;=Bidding!$D$11,Raw_hydro_bm!E761,"")</f>
        <v/>
      </c>
      <c r="E761" t="str">
        <f>IF(ROW(E761)&lt;=Bidding!$D$11,Raw_hydro_bm!F761,"")</f>
        <v/>
      </c>
      <c r="F761" t="str">
        <f>IF(ROW(F761)&lt;=Bidding!$D$11,Raw_hydro_bm!G761,"")</f>
        <v/>
      </c>
      <c r="G761" t="str">
        <f>IF(ROW(G761)&lt;=Bidding!$D$11,Raw_hydro_bm!H761,"")</f>
        <v/>
      </c>
      <c r="H761" t="str">
        <f>IF(ROW(H761)&lt;=Bidding!$D$11,Raw_hydro_bm!I761,"")</f>
        <v/>
      </c>
      <c r="I761" s="16" t="str">
        <f t="shared" si="11"/>
        <v/>
      </c>
    </row>
    <row r="762" spans="1:9" x14ac:dyDescent="0.3">
      <c r="A762" t="str">
        <f>IF(ROW(A762)&lt;=Bidding!$D$11,Raw_hydro_bm!B762,"")</f>
        <v/>
      </c>
      <c r="B762" t="str">
        <f>IF(ROW(B762)&lt;=Bidding!$D$11,Raw_hydro_bm!C762,"")</f>
        <v/>
      </c>
      <c r="C762" t="str">
        <f>IF(ROW(C762)&lt;=Bidding!$D$11,Raw_hydro_bm!D762,"")</f>
        <v/>
      </c>
      <c r="D762" t="str">
        <f>IF(ROW(D762)&lt;=Bidding!$D$11,Raw_hydro_bm!E762,"")</f>
        <v/>
      </c>
      <c r="E762" t="str">
        <f>IF(ROW(E762)&lt;=Bidding!$D$11,Raw_hydro_bm!F762,"")</f>
        <v/>
      </c>
      <c r="F762" t="str">
        <f>IF(ROW(F762)&lt;=Bidding!$D$11,Raw_hydro_bm!G762,"")</f>
        <v/>
      </c>
      <c r="G762" t="str">
        <f>IF(ROW(G762)&lt;=Bidding!$D$11,Raw_hydro_bm!H762,"")</f>
        <v/>
      </c>
      <c r="H762" t="str">
        <f>IF(ROW(H762)&lt;=Bidding!$D$11,Raw_hydro_bm!I762,"")</f>
        <v/>
      </c>
      <c r="I762" s="16" t="str">
        <f t="shared" si="11"/>
        <v/>
      </c>
    </row>
    <row r="763" spans="1:9" x14ac:dyDescent="0.3">
      <c r="A763" t="str">
        <f>IF(ROW(A763)&lt;=Bidding!$D$11,Raw_hydro_bm!B763,"")</f>
        <v/>
      </c>
      <c r="B763" t="str">
        <f>IF(ROW(B763)&lt;=Bidding!$D$11,Raw_hydro_bm!C763,"")</f>
        <v/>
      </c>
      <c r="C763" t="str">
        <f>IF(ROW(C763)&lt;=Bidding!$D$11,Raw_hydro_bm!D763,"")</f>
        <v/>
      </c>
      <c r="D763" t="str">
        <f>IF(ROW(D763)&lt;=Bidding!$D$11,Raw_hydro_bm!E763,"")</f>
        <v/>
      </c>
      <c r="E763" t="str">
        <f>IF(ROW(E763)&lt;=Bidding!$D$11,Raw_hydro_bm!F763,"")</f>
        <v/>
      </c>
      <c r="F763" t="str">
        <f>IF(ROW(F763)&lt;=Bidding!$D$11,Raw_hydro_bm!G763,"")</f>
        <v/>
      </c>
      <c r="G763" t="str">
        <f>IF(ROW(G763)&lt;=Bidding!$D$11,Raw_hydro_bm!H763,"")</f>
        <v/>
      </c>
      <c r="H763" t="str">
        <f>IF(ROW(H763)&lt;=Bidding!$D$11,Raw_hydro_bm!I763,"")</f>
        <v/>
      </c>
      <c r="I763" s="16" t="str">
        <f t="shared" si="11"/>
        <v/>
      </c>
    </row>
    <row r="764" spans="1:9" x14ac:dyDescent="0.3">
      <c r="A764" t="str">
        <f>IF(ROW(A764)&lt;=Bidding!$D$11,Raw_hydro_bm!B764,"")</f>
        <v/>
      </c>
      <c r="B764" t="str">
        <f>IF(ROW(B764)&lt;=Bidding!$D$11,Raw_hydro_bm!C764,"")</f>
        <v/>
      </c>
      <c r="C764" t="str">
        <f>IF(ROW(C764)&lt;=Bidding!$D$11,Raw_hydro_bm!D764,"")</f>
        <v/>
      </c>
      <c r="D764" t="str">
        <f>IF(ROW(D764)&lt;=Bidding!$D$11,Raw_hydro_bm!E764,"")</f>
        <v/>
      </c>
      <c r="E764" t="str">
        <f>IF(ROW(E764)&lt;=Bidding!$D$11,Raw_hydro_bm!F764,"")</f>
        <v/>
      </c>
      <c r="F764" t="str">
        <f>IF(ROW(F764)&lt;=Bidding!$D$11,Raw_hydro_bm!G764,"")</f>
        <v/>
      </c>
      <c r="G764" t="str">
        <f>IF(ROW(G764)&lt;=Bidding!$D$11,Raw_hydro_bm!H764,"")</f>
        <v/>
      </c>
      <c r="H764" t="str">
        <f>IF(ROW(H764)&lt;=Bidding!$D$11,Raw_hydro_bm!I764,"")</f>
        <v/>
      </c>
      <c r="I764" s="16" t="str">
        <f t="shared" si="11"/>
        <v/>
      </c>
    </row>
    <row r="765" spans="1:9" x14ac:dyDescent="0.3">
      <c r="A765" t="str">
        <f>IF(ROW(A765)&lt;=Bidding!$D$11,Raw_hydro_bm!B765,"")</f>
        <v/>
      </c>
      <c r="B765" t="str">
        <f>IF(ROW(B765)&lt;=Bidding!$D$11,Raw_hydro_bm!C765,"")</f>
        <v/>
      </c>
      <c r="C765" t="str">
        <f>IF(ROW(C765)&lt;=Bidding!$D$11,Raw_hydro_bm!D765,"")</f>
        <v/>
      </c>
      <c r="D765" t="str">
        <f>IF(ROW(D765)&lt;=Bidding!$D$11,Raw_hydro_bm!E765,"")</f>
        <v/>
      </c>
      <c r="E765" t="str">
        <f>IF(ROW(E765)&lt;=Bidding!$D$11,Raw_hydro_bm!F765,"")</f>
        <v/>
      </c>
      <c r="F765" t="str">
        <f>IF(ROW(F765)&lt;=Bidding!$D$11,Raw_hydro_bm!G765,"")</f>
        <v/>
      </c>
      <c r="G765" t="str">
        <f>IF(ROW(G765)&lt;=Bidding!$D$11,Raw_hydro_bm!H765,"")</f>
        <v/>
      </c>
      <c r="H765" t="str">
        <f>IF(ROW(H765)&lt;=Bidding!$D$11,Raw_hydro_bm!I765,"")</f>
        <v/>
      </c>
      <c r="I765" s="16" t="str">
        <f t="shared" si="11"/>
        <v/>
      </c>
    </row>
    <row r="766" spans="1:9" x14ac:dyDescent="0.3">
      <c r="A766" t="str">
        <f>IF(ROW(A766)&lt;=Bidding!$D$11,Raw_hydro_bm!B766,"")</f>
        <v/>
      </c>
      <c r="B766" t="str">
        <f>IF(ROW(B766)&lt;=Bidding!$D$11,Raw_hydro_bm!C766,"")</f>
        <v/>
      </c>
      <c r="C766" t="str">
        <f>IF(ROW(C766)&lt;=Bidding!$D$11,Raw_hydro_bm!D766,"")</f>
        <v/>
      </c>
      <c r="D766" t="str">
        <f>IF(ROW(D766)&lt;=Bidding!$D$11,Raw_hydro_bm!E766,"")</f>
        <v/>
      </c>
      <c r="E766" t="str">
        <f>IF(ROW(E766)&lt;=Bidding!$D$11,Raw_hydro_bm!F766,"")</f>
        <v/>
      </c>
      <c r="F766" t="str">
        <f>IF(ROW(F766)&lt;=Bidding!$D$11,Raw_hydro_bm!G766,"")</f>
        <v/>
      </c>
      <c r="G766" t="str">
        <f>IF(ROW(G766)&lt;=Bidding!$D$11,Raw_hydro_bm!H766,"")</f>
        <v/>
      </c>
      <c r="H766" t="str">
        <f>IF(ROW(H766)&lt;=Bidding!$D$11,Raw_hydro_bm!I766,"")</f>
        <v/>
      </c>
      <c r="I766" s="16" t="str">
        <f t="shared" si="11"/>
        <v/>
      </c>
    </row>
    <row r="767" spans="1:9" x14ac:dyDescent="0.3">
      <c r="A767" t="str">
        <f>IF(ROW(A767)&lt;=Bidding!$D$11,Raw_hydro_bm!B767,"")</f>
        <v/>
      </c>
      <c r="B767" t="str">
        <f>IF(ROW(B767)&lt;=Bidding!$D$11,Raw_hydro_bm!C767,"")</f>
        <v/>
      </c>
      <c r="C767" t="str">
        <f>IF(ROW(C767)&lt;=Bidding!$D$11,Raw_hydro_bm!D767,"")</f>
        <v/>
      </c>
      <c r="D767" t="str">
        <f>IF(ROW(D767)&lt;=Bidding!$D$11,Raw_hydro_bm!E767,"")</f>
        <v/>
      </c>
      <c r="E767" t="str">
        <f>IF(ROW(E767)&lt;=Bidding!$D$11,Raw_hydro_bm!F767,"")</f>
        <v/>
      </c>
      <c r="F767" t="str">
        <f>IF(ROW(F767)&lt;=Bidding!$D$11,Raw_hydro_bm!G767,"")</f>
        <v/>
      </c>
      <c r="G767" t="str">
        <f>IF(ROW(G767)&lt;=Bidding!$D$11,Raw_hydro_bm!H767,"")</f>
        <v/>
      </c>
      <c r="H767" t="str">
        <f>IF(ROW(H767)&lt;=Bidding!$D$11,Raw_hydro_bm!I767,"")</f>
        <v/>
      </c>
      <c r="I767" s="16" t="str">
        <f t="shared" si="11"/>
        <v/>
      </c>
    </row>
    <row r="768" spans="1:9" x14ac:dyDescent="0.3">
      <c r="A768" t="str">
        <f>IF(ROW(A768)&lt;=Bidding!$D$11,Raw_hydro_bm!B768,"")</f>
        <v/>
      </c>
      <c r="B768" t="str">
        <f>IF(ROW(B768)&lt;=Bidding!$D$11,Raw_hydro_bm!C768,"")</f>
        <v/>
      </c>
      <c r="C768" t="str">
        <f>IF(ROW(C768)&lt;=Bidding!$D$11,Raw_hydro_bm!D768,"")</f>
        <v/>
      </c>
      <c r="D768" t="str">
        <f>IF(ROW(D768)&lt;=Bidding!$D$11,Raw_hydro_bm!E768,"")</f>
        <v/>
      </c>
      <c r="E768" t="str">
        <f>IF(ROW(E768)&lt;=Bidding!$D$11,Raw_hydro_bm!F768,"")</f>
        <v/>
      </c>
      <c r="F768" t="str">
        <f>IF(ROW(F768)&lt;=Bidding!$D$11,Raw_hydro_bm!G768,"")</f>
        <v/>
      </c>
      <c r="G768" t="str">
        <f>IF(ROW(G768)&lt;=Bidding!$D$11,Raw_hydro_bm!H768,"")</f>
        <v/>
      </c>
      <c r="H768" t="str">
        <f>IF(ROW(H768)&lt;=Bidding!$D$11,Raw_hydro_bm!I768,"")</f>
        <v/>
      </c>
      <c r="I768" s="16" t="str">
        <f t="shared" si="11"/>
        <v/>
      </c>
    </row>
    <row r="769" spans="1:9" x14ac:dyDescent="0.3">
      <c r="A769" t="str">
        <f>IF(ROW(A769)&lt;=Bidding!$D$11,Raw_hydro_bm!B769,"")</f>
        <v/>
      </c>
      <c r="B769" t="str">
        <f>IF(ROW(B769)&lt;=Bidding!$D$11,Raw_hydro_bm!C769,"")</f>
        <v/>
      </c>
      <c r="C769" t="str">
        <f>IF(ROW(C769)&lt;=Bidding!$D$11,Raw_hydro_bm!D769,"")</f>
        <v/>
      </c>
      <c r="D769" t="str">
        <f>IF(ROW(D769)&lt;=Bidding!$D$11,Raw_hydro_bm!E769,"")</f>
        <v/>
      </c>
      <c r="E769" t="str">
        <f>IF(ROW(E769)&lt;=Bidding!$D$11,Raw_hydro_bm!F769,"")</f>
        <v/>
      </c>
      <c r="F769" t="str">
        <f>IF(ROW(F769)&lt;=Bidding!$D$11,Raw_hydro_bm!G769,"")</f>
        <v/>
      </c>
      <c r="G769" t="str">
        <f>IF(ROW(G769)&lt;=Bidding!$D$11,Raw_hydro_bm!H769,"")</f>
        <v/>
      </c>
      <c r="H769" t="str">
        <f>IF(ROW(H769)&lt;=Bidding!$D$11,Raw_hydro_bm!I769,"")</f>
        <v/>
      </c>
      <c r="I769" s="16" t="str">
        <f t="shared" si="11"/>
        <v/>
      </c>
    </row>
    <row r="770" spans="1:9" x14ac:dyDescent="0.3">
      <c r="A770" t="str">
        <f>IF(ROW(A770)&lt;=Bidding!$D$11,Raw_hydro_bm!B770,"")</f>
        <v/>
      </c>
      <c r="B770" t="str">
        <f>IF(ROW(B770)&lt;=Bidding!$D$11,Raw_hydro_bm!C770,"")</f>
        <v/>
      </c>
      <c r="C770" t="str">
        <f>IF(ROW(C770)&lt;=Bidding!$D$11,Raw_hydro_bm!D770,"")</f>
        <v/>
      </c>
      <c r="D770" t="str">
        <f>IF(ROW(D770)&lt;=Bidding!$D$11,Raw_hydro_bm!E770,"")</f>
        <v/>
      </c>
      <c r="E770" t="str">
        <f>IF(ROW(E770)&lt;=Bidding!$D$11,Raw_hydro_bm!F770,"")</f>
        <v/>
      </c>
      <c r="F770" t="str">
        <f>IF(ROW(F770)&lt;=Bidding!$D$11,Raw_hydro_bm!G770,"")</f>
        <v/>
      </c>
      <c r="G770" t="str">
        <f>IF(ROW(G770)&lt;=Bidding!$D$11,Raw_hydro_bm!H770,"")</f>
        <v/>
      </c>
      <c r="H770" t="str">
        <f>IF(ROW(H770)&lt;=Bidding!$D$11,Raw_hydro_bm!I770,"")</f>
        <v/>
      </c>
      <c r="I770" s="16" t="str">
        <f t="shared" ref="I770:I833" si="12">IF(IFERROR(FIND("e",H770),-1)&lt;0,IFERROR(_xlfn.NUMBERVALUE(LEFT(H770,FIND(".",H770)-1))+_xlfn.NUMBERVALUE("0,"&amp;RIGHT(H770,LEN(H770)-FIND(".",H770))),""),0)</f>
        <v/>
      </c>
    </row>
    <row r="771" spans="1:9" x14ac:dyDescent="0.3">
      <c r="A771" t="str">
        <f>IF(ROW(A771)&lt;=Bidding!$D$11,Raw_hydro_bm!B771,"")</f>
        <v/>
      </c>
      <c r="B771" t="str">
        <f>IF(ROW(B771)&lt;=Bidding!$D$11,Raw_hydro_bm!C771,"")</f>
        <v/>
      </c>
      <c r="C771" t="str">
        <f>IF(ROW(C771)&lt;=Bidding!$D$11,Raw_hydro_bm!D771,"")</f>
        <v/>
      </c>
      <c r="D771" t="str">
        <f>IF(ROW(D771)&lt;=Bidding!$D$11,Raw_hydro_bm!E771,"")</f>
        <v/>
      </c>
      <c r="E771" t="str">
        <f>IF(ROW(E771)&lt;=Bidding!$D$11,Raw_hydro_bm!F771,"")</f>
        <v/>
      </c>
      <c r="F771" t="str">
        <f>IF(ROW(F771)&lt;=Bidding!$D$11,Raw_hydro_bm!G771,"")</f>
        <v/>
      </c>
      <c r="G771" t="str">
        <f>IF(ROW(G771)&lt;=Bidding!$D$11,Raw_hydro_bm!H771,"")</f>
        <v/>
      </c>
      <c r="H771" t="str">
        <f>IF(ROW(H771)&lt;=Bidding!$D$11,Raw_hydro_bm!I771,"")</f>
        <v/>
      </c>
      <c r="I771" s="16" t="str">
        <f t="shared" si="12"/>
        <v/>
      </c>
    </row>
    <row r="772" spans="1:9" x14ac:dyDescent="0.3">
      <c r="A772" t="str">
        <f>IF(ROW(A772)&lt;=Bidding!$D$11,Raw_hydro_bm!B772,"")</f>
        <v/>
      </c>
      <c r="B772" t="str">
        <f>IF(ROW(B772)&lt;=Bidding!$D$11,Raw_hydro_bm!C772,"")</f>
        <v/>
      </c>
      <c r="C772" t="str">
        <f>IF(ROW(C772)&lt;=Bidding!$D$11,Raw_hydro_bm!D772,"")</f>
        <v/>
      </c>
      <c r="D772" t="str">
        <f>IF(ROW(D772)&lt;=Bidding!$D$11,Raw_hydro_bm!E772,"")</f>
        <v/>
      </c>
      <c r="E772" t="str">
        <f>IF(ROW(E772)&lt;=Bidding!$D$11,Raw_hydro_bm!F772,"")</f>
        <v/>
      </c>
      <c r="F772" t="str">
        <f>IF(ROW(F772)&lt;=Bidding!$D$11,Raw_hydro_bm!G772,"")</f>
        <v/>
      </c>
      <c r="G772" t="str">
        <f>IF(ROW(G772)&lt;=Bidding!$D$11,Raw_hydro_bm!H772,"")</f>
        <v/>
      </c>
      <c r="H772" t="str">
        <f>IF(ROW(H772)&lt;=Bidding!$D$11,Raw_hydro_bm!I772,"")</f>
        <v/>
      </c>
      <c r="I772" s="16" t="str">
        <f t="shared" si="12"/>
        <v/>
      </c>
    </row>
    <row r="773" spans="1:9" x14ac:dyDescent="0.3">
      <c r="A773" t="str">
        <f>IF(ROW(A773)&lt;=Bidding!$D$11,Raw_hydro_bm!B773,"")</f>
        <v/>
      </c>
      <c r="B773" t="str">
        <f>IF(ROW(B773)&lt;=Bidding!$D$11,Raw_hydro_bm!C773,"")</f>
        <v/>
      </c>
      <c r="C773" t="str">
        <f>IF(ROW(C773)&lt;=Bidding!$D$11,Raw_hydro_bm!D773,"")</f>
        <v/>
      </c>
      <c r="D773" t="str">
        <f>IF(ROW(D773)&lt;=Bidding!$D$11,Raw_hydro_bm!E773,"")</f>
        <v/>
      </c>
      <c r="E773" t="str">
        <f>IF(ROW(E773)&lt;=Bidding!$D$11,Raw_hydro_bm!F773,"")</f>
        <v/>
      </c>
      <c r="F773" t="str">
        <f>IF(ROW(F773)&lt;=Bidding!$D$11,Raw_hydro_bm!G773,"")</f>
        <v/>
      </c>
      <c r="G773" t="str">
        <f>IF(ROW(G773)&lt;=Bidding!$D$11,Raw_hydro_bm!H773,"")</f>
        <v/>
      </c>
      <c r="H773" t="str">
        <f>IF(ROW(H773)&lt;=Bidding!$D$11,Raw_hydro_bm!I773,"")</f>
        <v/>
      </c>
      <c r="I773" s="16" t="str">
        <f t="shared" si="12"/>
        <v/>
      </c>
    </row>
    <row r="774" spans="1:9" x14ac:dyDescent="0.3">
      <c r="A774" t="str">
        <f>IF(ROW(A774)&lt;=Bidding!$D$11,Raw_hydro_bm!B774,"")</f>
        <v/>
      </c>
      <c r="B774" t="str">
        <f>IF(ROW(B774)&lt;=Bidding!$D$11,Raw_hydro_bm!C774,"")</f>
        <v/>
      </c>
      <c r="C774" t="str">
        <f>IF(ROW(C774)&lt;=Bidding!$D$11,Raw_hydro_bm!D774,"")</f>
        <v/>
      </c>
      <c r="D774" t="str">
        <f>IF(ROW(D774)&lt;=Bidding!$D$11,Raw_hydro_bm!E774,"")</f>
        <v/>
      </c>
      <c r="E774" t="str">
        <f>IF(ROW(E774)&lt;=Bidding!$D$11,Raw_hydro_bm!F774,"")</f>
        <v/>
      </c>
      <c r="F774" t="str">
        <f>IF(ROW(F774)&lt;=Bidding!$D$11,Raw_hydro_bm!G774,"")</f>
        <v/>
      </c>
      <c r="G774" t="str">
        <f>IF(ROW(G774)&lt;=Bidding!$D$11,Raw_hydro_bm!H774,"")</f>
        <v/>
      </c>
      <c r="H774" t="str">
        <f>IF(ROW(H774)&lt;=Bidding!$D$11,Raw_hydro_bm!I774,"")</f>
        <v/>
      </c>
      <c r="I774" s="16" t="str">
        <f t="shared" si="12"/>
        <v/>
      </c>
    </row>
    <row r="775" spans="1:9" x14ac:dyDescent="0.3">
      <c r="A775" t="str">
        <f>IF(ROW(A775)&lt;=Bidding!$D$11,Raw_hydro_bm!B775,"")</f>
        <v/>
      </c>
      <c r="B775" t="str">
        <f>IF(ROW(B775)&lt;=Bidding!$D$11,Raw_hydro_bm!C775,"")</f>
        <v/>
      </c>
      <c r="C775" t="str">
        <f>IF(ROW(C775)&lt;=Bidding!$D$11,Raw_hydro_bm!D775,"")</f>
        <v/>
      </c>
      <c r="D775" t="str">
        <f>IF(ROW(D775)&lt;=Bidding!$D$11,Raw_hydro_bm!E775,"")</f>
        <v/>
      </c>
      <c r="E775" t="str">
        <f>IF(ROW(E775)&lt;=Bidding!$D$11,Raw_hydro_bm!F775,"")</f>
        <v/>
      </c>
      <c r="F775" t="str">
        <f>IF(ROW(F775)&lt;=Bidding!$D$11,Raw_hydro_bm!G775,"")</f>
        <v/>
      </c>
      <c r="G775" t="str">
        <f>IF(ROW(G775)&lt;=Bidding!$D$11,Raw_hydro_bm!H775,"")</f>
        <v/>
      </c>
      <c r="H775" t="str">
        <f>IF(ROW(H775)&lt;=Bidding!$D$11,Raw_hydro_bm!I775,"")</f>
        <v/>
      </c>
      <c r="I775" s="16" t="str">
        <f t="shared" si="12"/>
        <v/>
      </c>
    </row>
    <row r="776" spans="1:9" x14ac:dyDescent="0.3">
      <c r="A776" t="str">
        <f>IF(ROW(A776)&lt;=Bidding!$D$11,Raw_hydro_bm!B776,"")</f>
        <v/>
      </c>
      <c r="B776" t="str">
        <f>IF(ROW(B776)&lt;=Bidding!$D$11,Raw_hydro_bm!C776,"")</f>
        <v/>
      </c>
      <c r="C776" t="str">
        <f>IF(ROW(C776)&lt;=Bidding!$D$11,Raw_hydro_bm!D776,"")</f>
        <v/>
      </c>
      <c r="D776" t="str">
        <f>IF(ROW(D776)&lt;=Bidding!$D$11,Raw_hydro_bm!E776,"")</f>
        <v/>
      </c>
      <c r="E776" t="str">
        <f>IF(ROW(E776)&lt;=Bidding!$D$11,Raw_hydro_bm!F776,"")</f>
        <v/>
      </c>
      <c r="F776" t="str">
        <f>IF(ROW(F776)&lt;=Bidding!$D$11,Raw_hydro_bm!G776,"")</f>
        <v/>
      </c>
      <c r="G776" t="str">
        <f>IF(ROW(G776)&lt;=Bidding!$D$11,Raw_hydro_bm!H776,"")</f>
        <v/>
      </c>
      <c r="H776" t="str">
        <f>IF(ROW(H776)&lt;=Bidding!$D$11,Raw_hydro_bm!I776,"")</f>
        <v/>
      </c>
      <c r="I776" s="16" t="str">
        <f t="shared" si="12"/>
        <v/>
      </c>
    </row>
    <row r="777" spans="1:9" x14ac:dyDescent="0.3">
      <c r="A777" t="str">
        <f>IF(ROW(A777)&lt;=Bidding!$D$11,Raw_hydro_bm!B777,"")</f>
        <v/>
      </c>
      <c r="B777" t="str">
        <f>IF(ROW(B777)&lt;=Bidding!$D$11,Raw_hydro_bm!C777,"")</f>
        <v/>
      </c>
      <c r="C777" t="str">
        <f>IF(ROW(C777)&lt;=Bidding!$D$11,Raw_hydro_bm!D777,"")</f>
        <v/>
      </c>
      <c r="D777" t="str">
        <f>IF(ROW(D777)&lt;=Bidding!$D$11,Raw_hydro_bm!E777,"")</f>
        <v/>
      </c>
      <c r="E777" t="str">
        <f>IF(ROW(E777)&lt;=Bidding!$D$11,Raw_hydro_bm!F777,"")</f>
        <v/>
      </c>
      <c r="F777" t="str">
        <f>IF(ROW(F777)&lt;=Bidding!$D$11,Raw_hydro_bm!G777,"")</f>
        <v/>
      </c>
      <c r="G777" t="str">
        <f>IF(ROW(G777)&lt;=Bidding!$D$11,Raw_hydro_bm!H777,"")</f>
        <v/>
      </c>
      <c r="H777" t="str">
        <f>IF(ROW(H777)&lt;=Bidding!$D$11,Raw_hydro_bm!I777,"")</f>
        <v/>
      </c>
      <c r="I777" s="16" t="str">
        <f t="shared" si="12"/>
        <v/>
      </c>
    </row>
    <row r="778" spans="1:9" x14ac:dyDescent="0.3">
      <c r="A778" t="str">
        <f>IF(ROW(A778)&lt;=Bidding!$D$11,Raw_hydro_bm!B778,"")</f>
        <v/>
      </c>
      <c r="B778" t="str">
        <f>IF(ROW(B778)&lt;=Bidding!$D$11,Raw_hydro_bm!C778,"")</f>
        <v/>
      </c>
      <c r="C778" t="str">
        <f>IF(ROW(C778)&lt;=Bidding!$D$11,Raw_hydro_bm!D778,"")</f>
        <v/>
      </c>
      <c r="D778" t="str">
        <f>IF(ROW(D778)&lt;=Bidding!$D$11,Raw_hydro_bm!E778,"")</f>
        <v/>
      </c>
      <c r="E778" t="str">
        <f>IF(ROW(E778)&lt;=Bidding!$D$11,Raw_hydro_bm!F778,"")</f>
        <v/>
      </c>
      <c r="F778" t="str">
        <f>IF(ROW(F778)&lt;=Bidding!$D$11,Raw_hydro_bm!G778,"")</f>
        <v/>
      </c>
      <c r="G778" t="str">
        <f>IF(ROW(G778)&lt;=Bidding!$D$11,Raw_hydro_bm!H778,"")</f>
        <v/>
      </c>
      <c r="H778" t="str">
        <f>IF(ROW(H778)&lt;=Bidding!$D$11,Raw_hydro_bm!I778,"")</f>
        <v/>
      </c>
      <c r="I778" s="16" t="str">
        <f t="shared" si="12"/>
        <v/>
      </c>
    </row>
    <row r="779" spans="1:9" x14ac:dyDescent="0.3">
      <c r="A779" t="str">
        <f>IF(ROW(A779)&lt;=Bidding!$D$11,Raw_hydro_bm!B779,"")</f>
        <v/>
      </c>
      <c r="B779" t="str">
        <f>IF(ROW(B779)&lt;=Bidding!$D$11,Raw_hydro_bm!C779,"")</f>
        <v/>
      </c>
      <c r="C779" t="str">
        <f>IF(ROW(C779)&lt;=Bidding!$D$11,Raw_hydro_bm!D779,"")</f>
        <v/>
      </c>
      <c r="D779" t="str">
        <f>IF(ROW(D779)&lt;=Bidding!$D$11,Raw_hydro_bm!E779,"")</f>
        <v/>
      </c>
      <c r="E779" t="str">
        <f>IF(ROW(E779)&lt;=Bidding!$D$11,Raw_hydro_bm!F779,"")</f>
        <v/>
      </c>
      <c r="F779" t="str">
        <f>IF(ROW(F779)&lt;=Bidding!$D$11,Raw_hydro_bm!G779,"")</f>
        <v/>
      </c>
      <c r="G779" t="str">
        <f>IF(ROW(G779)&lt;=Bidding!$D$11,Raw_hydro_bm!H779,"")</f>
        <v/>
      </c>
      <c r="H779" t="str">
        <f>IF(ROW(H779)&lt;=Bidding!$D$11,Raw_hydro_bm!I779,"")</f>
        <v/>
      </c>
      <c r="I779" s="16" t="str">
        <f t="shared" si="12"/>
        <v/>
      </c>
    </row>
    <row r="780" spans="1:9" x14ac:dyDescent="0.3">
      <c r="A780" t="str">
        <f>IF(ROW(A780)&lt;=Bidding!$D$11,Raw_hydro_bm!B780,"")</f>
        <v/>
      </c>
      <c r="B780" t="str">
        <f>IF(ROW(B780)&lt;=Bidding!$D$11,Raw_hydro_bm!C780,"")</f>
        <v/>
      </c>
      <c r="C780" t="str">
        <f>IF(ROW(C780)&lt;=Bidding!$D$11,Raw_hydro_bm!D780,"")</f>
        <v/>
      </c>
      <c r="D780" t="str">
        <f>IF(ROW(D780)&lt;=Bidding!$D$11,Raw_hydro_bm!E780,"")</f>
        <v/>
      </c>
      <c r="E780" t="str">
        <f>IF(ROW(E780)&lt;=Bidding!$D$11,Raw_hydro_bm!F780,"")</f>
        <v/>
      </c>
      <c r="F780" t="str">
        <f>IF(ROW(F780)&lt;=Bidding!$D$11,Raw_hydro_bm!G780,"")</f>
        <v/>
      </c>
      <c r="G780" t="str">
        <f>IF(ROW(G780)&lt;=Bidding!$D$11,Raw_hydro_bm!H780,"")</f>
        <v/>
      </c>
      <c r="H780" t="str">
        <f>IF(ROW(H780)&lt;=Bidding!$D$11,Raw_hydro_bm!I780,"")</f>
        <v/>
      </c>
      <c r="I780" s="16" t="str">
        <f t="shared" si="12"/>
        <v/>
      </c>
    </row>
    <row r="781" spans="1:9" x14ac:dyDescent="0.3">
      <c r="A781" t="str">
        <f>IF(ROW(A781)&lt;=Bidding!$D$11,Raw_hydro_bm!B781,"")</f>
        <v/>
      </c>
      <c r="B781" t="str">
        <f>IF(ROW(B781)&lt;=Bidding!$D$11,Raw_hydro_bm!C781,"")</f>
        <v/>
      </c>
      <c r="C781" t="str">
        <f>IF(ROW(C781)&lt;=Bidding!$D$11,Raw_hydro_bm!D781,"")</f>
        <v/>
      </c>
      <c r="D781" t="str">
        <f>IF(ROW(D781)&lt;=Bidding!$D$11,Raw_hydro_bm!E781,"")</f>
        <v/>
      </c>
      <c r="E781" t="str">
        <f>IF(ROW(E781)&lt;=Bidding!$D$11,Raw_hydro_bm!F781,"")</f>
        <v/>
      </c>
      <c r="F781" t="str">
        <f>IF(ROW(F781)&lt;=Bidding!$D$11,Raw_hydro_bm!G781,"")</f>
        <v/>
      </c>
      <c r="G781" t="str">
        <f>IF(ROW(G781)&lt;=Bidding!$D$11,Raw_hydro_bm!H781,"")</f>
        <v/>
      </c>
      <c r="H781" t="str">
        <f>IF(ROW(H781)&lt;=Bidding!$D$11,Raw_hydro_bm!I781,"")</f>
        <v/>
      </c>
      <c r="I781" s="16" t="str">
        <f t="shared" si="12"/>
        <v/>
      </c>
    </row>
    <row r="782" spans="1:9" x14ac:dyDescent="0.3">
      <c r="A782" t="str">
        <f>IF(ROW(A782)&lt;=Bidding!$D$11,Raw_hydro_bm!B782,"")</f>
        <v/>
      </c>
      <c r="B782" t="str">
        <f>IF(ROW(B782)&lt;=Bidding!$D$11,Raw_hydro_bm!C782,"")</f>
        <v/>
      </c>
      <c r="C782" t="str">
        <f>IF(ROW(C782)&lt;=Bidding!$D$11,Raw_hydro_bm!D782,"")</f>
        <v/>
      </c>
      <c r="D782" t="str">
        <f>IF(ROW(D782)&lt;=Bidding!$D$11,Raw_hydro_bm!E782,"")</f>
        <v/>
      </c>
      <c r="E782" t="str">
        <f>IF(ROW(E782)&lt;=Bidding!$D$11,Raw_hydro_bm!F782,"")</f>
        <v/>
      </c>
      <c r="F782" t="str">
        <f>IF(ROW(F782)&lt;=Bidding!$D$11,Raw_hydro_bm!G782,"")</f>
        <v/>
      </c>
      <c r="G782" t="str">
        <f>IF(ROW(G782)&lt;=Bidding!$D$11,Raw_hydro_bm!H782,"")</f>
        <v/>
      </c>
      <c r="H782" t="str">
        <f>IF(ROW(H782)&lt;=Bidding!$D$11,Raw_hydro_bm!I782,"")</f>
        <v/>
      </c>
      <c r="I782" s="16" t="str">
        <f t="shared" si="12"/>
        <v/>
      </c>
    </row>
    <row r="783" spans="1:9" x14ac:dyDescent="0.3">
      <c r="A783" t="str">
        <f>IF(ROW(A783)&lt;=Bidding!$D$11,Raw_hydro_bm!B783,"")</f>
        <v/>
      </c>
      <c r="B783" t="str">
        <f>IF(ROW(B783)&lt;=Bidding!$D$11,Raw_hydro_bm!C783,"")</f>
        <v/>
      </c>
      <c r="C783" t="str">
        <f>IF(ROW(C783)&lt;=Bidding!$D$11,Raw_hydro_bm!D783,"")</f>
        <v/>
      </c>
      <c r="D783" t="str">
        <f>IF(ROW(D783)&lt;=Bidding!$D$11,Raw_hydro_bm!E783,"")</f>
        <v/>
      </c>
      <c r="E783" t="str">
        <f>IF(ROW(E783)&lt;=Bidding!$D$11,Raw_hydro_bm!F783,"")</f>
        <v/>
      </c>
      <c r="F783" t="str">
        <f>IF(ROW(F783)&lt;=Bidding!$D$11,Raw_hydro_bm!G783,"")</f>
        <v/>
      </c>
      <c r="G783" t="str">
        <f>IF(ROW(G783)&lt;=Bidding!$D$11,Raw_hydro_bm!H783,"")</f>
        <v/>
      </c>
      <c r="H783" t="str">
        <f>IF(ROW(H783)&lt;=Bidding!$D$11,Raw_hydro_bm!I783,"")</f>
        <v/>
      </c>
      <c r="I783" s="16" t="str">
        <f t="shared" si="12"/>
        <v/>
      </c>
    </row>
    <row r="784" spans="1:9" x14ac:dyDescent="0.3">
      <c r="A784" t="str">
        <f>IF(ROW(A784)&lt;=Bidding!$D$11,Raw_hydro_bm!B784,"")</f>
        <v/>
      </c>
      <c r="B784" t="str">
        <f>IF(ROW(B784)&lt;=Bidding!$D$11,Raw_hydro_bm!C784,"")</f>
        <v/>
      </c>
      <c r="C784" t="str">
        <f>IF(ROW(C784)&lt;=Bidding!$D$11,Raw_hydro_bm!D784,"")</f>
        <v/>
      </c>
      <c r="D784" t="str">
        <f>IF(ROW(D784)&lt;=Bidding!$D$11,Raw_hydro_bm!E784,"")</f>
        <v/>
      </c>
      <c r="E784" t="str">
        <f>IF(ROW(E784)&lt;=Bidding!$D$11,Raw_hydro_bm!F784,"")</f>
        <v/>
      </c>
      <c r="F784" t="str">
        <f>IF(ROW(F784)&lt;=Bidding!$D$11,Raw_hydro_bm!G784,"")</f>
        <v/>
      </c>
      <c r="G784" t="str">
        <f>IF(ROW(G784)&lt;=Bidding!$D$11,Raw_hydro_bm!H784,"")</f>
        <v/>
      </c>
      <c r="H784" t="str">
        <f>IF(ROW(H784)&lt;=Bidding!$D$11,Raw_hydro_bm!I784,"")</f>
        <v/>
      </c>
      <c r="I784" s="16" t="str">
        <f t="shared" si="12"/>
        <v/>
      </c>
    </row>
    <row r="785" spans="1:9" x14ac:dyDescent="0.3">
      <c r="A785" t="str">
        <f>IF(ROW(A785)&lt;=Bidding!$D$11,Raw_hydro_bm!B785,"")</f>
        <v/>
      </c>
      <c r="B785" t="str">
        <f>IF(ROW(B785)&lt;=Bidding!$D$11,Raw_hydro_bm!C785,"")</f>
        <v/>
      </c>
      <c r="C785" t="str">
        <f>IF(ROW(C785)&lt;=Bidding!$D$11,Raw_hydro_bm!D785,"")</f>
        <v/>
      </c>
      <c r="D785" t="str">
        <f>IF(ROW(D785)&lt;=Bidding!$D$11,Raw_hydro_bm!E785,"")</f>
        <v/>
      </c>
      <c r="E785" t="str">
        <f>IF(ROW(E785)&lt;=Bidding!$D$11,Raw_hydro_bm!F785,"")</f>
        <v/>
      </c>
      <c r="F785" t="str">
        <f>IF(ROW(F785)&lt;=Bidding!$D$11,Raw_hydro_bm!G785,"")</f>
        <v/>
      </c>
      <c r="G785" t="str">
        <f>IF(ROW(G785)&lt;=Bidding!$D$11,Raw_hydro_bm!H785,"")</f>
        <v/>
      </c>
      <c r="H785" t="str">
        <f>IF(ROW(H785)&lt;=Bidding!$D$11,Raw_hydro_bm!I785,"")</f>
        <v/>
      </c>
      <c r="I785" s="16" t="str">
        <f t="shared" si="12"/>
        <v/>
      </c>
    </row>
    <row r="786" spans="1:9" x14ac:dyDescent="0.3">
      <c r="A786" t="str">
        <f>IF(ROW(A786)&lt;=Bidding!$D$11,Raw_hydro_bm!B786,"")</f>
        <v/>
      </c>
      <c r="B786" t="str">
        <f>IF(ROW(B786)&lt;=Bidding!$D$11,Raw_hydro_bm!C786,"")</f>
        <v/>
      </c>
      <c r="C786" t="str">
        <f>IF(ROW(C786)&lt;=Bidding!$D$11,Raw_hydro_bm!D786,"")</f>
        <v/>
      </c>
      <c r="D786" t="str">
        <f>IF(ROW(D786)&lt;=Bidding!$D$11,Raw_hydro_bm!E786,"")</f>
        <v/>
      </c>
      <c r="E786" t="str">
        <f>IF(ROW(E786)&lt;=Bidding!$D$11,Raw_hydro_bm!F786,"")</f>
        <v/>
      </c>
      <c r="F786" t="str">
        <f>IF(ROW(F786)&lt;=Bidding!$D$11,Raw_hydro_bm!G786,"")</f>
        <v/>
      </c>
      <c r="G786" t="str">
        <f>IF(ROW(G786)&lt;=Bidding!$D$11,Raw_hydro_bm!H786,"")</f>
        <v/>
      </c>
      <c r="H786" t="str">
        <f>IF(ROW(H786)&lt;=Bidding!$D$11,Raw_hydro_bm!I786,"")</f>
        <v/>
      </c>
      <c r="I786" s="16" t="str">
        <f t="shared" si="12"/>
        <v/>
      </c>
    </row>
    <row r="787" spans="1:9" x14ac:dyDescent="0.3">
      <c r="A787" t="str">
        <f>IF(ROW(A787)&lt;=Bidding!$D$11,Raw_hydro_bm!B787,"")</f>
        <v/>
      </c>
      <c r="B787" t="str">
        <f>IF(ROW(B787)&lt;=Bidding!$D$11,Raw_hydro_bm!C787,"")</f>
        <v/>
      </c>
      <c r="C787" t="str">
        <f>IF(ROW(C787)&lt;=Bidding!$D$11,Raw_hydro_bm!D787,"")</f>
        <v/>
      </c>
      <c r="D787" t="str">
        <f>IF(ROW(D787)&lt;=Bidding!$D$11,Raw_hydro_bm!E787,"")</f>
        <v/>
      </c>
      <c r="E787" t="str">
        <f>IF(ROW(E787)&lt;=Bidding!$D$11,Raw_hydro_bm!F787,"")</f>
        <v/>
      </c>
      <c r="F787" t="str">
        <f>IF(ROW(F787)&lt;=Bidding!$D$11,Raw_hydro_bm!G787,"")</f>
        <v/>
      </c>
      <c r="G787" t="str">
        <f>IF(ROW(G787)&lt;=Bidding!$D$11,Raw_hydro_bm!H787,"")</f>
        <v/>
      </c>
      <c r="H787" t="str">
        <f>IF(ROW(H787)&lt;=Bidding!$D$11,Raw_hydro_bm!I787,"")</f>
        <v/>
      </c>
      <c r="I787" s="16" t="str">
        <f t="shared" si="12"/>
        <v/>
      </c>
    </row>
    <row r="788" spans="1:9" x14ac:dyDescent="0.3">
      <c r="A788" t="str">
        <f>IF(ROW(A788)&lt;=Bidding!$D$11,Raw_hydro_bm!B788,"")</f>
        <v/>
      </c>
      <c r="B788" t="str">
        <f>IF(ROW(B788)&lt;=Bidding!$D$11,Raw_hydro_bm!C788,"")</f>
        <v/>
      </c>
      <c r="C788" t="str">
        <f>IF(ROW(C788)&lt;=Bidding!$D$11,Raw_hydro_bm!D788,"")</f>
        <v/>
      </c>
      <c r="D788" t="str">
        <f>IF(ROW(D788)&lt;=Bidding!$D$11,Raw_hydro_bm!E788,"")</f>
        <v/>
      </c>
      <c r="E788" t="str">
        <f>IF(ROW(E788)&lt;=Bidding!$D$11,Raw_hydro_bm!F788,"")</f>
        <v/>
      </c>
      <c r="F788" t="str">
        <f>IF(ROW(F788)&lt;=Bidding!$D$11,Raw_hydro_bm!G788,"")</f>
        <v/>
      </c>
      <c r="G788" t="str">
        <f>IF(ROW(G788)&lt;=Bidding!$D$11,Raw_hydro_bm!H788,"")</f>
        <v/>
      </c>
      <c r="H788" t="str">
        <f>IF(ROW(H788)&lt;=Bidding!$D$11,Raw_hydro_bm!I788,"")</f>
        <v/>
      </c>
      <c r="I788" s="16" t="str">
        <f t="shared" si="12"/>
        <v/>
      </c>
    </row>
    <row r="789" spans="1:9" x14ac:dyDescent="0.3">
      <c r="A789" t="str">
        <f>IF(ROW(A789)&lt;=Bidding!$D$11,Raw_hydro_bm!B789,"")</f>
        <v/>
      </c>
      <c r="B789" t="str">
        <f>IF(ROW(B789)&lt;=Bidding!$D$11,Raw_hydro_bm!C789,"")</f>
        <v/>
      </c>
      <c r="C789" t="str">
        <f>IF(ROW(C789)&lt;=Bidding!$D$11,Raw_hydro_bm!D789,"")</f>
        <v/>
      </c>
      <c r="D789" t="str">
        <f>IF(ROW(D789)&lt;=Bidding!$D$11,Raw_hydro_bm!E789,"")</f>
        <v/>
      </c>
      <c r="E789" t="str">
        <f>IF(ROW(E789)&lt;=Bidding!$D$11,Raw_hydro_bm!F789,"")</f>
        <v/>
      </c>
      <c r="F789" t="str">
        <f>IF(ROW(F789)&lt;=Bidding!$D$11,Raw_hydro_bm!G789,"")</f>
        <v/>
      </c>
      <c r="G789" t="str">
        <f>IF(ROW(G789)&lt;=Bidding!$D$11,Raw_hydro_bm!H789,"")</f>
        <v/>
      </c>
      <c r="H789" t="str">
        <f>IF(ROW(H789)&lt;=Bidding!$D$11,Raw_hydro_bm!I789,"")</f>
        <v/>
      </c>
      <c r="I789" s="16" t="str">
        <f t="shared" si="12"/>
        <v/>
      </c>
    </row>
    <row r="790" spans="1:9" x14ac:dyDescent="0.3">
      <c r="A790" t="str">
        <f>IF(ROW(A790)&lt;=Bidding!$D$11,Raw_hydro_bm!B790,"")</f>
        <v/>
      </c>
      <c r="B790" t="str">
        <f>IF(ROW(B790)&lt;=Bidding!$D$11,Raw_hydro_bm!C790,"")</f>
        <v/>
      </c>
      <c r="C790" t="str">
        <f>IF(ROW(C790)&lt;=Bidding!$D$11,Raw_hydro_bm!D790,"")</f>
        <v/>
      </c>
      <c r="D790" t="str">
        <f>IF(ROW(D790)&lt;=Bidding!$D$11,Raw_hydro_bm!E790,"")</f>
        <v/>
      </c>
      <c r="E790" t="str">
        <f>IF(ROW(E790)&lt;=Bidding!$D$11,Raw_hydro_bm!F790,"")</f>
        <v/>
      </c>
      <c r="F790" t="str">
        <f>IF(ROW(F790)&lt;=Bidding!$D$11,Raw_hydro_bm!G790,"")</f>
        <v/>
      </c>
      <c r="G790" t="str">
        <f>IF(ROW(G790)&lt;=Bidding!$D$11,Raw_hydro_bm!H790,"")</f>
        <v/>
      </c>
      <c r="H790" t="str">
        <f>IF(ROW(H790)&lt;=Bidding!$D$11,Raw_hydro_bm!I790,"")</f>
        <v/>
      </c>
      <c r="I790" s="16" t="str">
        <f t="shared" si="12"/>
        <v/>
      </c>
    </row>
    <row r="791" spans="1:9" x14ac:dyDescent="0.3">
      <c r="A791" t="str">
        <f>IF(ROW(A791)&lt;=Bidding!$D$11,Raw_hydro_bm!B791,"")</f>
        <v/>
      </c>
      <c r="B791" t="str">
        <f>IF(ROW(B791)&lt;=Bidding!$D$11,Raw_hydro_bm!C791,"")</f>
        <v/>
      </c>
      <c r="C791" t="str">
        <f>IF(ROW(C791)&lt;=Bidding!$D$11,Raw_hydro_bm!D791,"")</f>
        <v/>
      </c>
      <c r="D791" t="str">
        <f>IF(ROW(D791)&lt;=Bidding!$D$11,Raw_hydro_bm!E791,"")</f>
        <v/>
      </c>
      <c r="E791" t="str">
        <f>IF(ROW(E791)&lt;=Bidding!$D$11,Raw_hydro_bm!F791,"")</f>
        <v/>
      </c>
      <c r="F791" t="str">
        <f>IF(ROW(F791)&lt;=Bidding!$D$11,Raw_hydro_bm!G791,"")</f>
        <v/>
      </c>
      <c r="G791" t="str">
        <f>IF(ROW(G791)&lt;=Bidding!$D$11,Raw_hydro_bm!H791,"")</f>
        <v/>
      </c>
      <c r="H791" t="str">
        <f>IF(ROW(H791)&lt;=Bidding!$D$11,Raw_hydro_bm!I791,"")</f>
        <v/>
      </c>
      <c r="I791" s="16" t="str">
        <f t="shared" si="12"/>
        <v/>
      </c>
    </row>
    <row r="792" spans="1:9" x14ac:dyDescent="0.3">
      <c r="A792" t="str">
        <f>IF(ROW(A792)&lt;=Bidding!$D$11,Raw_hydro_bm!B792,"")</f>
        <v/>
      </c>
      <c r="B792" t="str">
        <f>IF(ROW(B792)&lt;=Bidding!$D$11,Raw_hydro_bm!C792,"")</f>
        <v/>
      </c>
      <c r="C792" t="str">
        <f>IF(ROW(C792)&lt;=Bidding!$D$11,Raw_hydro_bm!D792,"")</f>
        <v/>
      </c>
      <c r="D792" t="str">
        <f>IF(ROW(D792)&lt;=Bidding!$D$11,Raw_hydro_bm!E792,"")</f>
        <v/>
      </c>
      <c r="E792" t="str">
        <f>IF(ROW(E792)&lt;=Bidding!$D$11,Raw_hydro_bm!F792,"")</f>
        <v/>
      </c>
      <c r="F792" t="str">
        <f>IF(ROW(F792)&lt;=Bidding!$D$11,Raw_hydro_bm!G792,"")</f>
        <v/>
      </c>
      <c r="G792" t="str">
        <f>IF(ROW(G792)&lt;=Bidding!$D$11,Raw_hydro_bm!H792,"")</f>
        <v/>
      </c>
      <c r="H792" t="str">
        <f>IF(ROW(H792)&lt;=Bidding!$D$11,Raw_hydro_bm!I792,"")</f>
        <v/>
      </c>
      <c r="I792" s="16" t="str">
        <f t="shared" si="12"/>
        <v/>
      </c>
    </row>
    <row r="793" spans="1:9" x14ac:dyDescent="0.3">
      <c r="A793" t="str">
        <f>IF(ROW(A793)&lt;=Bidding!$D$11,Raw_hydro_bm!B793,"")</f>
        <v/>
      </c>
      <c r="B793" t="str">
        <f>IF(ROW(B793)&lt;=Bidding!$D$11,Raw_hydro_bm!C793,"")</f>
        <v/>
      </c>
      <c r="C793" t="str">
        <f>IF(ROW(C793)&lt;=Bidding!$D$11,Raw_hydro_bm!D793,"")</f>
        <v/>
      </c>
      <c r="D793" t="str">
        <f>IF(ROW(D793)&lt;=Bidding!$D$11,Raw_hydro_bm!E793,"")</f>
        <v/>
      </c>
      <c r="E793" t="str">
        <f>IF(ROW(E793)&lt;=Bidding!$D$11,Raw_hydro_bm!F793,"")</f>
        <v/>
      </c>
      <c r="F793" t="str">
        <f>IF(ROW(F793)&lt;=Bidding!$D$11,Raw_hydro_bm!G793,"")</f>
        <v/>
      </c>
      <c r="G793" t="str">
        <f>IF(ROW(G793)&lt;=Bidding!$D$11,Raw_hydro_bm!H793,"")</f>
        <v/>
      </c>
      <c r="H793" t="str">
        <f>IF(ROW(H793)&lt;=Bidding!$D$11,Raw_hydro_bm!I793,"")</f>
        <v/>
      </c>
      <c r="I793" s="16" t="str">
        <f t="shared" si="12"/>
        <v/>
      </c>
    </row>
    <row r="794" spans="1:9" x14ac:dyDescent="0.3">
      <c r="A794" t="str">
        <f>IF(ROW(A794)&lt;=Bidding!$D$11,Raw_hydro_bm!B794,"")</f>
        <v/>
      </c>
      <c r="B794" t="str">
        <f>IF(ROW(B794)&lt;=Bidding!$D$11,Raw_hydro_bm!C794,"")</f>
        <v/>
      </c>
      <c r="C794" t="str">
        <f>IF(ROW(C794)&lt;=Bidding!$D$11,Raw_hydro_bm!D794,"")</f>
        <v/>
      </c>
      <c r="D794" t="str">
        <f>IF(ROW(D794)&lt;=Bidding!$D$11,Raw_hydro_bm!E794,"")</f>
        <v/>
      </c>
      <c r="E794" t="str">
        <f>IF(ROW(E794)&lt;=Bidding!$D$11,Raw_hydro_bm!F794,"")</f>
        <v/>
      </c>
      <c r="F794" t="str">
        <f>IF(ROW(F794)&lt;=Bidding!$D$11,Raw_hydro_bm!G794,"")</f>
        <v/>
      </c>
      <c r="G794" t="str">
        <f>IF(ROW(G794)&lt;=Bidding!$D$11,Raw_hydro_bm!H794,"")</f>
        <v/>
      </c>
      <c r="H794" t="str">
        <f>IF(ROW(H794)&lt;=Bidding!$D$11,Raw_hydro_bm!I794,"")</f>
        <v/>
      </c>
      <c r="I794" s="16" t="str">
        <f t="shared" si="12"/>
        <v/>
      </c>
    </row>
    <row r="795" spans="1:9" x14ac:dyDescent="0.3">
      <c r="A795" t="str">
        <f>IF(ROW(A795)&lt;=Bidding!$D$11,Raw_hydro_bm!B795,"")</f>
        <v/>
      </c>
      <c r="B795" t="str">
        <f>IF(ROW(B795)&lt;=Bidding!$D$11,Raw_hydro_bm!C795,"")</f>
        <v/>
      </c>
      <c r="C795" t="str">
        <f>IF(ROW(C795)&lt;=Bidding!$D$11,Raw_hydro_bm!D795,"")</f>
        <v/>
      </c>
      <c r="D795" t="str">
        <f>IF(ROW(D795)&lt;=Bidding!$D$11,Raw_hydro_bm!E795,"")</f>
        <v/>
      </c>
      <c r="E795" t="str">
        <f>IF(ROW(E795)&lt;=Bidding!$D$11,Raw_hydro_bm!F795,"")</f>
        <v/>
      </c>
      <c r="F795" t="str">
        <f>IF(ROW(F795)&lt;=Bidding!$D$11,Raw_hydro_bm!G795,"")</f>
        <v/>
      </c>
      <c r="G795" t="str">
        <f>IF(ROW(G795)&lt;=Bidding!$D$11,Raw_hydro_bm!H795,"")</f>
        <v/>
      </c>
      <c r="H795" t="str">
        <f>IF(ROW(H795)&lt;=Bidding!$D$11,Raw_hydro_bm!I795,"")</f>
        <v/>
      </c>
      <c r="I795" s="16" t="str">
        <f t="shared" si="12"/>
        <v/>
      </c>
    </row>
    <row r="796" spans="1:9" x14ac:dyDescent="0.3">
      <c r="A796" t="str">
        <f>IF(ROW(A796)&lt;=Bidding!$D$11,Raw_hydro_bm!B796,"")</f>
        <v/>
      </c>
      <c r="B796" t="str">
        <f>IF(ROW(B796)&lt;=Bidding!$D$11,Raw_hydro_bm!C796,"")</f>
        <v/>
      </c>
      <c r="C796" t="str">
        <f>IF(ROW(C796)&lt;=Bidding!$D$11,Raw_hydro_bm!D796,"")</f>
        <v/>
      </c>
      <c r="D796" t="str">
        <f>IF(ROW(D796)&lt;=Bidding!$D$11,Raw_hydro_bm!E796,"")</f>
        <v/>
      </c>
      <c r="E796" t="str">
        <f>IF(ROW(E796)&lt;=Bidding!$D$11,Raw_hydro_bm!F796,"")</f>
        <v/>
      </c>
      <c r="F796" t="str">
        <f>IF(ROW(F796)&lt;=Bidding!$D$11,Raw_hydro_bm!G796,"")</f>
        <v/>
      </c>
      <c r="G796" t="str">
        <f>IF(ROW(G796)&lt;=Bidding!$D$11,Raw_hydro_bm!H796,"")</f>
        <v/>
      </c>
      <c r="H796" t="str">
        <f>IF(ROW(H796)&lt;=Bidding!$D$11,Raw_hydro_bm!I796,"")</f>
        <v/>
      </c>
      <c r="I796" s="16" t="str">
        <f t="shared" si="12"/>
        <v/>
      </c>
    </row>
    <row r="797" spans="1:9" x14ac:dyDescent="0.3">
      <c r="A797" t="str">
        <f>IF(ROW(A797)&lt;=Bidding!$D$11,Raw_hydro_bm!B797,"")</f>
        <v/>
      </c>
      <c r="B797" t="str">
        <f>IF(ROW(B797)&lt;=Bidding!$D$11,Raw_hydro_bm!C797,"")</f>
        <v/>
      </c>
      <c r="C797" t="str">
        <f>IF(ROW(C797)&lt;=Bidding!$D$11,Raw_hydro_bm!D797,"")</f>
        <v/>
      </c>
      <c r="D797" t="str">
        <f>IF(ROW(D797)&lt;=Bidding!$D$11,Raw_hydro_bm!E797,"")</f>
        <v/>
      </c>
      <c r="E797" t="str">
        <f>IF(ROW(E797)&lt;=Bidding!$D$11,Raw_hydro_bm!F797,"")</f>
        <v/>
      </c>
      <c r="F797" t="str">
        <f>IF(ROW(F797)&lt;=Bidding!$D$11,Raw_hydro_bm!G797,"")</f>
        <v/>
      </c>
      <c r="G797" t="str">
        <f>IF(ROW(G797)&lt;=Bidding!$D$11,Raw_hydro_bm!H797,"")</f>
        <v/>
      </c>
      <c r="H797" t="str">
        <f>IF(ROW(H797)&lt;=Bidding!$D$11,Raw_hydro_bm!I797,"")</f>
        <v/>
      </c>
      <c r="I797" s="16" t="str">
        <f t="shared" si="12"/>
        <v/>
      </c>
    </row>
    <row r="798" spans="1:9" x14ac:dyDescent="0.3">
      <c r="A798" t="str">
        <f>IF(ROW(A798)&lt;=Bidding!$D$11,Raw_hydro_bm!B798,"")</f>
        <v/>
      </c>
      <c r="B798" t="str">
        <f>IF(ROW(B798)&lt;=Bidding!$D$11,Raw_hydro_bm!C798,"")</f>
        <v/>
      </c>
      <c r="C798" t="str">
        <f>IF(ROW(C798)&lt;=Bidding!$D$11,Raw_hydro_bm!D798,"")</f>
        <v/>
      </c>
      <c r="D798" t="str">
        <f>IF(ROW(D798)&lt;=Bidding!$D$11,Raw_hydro_bm!E798,"")</f>
        <v/>
      </c>
      <c r="E798" t="str">
        <f>IF(ROW(E798)&lt;=Bidding!$D$11,Raw_hydro_bm!F798,"")</f>
        <v/>
      </c>
      <c r="F798" t="str">
        <f>IF(ROW(F798)&lt;=Bidding!$D$11,Raw_hydro_bm!G798,"")</f>
        <v/>
      </c>
      <c r="G798" t="str">
        <f>IF(ROW(G798)&lt;=Bidding!$D$11,Raw_hydro_bm!H798,"")</f>
        <v/>
      </c>
      <c r="H798" t="str">
        <f>IF(ROW(H798)&lt;=Bidding!$D$11,Raw_hydro_bm!I798,"")</f>
        <v/>
      </c>
      <c r="I798" s="16" t="str">
        <f t="shared" si="12"/>
        <v/>
      </c>
    </row>
    <row r="799" spans="1:9" x14ac:dyDescent="0.3">
      <c r="A799" t="str">
        <f>IF(ROW(A799)&lt;=Bidding!$D$11,Raw_hydro_bm!B799,"")</f>
        <v/>
      </c>
      <c r="B799" t="str">
        <f>IF(ROW(B799)&lt;=Bidding!$D$11,Raw_hydro_bm!C799,"")</f>
        <v/>
      </c>
      <c r="C799" t="str">
        <f>IF(ROW(C799)&lt;=Bidding!$D$11,Raw_hydro_bm!D799,"")</f>
        <v/>
      </c>
      <c r="D799" t="str">
        <f>IF(ROW(D799)&lt;=Bidding!$D$11,Raw_hydro_bm!E799,"")</f>
        <v/>
      </c>
      <c r="E799" t="str">
        <f>IF(ROW(E799)&lt;=Bidding!$D$11,Raw_hydro_bm!F799,"")</f>
        <v/>
      </c>
      <c r="F799" t="str">
        <f>IF(ROW(F799)&lt;=Bidding!$D$11,Raw_hydro_bm!G799,"")</f>
        <v/>
      </c>
      <c r="G799" t="str">
        <f>IF(ROW(G799)&lt;=Bidding!$D$11,Raw_hydro_bm!H799,"")</f>
        <v/>
      </c>
      <c r="H799" t="str">
        <f>IF(ROW(H799)&lt;=Bidding!$D$11,Raw_hydro_bm!I799,"")</f>
        <v/>
      </c>
      <c r="I799" s="16" t="str">
        <f t="shared" si="12"/>
        <v/>
      </c>
    </row>
    <row r="800" spans="1:9" x14ac:dyDescent="0.3">
      <c r="A800" t="str">
        <f>IF(ROW(A800)&lt;=Bidding!$D$11,Raw_hydro_bm!B800,"")</f>
        <v/>
      </c>
      <c r="B800" t="str">
        <f>IF(ROW(B800)&lt;=Bidding!$D$11,Raw_hydro_bm!C800,"")</f>
        <v/>
      </c>
      <c r="C800" t="str">
        <f>IF(ROW(C800)&lt;=Bidding!$D$11,Raw_hydro_bm!D800,"")</f>
        <v/>
      </c>
      <c r="D800" t="str">
        <f>IF(ROW(D800)&lt;=Bidding!$D$11,Raw_hydro_bm!E800,"")</f>
        <v/>
      </c>
      <c r="E800" t="str">
        <f>IF(ROW(E800)&lt;=Bidding!$D$11,Raw_hydro_bm!F800,"")</f>
        <v/>
      </c>
      <c r="F800" t="str">
        <f>IF(ROW(F800)&lt;=Bidding!$D$11,Raw_hydro_bm!G800,"")</f>
        <v/>
      </c>
      <c r="G800" t="str">
        <f>IF(ROW(G800)&lt;=Bidding!$D$11,Raw_hydro_bm!H800,"")</f>
        <v/>
      </c>
      <c r="H800" t="str">
        <f>IF(ROW(H800)&lt;=Bidding!$D$11,Raw_hydro_bm!I800,"")</f>
        <v/>
      </c>
      <c r="I800" s="16" t="str">
        <f t="shared" si="12"/>
        <v/>
      </c>
    </row>
    <row r="801" spans="1:9" x14ac:dyDescent="0.3">
      <c r="A801" t="str">
        <f>IF(ROW(A801)&lt;=Bidding!$D$11,Raw_hydro_bm!B801,"")</f>
        <v/>
      </c>
      <c r="B801" t="str">
        <f>IF(ROW(B801)&lt;=Bidding!$D$11,Raw_hydro_bm!C801,"")</f>
        <v/>
      </c>
      <c r="C801" t="str">
        <f>IF(ROW(C801)&lt;=Bidding!$D$11,Raw_hydro_bm!D801,"")</f>
        <v/>
      </c>
      <c r="D801" t="str">
        <f>IF(ROW(D801)&lt;=Bidding!$D$11,Raw_hydro_bm!E801,"")</f>
        <v/>
      </c>
      <c r="E801" t="str">
        <f>IF(ROW(E801)&lt;=Bidding!$D$11,Raw_hydro_bm!F801,"")</f>
        <v/>
      </c>
      <c r="F801" t="str">
        <f>IF(ROW(F801)&lt;=Bidding!$D$11,Raw_hydro_bm!G801,"")</f>
        <v/>
      </c>
      <c r="G801" t="str">
        <f>IF(ROW(G801)&lt;=Bidding!$D$11,Raw_hydro_bm!H801,"")</f>
        <v/>
      </c>
      <c r="H801" t="str">
        <f>IF(ROW(H801)&lt;=Bidding!$D$11,Raw_hydro_bm!I801,"")</f>
        <v/>
      </c>
      <c r="I801" s="16" t="str">
        <f t="shared" si="12"/>
        <v/>
      </c>
    </row>
    <row r="802" spans="1:9" x14ac:dyDescent="0.3">
      <c r="A802" t="str">
        <f>IF(ROW(A802)&lt;=Bidding!$D$11,Raw_hydro_bm!B802,"")</f>
        <v/>
      </c>
      <c r="B802" t="str">
        <f>IF(ROW(B802)&lt;=Bidding!$D$11,Raw_hydro_bm!C802,"")</f>
        <v/>
      </c>
      <c r="C802" t="str">
        <f>IF(ROW(C802)&lt;=Bidding!$D$11,Raw_hydro_bm!D802,"")</f>
        <v/>
      </c>
      <c r="D802" t="str">
        <f>IF(ROW(D802)&lt;=Bidding!$D$11,Raw_hydro_bm!E802,"")</f>
        <v/>
      </c>
      <c r="E802" t="str">
        <f>IF(ROW(E802)&lt;=Bidding!$D$11,Raw_hydro_bm!F802,"")</f>
        <v/>
      </c>
      <c r="F802" t="str">
        <f>IF(ROW(F802)&lt;=Bidding!$D$11,Raw_hydro_bm!G802,"")</f>
        <v/>
      </c>
      <c r="G802" t="str">
        <f>IF(ROW(G802)&lt;=Bidding!$D$11,Raw_hydro_bm!H802,"")</f>
        <v/>
      </c>
      <c r="H802" t="str">
        <f>IF(ROW(H802)&lt;=Bidding!$D$11,Raw_hydro_bm!I802,"")</f>
        <v/>
      </c>
      <c r="I802" s="16" t="str">
        <f t="shared" si="12"/>
        <v/>
      </c>
    </row>
    <row r="803" spans="1:9" x14ac:dyDescent="0.3">
      <c r="A803" t="str">
        <f>IF(ROW(A803)&lt;=Bidding!$D$11,Raw_hydro_bm!B803,"")</f>
        <v/>
      </c>
      <c r="B803" t="str">
        <f>IF(ROW(B803)&lt;=Bidding!$D$11,Raw_hydro_bm!C803,"")</f>
        <v/>
      </c>
      <c r="C803" t="str">
        <f>IF(ROW(C803)&lt;=Bidding!$D$11,Raw_hydro_bm!D803,"")</f>
        <v/>
      </c>
      <c r="D803" t="str">
        <f>IF(ROW(D803)&lt;=Bidding!$D$11,Raw_hydro_bm!E803,"")</f>
        <v/>
      </c>
      <c r="E803" t="str">
        <f>IF(ROW(E803)&lt;=Bidding!$D$11,Raw_hydro_bm!F803,"")</f>
        <v/>
      </c>
      <c r="F803" t="str">
        <f>IF(ROW(F803)&lt;=Bidding!$D$11,Raw_hydro_bm!G803,"")</f>
        <v/>
      </c>
      <c r="G803" t="str">
        <f>IF(ROW(G803)&lt;=Bidding!$D$11,Raw_hydro_bm!H803,"")</f>
        <v/>
      </c>
      <c r="H803" t="str">
        <f>IF(ROW(H803)&lt;=Bidding!$D$11,Raw_hydro_bm!I803,"")</f>
        <v/>
      </c>
      <c r="I803" s="16" t="str">
        <f t="shared" si="12"/>
        <v/>
      </c>
    </row>
    <row r="804" spans="1:9" x14ac:dyDescent="0.3">
      <c r="A804" t="str">
        <f>IF(ROW(A804)&lt;=Bidding!$D$11,Raw_hydro_bm!B804,"")</f>
        <v/>
      </c>
      <c r="B804" t="str">
        <f>IF(ROW(B804)&lt;=Bidding!$D$11,Raw_hydro_bm!C804,"")</f>
        <v/>
      </c>
      <c r="C804" t="str">
        <f>IF(ROW(C804)&lt;=Bidding!$D$11,Raw_hydro_bm!D804,"")</f>
        <v/>
      </c>
      <c r="D804" t="str">
        <f>IF(ROW(D804)&lt;=Bidding!$D$11,Raw_hydro_bm!E804,"")</f>
        <v/>
      </c>
      <c r="E804" t="str">
        <f>IF(ROW(E804)&lt;=Bidding!$D$11,Raw_hydro_bm!F804,"")</f>
        <v/>
      </c>
      <c r="F804" t="str">
        <f>IF(ROW(F804)&lt;=Bidding!$D$11,Raw_hydro_bm!G804,"")</f>
        <v/>
      </c>
      <c r="G804" t="str">
        <f>IF(ROW(G804)&lt;=Bidding!$D$11,Raw_hydro_bm!H804,"")</f>
        <v/>
      </c>
      <c r="H804" t="str">
        <f>IF(ROW(H804)&lt;=Bidding!$D$11,Raw_hydro_bm!I804,"")</f>
        <v/>
      </c>
      <c r="I804" s="16" t="str">
        <f t="shared" si="12"/>
        <v/>
      </c>
    </row>
    <row r="805" spans="1:9" x14ac:dyDescent="0.3">
      <c r="A805" t="str">
        <f>IF(ROW(A805)&lt;=Bidding!$D$11,Raw_hydro_bm!B805,"")</f>
        <v/>
      </c>
      <c r="B805" t="str">
        <f>IF(ROW(B805)&lt;=Bidding!$D$11,Raw_hydro_bm!C805,"")</f>
        <v/>
      </c>
      <c r="C805" t="str">
        <f>IF(ROW(C805)&lt;=Bidding!$D$11,Raw_hydro_bm!D805,"")</f>
        <v/>
      </c>
      <c r="D805" t="str">
        <f>IF(ROW(D805)&lt;=Bidding!$D$11,Raw_hydro_bm!E805,"")</f>
        <v/>
      </c>
      <c r="E805" t="str">
        <f>IF(ROW(E805)&lt;=Bidding!$D$11,Raw_hydro_bm!F805,"")</f>
        <v/>
      </c>
      <c r="F805" t="str">
        <f>IF(ROW(F805)&lt;=Bidding!$D$11,Raw_hydro_bm!G805,"")</f>
        <v/>
      </c>
      <c r="G805" t="str">
        <f>IF(ROW(G805)&lt;=Bidding!$D$11,Raw_hydro_bm!H805,"")</f>
        <v/>
      </c>
      <c r="H805" t="str">
        <f>IF(ROW(H805)&lt;=Bidding!$D$11,Raw_hydro_bm!I805,"")</f>
        <v/>
      </c>
      <c r="I805" s="16" t="str">
        <f t="shared" si="12"/>
        <v/>
      </c>
    </row>
    <row r="806" spans="1:9" x14ac:dyDescent="0.3">
      <c r="A806" t="str">
        <f>IF(ROW(A806)&lt;=Bidding!$D$11,Raw_hydro_bm!B806,"")</f>
        <v/>
      </c>
      <c r="B806" t="str">
        <f>IF(ROW(B806)&lt;=Bidding!$D$11,Raw_hydro_bm!C806,"")</f>
        <v/>
      </c>
      <c r="C806" t="str">
        <f>IF(ROW(C806)&lt;=Bidding!$D$11,Raw_hydro_bm!D806,"")</f>
        <v/>
      </c>
      <c r="D806" t="str">
        <f>IF(ROW(D806)&lt;=Bidding!$D$11,Raw_hydro_bm!E806,"")</f>
        <v/>
      </c>
      <c r="E806" t="str">
        <f>IF(ROW(E806)&lt;=Bidding!$D$11,Raw_hydro_bm!F806,"")</f>
        <v/>
      </c>
      <c r="F806" t="str">
        <f>IF(ROW(F806)&lt;=Bidding!$D$11,Raw_hydro_bm!G806,"")</f>
        <v/>
      </c>
      <c r="G806" t="str">
        <f>IF(ROW(G806)&lt;=Bidding!$D$11,Raw_hydro_bm!H806,"")</f>
        <v/>
      </c>
      <c r="H806" t="str">
        <f>IF(ROW(H806)&lt;=Bidding!$D$11,Raw_hydro_bm!I806,"")</f>
        <v/>
      </c>
      <c r="I806" s="16" t="str">
        <f t="shared" si="12"/>
        <v/>
      </c>
    </row>
    <row r="807" spans="1:9" x14ac:dyDescent="0.3">
      <c r="A807" t="str">
        <f>IF(ROW(A807)&lt;=Bidding!$D$11,Raw_hydro_bm!B807,"")</f>
        <v/>
      </c>
      <c r="B807" t="str">
        <f>IF(ROW(B807)&lt;=Bidding!$D$11,Raw_hydro_bm!C807,"")</f>
        <v/>
      </c>
      <c r="C807" t="str">
        <f>IF(ROW(C807)&lt;=Bidding!$D$11,Raw_hydro_bm!D807,"")</f>
        <v/>
      </c>
      <c r="D807" t="str">
        <f>IF(ROW(D807)&lt;=Bidding!$D$11,Raw_hydro_bm!E807,"")</f>
        <v/>
      </c>
      <c r="E807" t="str">
        <f>IF(ROW(E807)&lt;=Bidding!$D$11,Raw_hydro_bm!F807,"")</f>
        <v/>
      </c>
      <c r="F807" t="str">
        <f>IF(ROW(F807)&lt;=Bidding!$D$11,Raw_hydro_bm!G807,"")</f>
        <v/>
      </c>
      <c r="G807" t="str">
        <f>IF(ROW(G807)&lt;=Bidding!$D$11,Raw_hydro_bm!H807,"")</f>
        <v/>
      </c>
      <c r="H807" t="str">
        <f>IF(ROW(H807)&lt;=Bidding!$D$11,Raw_hydro_bm!I807,"")</f>
        <v/>
      </c>
      <c r="I807" s="16" t="str">
        <f t="shared" si="12"/>
        <v/>
      </c>
    </row>
    <row r="808" spans="1:9" x14ac:dyDescent="0.3">
      <c r="A808" t="str">
        <f>IF(ROW(A808)&lt;=Bidding!$D$11,Raw_hydro_bm!B808,"")</f>
        <v/>
      </c>
      <c r="B808" t="str">
        <f>IF(ROW(B808)&lt;=Bidding!$D$11,Raw_hydro_bm!C808,"")</f>
        <v/>
      </c>
      <c r="C808" t="str">
        <f>IF(ROW(C808)&lt;=Bidding!$D$11,Raw_hydro_bm!D808,"")</f>
        <v/>
      </c>
      <c r="D808" t="str">
        <f>IF(ROW(D808)&lt;=Bidding!$D$11,Raw_hydro_bm!E808,"")</f>
        <v/>
      </c>
      <c r="E808" t="str">
        <f>IF(ROW(E808)&lt;=Bidding!$D$11,Raw_hydro_bm!F808,"")</f>
        <v/>
      </c>
      <c r="F808" t="str">
        <f>IF(ROW(F808)&lt;=Bidding!$D$11,Raw_hydro_bm!G808,"")</f>
        <v/>
      </c>
      <c r="G808" t="str">
        <f>IF(ROW(G808)&lt;=Bidding!$D$11,Raw_hydro_bm!H808,"")</f>
        <v/>
      </c>
      <c r="H808" t="str">
        <f>IF(ROW(H808)&lt;=Bidding!$D$11,Raw_hydro_bm!I808,"")</f>
        <v/>
      </c>
      <c r="I808" s="16" t="str">
        <f t="shared" si="12"/>
        <v/>
      </c>
    </row>
    <row r="809" spans="1:9" x14ac:dyDescent="0.3">
      <c r="A809" t="str">
        <f>IF(ROW(A809)&lt;=Bidding!$D$11,Raw_hydro_bm!B809,"")</f>
        <v/>
      </c>
      <c r="B809" t="str">
        <f>IF(ROW(B809)&lt;=Bidding!$D$11,Raw_hydro_bm!C809,"")</f>
        <v/>
      </c>
      <c r="C809" t="str">
        <f>IF(ROW(C809)&lt;=Bidding!$D$11,Raw_hydro_bm!D809,"")</f>
        <v/>
      </c>
      <c r="D809" t="str">
        <f>IF(ROW(D809)&lt;=Bidding!$D$11,Raw_hydro_bm!E809,"")</f>
        <v/>
      </c>
      <c r="E809" t="str">
        <f>IF(ROW(E809)&lt;=Bidding!$D$11,Raw_hydro_bm!F809,"")</f>
        <v/>
      </c>
      <c r="F809" t="str">
        <f>IF(ROW(F809)&lt;=Bidding!$D$11,Raw_hydro_bm!G809,"")</f>
        <v/>
      </c>
      <c r="G809" t="str">
        <f>IF(ROW(G809)&lt;=Bidding!$D$11,Raw_hydro_bm!H809,"")</f>
        <v/>
      </c>
      <c r="H809" t="str">
        <f>IF(ROW(H809)&lt;=Bidding!$D$11,Raw_hydro_bm!I809,"")</f>
        <v/>
      </c>
      <c r="I809" s="16" t="str">
        <f t="shared" si="12"/>
        <v/>
      </c>
    </row>
    <row r="810" spans="1:9" x14ac:dyDescent="0.3">
      <c r="A810" t="str">
        <f>IF(ROW(A810)&lt;=Bidding!$D$11,Raw_hydro_bm!B810,"")</f>
        <v/>
      </c>
      <c r="B810" t="str">
        <f>IF(ROW(B810)&lt;=Bidding!$D$11,Raw_hydro_bm!C810,"")</f>
        <v/>
      </c>
      <c r="C810" t="str">
        <f>IF(ROW(C810)&lt;=Bidding!$D$11,Raw_hydro_bm!D810,"")</f>
        <v/>
      </c>
      <c r="D810" t="str">
        <f>IF(ROW(D810)&lt;=Bidding!$D$11,Raw_hydro_bm!E810,"")</f>
        <v/>
      </c>
      <c r="E810" t="str">
        <f>IF(ROW(E810)&lt;=Bidding!$D$11,Raw_hydro_bm!F810,"")</f>
        <v/>
      </c>
      <c r="F810" t="str">
        <f>IF(ROW(F810)&lt;=Bidding!$D$11,Raw_hydro_bm!G810,"")</f>
        <v/>
      </c>
      <c r="G810" t="str">
        <f>IF(ROW(G810)&lt;=Bidding!$D$11,Raw_hydro_bm!H810,"")</f>
        <v/>
      </c>
      <c r="H810" t="str">
        <f>IF(ROW(H810)&lt;=Bidding!$D$11,Raw_hydro_bm!I810,"")</f>
        <v/>
      </c>
      <c r="I810" s="16" t="str">
        <f t="shared" si="12"/>
        <v/>
      </c>
    </row>
    <row r="811" spans="1:9" x14ac:dyDescent="0.3">
      <c r="A811" t="str">
        <f>IF(ROW(A811)&lt;=Bidding!$D$11,Raw_hydro_bm!B811,"")</f>
        <v/>
      </c>
      <c r="B811" t="str">
        <f>IF(ROW(B811)&lt;=Bidding!$D$11,Raw_hydro_bm!C811,"")</f>
        <v/>
      </c>
      <c r="C811" t="str">
        <f>IF(ROW(C811)&lt;=Bidding!$D$11,Raw_hydro_bm!D811,"")</f>
        <v/>
      </c>
      <c r="D811" t="str">
        <f>IF(ROW(D811)&lt;=Bidding!$D$11,Raw_hydro_bm!E811,"")</f>
        <v/>
      </c>
      <c r="E811" t="str">
        <f>IF(ROW(E811)&lt;=Bidding!$D$11,Raw_hydro_bm!F811,"")</f>
        <v/>
      </c>
      <c r="F811" t="str">
        <f>IF(ROW(F811)&lt;=Bidding!$D$11,Raw_hydro_bm!G811,"")</f>
        <v/>
      </c>
      <c r="G811" t="str">
        <f>IF(ROW(G811)&lt;=Bidding!$D$11,Raw_hydro_bm!H811,"")</f>
        <v/>
      </c>
      <c r="H811" t="str">
        <f>IF(ROW(H811)&lt;=Bidding!$D$11,Raw_hydro_bm!I811,"")</f>
        <v/>
      </c>
      <c r="I811" s="16" t="str">
        <f t="shared" si="12"/>
        <v/>
      </c>
    </row>
    <row r="812" spans="1:9" x14ac:dyDescent="0.3">
      <c r="A812" t="str">
        <f>IF(ROW(A812)&lt;=Bidding!$D$11,Raw_hydro_bm!B812,"")</f>
        <v/>
      </c>
      <c r="B812" t="str">
        <f>IF(ROW(B812)&lt;=Bidding!$D$11,Raw_hydro_bm!C812,"")</f>
        <v/>
      </c>
      <c r="C812" t="str">
        <f>IF(ROW(C812)&lt;=Bidding!$D$11,Raw_hydro_bm!D812,"")</f>
        <v/>
      </c>
      <c r="D812" t="str">
        <f>IF(ROW(D812)&lt;=Bidding!$D$11,Raw_hydro_bm!E812,"")</f>
        <v/>
      </c>
      <c r="E812" t="str">
        <f>IF(ROW(E812)&lt;=Bidding!$D$11,Raw_hydro_bm!F812,"")</f>
        <v/>
      </c>
      <c r="F812" t="str">
        <f>IF(ROW(F812)&lt;=Bidding!$D$11,Raw_hydro_bm!G812,"")</f>
        <v/>
      </c>
      <c r="G812" t="str">
        <f>IF(ROW(G812)&lt;=Bidding!$D$11,Raw_hydro_bm!H812,"")</f>
        <v/>
      </c>
      <c r="H812" t="str">
        <f>IF(ROW(H812)&lt;=Bidding!$D$11,Raw_hydro_bm!I812,"")</f>
        <v/>
      </c>
      <c r="I812" s="16" t="str">
        <f t="shared" si="12"/>
        <v/>
      </c>
    </row>
    <row r="813" spans="1:9" x14ac:dyDescent="0.3">
      <c r="A813" t="str">
        <f>IF(ROW(A813)&lt;=Bidding!$D$11,Raw_hydro_bm!B813,"")</f>
        <v/>
      </c>
      <c r="B813" t="str">
        <f>IF(ROW(B813)&lt;=Bidding!$D$11,Raw_hydro_bm!C813,"")</f>
        <v/>
      </c>
      <c r="C813" t="str">
        <f>IF(ROW(C813)&lt;=Bidding!$D$11,Raw_hydro_bm!D813,"")</f>
        <v/>
      </c>
      <c r="D813" t="str">
        <f>IF(ROW(D813)&lt;=Bidding!$D$11,Raw_hydro_bm!E813,"")</f>
        <v/>
      </c>
      <c r="E813" t="str">
        <f>IF(ROW(E813)&lt;=Bidding!$D$11,Raw_hydro_bm!F813,"")</f>
        <v/>
      </c>
      <c r="F813" t="str">
        <f>IF(ROW(F813)&lt;=Bidding!$D$11,Raw_hydro_bm!G813,"")</f>
        <v/>
      </c>
      <c r="G813" t="str">
        <f>IF(ROW(G813)&lt;=Bidding!$D$11,Raw_hydro_bm!H813,"")</f>
        <v/>
      </c>
      <c r="H813" t="str">
        <f>IF(ROW(H813)&lt;=Bidding!$D$11,Raw_hydro_bm!I813,"")</f>
        <v/>
      </c>
      <c r="I813" s="16" t="str">
        <f t="shared" si="12"/>
        <v/>
      </c>
    </row>
    <row r="814" spans="1:9" x14ac:dyDescent="0.3">
      <c r="A814" t="str">
        <f>IF(ROW(A814)&lt;=Bidding!$D$11,Raw_hydro_bm!B814,"")</f>
        <v/>
      </c>
      <c r="B814" t="str">
        <f>IF(ROW(B814)&lt;=Bidding!$D$11,Raw_hydro_bm!C814,"")</f>
        <v/>
      </c>
      <c r="C814" t="str">
        <f>IF(ROW(C814)&lt;=Bidding!$D$11,Raw_hydro_bm!D814,"")</f>
        <v/>
      </c>
      <c r="D814" t="str">
        <f>IF(ROW(D814)&lt;=Bidding!$D$11,Raw_hydro_bm!E814,"")</f>
        <v/>
      </c>
      <c r="E814" t="str">
        <f>IF(ROW(E814)&lt;=Bidding!$D$11,Raw_hydro_bm!F814,"")</f>
        <v/>
      </c>
      <c r="F814" t="str">
        <f>IF(ROW(F814)&lt;=Bidding!$D$11,Raw_hydro_bm!G814,"")</f>
        <v/>
      </c>
      <c r="G814" t="str">
        <f>IF(ROW(G814)&lt;=Bidding!$D$11,Raw_hydro_bm!H814,"")</f>
        <v/>
      </c>
      <c r="H814" t="str">
        <f>IF(ROW(H814)&lt;=Bidding!$D$11,Raw_hydro_bm!I814,"")</f>
        <v/>
      </c>
      <c r="I814" s="16" t="str">
        <f t="shared" si="12"/>
        <v/>
      </c>
    </row>
    <row r="815" spans="1:9" x14ac:dyDescent="0.3">
      <c r="A815" t="str">
        <f>IF(ROW(A815)&lt;=Bidding!$D$11,Raw_hydro_bm!B815,"")</f>
        <v/>
      </c>
      <c r="B815" t="str">
        <f>IF(ROW(B815)&lt;=Bidding!$D$11,Raw_hydro_bm!C815,"")</f>
        <v/>
      </c>
      <c r="C815" t="str">
        <f>IF(ROW(C815)&lt;=Bidding!$D$11,Raw_hydro_bm!D815,"")</f>
        <v/>
      </c>
      <c r="D815" t="str">
        <f>IF(ROW(D815)&lt;=Bidding!$D$11,Raw_hydro_bm!E815,"")</f>
        <v/>
      </c>
      <c r="E815" t="str">
        <f>IF(ROW(E815)&lt;=Bidding!$D$11,Raw_hydro_bm!F815,"")</f>
        <v/>
      </c>
      <c r="F815" t="str">
        <f>IF(ROW(F815)&lt;=Bidding!$D$11,Raw_hydro_bm!G815,"")</f>
        <v/>
      </c>
      <c r="G815" t="str">
        <f>IF(ROW(G815)&lt;=Bidding!$D$11,Raw_hydro_bm!H815,"")</f>
        <v/>
      </c>
      <c r="H815" t="str">
        <f>IF(ROW(H815)&lt;=Bidding!$D$11,Raw_hydro_bm!I815,"")</f>
        <v/>
      </c>
      <c r="I815" s="16" t="str">
        <f t="shared" si="12"/>
        <v/>
      </c>
    </row>
    <row r="816" spans="1:9" x14ac:dyDescent="0.3">
      <c r="A816" t="str">
        <f>IF(ROW(A816)&lt;=Bidding!$D$11,Raw_hydro_bm!B816,"")</f>
        <v/>
      </c>
      <c r="B816" t="str">
        <f>IF(ROW(B816)&lt;=Bidding!$D$11,Raw_hydro_bm!C816,"")</f>
        <v/>
      </c>
      <c r="C816" t="str">
        <f>IF(ROW(C816)&lt;=Bidding!$D$11,Raw_hydro_bm!D816,"")</f>
        <v/>
      </c>
      <c r="D816" t="str">
        <f>IF(ROW(D816)&lt;=Bidding!$D$11,Raw_hydro_bm!E816,"")</f>
        <v/>
      </c>
      <c r="E816" t="str">
        <f>IF(ROW(E816)&lt;=Bidding!$D$11,Raw_hydro_bm!F816,"")</f>
        <v/>
      </c>
      <c r="F816" t="str">
        <f>IF(ROW(F816)&lt;=Bidding!$D$11,Raw_hydro_bm!G816,"")</f>
        <v/>
      </c>
      <c r="G816" t="str">
        <f>IF(ROW(G816)&lt;=Bidding!$D$11,Raw_hydro_bm!H816,"")</f>
        <v/>
      </c>
      <c r="H816" t="str">
        <f>IF(ROW(H816)&lt;=Bidding!$D$11,Raw_hydro_bm!I816,"")</f>
        <v/>
      </c>
      <c r="I816" s="16" t="str">
        <f t="shared" si="12"/>
        <v/>
      </c>
    </row>
    <row r="817" spans="1:9" x14ac:dyDescent="0.3">
      <c r="A817" t="str">
        <f>IF(ROW(A817)&lt;=Bidding!$D$11,Raw_hydro_bm!B817,"")</f>
        <v/>
      </c>
      <c r="B817" t="str">
        <f>IF(ROW(B817)&lt;=Bidding!$D$11,Raw_hydro_bm!C817,"")</f>
        <v/>
      </c>
      <c r="C817" t="str">
        <f>IF(ROW(C817)&lt;=Bidding!$D$11,Raw_hydro_bm!D817,"")</f>
        <v/>
      </c>
      <c r="D817" t="str">
        <f>IF(ROW(D817)&lt;=Bidding!$D$11,Raw_hydro_bm!E817,"")</f>
        <v/>
      </c>
      <c r="E817" t="str">
        <f>IF(ROW(E817)&lt;=Bidding!$D$11,Raw_hydro_bm!F817,"")</f>
        <v/>
      </c>
      <c r="F817" t="str">
        <f>IF(ROW(F817)&lt;=Bidding!$D$11,Raw_hydro_bm!G817,"")</f>
        <v/>
      </c>
      <c r="G817" t="str">
        <f>IF(ROW(G817)&lt;=Bidding!$D$11,Raw_hydro_bm!H817,"")</f>
        <v/>
      </c>
      <c r="H817" t="str">
        <f>IF(ROW(H817)&lt;=Bidding!$D$11,Raw_hydro_bm!I817,"")</f>
        <v/>
      </c>
      <c r="I817" s="16" t="str">
        <f t="shared" si="12"/>
        <v/>
      </c>
    </row>
    <row r="818" spans="1:9" x14ac:dyDescent="0.3">
      <c r="A818" t="str">
        <f>IF(ROW(A818)&lt;=Bidding!$D$11,Raw_hydro_bm!B818,"")</f>
        <v/>
      </c>
      <c r="B818" t="str">
        <f>IF(ROW(B818)&lt;=Bidding!$D$11,Raw_hydro_bm!C818,"")</f>
        <v/>
      </c>
      <c r="C818" t="str">
        <f>IF(ROW(C818)&lt;=Bidding!$D$11,Raw_hydro_bm!D818,"")</f>
        <v/>
      </c>
      <c r="D818" t="str">
        <f>IF(ROW(D818)&lt;=Bidding!$D$11,Raw_hydro_bm!E818,"")</f>
        <v/>
      </c>
      <c r="E818" t="str">
        <f>IF(ROW(E818)&lt;=Bidding!$D$11,Raw_hydro_bm!F818,"")</f>
        <v/>
      </c>
      <c r="F818" t="str">
        <f>IF(ROW(F818)&lt;=Bidding!$D$11,Raw_hydro_bm!G818,"")</f>
        <v/>
      </c>
      <c r="G818" t="str">
        <f>IF(ROW(G818)&lt;=Bidding!$D$11,Raw_hydro_bm!H818,"")</f>
        <v/>
      </c>
      <c r="H818" t="str">
        <f>IF(ROW(H818)&lt;=Bidding!$D$11,Raw_hydro_bm!I818,"")</f>
        <v/>
      </c>
      <c r="I818" s="16" t="str">
        <f t="shared" si="12"/>
        <v/>
      </c>
    </row>
    <row r="819" spans="1:9" x14ac:dyDescent="0.3">
      <c r="A819" t="str">
        <f>IF(ROW(A819)&lt;=Bidding!$D$11,Raw_hydro_bm!B819,"")</f>
        <v/>
      </c>
      <c r="B819" t="str">
        <f>IF(ROW(B819)&lt;=Bidding!$D$11,Raw_hydro_bm!C819,"")</f>
        <v/>
      </c>
      <c r="C819" t="str">
        <f>IF(ROW(C819)&lt;=Bidding!$D$11,Raw_hydro_bm!D819,"")</f>
        <v/>
      </c>
      <c r="D819" t="str">
        <f>IF(ROW(D819)&lt;=Bidding!$D$11,Raw_hydro_bm!E819,"")</f>
        <v/>
      </c>
      <c r="E819" t="str">
        <f>IF(ROW(E819)&lt;=Bidding!$D$11,Raw_hydro_bm!F819,"")</f>
        <v/>
      </c>
      <c r="F819" t="str">
        <f>IF(ROW(F819)&lt;=Bidding!$D$11,Raw_hydro_bm!G819,"")</f>
        <v/>
      </c>
      <c r="G819" t="str">
        <f>IF(ROW(G819)&lt;=Bidding!$D$11,Raw_hydro_bm!H819,"")</f>
        <v/>
      </c>
      <c r="H819" t="str">
        <f>IF(ROW(H819)&lt;=Bidding!$D$11,Raw_hydro_bm!I819,"")</f>
        <v/>
      </c>
      <c r="I819" s="16" t="str">
        <f t="shared" si="12"/>
        <v/>
      </c>
    </row>
    <row r="820" spans="1:9" x14ac:dyDescent="0.3">
      <c r="A820" t="str">
        <f>IF(ROW(A820)&lt;=Bidding!$D$11,Raw_hydro_bm!B820,"")</f>
        <v/>
      </c>
      <c r="B820" t="str">
        <f>IF(ROW(B820)&lt;=Bidding!$D$11,Raw_hydro_bm!C820,"")</f>
        <v/>
      </c>
      <c r="C820" t="str">
        <f>IF(ROW(C820)&lt;=Bidding!$D$11,Raw_hydro_bm!D820,"")</f>
        <v/>
      </c>
      <c r="D820" t="str">
        <f>IF(ROW(D820)&lt;=Bidding!$D$11,Raw_hydro_bm!E820,"")</f>
        <v/>
      </c>
      <c r="E820" t="str">
        <f>IF(ROW(E820)&lt;=Bidding!$D$11,Raw_hydro_bm!F820,"")</f>
        <v/>
      </c>
      <c r="F820" t="str">
        <f>IF(ROW(F820)&lt;=Bidding!$D$11,Raw_hydro_bm!G820,"")</f>
        <v/>
      </c>
      <c r="G820" t="str">
        <f>IF(ROW(G820)&lt;=Bidding!$D$11,Raw_hydro_bm!H820,"")</f>
        <v/>
      </c>
      <c r="H820" t="str">
        <f>IF(ROW(H820)&lt;=Bidding!$D$11,Raw_hydro_bm!I820,"")</f>
        <v/>
      </c>
      <c r="I820" s="16" t="str">
        <f t="shared" si="12"/>
        <v/>
      </c>
    </row>
    <row r="821" spans="1:9" x14ac:dyDescent="0.3">
      <c r="A821" t="str">
        <f>IF(ROW(A821)&lt;=Bidding!$D$11,Raw_hydro_bm!B821,"")</f>
        <v/>
      </c>
      <c r="B821" t="str">
        <f>IF(ROW(B821)&lt;=Bidding!$D$11,Raw_hydro_bm!C821,"")</f>
        <v/>
      </c>
      <c r="C821" t="str">
        <f>IF(ROW(C821)&lt;=Bidding!$D$11,Raw_hydro_bm!D821,"")</f>
        <v/>
      </c>
      <c r="D821" t="str">
        <f>IF(ROW(D821)&lt;=Bidding!$D$11,Raw_hydro_bm!E821,"")</f>
        <v/>
      </c>
      <c r="E821" t="str">
        <f>IF(ROW(E821)&lt;=Bidding!$D$11,Raw_hydro_bm!F821,"")</f>
        <v/>
      </c>
      <c r="F821" t="str">
        <f>IF(ROW(F821)&lt;=Bidding!$D$11,Raw_hydro_bm!G821,"")</f>
        <v/>
      </c>
      <c r="G821" t="str">
        <f>IF(ROW(G821)&lt;=Bidding!$D$11,Raw_hydro_bm!H821,"")</f>
        <v/>
      </c>
      <c r="H821" t="str">
        <f>IF(ROW(H821)&lt;=Bidding!$D$11,Raw_hydro_bm!I821,"")</f>
        <v/>
      </c>
      <c r="I821" s="16" t="str">
        <f t="shared" si="12"/>
        <v/>
      </c>
    </row>
    <row r="822" spans="1:9" x14ac:dyDescent="0.3">
      <c r="A822" t="str">
        <f>IF(ROW(A822)&lt;=Bidding!$D$11,Raw_hydro_bm!B822,"")</f>
        <v/>
      </c>
      <c r="B822" t="str">
        <f>IF(ROW(B822)&lt;=Bidding!$D$11,Raw_hydro_bm!C822,"")</f>
        <v/>
      </c>
      <c r="C822" t="str">
        <f>IF(ROW(C822)&lt;=Bidding!$D$11,Raw_hydro_bm!D822,"")</f>
        <v/>
      </c>
      <c r="D822" t="str">
        <f>IF(ROW(D822)&lt;=Bidding!$D$11,Raw_hydro_bm!E822,"")</f>
        <v/>
      </c>
      <c r="E822" t="str">
        <f>IF(ROW(E822)&lt;=Bidding!$D$11,Raw_hydro_bm!F822,"")</f>
        <v/>
      </c>
      <c r="F822" t="str">
        <f>IF(ROW(F822)&lt;=Bidding!$D$11,Raw_hydro_bm!G822,"")</f>
        <v/>
      </c>
      <c r="G822" t="str">
        <f>IF(ROW(G822)&lt;=Bidding!$D$11,Raw_hydro_bm!H822,"")</f>
        <v/>
      </c>
      <c r="H822" t="str">
        <f>IF(ROW(H822)&lt;=Bidding!$D$11,Raw_hydro_bm!I822,"")</f>
        <v/>
      </c>
      <c r="I822" s="16" t="str">
        <f t="shared" si="12"/>
        <v/>
      </c>
    </row>
    <row r="823" spans="1:9" x14ac:dyDescent="0.3">
      <c r="A823" t="str">
        <f>IF(ROW(A823)&lt;=Bidding!$D$11,Raw_hydro_bm!B823,"")</f>
        <v/>
      </c>
      <c r="B823" t="str">
        <f>IF(ROW(B823)&lt;=Bidding!$D$11,Raw_hydro_bm!C823,"")</f>
        <v/>
      </c>
      <c r="C823" t="str">
        <f>IF(ROW(C823)&lt;=Bidding!$D$11,Raw_hydro_bm!D823,"")</f>
        <v/>
      </c>
      <c r="D823" t="str">
        <f>IF(ROW(D823)&lt;=Bidding!$D$11,Raw_hydro_bm!E823,"")</f>
        <v/>
      </c>
      <c r="E823" t="str">
        <f>IF(ROW(E823)&lt;=Bidding!$D$11,Raw_hydro_bm!F823,"")</f>
        <v/>
      </c>
      <c r="F823" t="str">
        <f>IF(ROW(F823)&lt;=Bidding!$D$11,Raw_hydro_bm!G823,"")</f>
        <v/>
      </c>
      <c r="G823" t="str">
        <f>IF(ROW(G823)&lt;=Bidding!$D$11,Raw_hydro_bm!H823,"")</f>
        <v/>
      </c>
      <c r="H823" t="str">
        <f>IF(ROW(H823)&lt;=Bidding!$D$11,Raw_hydro_bm!I823,"")</f>
        <v/>
      </c>
      <c r="I823" s="16" t="str">
        <f t="shared" si="12"/>
        <v/>
      </c>
    </row>
    <row r="824" spans="1:9" x14ac:dyDescent="0.3">
      <c r="A824" t="str">
        <f>IF(ROW(A824)&lt;=Bidding!$D$11,Raw_hydro_bm!B824,"")</f>
        <v/>
      </c>
      <c r="B824" t="str">
        <f>IF(ROW(B824)&lt;=Bidding!$D$11,Raw_hydro_bm!C824,"")</f>
        <v/>
      </c>
      <c r="C824" t="str">
        <f>IF(ROW(C824)&lt;=Bidding!$D$11,Raw_hydro_bm!D824,"")</f>
        <v/>
      </c>
      <c r="D824" t="str">
        <f>IF(ROW(D824)&lt;=Bidding!$D$11,Raw_hydro_bm!E824,"")</f>
        <v/>
      </c>
      <c r="E824" t="str">
        <f>IF(ROW(E824)&lt;=Bidding!$D$11,Raw_hydro_bm!F824,"")</f>
        <v/>
      </c>
      <c r="F824" t="str">
        <f>IF(ROW(F824)&lt;=Bidding!$D$11,Raw_hydro_bm!G824,"")</f>
        <v/>
      </c>
      <c r="G824" t="str">
        <f>IF(ROW(G824)&lt;=Bidding!$D$11,Raw_hydro_bm!H824,"")</f>
        <v/>
      </c>
      <c r="H824" t="str">
        <f>IF(ROW(H824)&lt;=Bidding!$D$11,Raw_hydro_bm!I824,"")</f>
        <v/>
      </c>
      <c r="I824" s="16" t="str">
        <f t="shared" si="12"/>
        <v/>
      </c>
    </row>
    <row r="825" spans="1:9" x14ac:dyDescent="0.3">
      <c r="A825" t="str">
        <f>IF(ROW(A825)&lt;=Bidding!$D$11,Raw_hydro_bm!B825,"")</f>
        <v/>
      </c>
      <c r="B825" t="str">
        <f>IF(ROW(B825)&lt;=Bidding!$D$11,Raw_hydro_bm!C825,"")</f>
        <v/>
      </c>
      <c r="C825" t="str">
        <f>IF(ROW(C825)&lt;=Bidding!$D$11,Raw_hydro_bm!D825,"")</f>
        <v/>
      </c>
      <c r="D825" t="str">
        <f>IF(ROW(D825)&lt;=Bidding!$D$11,Raw_hydro_bm!E825,"")</f>
        <v/>
      </c>
      <c r="E825" t="str">
        <f>IF(ROW(E825)&lt;=Bidding!$D$11,Raw_hydro_bm!F825,"")</f>
        <v/>
      </c>
      <c r="F825" t="str">
        <f>IF(ROW(F825)&lt;=Bidding!$D$11,Raw_hydro_bm!G825,"")</f>
        <v/>
      </c>
      <c r="G825" t="str">
        <f>IF(ROW(G825)&lt;=Bidding!$D$11,Raw_hydro_bm!H825,"")</f>
        <v/>
      </c>
      <c r="H825" t="str">
        <f>IF(ROW(H825)&lt;=Bidding!$D$11,Raw_hydro_bm!I825,"")</f>
        <v/>
      </c>
      <c r="I825" s="16" t="str">
        <f t="shared" si="12"/>
        <v/>
      </c>
    </row>
    <row r="826" spans="1:9" x14ac:dyDescent="0.3">
      <c r="A826" t="str">
        <f>IF(ROW(A826)&lt;=Bidding!$D$11,Raw_hydro_bm!B826,"")</f>
        <v/>
      </c>
      <c r="B826" t="str">
        <f>IF(ROW(B826)&lt;=Bidding!$D$11,Raw_hydro_bm!C826,"")</f>
        <v/>
      </c>
      <c r="C826" t="str">
        <f>IF(ROW(C826)&lt;=Bidding!$D$11,Raw_hydro_bm!D826,"")</f>
        <v/>
      </c>
      <c r="D826" t="str">
        <f>IF(ROW(D826)&lt;=Bidding!$D$11,Raw_hydro_bm!E826,"")</f>
        <v/>
      </c>
      <c r="E826" t="str">
        <f>IF(ROW(E826)&lt;=Bidding!$D$11,Raw_hydro_bm!F826,"")</f>
        <v/>
      </c>
      <c r="F826" t="str">
        <f>IF(ROW(F826)&lt;=Bidding!$D$11,Raw_hydro_bm!G826,"")</f>
        <v/>
      </c>
      <c r="G826" t="str">
        <f>IF(ROW(G826)&lt;=Bidding!$D$11,Raw_hydro_bm!H826,"")</f>
        <v/>
      </c>
      <c r="H826" t="str">
        <f>IF(ROW(H826)&lt;=Bidding!$D$11,Raw_hydro_bm!I826,"")</f>
        <v/>
      </c>
      <c r="I826" s="16" t="str">
        <f t="shared" si="12"/>
        <v/>
      </c>
    </row>
    <row r="827" spans="1:9" x14ac:dyDescent="0.3">
      <c r="A827" t="str">
        <f>IF(ROW(A827)&lt;=Bidding!$D$11,Raw_hydro_bm!B827,"")</f>
        <v/>
      </c>
      <c r="B827" t="str">
        <f>IF(ROW(B827)&lt;=Bidding!$D$11,Raw_hydro_bm!C827,"")</f>
        <v/>
      </c>
      <c r="C827" t="str">
        <f>IF(ROW(C827)&lt;=Bidding!$D$11,Raw_hydro_bm!D827,"")</f>
        <v/>
      </c>
      <c r="D827" t="str">
        <f>IF(ROW(D827)&lt;=Bidding!$D$11,Raw_hydro_bm!E827,"")</f>
        <v/>
      </c>
      <c r="E827" t="str">
        <f>IF(ROW(E827)&lt;=Bidding!$D$11,Raw_hydro_bm!F827,"")</f>
        <v/>
      </c>
      <c r="F827" t="str">
        <f>IF(ROW(F827)&lt;=Bidding!$D$11,Raw_hydro_bm!G827,"")</f>
        <v/>
      </c>
      <c r="G827" t="str">
        <f>IF(ROW(G827)&lt;=Bidding!$D$11,Raw_hydro_bm!H827,"")</f>
        <v/>
      </c>
      <c r="H827" t="str">
        <f>IF(ROW(H827)&lt;=Bidding!$D$11,Raw_hydro_bm!I827,"")</f>
        <v/>
      </c>
      <c r="I827" s="16" t="str">
        <f t="shared" si="12"/>
        <v/>
      </c>
    </row>
    <row r="828" spans="1:9" x14ac:dyDescent="0.3">
      <c r="A828" t="str">
        <f>IF(ROW(A828)&lt;=Bidding!$D$11,Raw_hydro_bm!B828,"")</f>
        <v/>
      </c>
      <c r="B828" t="str">
        <f>IF(ROW(B828)&lt;=Bidding!$D$11,Raw_hydro_bm!C828,"")</f>
        <v/>
      </c>
      <c r="C828" t="str">
        <f>IF(ROW(C828)&lt;=Bidding!$D$11,Raw_hydro_bm!D828,"")</f>
        <v/>
      </c>
      <c r="D828" t="str">
        <f>IF(ROW(D828)&lt;=Bidding!$D$11,Raw_hydro_bm!E828,"")</f>
        <v/>
      </c>
      <c r="E828" t="str">
        <f>IF(ROW(E828)&lt;=Bidding!$D$11,Raw_hydro_bm!F828,"")</f>
        <v/>
      </c>
      <c r="F828" t="str">
        <f>IF(ROW(F828)&lt;=Bidding!$D$11,Raw_hydro_bm!G828,"")</f>
        <v/>
      </c>
      <c r="G828" t="str">
        <f>IF(ROW(G828)&lt;=Bidding!$D$11,Raw_hydro_bm!H828,"")</f>
        <v/>
      </c>
      <c r="H828" t="str">
        <f>IF(ROW(H828)&lt;=Bidding!$D$11,Raw_hydro_bm!I828,"")</f>
        <v/>
      </c>
      <c r="I828" s="16" t="str">
        <f t="shared" si="12"/>
        <v/>
      </c>
    </row>
    <row r="829" spans="1:9" x14ac:dyDescent="0.3">
      <c r="A829" t="str">
        <f>IF(ROW(A829)&lt;=Bidding!$D$11,Raw_hydro_bm!B829,"")</f>
        <v/>
      </c>
      <c r="B829" t="str">
        <f>IF(ROW(B829)&lt;=Bidding!$D$11,Raw_hydro_bm!C829,"")</f>
        <v/>
      </c>
      <c r="C829" t="str">
        <f>IF(ROW(C829)&lt;=Bidding!$D$11,Raw_hydro_bm!D829,"")</f>
        <v/>
      </c>
      <c r="D829" t="str">
        <f>IF(ROW(D829)&lt;=Bidding!$D$11,Raw_hydro_bm!E829,"")</f>
        <v/>
      </c>
      <c r="E829" t="str">
        <f>IF(ROW(E829)&lt;=Bidding!$D$11,Raw_hydro_bm!F829,"")</f>
        <v/>
      </c>
      <c r="F829" t="str">
        <f>IF(ROW(F829)&lt;=Bidding!$D$11,Raw_hydro_bm!G829,"")</f>
        <v/>
      </c>
      <c r="G829" t="str">
        <f>IF(ROW(G829)&lt;=Bidding!$D$11,Raw_hydro_bm!H829,"")</f>
        <v/>
      </c>
      <c r="H829" t="str">
        <f>IF(ROW(H829)&lt;=Bidding!$D$11,Raw_hydro_bm!I829,"")</f>
        <v/>
      </c>
      <c r="I829" s="16" t="str">
        <f t="shared" si="12"/>
        <v/>
      </c>
    </row>
    <row r="830" spans="1:9" x14ac:dyDescent="0.3">
      <c r="A830" t="str">
        <f>IF(ROW(A830)&lt;=Bidding!$D$11,Raw_hydro_bm!B830,"")</f>
        <v/>
      </c>
      <c r="B830" t="str">
        <f>IF(ROW(B830)&lt;=Bidding!$D$11,Raw_hydro_bm!C830,"")</f>
        <v/>
      </c>
      <c r="C830" t="str">
        <f>IF(ROW(C830)&lt;=Bidding!$D$11,Raw_hydro_bm!D830,"")</f>
        <v/>
      </c>
      <c r="D830" t="str">
        <f>IF(ROW(D830)&lt;=Bidding!$D$11,Raw_hydro_bm!E830,"")</f>
        <v/>
      </c>
      <c r="E830" t="str">
        <f>IF(ROW(E830)&lt;=Bidding!$D$11,Raw_hydro_bm!F830,"")</f>
        <v/>
      </c>
      <c r="F830" t="str">
        <f>IF(ROW(F830)&lt;=Bidding!$D$11,Raw_hydro_bm!G830,"")</f>
        <v/>
      </c>
      <c r="G830" t="str">
        <f>IF(ROW(G830)&lt;=Bidding!$D$11,Raw_hydro_bm!H830,"")</f>
        <v/>
      </c>
      <c r="H830" t="str">
        <f>IF(ROW(H830)&lt;=Bidding!$D$11,Raw_hydro_bm!I830,"")</f>
        <v/>
      </c>
      <c r="I830" s="16" t="str">
        <f t="shared" si="12"/>
        <v/>
      </c>
    </row>
    <row r="831" spans="1:9" x14ac:dyDescent="0.3">
      <c r="A831" t="str">
        <f>IF(ROW(A831)&lt;=Bidding!$D$11,Raw_hydro_bm!B831,"")</f>
        <v/>
      </c>
      <c r="B831" t="str">
        <f>IF(ROW(B831)&lt;=Bidding!$D$11,Raw_hydro_bm!C831,"")</f>
        <v/>
      </c>
      <c r="C831" t="str">
        <f>IF(ROW(C831)&lt;=Bidding!$D$11,Raw_hydro_bm!D831,"")</f>
        <v/>
      </c>
      <c r="D831" t="str">
        <f>IF(ROW(D831)&lt;=Bidding!$D$11,Raw_hydro_bm!E831,"")</f>
        <v/>
      </c>
      <c r="E831" t="str">
        <f>IF(ROW(E831)&lt;=Bidding!$D$11,Raw_hydro_bm!F831,"")</f>
        <v/>
      </c>
      <c r="F831" t="str">
        <f>IF(ROW(F831)&lt;=Bidding!$D$11,Raw_hydro_bm!G831,"")</f>
        <v/>
      </c>
      <c r="G831" t="str">
        <f>IF(ROW(G831)&lt;=Bidding!$D$11,Raw_hydro_bm!H831,"")</f>
        <v/>
      </c>
      <c r="H831" t="str">
        <f>IF(ROW(H831)&lt;=Bidding!$D$11,Raw_hydro_bm!I831,"")</f>
        <v/>
      </c>
      <c r="I831" s="16" t="str">
        <f t="shared" si="12"/>
        <v/>
      </c>
    </row>
    <row r="832" spans="1:9" x14ac:dyDescent="0.3">
      <c r="A832" t="str">
        <f>IF(ROW(A832)&lt;=Bidding!$D$11,Raw_hydro_bm!B832,"")</f>
        <v/>
      </c>
      <c r="B832" t="str">
        <f>IF(ROW(B832)&lt;=Bidding!$D$11,Raw_hydro_bm!C832,"")</f>
        <v/>
      </c>
      <c r="C832" t="str">
        <f>IF(ROW(C832)&lt;=Bidding!$D$11,Raw_hydro_bm!D832,"")</f>
        <v/>
      </c>
      <c r="D832" t="str">
        <f>IF(ROW(D832)&lt;=Bidding!$D$11,Raw_hydro_bm!E832,"")</f>
        <v/>
      </c>
      <c r="E832" t="str">
        <f>IF(ROW(E832)&lt;=Bidding!$D$11,Raw_hydro_bm!F832,"")</f>
        <v/>
      </c>
      <c r="F832" t="str">
        <f>IF(ROW(F832)&lt;=Bidding!$D$11,Raw_hydro_bm!G832,"")</f>
        <v/>
      </c>
      <c r="G832" t="str">
        <f>IF(ROW(G832)&lt;=Bidding!$D$11,Raw_hydro_bm!H832,"")</f>
        <v/>
      </c>
      <c r="H832" t="str">
        <f>IF(ROW(H832)&lt;=Bidding!$D$11,Raw_hydro_bm!I832,"")</f>
        <v/>
      </c>
      <c r="I832" s="16" t="str">
        <f t="shared" si="12"/>
        <v/>
      </c>
    </row>
    <row r="833" spans="1:9" x14ac:dyDescent="0.3">
      <c r="A833" t="str">
        <f>IF(ROW(A833)&lt;=Bidding!$D$11,Raw_hydro_bm!B833,"")</f>
        <v/>
      </c>
      <c r="B833" t="str">
        <f>IF(ROW(B833)&lt;=Bidding!$D$11,Raw_hydro_bm!C833,"")</f>
        <v/>
      </c>
      <c r="C833" t="str">
        <f>IF(ROW(C833)&lt;=Bidding!$D$11,Raw_hydro_bm!D833,"")</f>
        <v/>
      </c>
      <c r="D833" t="str">
        <f>IF(ROW(D833)&lt;=Bidding!$D$11,Raw_hydro_bm!E833,"")</f>
        <v/>
      </c>
      <c r="E833" t="str">
        <f>IF(ROW(E833)&lt;=Bidding!$D$11,Raw_hydro_bm!F833,"")</f>
        <v/>
      </c>
      <c r="F833" t="str">
        <f>IF(ROW(F833)&lt;=Bidding!$D$11,Raw_hydro_bm!G833,"")</f>
        <v/>
      </c>
      <c r="G833" t="str">
        <f>IF(ROW(G833)&lt;=Bidding!$D$11,Raw_hydro_bm!H833,"")</f>
        <v/>
      </c>
      <c r="H833" t="str">
        <f>IF(ROW(H833)&lt;=Bidding!$D$11,Raw_hydro_bm!I833,"")</f>
        <v/>
      </c>
      <c r="I833" s="16" t="str">
        <f t="shared" si="12"/>
        <v/>
      </c>
    </row>
    <row r="834" spans="1:9" x14ac:dyDescent="0.3">
      <c r="A834" t="str">
        <f>IF(ROW(A834)&lt;=Bidding!$D$11,Raw_hydro_bm!B834,"")</f>
        <v/>
      </c>
      <c r="B834" t="str">
        <f>IF(ROW(B834)&lt;=Bidding!$D$11,Raw_hydro_bm!C834,"")</f>
        <v/>
      </c>
      <c r="C834" t="str">
        <f>IF(ROW(C834)&lt;=Bidding!$D$11,Raw_hydro_bm!D834,"")</f>
        <v/>
      </c>
      <c r="D834" t="str">
        <f>IF(ROW(D834)&lt;=Bidding!$D$11,Raw_hydro_bm!E834,"")</f>
        <v/>
      </c>
      <c r="E834" t="str">
        <f>IF(ROW(E834)&lt;=Bidding!$D$11,Raw_hydro_bm!F834,"")</f>
        <v/>
      </c>
      <c r="F834" t="str">
        <f>IF(ROW(F834)&lt;=Bidding!$D$11,Raw_hydro_bm!G834,"")</f>
        <v/>
      </c>
      <c r="G834" t="str">
        <f>IF(ROW(G834)&lt;=Bidding!$D$11,Raw_hydro_bm!H834,"")</f>
        <v/>
      </c>
      <c r="H834" t="str">
        <f>IF(ROW(H834)&lt;=Bidding!$D$11,Raw_hydro_bm!I834,"")</f>
        <v/>
      </c>
      <c r="I834" s="16" t="str">
        <f t="shared" ref="I834:I897" si="13">IF(IFERROR(FIND("e",H834),-1)&lt;0,IFERROR(_xlfn.NUMBERVALUE(LEFT(H834,FIND(".",H834)-1))+_xlfn.NUMBERVALUE("0,"&amp;RIGHT(H834,LEN(H834)-FIND(".",H834))),""),0)</f>
        <v/>
      </c>
    </row>
    <row r="835" spans="1:9" x14ac:dyDescent="0.3">
      <c r="A835" t="str">
        <f>IF(ROW(A835)&lt;=Bidding!$D$11,Raw_hydro_bm!B835,"")</f>
        <v/>
      </c>
      <c r="B835" t="str">
        <f>IF(ROW(B835)&lt;=Bidding!$D$11,Raw_hydro_bm!C835,"")</f>
        <v/>
      </c>
      <c r="C835" t="str">
        <f>IF(ROW(C835)&lt;=Bidding!$D$11,Raw_hydro_bm!D835,"")</f>
        <v/>
      </c>
      <c r="D835" t="str">
        <f>IF(ROW(D835)&lt;=Bidding!$D$11,Raw_hydro_bm!E835,"")</f>
        <v/>
      </c>
      <c r="E835" t="str">
        <f>IF(ROW(E835)&lt;=Bidding!$D$11,Raw_hydro_bm!F835,"")</f>
        <v/>
      </c>
      <c r="F835" t="str">
        <f>IF(ROW(F835)&lt;=Bidding!$D$11,Raw_hydro_bm!G835,"")</f>
        <v/>
      </c>
      <c r="G835" t="str">
        <f>IF(ROW(G835)&lt;=Bidding!$D$11,Raw_hydro_bm!H835,"")</f>
        <v/>
      </c>
      <c r="H835" t="str">
        <f>IF(ROW(H835)&lt;=Bidding!$D$11,Raw_hydro_bm!I835,"")</f>
        <v/>
      </c>
      <c r="I835" s="16" t="str">
        <f t="shared" si="13"/>
        <v/>
      </c>
    </row>
    <row r="836" spans="1:9" x14ac:dyDescent="0.3">
      <c r="A836" t="str">
        <f>IF(ROW(A836)&lt;=Bidding!$D$11,Raw_hydro_bm!B836,"")</f>
        <v/>
      </c>
      <c r="B836" t="str">
        <f>IF(ROW(B836)&lt;=Bidding!$D$11,Raw_hydro_bm!C836,"")</f>
        <v/>
      </c>
      <c r="C836" t="str">
        <f>IF(ROW(C836)&lt;=Bidding!$D$11,Raw_hydro_bm!D836,"")</f>
        <v/>
      </c>
      <c r="D836" t="str">
        <f>IF(ROW(D836)&lt;=Bidding!$D$11,Raw_hydro_bm!E836,"")</f>
        <v/>
      </c>
      <c r="E836" t="str">
        <f>IF(ROW(E836)&lt;=Bidding!$D$11,Raw_hydro_bm!F836,"")</f>
        <v/>
      </c>
      <c r="F836" t="str">
        <f>IF(ROW(F836)&lt;=Bidding!$D$11,Raw_hydro_bm!G836,"")</f>
        <v/>
      </c>
      <c r="G836" t="str">
        <f>IF(ROW(G836)&lt;=Bidding!$D$11,Raw_hydro_bm!H836,"")</f>
        <v/>
      </c>
      <c r="H836" t="str">
        <f>IF(ROW(H836)&lt;=Bidding!$D$11,Raw_hydro_bm!I836,"")</f>
        <v/>
      </c>
      <c r="I836" s="16" t="str">
        <f t="shared" si="13"/>
        <v/>
      </c>
    </row>
    <row r="837" spans="1:9" x14ac:dyDescent="0.3">
      <c r="A837" t="str">
        <f>IF(ROW(A837)&lt;=Bidding!$D$11,Raw_hydro_bm!B837,"")</f>
        <v/>
      </c>
      <c r="B837" t="str">
        <f>IF(ROW(B837)&lt;=Bidding!$D$11,Raw_hydro_bm!C837,"")</f>
        <v/>
      </c>
      <c r="C837" t="str">
        <f>IF(ROW(C837)&lt;=Bidding!$D$11,Raw_hydro_bm!D837,"")</f>
        <v/>
      </c>
      <c r="D837" t="str">
        <f>IF(ROW(D837)&lt;=Bidding!$D$11,Raw_hydro_bm!E837,"")</f>
        <v/>
      </c>
      <c r="E837" t="str">
        <f>IF(ROW(E837)&lt;=Bidding!$D$11,Raw_hydro_bm!F837,"")</f>
        <v/>
      </c>
      <c r="F837" t="str">
        <f>IF(ROW(F837)&lt;=Bidding!$D$11,Raw_hydro_bm!G837,"")</f>
        <v/>
      </c>
      <c r="G837" t="str">
        <f>IF(ROW(G837)&lt;=Bidding!$D$11,Raw_hydro_bm!H837,"")</f>
        <v/>
      </c>
      <c r="H837" t="str">
        <f>IF(ROW(H837)&lt;=Bidding!$D$11,Raw_hydro_bm!I837,"")</f>
        <v/>
      </c>
      <c r="I837" s="16" t="str">
        <f t="shared" si="13"/>
        <v/>
      </c>
    </row>
    <row r="838" spans="1:9" x14ac:dyDescent="0.3">
      <c r="A838" t="str">
        <f>IF(ROW(A838)&lt;=Bidding!$D$11,Raw_hydro_bm!B838,"")</f>
        <v/>
      </c>
      <c r="B838" t="str">
        <f>IF(ROW(B838)&lt;=Bidding!$D$11,Raw_hydro_bm!C838,"")</f>
        <v/>
      </c>
      <c r="C838" t="str">
        <f>IF(ROW(C838)&lt;=Bidding!$D$11,Raw_hydro_bm!D838,"")</f>
        <v/>
      </c>
      <c r="D838" t="str">
        <f>IF(ROW(D838)&lt;=Bidding!$D$11,Raw_hydro_bm!E838,"")</f>
        <v/>
      </c>
      <c r="E838" t="str">
        <f>IF(ROW(E838)&lt;=Bidding!$D$11,Raw_hydro_bm!F838,"")</f>
        <v/>
      </c>
      <c r="F838" t="str">
        <f>IF(ROW(F838)&lt;=Bidding!$D$11,Raw_hydro_bm!G838,"")</f>
        <v/>
      </c>
      <c r="G838" t="str">
        <f>IF(ROW(G838)&lt;=Bidding!$D$11,Raw_hydro_bm!H838,"")</f>
        <v/>
      </c>
      <c r="H838" t="str">
        <f>IF(ROW(H838)&lt;=Bidding!$D$11,Raw_hydro_bm!I838,"")</f>
        <v/>
      </c>
      <c r="I838" s="16" t="str">
        <f t="shared" si="13"/>
        <v/>
      </c>
    </row>
    <row r="839" spans="1:9" x14ac:dyDescent="0.3">
      <c r="A839" t="str">
        <f>IF(ROW(A839)&lt;=Bidding!$D$11,Raw_hydro_bm!B839,"")</f>
        <v/>
      </c>
      <c r="B839" t="str">
        <f>IF(ROW(B839)&lt;=Bidding!$D$11,Raw_hydro_bm!C839,"")</f>
        <v/>
      </c>
      <c r="C839" t="str">
        <f>IF(ROW(C839)&lt;=Bidding!$D$11,Raw_hydro_bm!D839,"")</f>
        <v/>
      </c>
      <c r="D839" t="str">
        <f>IF(ROW(D839)&lt;=Bidding!$D$11,Raw_hydro_bm!E839,"")</f>
        <v/>
      </c>
      <c r="E839" t="str">
        <f>IF(ROW(E839)&lt;=Bidding!$D$11,Raw_hydro_bm!F839,"")</f>
        <v/>
      </c>
      <c r="F839" t="str">
        <f>IF(ROW(F839)&lt;=Bidding!$D$11,Raw_hydro_bm!G839,"")</f>
        <v/>
      </c>
      <c r="G839" t="str">
        <f>IF(ROW(G839)&lt;=Bidding!$D$11,Raw_hydro_bm!H839,"")</f>
        <v/>
      </c>
      <c r="H839" t="str">
        <f>IF(ROW(H839)&lt;=Bidding!$D$11,Raw_hydro_bm!I839,"")</f>
        <v/>
      </c>
      <c r="I839" s="16" t="str">
        <f t="shared" si="13"/>
        <v/>
      </c>
    </row>
    <row r="840" spans="1:9" x14ac:dyDescent="0.3">
      <c r="A840" t="str">
        <f>IF(ROW(A840)&lt;=Bidding!$D$11,Raw_hydro_bm!B840,"")</f>
        <v/>
      </c>
      <c r="B840" t="str">
        <f>IF(ROW(B840)&lt;=Bidding!$D$11,Raw_hydro_bm!C840,"")</f>
        <v/>
      </c>
      <c r="C840" t="str">
        <f>IF(ROW(C840)&lt;=Bidding!$D$11,Raw_hydro_bm!D840,"")</f>
        <v/>
      </c>
      <c r="D840" t="str">
        <f>IF(ROW(D840)&lt;=Bidding!$D$11,Raw_hydro_bm!E840,"")</f>
        <v/>
      </c>
      <c r="E840" t="str">
        <f>IF(ROW(E840)&lt;=Bidding!$D$11,Raw_hydro_bm!F840,"")</f>
        <v/>
      </c>
      <c r="F840" t="str">
        <f>IF(ROW(F840)&lt;=Bidding!$D$11,Raw_hydro_bm!G840,"")</f>
        <v/>
      </c>
      <c r="G840" t="str">
        <f>IF(ROW(G840)&lt;=Bidding!$D$11,Raw_hydro_bm!H840,"")</f>
        <v/>
      </c>
      <c r="H840" t="str">
        <f>IF(ROW(H840)&lt;=Bidding!$D$11,Raw_hydro_bm!I840,"")</f>
        <v/>
      </c>
      <c r="I840" s="16" t="str">
        <f t="shared" si="13"/>
        <v/>
      </c>
    </row>
    <row r="841" spans="1:9" x14ac:dyDescent="0.3">
      <c r="A841" t="str">
        <f>IF(ROW(A841)&lt;=Bidding!$D$11,Raw_hydro_bm!B841,"")</f>
        <v/>
      </c>
      <c r="B841" t="str">
        <f>IF(ROW(B841)&lt;=Bidding!$D$11,Raw_hydro_bm!C841,"")</f>
        <v/>
      </c>
      <c r="C841" t="str">
        <f>IF(ROW(C841)&lt;=Bidding!$D$11,Raw_hydro_bm!D841,"")</f>
        <v/>
      </c>
      <c r="D841" t="str">
        <f>IF(ROW(D841)&lt;=Bidding!$D$11,Raw_hydro_bm!E841,"")</f>
        <v/>
      </c>
      <c r="E841" t="str">
        <f>IF(ROW(E841)&lt;=Bidding!$D$11,Raw_hydro_bm!F841,"")</f>
        <v/>
      </c>
      <c r="F841" t="str">
        <f>IF(ROW(F841)&lt;=Bidding!$D$11,Raw_hydro_bm!G841,"")</f>
        <v/>
      </c>
      <c r="G841" t="str">
        <f>IF(ROW(G841)&lt;=Bidding!$D$11,Raw_hydro_bm!H841,"")</f>
        <v/>
      </c>
      <c r="H841" t="str">
        <f>IF(ROW(H841)&lt;=Bidding!$D$11,Raw_hydro_bm!I841,"")</f>
        <v/>
      </c>
      <c r="I841" s="16" t="str">
        <f t="shared" si="13"/>
        <v/>
      </c>
    </row>
    <row r="842" spans="1:9" x14ac:dyDescent="0.3">
      <c r="A842" t="str">
        <f>IF(ROW(A842)&lt;=Bidding!$D$11,Raw_hydro_bm!B842,"")</f>
        <v/>
      </c>
      <c r="B842" t="str">
        <f>IF(ROW(B842)&lt;=Bidding!$D$11,Raw_hydro_bm!C842,"")</f>
        <v/>
      </c>
      <c r="C842" t="str">
        <f>IF(ROW(C842)&lt;=Bidding!$D$11,Raw_hydro_bm!D842,"")</f>
        <v/>
      </c>
      <c r="D842" t="str">
        <f>IF(ROW(D842)&lt;=Bidding!$D$11,Raw_hydro_bm!E842,"")</f>
        <v/>
      </c>
      <c r="E842" t="str">
        <f>IF(ROW(E842)&lt;=Bidding!$D$11,Raw_hydro_bm!F842,"")</f>
        <v/>
      </c>
      <c r="F842" t="str">
        <f>IF(ROW(F842)&lt;=Bidding!$D$11,Raw_hydro_bm!G842,"")</f>
        <v/>
      </c>
      <c r="G842" t="str">
        <f>IF(ROW(G842)&lt;=Bidding!$D$11,Raw_hydro_bm!H842,"")</f>
        <v/>
      </c>
      <c r="H842" t="str">
        <f>IF(ROW(H842)&lt;=Bidding!$D$11,Raw_hydro_bm!I842,"")</f>
        <v/>
      </c>
      <c r="I842" s="16" t="str">
        <f t="shared" si="13"/>
        <v/>
      </c>
    </row>
    <row r="843" spans="1:9" x14ac:dyDescent="0.3">
      <c r="A843" t="str">
        <f>IF(ROW(A843)&lt;=Bidding!$D$11,Raw_hydro_bm!B843,"")</f>
        <v/>
      </c>
      <c r="B843" t="str">
        <f>IF(ROW(B843)&lt;=Bidding!$D$11,Raw_hydro_bm!C843,"")</f>
        <v/>
      </c>
      <c r="C843" t="str">
        <f>IF(ROW(C843)&lt;=Bidding!$D$11,Raw_hydro_bm!D843,"")</f>
        <v/>
      </c>
      <c r="D843" t="str">
        <f>IF(ROW(D843)&lt;=Bidding!$D$11,Raw_hydro_bm!E843,"")</f>
        <v/>
      </c>
      <c r="E843" t="str">
        <f>IF(ROW(E843)&lt;=Bidding!$D$11,Raw_hydro_bm!F843,"")</f>
        <v/>
      </c>
      <c r="F843" t="str">
        <f>IF(ROW(F843)&lt;=Bidding!$D$11,Raw_hydro_bm!G843,"")</f>
        <v/>
      </c>
      <c r="G843" t="str">
        <f>IF(ROW(G843)&lt;=Bidding!$D$11,Raw_hydro_bm!H843,"")</f>
        <v/>
      </c>
      <c r="H843" t="str">
        <f>IF(ROW(H843)&lt;=Bidding!$D$11,Raw_hydro_bm!I843,"")</f>
        <v/>
      </c>
      <c r="I843" s="16" t="str">
        <f t="shared" si="13"/>
        <v/>
      </c>
    </row>
    <row r="844" spans="1:9" x14ac:dyDescent="0.3">
      <c r="A844" t="str">
        <f>IF(ROW(A844)&lt;=Bidding!$D$11,Raw_hydro_bm!B844,"")</f>
        <v/>
      </c>
      <c r="B844" t="str">
        <f>IF(ROW(B844)&lt;=Bidding!$D$11,Raw_hydro_bm!C844,"")</f>
        <v/>
      </c>
      <c r="C844" t="str">
        <f>IF(ROW(C844)&lt;=Bidding!$D$11,Raw_hydro_bm!D844,"")</f>
        <v/>
      </c>
      <c r="D844" t="str">
        <f>IF(ROW(D844)&lt;=Bidding!$D$11,Raw_hydro_bm!E844,"")</f>
        <v/>
      </c>
      <c r="E844" t="str">
        <f>IF(ROW(E844)&lt;=Bidding!$D$11,Raw_hydro_bm!F844,"")</f>
        <v/>
      </c>
      <c r="F844" t="str">
        <f>IF(ROW(F844)&lt;=Bidding!$D$11,Raw_hydro_bm!G844,"")</f>
        <v/>
      </c>
      <c r="G844" t="str">
        <f>IF(ROW(G844)&lt;=Bidding!$D$11,Raw_hydro_bm!H844,"")</f>
        <v/>
      </c>
      <c r="H844" t="str">
        <f>IF(ROW(H844)&lt;=Bidding!$D$11,Raw_hydro_bm!I844,"")</f>
        <v/>
      </c>
      <c r="I844" s="16" t="str">
        <f t="shared" si="13"/>
        <v/>
      </c>
    </row>
    <row r="845" spans="1:9" x14ac:dyDescent="0.3">
      <c r="A845" t="str">
        <f>IF(ROW(A845)&lt;=Bidding!$D$11,Raw_hydro_bm!B845,"")</f>
        <v/>
      </c>
      <c r="B845" t="str">
        <f>IF(ROW(B845)&lt;=Bidding!$D$11,Raw_hydro_bm!C845,"")</f>
        <v/>
      </c>
      <c r="C845" t="str">
        <f>IF(ROW(C845)&lt;=Bidding!$D$11,Raw_hydro_bm!D845,"")</f>
        <v/>
      </c>
      <c r="D845" t="str">
        <f>IF(ROW(D845)&lt;=Bidding!$D$11,Raw_hydro_bm!E845,"")</f>
        <v/>
      </c>
      <c r="E845" t="str">
        <f>IF(ROW(E845)&lt;=Bidding!$D$11,Raw_hydro_bm!F845,"")</f>
        <v/>
      </c>
      <c r="F845" t="str">
        <f>IF(ROW(F845)&lt;=Bidding!$D$11,Raw_hydro_bm!G845,"")</f>
        <v/>
      </c>
      <c r="G845" t="str">
        <f>IF(ROW(G845)&lt;=Bidding!$D$11,Raw_hydro_bm!H845,"")</f>
        <v/>
      </c>
      <c r="H845" t="str">
        <f>IF(ROW(H845)&lt;=Bidding!$D$11,Raw_hydro_bm!I845,"")</f>
        <v/>
      </c>
      <c r="I845" s="16" t="str">
        <f t="shared" si="13"/>
        <v/>
      </c>
    </row>
    <row r="846" spans="1:9" x14ac:dyDescent="0.3">
      <c r="A846" t="str">
        <f>IF(ROW(A846)&lt;=Bidding!$D$11,Raw_hydro_bm!B846,"")</f>
        <v/>
      </c>
      <c r="B846" t="str">
        <f>IF(ROW(B846)&lt;=Bidding!$D$11,Raw_hydro_bm!C846,"")</f>
        <v/>
      </c>
      <c r="C846" t="str">
        <f>IF(ROW(C846)&lt;=Bidding!$D$11,Raw_hydro_bm!D846,"")</f>
        <v/>
      </c>
      <c r="D846" t="str">
        <f>IF(ROW(D846)&lt;=Bidding!$D$11,Raw_hydro_bm!E846,"")</f>
        <v/>
      </c>
      <c r="E846" t="str">
        <f>IF(ROW(E846)&lt;=Bidding!$D$11,Raw_hydro_bm!F846,"")</f>
        <v/>
      </c>
      <c r="F846" t="str">
        <f>IF(ROW(F846)&lt;=Bidding!$D$11,Raw_hydro_bm!G846,"")</f>
        <v/>
      </c>
      <c r="G846" t="str">
        <f>IF(ROW(G846)&lt;=Bidding!$D$11,Raw_hydro_bm!H846,"")</f>
        <v/>
      </c>
      <c r="H846" t="str">
        <f>IF(ROW(H846)&lt;=Bidding!$D$11,Raw_hydro_bm!I846,"")</f>
        <v/>
      </c>
      <c r="I846" s="16" t="str">
        <f t="shared" si="13"/>
        <v/>
      </c>
    </row>
    <row r="847" spans="1:9" x14ac:dyDescent="0.3">
      <c r="A847" t="str">
        <f>IF(ROW(A847)&lt;=Bidding!$D$11,Raw_hydro_bm!B847,"")</f>
        <v/>
      </c>
      <c r="B847" t="str">
        <f>IF(ROW(B847)&lt;=Bidding!$D$11,Raw_hydro_bm!C847,"")</f>
        <v/>
      </c>
      <c r="C847" t="str">
        <f>IF(ROW(C847)&lt;=Bidding!$D$11,Raw_hydro_bm!D847,"")</f>
        <v/>
      </c>
      <c r="D847" t="str">
        <f>IF(ROW(D847)&lt;=Bidding!$D$11,Raw_hydro_bm!E847,"")</f>
        <v/>
      </c>
      <c r="E847" t="str">
        <f>IF(ROW(E847)&lt;=Bidding!$D$11,Raw_hydro_bm!F847,"")</f>
        <v/>
      </c>
      <c r="F847" t="str">
        <f>IF(ROW(F847)&lt;=Bidding!$D$11,Raw_hydro_bm!G847,"")</f>
        <v/>
      </c>
      <c r="G847" t="str">
        <f>IF(ROW(G847)&lt;=Bidding!$D$11,Raw_hydro_bm!H847,"")</f>
        <v/>
      </c>
      <c r="H847" t="str">
        <f>IF(ROW(H847)&lt;=Bidding!$D$11,Raw_hydro_bm!I847,"")</f>
        <v/>
      </c>
      <c r="I847" s="16" t="str">
        <f t="shared" si="13"/>
        <v/>
      </c>
    </row>
    <row r="848" spans="1:9" x14ac:dyDescent="0.3">
      <c r="A848" t="str">
        <f>IF(ROW(A848)&lt;=Bidding!$D$11,Raw_hydro_bm!B848,"")</f>
        <v/>
      </c>
      <c r="B848" t="str">
        <f>IF(ROW(B848)&lt;=Bidding!$D$11,Raw_hydro_bm!C848,"")</f>
        <v/>
      </c>
      <c r="C848" t="str">
        <f>IF(ROW(C848)&lt;=Bidding!$D$11,Raw_hydro_bm!D848,"")</f>
        <v/>
      </c>
      <c r="D848" t="str">
        <f>IF(ROW(D848)&lt;=Bidding!$D$11,Raw_hydro_bm!E848,"")</f>
        <v/>
      </c>
      <c r="E848" t="str">
        <f>IF(ROW(E848)&lt;=Bidding!$D$11,Raw_hydro_bm!F848,"")</f>
        <v/>
      </c>
      <c r="F848" t="str">
        <f>IF(ROW(F848)&lt;=Bidding!$D$11,Raw_hydro_bm!G848,"")</f>
        <v/>
      </c>
      <c r="G848" t="str">
        <f>IF(ROW(G848)&lt;=Bidding!$D$11,Raw_hydro_bm!H848,"")</f>
        <v/>
      </c>
      <c r="H848" t="str">
        <f>IF(ROW(H848)&lt;=Bidding!$D$11,Raw_hydro_bm!I848,"")</f>
        <v/>
      </c>
      <c r="I848" s="16" t="str">
        <f t="shared" si="13"/>
        <v/>
      </c>
    </row>
    <row r="849" spans="1:9" x14ac:dyDescent="0.3">
      <c r="A849" t="str">
        <f>IF(ROW(A849)&lt;=Bidding!$D$11,Raw_hydro_bm!B849,"")</f>
        <v/>
      </c>
      <c r="B849" t="str">
        <f>IF(ROW(B849)&lt;=Bidding!$D$11,Raw_hydro_bm!C849,"")</f>
        <v/>
      </c>
      <c r="C849" t="str">
        <f>IF(ROW(C849)&lt;=Bidding!$D$11,Raw_hydro_bm!D849,"")</f>
        <v/>
      </c>
      <c r="D849" t="str">
        <f>IF(ROW(D849)&lt;=Bidding!$D$11,Raw_hydro_bm!E849,"")</f>
        <v/>
      </c>
      <c r="E849" t="str">
        <f>IF(ROW(E849)&lt;=Bidding!$D$11,Raw_hydro_bm!F849,"")</f>
        <v/>
      </c>
      <c r="F849" t="str">
        <f>IF(ROW(F849)&lt;=Bidding!$D$11,Raw_hydro_bm!G849,"")</f>
        <v/>
      </c>
      <c r="G849" t="str">
        <f>IF(ROW(G849)&lt;=Bidding!$D$11,Raw_hydro_bm!H849,"")</f>
        <v/>
      </c>
      <c r="H849" t="str">
        <f>IF(ROW(H849)&lt;=Bidding!$D$11,Raw_hydro_bm!I849,"")</f>
        <v/>
      </c>
      <c r="I849" s="16" t="str">
        <f t="shared" si="13"/>
        <v/>
      </c>
    </row>
    <row r="850" spans="1:9" x14ac:dyDescent="0.3">
      <c r="A850" t="str">
        <f>IF(ROW(A850)&lt;=Bidding!$D$11,Raw_hydro_bm!B850,"")</f>
        <v/>
      </c>
      <c r="B850" t="str">
        <f>IF(ROW(B850)&lt;=Bidding!$D$11,Raw_hydro_bm!C850,"")</f>
        <v/>
      </c>
      <c r="C850" t="str">
        <f>IF(ROW(C850)&lt;=Bidding!$D$11,Raw_hydro_bm!D850,"")</f>
        <v/>
      </c>
      <c r="D850" t="str">
        <f>IF(ROW(D850)&lt;=Bidding!$D$11,Raw_hydro_bm!E850,"")</f>
        <v/>
      </c>
      <c r="E850" t="str">
        <f>IF(ROW(E850)&lt;=Bidding!$D$11,Raw_hydro_bm!F850,"")</f>
        <v/>
      </c>
      <c r="F850" t="str">
        <f>IF(ROW(F850)&lt;=Bidding!$D$11,Raw_hydro_bm!G850,"")</f>
        <v/>
      </c>
      <c r="G850" t="str">
        <f>IF(ROW(G850)&lt;=Bidding!$D$11,Raw_hydro_bm!H850,"")</f>
        <v/>
      </c>
      <c r="H850" t="str">
        <f>IF(ROW(H850)&lt;=Bidding!$D$11,Raw_hydro_bm!I850,"")</f>
        <v/>
      </c>
      <c r="I850" s="16" t="str">
        <f t="shared" si="13"/>
        <v/>
      </c>
    </row>
    <row r="851" spans="1:9" x14ac:dyDescent="0.3">
      <c r="A851" t="str">
        <f>IF(ROW(A851)&lt;=Bidding!$D$11,Raw_hydro_bm!B851,"")</f>
        <v/>
      </c>
      <c r="B851" t="str">
        <f>IF(ROW(B851)&lt;=Bidding!$D$11,Raw_hydro_bm!C851,"")</f>
        <v/>
      </c>
      <c r="C851" t="str">
        <f>IF(ROW(C851)&lt;=Bidding!$D$11,Raw_hydro_bm!D851,"")</f>
        <v/>
      </c>
      <c r="D851" t="str">
        <f>IF(ROW(D851)&lt;=Bidding!$D$11,Raw_hydro_bm!E851,"")</f>
        <v/>
      </c>
      <c r="E851" t="str">
        <f>IF(ROW(E851)&lt;=Bidding!$D$11,Raw_hydro_bm!F851,"")</f>
        <v/>
      </c>
      <c r="F851" t="str">
        <f>IF(ROW(F851)&lt;=Bidding!$D$11,Raw_hydro_bm!G851,"")</f>
        <v/>
      </c>
      <c r="G851" t="str">
        <f>IF(ROW(G851)&lt;=Bidding!$D$11,Raw_hydro_bm!H851,"")</f>
        <v/>
      </c>
      <c r="H851" t="str">
        <f>IF(ROW(H851)&lt;=Bidding!$D$11,Raw_hydro_bm!I851,"")</f>
        <v/>
      </c>
      <c r="I851" s="16" t="str">
        <f t="shared" si="13"/>
        <v/>
      </c>
    </row>
    <row r="852" spans="1:9" x14ac:dyDescent="0.3">
      <c r="A852" t="str">
        <f>IF(ROW(A852)&lt;=Bidding!$D$11,Raw_hydro_bm!B852,"")</f>
        <v/>
      </c>
      <c r="B852" t="str">
        <f>IF(ROW(B852)&lt;=Bidding!$D$11,Raw_hydro_bm!C852,"")</f>
        <v/>
      </c>
      <c r="C852" t="str">
        <f>IF(ROW(C852)&lt;=Bidding!$D$11,Raw_hydro_bm!D852,"")</f>
        <v/>
      </c>
      <c r="D852" t="str">
        <f>IF(ROW(D852)&lt;=Bidding!$D$11,Raw_hydro_bm!E852,"")</f>
        <v/>
      </c>
      <c r="E852" t="str">
        <f>IF(ROW(E852)&lt;=Bidding!$D$11,Raw_hydro_bm!F852,"")</f>
        <v/>
      </c>
      <c r="F852" t="str">
        <f>IF(ROW(F852)&lt;=Bidding!$D$11,Raw_hydro_bm!G852,"")</f>
        <v/>
      </c>
      <c r="G852" t="str">
        <f>IF(ROW(G852)&lt;=Bidding!$D$11,Raw_hydro_bm!H852,"")</f>
        <v/>
      </c>
      <c r="H852" t="str">
        <f>IF(ROW(H852)&lt;=Bidding!$D$11,Raw_hydro_bm!I852,"")</f>
        <v/>
      </c>
      <c r="I852" s="16" t="str">
        <f t="shared" si="13"/>
        <v/>
      </c>
    </row>
    <row r="853" spans="1:9" x14ac:dyDescent="0.3">
      <c r="A853" t="str">
        <f>IF(ROW(A853)&lt;=Bidding!$D$11,Raw_hydro_bm!B853,"")</f>
        <v/>
      </c>
      <c r="B853" t="str">
        <f>IF(ROW(B853)&lt;=Bidding!$D$11,Raw_hydro_bm!C853,"")</f>
        <v/>
      </c>
      <c r="C853" t="str">
        <f>IF(ROW(C853)&lt;=Bidding!$D$11,Raw_hydro_bm!D853,"")</f>
        <v/>
      </c>
      <c r="D853" t="str">
        <f>IF(ROW(D853)&lt;=Bidding!$D$11,Raw_hydro_bm!E853,"")</f>
        <v/>
      </c>
      <c r="E853" t="str">
        <f>IF(ROW(E853)&lt;=Bidding!$D$11,Raw_hydro_bm!F853,"")</f>
        <v/>
      </c>
      <c r="F853" t="str">
        <f>IF(ROW(F853)&lt;=Bidding!$D$11,Raw_hydro_bm!G853,"")</f>
        <v/>
      </c>
      <c r="G853" t="str">
        <f>IF(ROW(G853)&lt;=Bidding!$D$11,Raw_hydro_bm!H853,"")</f>
        <v/>
      </c>
      <c r="H853" t="str">
        <f>IF(ROW(H853)&lt;=Bidding!$D$11,Raw_hydro_bm!I853,"")</f>
        <v/>
      </c>
      <c r="I853" s="16" t="str">
        <f t="shared" si="13"/>
        <v/>
      </c>
    </row>
    <row r="854" spans="1:9" x14ac:dyDescent="0.3">
      <c r="A854" t="str">
        <f>IF(ROW(A854)&lt;=Bidding!$D$11,Raw_hydro_bm!B854,"")</f>
        <v/>
      </c>
      <c r="B854" t="str">
        <f>IF(ROW(B854)&lt;=Bidding!$D$11,Raw_hydro_bm!C854,"")</f>
        <v/>
      </c>
      <c r="C854" t="str">
        <f>IF(ROW(C854)&lt;=Bidding!$D$11,Raw_hydro_bm!D854,"")</f>
        <v/>
      </c>
      <c r="D854" t="str">
        <f>IF(ROW(D854)&lt;=Bidding!$D$11,Raw_hydro_bm!E854,"")</f>
        <v/>
      </c>
      <c r="E854" t="str">
        <f>IF(ROW(E854)&lt;=Bidding!$D$11,Raw_hydro_bm!F854,"")</f>
        <v/>
      </c>
      <c r="F854" t="str">
        <f>IF(ROW(F854)&lt;=Bidding!$D$11,Raw_hydro_bm!G854,"")</f>
        <v/>
      </c>
      <c r="G854" t="str">
        <f>IF(ROW(G854)&lt;=Bidding!$D$11,Raw_hydro_bm!H854,"")</f>
        <v/>
      </c>
      <c r="H854" t="str">
        <f>IF(ROW(H854)&lt;=Bidding!$D$11,Raw_hydro_bm!I854,"")</f>
        <v/>
      </c>
      <c r="I854" s="16" t="str">
        <f t="shared" si="13"/>
        <v/>
      </c>
    </row>
    <row r="855" spans="1:9" x14ac:dyDescent="0.3">
      <c r="A855" t="str">
        <f>IF(ROW(A855)&lt;=Bidding!$D$11,Raw_hydro_bm!B855,"")</f>
        <v/>
      </c>
      <c r="B855" t="str">
        <f>IF(ROW(B855)&lt;=Bidding!$D$11,Raw_hydro_bm!C855,"")</f>
        <v/>
      </c>
      <c r="C855" t="str">
        <f>IF(ROW(C855)&lt;=Bidding!$D$11,Raw_hydro_bm!D855,"")</f>
        <v/>
      </c>
      <c r="D855" t="str">
        <f>IF(ROW(D855)&lt;=Bidding!$D$11,Raw_hydro_bm!E855,"")</f>
        <v/>
      </c>
      <c r="E855" t="str">
        <f>IF(ROW(E855)&lt;=Bidding!$D$11,Raw_hydro_bm!F855,"")</f>
        <v/>
      </c>
      <c r="F855" t="str">
        <f>IF(ROW(F855)&lt;=Bidding!$D$11,Raw_hydro_bm!G855,"")</f>
        <v/>
      </c>
      <c r="G855" t="str">
        <f>IF(ROW(G855)&lt;=Bidding!$D$11,Raw_hydro_bm!H855,"")</f>
        <v/>
      </c>
      <c r="H855" t="str">
        <f>IF(ROW(H855)&lt;=Bidding!$D$11,Raw_hydro_bm!I855,"")</f>
        <v/>
      </c>
      <c r="I855" s="16" t="str">
        <f t="shared" si="13"/>
        <v/>
      </c>
    </row>
    <row r="856" spans="1:9" x14ac:dyDescent="0.3">
      <c r="A856" t="str">
        <f>IF(ROW(A856)&lt;=Bidding!$D$11,Raw_hydro_bm!B856,"")</f>
        <v/>
      </c>
      <c r="B856" t="str">
        <f>IF(ROW(B856)&lt;=Bidding!$D$11,Raw_hydro_bm!C856,"")</f>
        <v/>
      </c>
      <c r="C856" t="str">
        <f>IF(ROW(C856)&lt;=Bidding!$D$11,Raw_hydro_bm!D856,"")</f>
        <v/>
      </c>
      <c r="D856" t="str">
        <f>IF(ROW(D856)&lt;=Bidding!$D$11,Raw_hydro_bm!E856,"")</f>
        <v/>
      </c>
      <c r="E856" t="str">
        <f>IF(ROW(E856)&lt;=Bidding!$D$11,Raw_hydro_bm!F856,"")</f>
        <v/>
      </c>
      <c r="F856" t="str">
        <f>IF(ROW(F856)&lt;=Bidding!$D$11,Raw_hydro_bm!G856,"")</f>
        <v/>
      </c>
      <c r="G856" t="str">
        <f>IF(ROW(G856)&lt;=Bidding!$D$11,Raw_hydro_bm!H856,"")</f>
        <v/>
      </c>
      <c r="H856" t="str">
        <f>IF(ROW(H856)&lt;=Bidding!$D$11,Raw_hydro_bm!I856,"")</f>
        <v/>
      </c>
      <c r="I856" s="16" t="str">
        <f t="shared" si="13"/>
        <v/>
      </c>
    </row>
    <row r="857" spans="1:9" x14ac:dyDescent="0.3">
      <c r="A857" t="str">
        <f>IF(ROW(A857)&lt;=Bidding!$D$11,Raw_hydro_bm!B857,"")</f>
        <v/>
      </c>
      <c r="B857" t="str">
        <f>IF(ROW(B857)&lt;=Bidding!$D$11,Raw_hydro_bm!C857,"")</f>
        <v/>
      </c>
      <c r="C857" t="str">
        <f>IF(ROW(C857)&lt;=Bidding!$D$11,Raw_hydro_bm!D857,"")</f>
        <v/>
      </c>
      <c r="D857" t="str">
        <f>IF(ROW(D857)&lt;=Bidding!$D$11,Raw_hydro_bm!E857,"")</f>
        <v/>
      </c>
      <c r="E857" t="str">
        <f>IF(ROW(E857)&lt;=Bidding!$D$11,Raw_hydro_bm!F857,"")</f>
        <v/>
      </c>
      <c r="F857" t="str">
        <f>IF(ROW(F857)&lt;=Bidding!$D$11,Raw_hydro_bm!G857,"")</f>
        <v/>
      </c>
      <c r="G857" t="str">
        <f>IF(ROW(G857)&lt;=Bidding!$D$11,Raw_hydro_bm!H857,"")</f>
        <v/>
      </c>
      <c r="H857" t="str">
        <f>IF(ROW(H857)&lt;=Bidding!$D$11,Raw_hydro_bm!I857,"")</f>
        <v/>
      </c>
      <c r="I857" s="16" t="str">
        <f t="shared" si="13"/>
        <v/>
      </c>
    </row>
    <row r="858" spans="1:9" x14ac:dyDescent="0.3">
      <c r="A858" t="str">
        <f>IF(ROW(A858)&lt;=Bidding!$D$11,Raw_hydro_bm!B858,"")</f>
        <v/>
      </c>
      <c r="B858" t="str">
        <f>IF(ROW(B858)&lt;=Bidding!$D$11,Raw_hydro_bm!C858,"")</f>
        <v/>
      </c>
      <c r="C858" t="str">
        <f>IF(ROW(C858)&lt;=Bidding!$D$11,Raw_hydro_bm!D858,"")</f>
        <v/>
      </c>
      <c r="D858" t="str">
        <f>IF(ROW(D858)&lt;=Bidding!$D$11,Raw_hydro_bm!E858,"")</f>
        <v/>
      </c>
      <c r="E858" t="str">
        <f>IF(ROW(E858)&lt;=Bidding!$D$11,Raw_hydro_bm!F858,"")</f>
        <v/>
      </c>
      <c r="F858" t="str">
        <f>IF(ROW(F858)&lt;=Bidding!$D$11,Raw_hydro_bm!G858,"")</f>
        <v/>
      </c>
      <c r="G858" t="str">
        <f>IF(ROW(G858)&lt;=Bidding!$D$11,Raw_hydro_bm!H858,"")</f>
        <v/>
      </c>
      <c r="H858" t="str">
        <f>IF(ROW(H858)&lt;=Bidding!$D$11,Raw_hydro_bm!I858,"")</f>
        <v/>
      </c>
      <c r="I858" s="16" t="str">
        <f t="shared" si="13"/>
        <v/>
      </c>
    </row>
    <row r="859" spans="1:9" x14ac:dyDescent="0.3">
      <c r="A859" t="str">
        <f>IF(ROW(A859)&lt;=Bidding!$D$11,Raw_hydro_bm!B859,"")</f>
        <v/>
      </c>
      <c r="B859" t="str">
        <f>IF(ROW(B859)&lt;=Bidding!$D$11,Raw_hydro_bm!C859,"")</f>
        <v/>
      </c>
      <c r="C859" t="str">
        <f>IF(ROW(C859)&lt;=Bidding!$D$11,Raw_hydro_bm!D859,"")</f>
        <v/>
      </c>
      <c r="D859" t="str">
        <f>IF(ROW(D859)&lt;=Bidding!$D$11,Raw_hydro_bm!E859,"")</f>
        <v/>
      </c>
      <c r="E859" t="str">
        <f>IF(ROW(E859)&lt;=Bidding!$D$11,Raw_hydro_bm!F859,"")</f>
        <v/>
      </c>
      <c r="F859" t="str">
        <f>IF(ROW(F859)&lt;=Bidding!$D$11,Raw_hydro_bm!G859,"")</f>
        <v/>
      </c>
      <c r="G859" t="str">
        <f>IF(ROW(G859)&lt;=Bidding!$D$11,Raw_hydro_bm!H859,"")</f>
        <v/>
      </c>
      <c r="H859" t="str">
        <f>IF(ROW(H859)&lt;=Bidding!$D$11,Raw_hydro_bm!I859,"")</f>
        <v/>
      </c>
      <c r="I859" s="16" t="str">
        <f t="shared" si="13"/>
        <v/>
      </c>
    </row>
    <row r="860" spans="1:9" x14ac:dyDescent="0.3">
      <c r="A860" t="str">
        <f>IF(ROW(A860)&lt;=Bidding!$D$11,Raw_hydro_bm!B860,"")</f>
        <v/>
      </c>
      <c r="B860" t="str">
        <f>IF(ROW(B860)&lt;=Bidding!$D$11,Raw_hydro_bm!C860,"")</f>
        <v/>
      </c>
      <c r="C860" t="str">
        <f>IF(ROW(C860)&lt;=Bidding!$D$11,Raw_hydro_bm!D860,"")</f>
        <v/>
      </c>
      <c r="D860" t="str">
        <f>IF(ROW(D860)&lt;=Bidding!$D$11,Raw_hydro_bm!E860,"")</f>
        <v/>
      </c>
      <c r="E860" t="str">
        <f>IF(ROW(E860)&lt;=Bidding!$D$11,Raw_hydro_bm!F860,"")</f>
        <v/>
      </c>
      <c r="F860" t="str">
        <f>IF(ROW(F860)&lt;=Bidding!$D$11,Raw_hydro_bm!G860,"")</f>
        <v/>
      </c>
      <c r="G860" t="str">
        <f>IF(ROW(G860)&lt;=Bidding!$D$11,Raw_hydro_bm!H860,"")</f>
        <v/>
      </c>
      <c r="H860" t="str">
        <f>IF(ROW(H860)&lt;=Bidding!$D$11,Raw_hydro_bm!I860,"")</f>
        <v/>
      </c>
      <c r="I860" s="16" t="str">
        <f t="shared" si="13"/>
        <v/>
      </c>
    </row>
    <row r="861" spans="1:9" x14ac:dyDescent="0.3">
      <c r="A861" t="str">
        <f>IF(ROW(A861)&lt;=Bidding!$D$11,Raw_hydro_bm!B861,"")</f>
        <v/>
      </c>
      <c r="B861" t="str">
        <f>IF(ROW(B861)&lt;=Bidding!$D$11,Raw_hydro_bm!C861,"")</f>
        <v/>
      </c>
      <c r="C861" t="str">
        <f>IF(ROW(C861)&lt;=Bidding!$D$11,Raw_hydro_bm!D861,"")</f>
        <v/>
      </c>
      <c r="D861" t="str">
        <f>IF(ROW(D861)&lt;=Bidding!$D$11,Raw_hydro_bm!E861,"")</f>
        <v/>
      </c>
      <c r="E861" t="str">
        <f>IF(ROW(E861)&lt;=Bidding!$D$11,Raw_hydro_bm!F861,"")</f>
        <v/>
      </c>
      <c r="F861" t="str">
        <f>IF(ROW(F861)&lt;=Bidding!$D$11,Raw_hydro_bm!G861,"")</f>
        <v/>
      </c>
      <c r="G861" t="str">
        <f>IF(ROW(G861)&lt;=Bidding!$D$11,Raw_hydro_bm!H861,"")</f>
        <v/>
      </c>
      <c r="H861" t="str">
        <f>IF(ROW(H861)&lt;=Bidding!$D$11,Raw_hydro_bm!I861,"")</f>
        <v/>
      </c>
      <c r="I861" s="16" t="str">
        <f t="shared" si="13"/>
        <v/>
      </c>
    </row>
    <row r="862" spans="1:9" x14ac:dyDescent="0.3">
      <c r="A862" t="str">
        <f>IF(ROW(A862)&lt;=Bidding!$D$11,Raw_hydro_bm!B862,"")</f>
        <v/>
      </c>
      <c r="B862" t="str">
        <f>IF(ROW(B862)&lt;=Bidding!$D$11,Raw_hydro_bm!C862,"")</f>
        <v/>
      </c>
      <c r="C862" t="str">
        <f>IF(ROW(C862)&lt;=Bidding!$D$11,Raw_hydro_bm!D862,"")</f>
        <v/>
      </c>
      <c r="D862" t="str">
        <f>IF(ROW(D862)&lt;=Bidding!$D$11,Raw_hydro_bm!E862,"")</f>
        <v/>
      </c>
      <c r="E862" t="str">
        <f>IF(ROW(E862)&lt;=Bidding!$D$11,Raw_hydro_bm!F862,"")</f>
        <v/>
      </c>
      <c r="F862" t="str">
        <f>IF(ROW(F862)&lt;=Bidding!$D$11,Raw_hydro_bm!G862,"")</f>
        <v/>
      </c>
      <c r="G862" t="str">
        <f>IF(ROW(G862)&lt;=Bidding!$D$11,Raw_hydro_bm!H862,"")</f>
        <v/>
      </c>
      <c r="H862" t="str">
        <f>IF(ROW(H862)&lt;=Bidding!$D$11,Raw_hydro_bm!I862,"")</f>
        <v/>
      </c>
      <c r="I862" s="16" t="str">
        <f t="shared" si="13"/>
        <v/>
      </c>
    </row>
    <row r="863" spans="1:9" x14ac:dyDescent="0.3">
      <c r="A863" t="str">
        <f>IF(ROW(A863)&lt;=Bidding!$D$11,Raw_hydro_bm!B863,"")</f>
        <v/>
      </c>
      <c r="B863" t="str">
        <f>IF(ROW(B863)&lt;=Bidding!$D$11,Raw_hydro_bm!C863,"")</f>
        <v/>
      </c>
      <c r="C863" t="str">
        <f>IF(ROW(C863)&lt;=Bidding!$D$11,Raw_hydro_bm!D863,"")</f>
        <v/>
      </c>
      <c r="D863" t="str">
        <f>IF(ROW(D863)&lt;=Bidding!$D$11,Raw_hydro_bm!E863,"")</f>
        <v/>
      </c>
      <c r="E863" t="str">
        <f>IF(ROW(E863)&lt;=Bidding!$D$11,Raw_hydro_bm!F863,"")</f>
        <v/>
      </c>
      <c r="F863" t="str">
        <f>IF(ROW(F863)&lt;=Bidding!$D$11,Raw_hydro_bm!G863,"")</f>
        <v/>
      </c>
      <c r="G863" t="str">
        <f>IF(ROW(G863)&lt;=Bidding!$D$11,Raw_hydro_bm!H863,"")</f>
        <v/>
      </c>
      <c r="H863" t="str">
        <f>IF(ROW(H863)&lt;=Bidding!$D$11,Raw_hydro_bm!I863,"")</f>
        <v/>
      </c>
      <c r="I863" s="16" t="str">
        <f t="shared" si="13"/>
        <v/>
      </c>
    </row>
    <row r="864" spans="1:9" x14ac:dyDescent="0.3">
      <c r="A864" t="str">
        <f>IF(ROW(A864)&lt;=Bidding!$D$11,Raw_hydro_bm!B864,"")</f>
        <v/>
      </c>
      <c r="B864" t="str">
        <f>IF(ROW(B864)&lt;=Bidding!$D$11,Raw_hydro_bm!C864,"")</f>
        <v/>
      </c>
      <c r="C864" t="str">
        <f>IF(ROW(C864)&lt;=Bidding!$D$11,Raw_hydro_bm!D864,"")</f>
        <v/>
      </c>
      <c r="D864" t="str">
        <f>IF(ROW(D864)&lt;=Bidding!$D$11,Raw_hydro_bm!E864,"")</f>
        <v/>
      </c>
      <c r="E864" t="str">
        <f>IF(ROW(E864)&lt;=Bidding!$D$11,Raw_hydro_bm!F864,"")</f>
        <v/>
      </c>
      <c r="F864" t="str">
        <f>IF(ROW(F864)&lt;=Bidding!$D$11,Raw_hydro_bm!G864,"")</f>
        <v/>
      </c>
      <c r="G864" t="str">
        <f>IF(ROW(G864)&lt;=Bidding!$D$11,Raw_hydro_bm!H864,"")</f>
        <v/>
      </c>
      <c r="H864" t="str">
        <f>IF(ROW(H864)&lt;=Bidding!$D$11,Raw_hydro_bm!I864,"")</f>
        <v/>
      </c>
      <c r="I864" s="16" t="str">
        <f t="shared" si="13"/>
        <v/>
      </c>
    </row>
    <row r="865" spans="1:9" x14ac:dyDescent="0.3">
      <c r="A865" t="str">
        <f>IF(ROW(A865)&lt;=Bidding!$D$11,Raw_hydro_bm!B865,"")</f>
        <v/>
      </c>
      <c r="B865" t="str">
        <f>IF(ROW(B865)&lt;=Bidding!$D$11,Raw_hydro_bm!C865,"")</f>
        <v/>
      </c>
      <c r="C865" t="str">
        <f>IF(ROW(C865)&lt;=Bidding!$D$11,Raw_hydro_bm!D865,"")</f>
        <v/>
      </c>
      <c r="D865" t="str">
        <f>IF(ROW(D865)&lt;=Bidding!$D$11,Raw_hydro_bm!E865,"")</f>
        <v/>
      </c>
      <c r="E865" t="str">
        <f>IF(ROW(E865)&lt;=Bidding!$D$11,Raw_hydro_bm!F865,"")</f>
        <v/>
      </c>
      <c r="F865" t="str">
        <f>IF(ROW(F865)&lt;=Bidding!$D$11,Raw_hydro_bm!G865,"")</f>
        <v/>
      </c>
      <c r="G865" t="str">
        <f>IF(ROW(G865)&lt;=Bidding!$D$11,Raw_hydro_bm!H865,"")</f>
        <v/>
      </c>
      <c r="H865" t="str">
        <f>IF(ROW(H865)&lt;=Bidding!$D$11,Raw_hydro_bm!I865,"")</f>
        <v/>
      </c>
      <c r="I865" s="16" t="str">
        <f t="shared" si="13"/>
        <v/>
      </c>
    </row>
    <row r="866" spans="1:9" x14ac:dyDescent="0.3">
      <c r="A866" t="str">
        <f>IF(ROW(A866)&lt;=Bidding!$D$11,Raw_hydro_bm!B866,"")</f>
        <v/>
      </c>
      <c r="B866" t="str">
        <f>IF(ROW(B866)&lt;=Bidding!$D$11,Raw_hydro_bm!C866,"")</f>
        <v/>
      </c>
      <c r="C866" t="str">
        <f>IF(ROW(C866)&lt;=Bidding!$D$11,Raw_hydro_bm!D866,"")</f>
        <v/>
      </c>
      <c r="D866" t="str">
        <f>IF(ROW(D866)&lt;=Bidding!$D$11,Raw_hydro_bm!E866,"")</f>
        <v/>
      </c>
      <c r="E866" t="str">
        <f>IF(ROW(E866)&lt;=Bidding!$D$11,Raw_hydro_bm!F866,"")</f>
        <v/>
      </c>
      <c r="F866" t="str">
        <f>IF(ROW(F866)&lt;=Bidding!$D$11,Raw_hydro_bm!G866,"")</f>
        <v/>
      </c>
      <c r="G866" t="str">
        <f>IF(ROW(G866)&lt;=Bidding!$D$11,Raw_hydro_bm!H866,"")</f>
        <v/>
      </c>
      <c r="H866" t="str">
        <f>IF(ROW(H866)&lt;=Bidding!$D$11,Raw_hydro_bm!I866,"")</f>
        <v/>
      </c>
      <c r="I866" s="16" t="str">
        <f t="shared" si="13"/>
        <v/>
      </c>
    </row>
    <row r="867" spans="1:9" x14ac:dyDescent="0.3">
      <c r="A867" t="str">
        <f>IF(ROW(A867)&lt;=Bidding!$D$11,Raw_hydro_bm!B867,"")</f>
        <v/>
      </c>
      <c r="B867" t="str">
        <f>IF(ROW(B867)&lt;=Bidding!$D$11,Raw_hydro_bm!C867,"")</f>
        <v/>
      </c>
      <c r="C867" t="str">
        <f>IF(ROW(C867)&lt;=Bidding!$D$11,Raw_hydro_bm!D867,"")</f>
        <v/>
      </c>
      <c r="D867" t="str">
        <f>IF(ROW(D867)&lt;=Bidding!$D$11,Raw_hydro_bm!E867,"")</f>
        <v/>
      </c>
      <c r="E867" t="str">
        <f>IF(ROW(E867)&lt;=Bidding!$D$11,Raw_hydro_bm!F867,"")</f>
        <v/>
      </c>
      <c r="F867" t="str">
        <f>IF(ROW(F867)&lt;=Bidding!$D$11,Raw_hydro_bm!G867,"")</f>
        <v/>
      </c>
      <c r="G867" t="str">
        <f>IF(ROW(G867)&lt;=Bidding!$D$11,Raw_hydro_bm!H867,"")</f>
        <v/>
      </c>
      <c r="H867" t="str">
        <f>IF(ROW(H867)&lt;=Bidding!$D$11,Raw_hydro_bm!I867,"")</f>
        <v/>
      </c>
      <c r="I867" s="16" t="str">
        <f t="shared" si="13"/>
        <v/>
      </c>
    </row>
    <row r="868" spans="1:9" x14ac:dyDescent="0.3">
      <c r="A868" t="str">
        <f>IF(ROW(A868)&lt;=Bidding!$D$11,Raw_hydro_bm!B868,"")</f>
        <v/>
      </c>
      <c r="B868" t="str">
        <f>IF(ROW(B868)&lt;=Bidding!$D$11,Raw_hydro_bm!C868,"")</f>
        <v/>
      </c>
      <c r="C868" t="str">
        <f>IF(ROW(C868)&lt;=Bidding!$D$11,Raw_hydro_bm!D868,"")</f>
        <v/>
      </c>
      <c r="D868" t="str">
        <f>IF(ROW(D868)&lt;=Bidding!$D$11,Raw_hydro_bm!E868,"")</f>
        <v/>
      </c>
      <c r="E868" t="str">
        <f>IF(ROW(E868)&lt;=Bidding!$D$11,Raw_hydro_bm!F868,"")</f>
        <v/>
      </c>
      <c r="F868" t="str">
        <f>IF(ROW(F868)&lt;=Bidding!$D$11,Raw_hydro_bm!G868,"")</f>
        <v/>
      </c>
      <c r="G868" t="str">
        <f>IF(ROW(G868)&lt;=Bidding!$D$11,Raw_hydro_bm!H868,"")</f>
        <v/>
      </c>
      <c r="H868" t="str">
        <f>IF(ROW(H868)&lt;=Bidding!$D$11,Raw_hydro_bm!I868,"")</f>
        <v/>
      </c>
      <c r="I868" s="16" t="str">
        <f t="shared" si="13"/>
        <v/>
      </c>
    </row>
    <row r="869" spans="1:9" x14ac:dyDescent="0.3">
      <c r="A869" t="str">
        <f>IF(ROW(A869)&lt;=Bidding!$D$11,Raw_hydro_bm!B869,"")</f>
        <v/>
      </c>
      <c r="B869" t="str">
        <f>IF(ROW(B869)&lt;=Bidding!$D$11,Raw_hydro_bm!C869,"")</f>
        <v/>
      </c>
      <c r="C869" t="str">
        <f>IF(ROW(C869)&lt;=Bidding!$D$11,Raw_hydro_bm!D869,"")</f>
        <v/>
      </c>
      <c r="D869" t="str">
        <f>IF(ROW(D869)&lt;=Bidding!$D$11,Raw_hydro_bm!E869,"")</f>
        <v/>
      </c>
      <c r="E869" t="str">
        <f>IF(ROW(E869)&lt;=Bidding!$D$11,Raw_hydro_bm!F869,"")</f>
        <v/>
      </c>
      <c r="F869" t="str">
        <f>IF(ROW(F869)&lt;=Bidding!$D$11,Raw_hydro_bm!G869,"")</f>
        <v/>
      </c>
      <c r="G869" t="str">
        <f>IF(ROW(G869)&lt;=Bidding!$D$11,Raw_hydro_bm!H869,"")</f>
        <v/>
      </c>
      <c r="H869" t="str">
        <f>IF(ROW(H869)&lt;=Bidding!$D$11,Raw_hydro_bm!I869,"")</f>
        <v/>
      </c>
      <c r="I869" s="16" t="str">
        <f t="shared" si="13"/>
        <v/>
      </c>
    </row>
    <row r="870" spans="1:9" x14ac:dyDescent="0.3">
      <c r="A870" t="str">
        <f>IF(ROW(A870)&lt;=Bidding!$D$11,Raw_hydro_bm!B870,"")</f>
        <v/>
      </c>
      <c r="B870" t="str">
        <f>IF(ROW(B870)&lt;=Bidding!$D$11,Raw_hydro_bm!C870,"")</f>
        <v/>
      </c>
      <c r="C870" t="str">
        <f>IF(ROW(C870)&lt;=Bidding!$D$11,Raw_hydro_bm!D870,"")</f>
        <v/>
      </c>
      <c r="D870" t="str">
        <f>IF(ROW(D870)&lt;=Bidding!$D$11,Raw_hydro_bm!E870,"")</f>
        <v/>
      </c>
      <c r="E870" t="str">
        <f>IF(ROW(E870)&lt;=Bidding!$D$11,Raw_hydro_bm!F870,"")</f>
        <v/>
      </c>
      <c r="F870" t="str">
        <f>IF(ROW(F870)&lt;=Bidding!$D$11,Raw_hydro_bm!G870,"")</f>
        <v/>
      </c>
      <c r="G870" t="str">
        <f>IF(ROW(G870)&lt;=Bidding!$D$11,Raw_hydro_bm!H870,"")</f>
        <v/>
      </c>
      <c r="H870" t="str">
        <f>IF(ROW(H870)&lt;=Bidding!$D$11,Raw_hydro_bm!I870,"")</f>
        <v/>
      </c>
      <c r="I870" s="16" t="str">
        <f t="shared" si="13"/>
        <v/>
      </c>
    </row>
    <row r="871" spans="1:9" x14ac:dyDescent="0.3">
      <c r="A871" t="str">
        <f>IF(ROW(A871)&lt;=Bidding!$D$11,Raw_hydro_bm!B871,"")</f>
        <v/>
      </c>
      <c r="B871" t="str">
        <f>IF(ROW(B871)&lt;=Bidding!$D$11,Raw_hydro_bm!C871,"")</f>
        <v/>
      </c>
      <c r="C871" t="str">
        <f>IF(ROW(C871)&lt;=Bidding!$D$11,Raw_hydro_bm!D871,"")</f>
        <v/>
      </c>
      <c r="D871" t="str">
        <f>IF(ROW(D871)&lt;=Bidding!$D$11,Raw_hydro_bm!E871,"")</f>
        <v/>
      </c>
      <c r="E871" t="str">
        <f>IF(ROW(E871)&lt;=Bidding!$D$11,Raw_hydro_bm!F871,"")</f>
        <v/>
      </c>
      <c r="F871" t="str">
        <f>IF(ROW(F871)&lt;=Bidding!$D$11,Raw_hydro_bm!G871,"")</f>
        <v/>
      </c>
      <c r="G871" t="str">
        <f>IF(ROW(G871)&lt;=Bidding!$D$11,Raw_hydro_bm!H871,"")</f>
        <v/>
      </c>
      <c r="H871" t="str">
        <f>IF(ROW(H871)&lt;=Bidding!$D$11,Raw_hydro_bm!I871,"")</f>
        <v/>
      </c>
      <c r="I871" s="16" t="str">
        <f t="shared" si="13"/>
        <v/>
      </c>
    </row>
    <row r="872" spans="1:9" x14ac:dyDescent="0.3">
      <c r="A872" t="str">
        <f>IF(ROW(A872)&lt;=Bidding!$D$11,Raw_hydro_bm!B872,"")</f>
        <v/>
      </c>
      <c r="B872" t="str">
        <f>IF(ROW(B872)&lt;=Bidding!$D$11,Raw_hydro_bm!C872,"")</f>
        <v/>
      </c>
      <c r="C872" t="str">
        <f>IF(ROW(C872)&lt;=Bidding!$D$11,Raw_hydro_bm!D872,"")</f>
        <v/>
      </c>
      <c r="D872" t="str">
        <f>IF(ROW(D872)&lt;=Bidding!$D$11,Raw_hydro_bm!E872,"")</f>
        <v/>
      </c>
      <c r="E872" t="str">
        <f>IF(ROW(E872)&lt;=Bidding!$D$11,Raw_hydro_bm!F872,"")</f>
        <v/>
      </c>
      <c r="F872" t="str">
        <f>IF(ROW(F872)&lt;=Bidding!$D$11,Raw_hydro_bm!G872,"")</f>
        <v/>
      </c>
      <c r="G872" t="str">
        <f>IF(ROW(G872)&lt;=Bidding!$D$11,Raw_hydro_bm!H872,"")</f>
        <v/>
      </c>
      <c r="H872" t="str">
        <f>IF(ROW(H872)&lt;=Bidding!$D$11,Raw_hydro_bm!I872,"")</f>
        <v/>
      </c>
      <c r="I872" s="16" t="str">
        <f t="shared" si="13"/>
        <v/>
      </c>
    </row>
    <row r="873" spans="1:9" x14ac:dyDescent="0.3">
      <c r="A873" t="str">
        <f>IF(ROW(A873)&lt;=Bidding!$D$11,Raw_hydro_bm!B873,"")</f>
        <v/>
      </c>
      <c r="B873" t="str">
        <f>IF(ROW(B873)&lt;=Bidding!$D$11,Raw_hydro_bm!C873,"")</f>
        <v/>
      </c>
      <c r="C873" t="str">
        <f>IF(ROW(C873)&lt;=Bidding!$D$11,Raw_hydro_bm!D873,"")</f>
        <v/>
      </c>
      <c r="D873" t="str">
        <f>IF(ROW(D873)&lt;=Bidding!$D$11,Raw_hydro_bm!E873,"")</f>
        <v/>
      </c>
      <c r="E873" t="str">
        <f>IF(ROW(E873)&lt;=Bidding!$D$11,Raw_hydro_bm!F873,"")</f>
        <v/>
      </c>
      <c r="F873" t="str">
        <f>IF(ROW(F873)&lt;=Bidding!$D$11,Raw_hydro_bm!G873,"")</f>
        <v/>
      </c>
      <c r="G873" t="str">
        <f>IF(ROW(G873)&lt;=Bidding!$D$11,Raw_hydro_bm!H873,"")</f>
        <v/>
      </c>
      <c r="H873" t="str">
        <f>IF(ROW(H873)&lt;=Bidding!$D$11,Raw_hydro_bm!I873,"")</f>
        <v/>
      </c>
      <c r="I873" s="16" t="str">
        <f t="shared" si="13"/>
        <v/>
      </c>
    </row>
    <row r="874" spans="1:9" x14ac:dyDescent="0.3">
      <c r="A874" t="str">
        <f>IF(ROW(A874)&lt;=Bidding!$D$11,Raw_hydro_bm!B874,"")</f>
        <v/>
      </c>
      <c r="B874" t="str">
        <f>IF(ROW(B874)&lt;=Bidding!$D$11,Raw_hydro_bm!C874,"")</f>
        <v/>
      </c>
      <c r="C874" t="str">
        <f>IF(ROW(C874)&lt;=Bidding!$D$11,Raw_hydro_bm!D874,"")</f>
        <v/>
      </c>
      <c r="D874" t="str">
        <f>IF(ROW(D874)&lt;=Bidding!$D$11,Raw_hydro_bm!E874,"")</f>
        <v/>
      </c>
      <c r="E874" t="str">
        <f>IF(ROW(E874)&lt;=Bidding!$D$11,Raw_hydro_bm!F874,"")</f>
        <v/>
      </c>
      <c r="F874" t="str">
        <f>IF(ROW(F874)&lt;=Bidding!$D$11,Raw_hydro_bm!G874,"")</f>
        <v/>
      </c>
      <c r="G874" t="str">
        <f>IF(ROW(G874)&lt;=Bidding!$D$11,Raw_hydro_bm!H874,"")</f>
        <v/>
      </c>
      <c r="H874" t="str">
        <f>IF(ROW(H874)&lt;=Bidding!$D$11,Raw_hydro_bm!I874,"")</f>
        <v/>
      </c>
      <c r="I874" s="16" t="str">
        <f t="shared" si="13"/>
        <v/>
      </c>
    </row>
    <row r="875" spans="1:9" x14ac:dyDescent="0.3">
      <c r="A875" t="str">
        <f>IF(ROW(A875)&lt;=Bidding!$D$11,Raw_hydro_bm!B875,"")</f>
        <v/>
      </c>
      <c r="B875" t="str">
        <f>IF(ROW(B875)&lt;=Bidding!$D$11,Raw_hydro_bm!C875,"")</f>
        <v/>
      </c>
      <c r="C875" t="str">
        <f>IF(ROW(C875)&lt;=Bidding!$D$11,Raw_hydro_bm!D875,"")</f>
        <v/>
      </c>
      <c r="D875" t="str">
        <f>IF(ROW(D875)&lt;=Bidding!$D$11,Raw_hydro_bm!E875,"")</f>
        <v/>
      </c>
      <c r="E875" t="str">
        <f>IF(ROW(E875)&lt;=Bidding!$D$11,Raw_hydro_bm!F875,"")</f>
        <v/>
      </c>
      <c r="F875" t="str">
        <f>IF(ROW(F875)&lt;=Bidding!$D$11,Raw_hydro_bm!G875,"")</f>
        <v/>
      </c>
      <c r="G875" t="str">
        <f>IF(ROW(G875)&lt;=Bidding!$D$11,Raw_hydro_bm!H875,"")</f>
        <v/>
      </c>
      <c r="H875" t="str">
        <f>IF(ROW(H875)&lt;=Bidding!$D$11,Raw_hydro_bm!I875,"")</f>
        <v/>
      </c>
      <c r="I875" s="16" t="str">
        <f t="shared" si="13"/>
        <v/>
      </c>
    </row>
    <row r="876" spans="1:9" x14ac:dyDescent="0.3">
      <c r="A876" t="str">
        <f>IF(ROW(A876)&lt;=Bidding!$D$11,Raw_hydro_bm!B876,"")</f>
        <v/>
      </c>
      <c r="B876" t="str">
        <f>IF(ROW(B876)&lt;=Bidding!$D$11,Raw_hydro_bm!C876,"")</f>
        <v/>
      </c>
      <c r="C876" t="str">
        <f>IF(ROW(C876)&lt;=Bidding!$D$11,Raw_hydro_bm!D876,"")</f>
        <v/>
      </c>
      <c r="D876" t="str">
        <f>IF(ROW(D876)&lt;=Bidding!$D$11,Raw_hydro_bm!E876,"")</f>
        <v/>
      </c>
      <c r="E876" t="str">
        <f>IF(ROW(E876)&lt;=Bidding!$D$11,Raw_hydro_bm!F876,"")</f>
        <v/>
      </c>
      <c r="F876" t="str">
        <f>IF(ROW(F876)&lt;=Bidding!$D$11,Raw_hydro_bm!G876,"")</f>
        <v/>
      </c>
      <c r="G876" t="str">
        <f>IF(ROW(G876)&lt;=Bidding!$D$11,Raw_hydro_bm!H876,"")</f>
        <v/>
      </c>
      <c r="H876" t="str">
        <f>IF(ROW(H876)&lt;=Bidding!$D$11,Raw_hydro_bm!I876,"")</f>
        <v/>
      </c>
      <c r="I876" s="16" t="str">
        <f t="shared" si="13"/>
        <v/>
      </c>
    </row>
    <row r="877" spans="1:9" x14ac:dyDescent="0.3">
      <c r="A877" t="str">
        <f>IF(ROW(A877)&lt;=Bidding!$D$11,Raw_hydro_bm!B877,"")</f>
        <v/>
      </c>
      <c r="B877" t="str">
        <f>IF(ROW(B877)&lt;=Bidding!$D$11,Raw_hydro_bm!C877,"")</f>
        <v/>
      </c>
      <c r="C877" t="str">
        <f>IF(ROW(C877)&lt;=Bidding!$D$11,Raw_hydro_bm!D877,"")</f>
        <v/>
      </c>
      <c r="D877" t="str">
        <f>IF(ROW(D877)&lt;=Bidding!$D$11,Raw_hydro_bm!E877,"")</f>
        <v/>
      </c>
      <c r="E877" t="str">
        <f>IF(ROW(E877)&lt;=Bidding!$D$11,Raw_hydro_bm!F877,"")</f>
        <v/>
      </c>
      <c r="F877" t="str">
        <f>IF(ROW(F877)&lt;=Bidding!$D$11,Raw_hydro_bm!G877,"")</f>
        <v/>
      </c>
      <c r="G877" t="str">
        <f>IF(ROW(G877)&lt;=Bidding!$D$11,Raw_hydro_bm!H877,"")</f>
        <v/>
      </c>
      <c r="H877" t="str">
        <f>IF(ROW(H877)&lt;=Bidding!$D$11,Raw_hydro_bm!I877,"")</f>
        <v/>
      </c>
      <c r="I877" s="16" t="str">
        <f t="shared" si="13"/>
        <v/>
      </c>
    </row>
    <row r="878" spans="1:9" x14ac:dyDescent="0.3">
      <c r="A878" t="str">
        <f>IF(ROW(A878)&lt;=Bidding!$D$11,Raw_hydro_bm!B878,"")</f>
        <v/>
      </c>
      <c r="B878" t="str">
        <f>IF(ROW(B878)&lt;=Bidding!$D$11,Raw_hydro_bm!C878,"")</f>
        <v/>
      </c>
      <c r="C878" t="str">
        <f>IF(ROW(C878)&lt;=Bidding!$D$11,Raw_hydro_bm!D878,"")</f>
        <v/>
      </c>
      <c r="D878" t="str">
        <f>IF(ROW(D878)&lt;=Bidding!$D$11,Raw_hydro_bm!E878,"")</f>
        <v/>
      </c>
      <c r="E878" t="str">
        <f>IF(ROW(E878)&lt;=Bidding!$D$11,Raw_hydro_bm!F878,"")</f>
        <v/>
      </c>
      <c r="F878" t="str">
        <f>IF(ROW(F878)&lt;=Bidding!$D$11,Raw_hydro_bm!G878,"")</f>
        <v/>
      </c>
      <c r="G878" t="str">
        <f>IF(ROW(G878)&lt;=Bidding!$D$11,Raw_hydro_bm!H878,"")</f>
        <v/>
      </c>
      <c r="H878" t="str">
        <f>IF(ROW(H878)&lt;=Bidding!$D$11,Raw_hydro_bm!I878,"")</f>
        <v/>
      </c>
      <c r="I878" s="16" t="str">
        <f t="shared" si="13"/>
        <v/>
      </c>
    </row>
    <row r="879" spans="1:9" x14ac:dyDescent="0.3">
      <c r="A879" t="str">
        <f>IF(ROW(A879)&lt;=Bidding!$D$11,Raw_hydro_bm!B879,"")</f>
        <v/>
      </c>
      <c r="B879" t="str">
        <f>IF(ROW(B879)&lt;=Bidding!$D$11,Raw_hydro_bm!C879,"")</f>
        <v/>
      </c>
      <c r="C879" t="str">
        <f>IF(ROW(C879)&lt;=Bidding!$D$11,Raw_hydro_bm!D879,"")</f>
        <v/>
      </c>
      <c r="D879" t="str">
        <f>IF(ROW(D879)&lt;=Bidding!$D$11,Raw_hydro_bm!E879,"")</f>
        <v/>
      </c>
      <c r="E879" t="str">
        <f>IF(ROW(E879)&lt;=Bidding!$D$11,Raw_hydro_bm!F879,"")</f>
        <v/>
      </c>
      <c r="F879" t="str">
        <f>IF(ROW(F879)&lt;=Bidding!$D$11,Raw_hydro_bm!G879,"")</f>
        <v/>
      </c>
      <c r="G879" t="str">
        <f>IF(ROW(G879)&lt;=Bidding!$D$11,Raw_hydro_bm!H879,"")</f>
        <v/>
      </c>
      <c r="H879" t="str">
        <f>IF(ROW(H879)&lt;=Bidding!$D$11,Raw_hydro_bm!I879,"")</f>
        <v/>
      </c>
      <c r="I879" s="16" t="str">
        <f t="shared" si="13"/>
        <v/>
      </c>
    </row>
    <row r="880" spans="1:9" x14ac:dyDescent="0.3">
      <c r="A880" t="str">
        <f>IF(ROW(A880)&lt;=Bidding!$D$11,Raw_hydro_bm!B880,"")</f>
        <v/>
      </c>
      <c r="B880" t="str">
        <f>IF(ROW(B880)&lt;=Bidding!$D$11,Raw_hydro_bm!C880,"")</f>
        <v/>
      </c>
      <c r="C880" t="str">
        <f>IF(ROW(C880)&lt;=Bidding!$D$11,Raw_hydro_bm!D880,"")</f>
        <v/>
      </c>
      <c r="D880" t="str">
        <f>IF(ROW(D880)&lt;=Bidding!$D$11,Raw_hydro_bm!E880,"")</f>
        <v/>
      </c>
      <c r="E880" t="str">
        <f>IF(ROW(E880)&lt;=Bidding!$D$11,Raw_hydro_bm!F880,"")</f>
        <v/>
      </c>
      <c r="F880" t="str">
        <f>IF(ROW(F880)&lt;=Bidding!$D$11,Raw_hydro_bm!G880,"")</f>
        <v/>
      </c>
      <c r="G880" t="str">
        <f>IF(ROW(G880)&lt;=Bidding!$D$11,Raw_hydro_bm!H880,"")</f>
        <v/>
      </c>
      <c r="H880" t="str">
        <f>IF(ROW(H880)&lt;=Bidding!$D$11,Raw_hydro_bm!I880,"")</f>
        <v/>
      </c>
      <c r="I880" s="16" t="str">
        <f t="shared" si="13"/>
        <v/>
      </c>
    </row>
    <row r="881" spans="1:9" x14ac:dyDescent="0.3">
      <c r="A881" t="str">
        <f>IF(ROW(A881)&lt;=Bidding!$D$11,Raw_hydro_bm!B881,"")</f>
        <v/>
      </c>
      <c r="B881" t="str">
        <f>IF(ROW(B881)&lt;=Bidding!$D$11,Raw_hydro_bm!C881,"")</f>
        <v/>
      </c>
      <c r="C881" t="str">
        <f>IF(ROW(C881)&lt;=Bidding!$D$11,Raw_hydro_bm!D881,"")</f>
        <v/>
      </c>
      <c r="D881" t="str">
        <f>IF(ROW(D881)&lt;=Bidding!$D$11,Raw_hydro_bm!E881,"")</f>
        <v/>
      </c>
      <c r="E881" t="str">
        <f>IF(ROW(E881)&lt;=Bidding!$D$11,Raw_hydro_bm!F881,"")</f>
        <v/>
      </c>
      <c r="F881" t="str">
        <f>IF(ROW(F881)&lt;=Bidding!$D$11,Raw_hydro_bm!G881,"")</f>
        <v/>
      </c>
      <c r="G881" t="str">
        <f>IF(ROW(G881)&lt;=Bidding!$D$11,Raw_hydro_bm!H881,"")</f>
        <v/>
      </c>
      <c r="H881" t="str">
        <f>IF(ROW(H881)&lt;=Bidding!$D$11,Raw_hydro_bm!I881,"")</f>
        <v/>
      </c>
      <c r="I881" s="16" t="str">
        <f t="shared" si="13"/>
        <v/>
      </c>
    </row>
    <row r="882" spans="1:9" x14ac:dyDescent="0.3">
      <c r="A882" t="str">
        <f>IF(ROW(A882)&lt;=Bidding!$D$11,Raw_hydro_bm!B882,"")</f>
        <v/>
      </c>
      <c r="B882" t="str">
        <f>IF(ROW(B882)&lt;=Bidding!$D$11,Raw_hydro_bm!C882,"")</f>
        <v/>
      </c>
      <c r="C882" t="str">
        <f>IF(ROW(C882)&lt;=Bidding!$D$11,Raw_hydro_bm!D882,"")</f>
        <v/>
      </c>
      <c r="D882" t="str">
        <f>IF(ROW(D882)&lt;=Bidding!$D$11,Raw_hydro_bm!E882,"")</f>
        <v/>
      </c>
      <c r="E882" t="str">
        <f>IF(ROW(E882)&lt;=Bidding!$D$11,Raw_hydro_bm!F882,"")</f>
        <v/>
      </c>
      <c r="F882" t="str">
        <f>IF(ROW(F882)&lt;=Bidding!$D$11,Raw_hydro_bm!G882,"")</f>
        <v/>
      </c>
      <c r="G882" t="str">
        <f>IF(ROW(G882)&lt;=Bidding!$D$11,Raw_hydro_bm!H882,"")</f>
        <v/>
      </c>
      <c r="H882" t="str">
        <f>IF(ROW(H882)&lt;=Bidding!$D$11,Raw_hydro_bm!I882,"")</f>
        <v/>
      </c>
      <c r="I882" s="16" t="str">
        <f t="shared" si="13"/>
        <v/>
      </c>
    </row>
    <row r="883" spans="1:9" x14ac:dyDescent="0.3">
      <c r="A883" t="str">
        <f>IF(ROW(A883)&lt;=Bidding!$D$11,Raw_hydro_bm!B883,"")</f>
        <v/>
      </c>
      <c r="B883" t="str">
        <f>IF(ROW(B883)&lt;=Bidding!$D$11,Raw_hydro_bm!C883,"")</f>
        <v/>
      </c>
      <c r="C883" t="str">
        <f>IF(ROW(C883)&lt;=Bidding!$D$11,Raw_hydro_bm!D883,"")</f>
        <v/>
      </c>
      <c r="D883" t="str">
        <f>IF(ROW(D883)&lt;=Bidding!$D$11,Raw_hydro_bm!E883,"")</f>
        <v/>
      </c>
      <c r="E883" t="str">
        <f>IF(ROW(E883)&lt;=Bidding!$D$11,Raw_hydro_bm!F883,"")</f>
        <v/>
      </c>
      <c r="F883" t="str">
        <f>IF(ROW(F883)&lt;=Bidding!$D$11,Raw_hydro_bm!G883,"")</f>
        <v/>
      </c>
      <c r="G883" t="str">
        <f>IF(ROW(G883)&lt;=Bidding!$D$11,Raw_hydro_bm!H883,"")</f>
        <v/>
      </c>
      <c r="H883" t="str">
        <f>IF(ROW(H883)&lt;=Bidding!$D$11,Raw_hydro_bm!I883,"")</f>
        <v/>
      </c>
      <c r="I883" s="16" t="str">
        <f t="shared" si="13"/>
        <v/>
      </c>
    </row>
    <row r="884" spans="1:9" x14ac:dyDescent="0.3">
      <c r="A884" t="str">
        <f>IF(ROW(A884)&lt;=Bidding!$D$11,Raw_hydro_bm!B884,"")</f>
        <v/>
      </c>
      <c r="B884" t="str">
        <f>IF(ROW(B884)&lt;=Bidding!$D$11,Raw_hydro_bm!C884,"")</f>
        <v/>
      </c>
      <c r="C884" t="str">
        <f>IF(ROW(C884)&lt;=Bidding!$D$11,Raw_hydro_bm!D884,"")</f>
        <v/>
      </c>
      <c r="D884" t="str">
        <f>IF(ROW(D884)&lt;=Bidding!$D$11,Raw_hydro_bm!E884,"")</f>
        <v/>
      </c>
      <c r="E884" t="str">
        <f>IF(ROW(E884)&lt;=Bidding!$D$11,Raw_hydro_bm!F884,"")</f>
        <v/>
      </c>
      <c r="F884" t="str">
        <f>IF(ROW(F884)&lt;=Bidding!$D$11,Raw_hydro_bm!G884,"")</f>
        <v/>
      </c>
      <c r="G884" t="str">
        <f>IF(ROW(G884)&lt;=Bidding!$D$11,Raw_hydro_bm!H884,"")</f>
        <v/>
      </c>
      <c r="H884" t="str">
        <f>IF(ROW(H884)&lt;=Bidding!$D$11,Raw_hydro_bm!I884,"")</f>
        <v/>
      </c>
      <c r="I884" s="16" t="str">
        <f t="shared" si="13"/>
        <v/>
      </c>
    </row>
    <row r="885" spans="1:9" x14ac:dyDescent="0.3">
      <c r="A885" t="str">
        <f>IF(ROW(A885)&lt;=Bidding!$D$11,Raw_hydro_bm!B885,"")</f>
        <v/>
      </c>
      <c r="B885" t="str">
        <f>IF(ROW(B885)&lt;=Bidding!$D$11,Raw_hydro_bm!C885,"")</f>
        <v/>
      </c>
      <c r="C885" t="str">
        <f>IF(ROW(C885)&lt;=Bidding!$D$11,Raw_hydro_bm!D885,"")</f>
        <v/>
      </c>
      <c r="D885" t="str">
        <f>IF(ROW(D885)&lt;=Bidding!$D$11,Raw_hydro_bm!E885,"")</f>
        <v/>
      </c>
      <c r="E885" t="str">
        <f>IF(ROW(E885)&lt;=Bidding!$D$11,Raw_hydro_bm!F885,"")</f>
        <v/>
      </c>
      <c r="F885" t="str">
        <f>IF(ROW(F885)&lt;=Bidding!$D$11,Raw_hydro_bm!G885,"")</f>
        <v/>
      </c>
      <c r="G885" t="str">
        <f>IF(ROW(G885)&lt;=Bidding!$D$11,Raw_hydro_bm!H885,"")</f>
        <v/>
      </c>
      <c r="H885" t="str">
        <f>IF(ROW(H885)&lt;=Bidding!$D$11,Raw_hydro_bm!I885,"")</f>
        <v/>
      </c>
      <c r="I885" s="16" t="str">
        <f t="shared" si="13"/>
        <v/>
      </c>
    </row>
    <row r="886" spans="1:9" x14ac:dyDescent="0.3">
      <c r="A886" t="str">
        <f>IF(ROW(A886)&lt;=Bidding!$D$11,Raw_hydro_bm!B886,"")</f>
        <v/>
      </c>
      <c r="B886" t="str">
        <f>IF(ROW(B886)&lt;=Bidding!$D$11,Raw_hydro_bm!C886,"")</f>
        <v/>
      </c>
      <c r="C886" t="str">
        <f>IF(ROW(C886)&lt;=Bidding!$D$11,Raw_hydro_bm!D886,"")</f>
        <v/>
      </c>
      <c r="D886" t="str">
        <f>IF(ROW(D886)&lt;=Bidding!$D$11,Raw_hydro_bm!E886,"")</f>
        <v/>
      </c>
      <c r="E886" t="str">
        <f>IF(ROW(E886)&lt;=Bidding!$D$11,Raw_hydro_bm!F886,"")</f>
        <v/>
      </c>
      <c r="F886" t="str">
        <f>IF(ROW(F886)&lt;=Bidding!$D$11,Raw_hydro_bm!G886,"")</f>
        <v/>
      </c>
      <c r="G886" t="str">
        <f>IF(ROW(G886)&lt;=Bidding!$D$11,Raw_hydro_bm!H886,"")</f>
        <v/>
      </c>
      <c r="H886" t="str">
        <f>IF(ROW(H886)&lt;=Bidding!$D$11,Raw_hydro_bm!I886,"")</f>
        <v/>
      </c>
      <c r="I886" s="16" t="str">
        <f t="shared" si="13"/>
        <v/>
      </c>
    </row>
    <row r="887" spans="1:9" x14ac:dyDescent="0.3">
      <c r="A887" t="str">
        <f>IF(ROW(A887)&lt;=Bidding!$D$11,Raw_hydro_bm!B887,"")</f>
        <v/>
      </c>
      <c r="B887" t="str">
        <f>IF(ROW(B887)&lt;=Bidding!$D$11,Raw_hydro_bm!C887,"")</f>
        <v/>
      </c>
      <c r="C887" t="str">
        <f>IF(ROW(C887)&lt;=Bidding!$D$11,Raw_hydro_bm!D887,"")</f>
        <v/>
      </c>
      <c r="D887" t="str">
        <f>IF(ROW(D887)&lt;=Bidding!$D$11,Raw_hydro_bm!E887,"")</f>
        <v/>
      </c>
      <c r="E887" t="str">
        <f>IF(ROW(E887)&lt;=Bidding!$D$11,Raw_hydro_bm!F887,"")</f>
        <v/>
      </c>
      <c r="F887" t="str">
        <f>IF(ROW(F887)&lt;=Bidding!$D$11,Raw_hydro_bm!G887,"")</f>
        <v/>
      </c>
      <c r="G887" t="str">
        <f>IF(ROW(G887)&lt;=Bidding!$D$11,Raw_hydro_bm!H887,"")</f>
        <v/>
      </c>
      <c r="H887" t="str">
        <f>IF(ROW(H887)&lt;=Bidding!$D$11,Raw_hydro_bm!I887,"")</f>
        <v/>
      </c>
      <c r="I887" s="16" t="str">
        <f t="shared" si="13"/>
        <v/>
      </c>
    </row>
    <row r="888" spans="1:9" x14ac:dyDescent="0.3">
      <c r="A888" t="str">
        <f>IF(ROW(A888)&lt;=Bidding!$D$11,Raw_hydro_bm!B888,"")</f>
        <v/>
      </c>
      <c r="B888" t="str">
        <f>IF(ROW(B888)&lt;=Bidding!$D$11,Raw_hydro_bm!C888,"")</f>
        <v/>
      </c>
      <c r="C888" t="str">
        <f>IF(ROW(C888)&lt;=Bidding!$D$11,Raw_hydro_bm!D888,"")</f>
        <v/>
      </c>
      <c r="D888" t="str">
        <f>IF(ROW(D888)&lt;=Bidding!$D$11,Raw_hydro_bm!E888,"")</f>
        <v/>
      </c>
      <c r="E888" t="str">
        <f>IF(ROW(E888)&lt;=Bidding!$D$11,Raw_hydro_bm!F888,"")</f>
        <v/>
      </c>
      <c r="F888" t="str">
        <f>IF(ROW(F888)&lt;=Bidding!$D$11,Raw_hydro_bm!G888,"")</f>
        <v/>
      </c>
      <c r="G888" t="str">
        <f>IF(ROW(G888)&lt;=Bidding!$D$11,Raw_hydro_bm!H888,"")</f>
        <v/>
      </c>
      <c r="H888" t="str">
        <f>IF(ROW(H888)&lt;=Bidding!$D$11,Raw_hydro_bm!I888,"")</f>
        <v/>
      </c>
      <c r="I888" s="16" t="str">
        <f t="shared" si="13"/>
        <v/>
      </c>
    </row>
    <row r="889" spans="1:9" x14ac:dyDescent="0.3">
      <c r="A889" t="str">
        <f>IF(ROW(A889)&lt;=Bidding!$D$11,Raw_hydro_bm!B889,"")</f>
        <v/>
      </c>
      <c r="B889" t="str">
        <f>IF(ROW(B889)&lt;=Bidding!$D$11,Raw_hydro_bm!C889,"")</f>
        <v/>
      </c>
      <c r="C889" t="str">
        <f>IF(ROW(C889)&lt;=Bidding!$D$11,Raw_hydro_bm!D889,"")</f>
        <v/>
      </c>
      <c r="D889" t="str">
        <f>IF(ROW(D889)&lt;=Bidding!$D$11,Raw_hydro_bm!E889,"")</f>
        <v/>
      </c>
      <c r="E889" t="str">
        <f>IF(ROW(E889)&lt;=Bidding!$D$11,Raw_hydro_bm!F889,"")</f>
        <v/>
      </c>
      <c r="F889" t="str">
        <f>IF(ROW(F889)&lt;=Bidding!$D$11,Raw_hydro_bm!G889,"")</f>
        <v/>
      </c>
      <c r="G889" t="str">
        <f>IF(ROW(G889)&lt;=Bidding!$D$11,Raw_hydro_bm!H889,"")</f>
        <v/>
      </c>
      <c r="H889" t="str">
        <f>IF(ROW(H889)&lt;=Bidding!$D$11,Raw_hydro_bm!I889,"")</f>
        <v/>
      </c>
      <c r="I889" s="16" t="str">
        <f t="shared" si="13"/>
        <v/>
      </c>
    </row>
    <row r="890" spans="1:9" x14ac:dyDescent="0.3">
      <c r="A890" t="str">
        <f>IF(ROW(A890)&lt;=Bidding!$D$11,Raw_hydro_bm!B890,"")</f>
        <v/>
      </c>
      <c r="B890" t="str">
        <f>IF(ROW(B890)&lt;=Bidding!$D$11,Raw_hydro_bm!C890,"")</f>
        <v/>
      </c>
      <c r="C890" t="str">
        <f>IF(ROW(C890)&lt;=Bidding!$D$11,Raw_hydro_bm!D890,"")</f>
        <v/>
      </c>
      <c r="D890" t="str">
        <f>IF(ROW(D890)&lt;=Bidding!$D$11,Raw_hydro_bm!E890,"")</f>
        <v/>
      </c>
      <c r="E890" t="str">
        <f>IF(ROW(E890)&lt;=Bidding!$D$11,Raw_hydro_bm!F890,"")</f>
        <v/>
      </c>
      <c r="F890" t="str">
        <f>IF(ROW(F890)&lt;=Bidding!$D$11,Raw_hydro_bm!G890,"")</f>
        <v/>
      </c>
      <c r="G890" t="str">
        <f>IF(ROW(G890)&lt;=Bidding!$D$11,Raw_hydro_bm!H890,"")</f>
        <v/>
      </c>
      <c r="H890" t="str">
        <f>IF(ROW(H890)&lt;=Bidding!$D$11,Raw_hydro_bm!I890,"")</f>
        <v/>
      </c>
      <c r="I890" s="16" t="str">
        <f t="shared" si="13"/>
        <v/>
      </c>
    </row>
    <row r="891" spans="1:9" x14ac:dyDescent="0.3">
      <c r="A891" t="str">
        <f>IF(ROW(A891)&lt;=Bidding!$D$11,Raw_hydro_bm!B891,"")</f>
        <v/>
      </c>
      <c r="B891" t="str">
        <f>IF(ROW(B891)&lt;=Bidding!$D$11,Raw_hydro_bm!C891,"")</f>
        <v/>
      </c>
      <c r="C891" t="str">
        <f>IF(ROW(C891)&lt;=Bidding!$D$11,Raw_hydro_bm!D891,"")</f>
        <v/>
      </c>
      <c r="D891" t="str">
        <f>IF(ROW(D891)&lt;=Bidding!$D$11,Raw_hydro_bm!E891,"")</f>
        <v/>
      </c>
      <c r="E891" t="str">
        <f>IF(ROW(E891)&lt;=Bidding!$D$11,Raw_hydro_bm!F891,"")</f>
        <v/>
      </c>
      <c r="F891" t="str">
        <f>IF(ROW(F891)&lt;=Bidding!$D$11,Raw_hydro_bm!G891,"")</f>
        <v/>
      </c>
      <c r="G891" t="str">
        <f>IF(ROW(G891)&lt;=Bidding!$D$11,Raw_hydro_bm!H891,"")</f>
        <v/>
      </c>
      <c r="H891" t="str">
        <f>IF(ROW(H891)&lt;=Bidding!$D$11,Raw_hydro_bm!I891,"")</f>
        <v/>
      </c>
      <c r="I891" s="16" t="str">
        <f t="shared" si="13"/>
        <v/>
      </c>
    </row>
    <row r="892" spans="1:9" x14ac:dyDescent="0.3">
      <c r="A892" t="str">
        <f>IF(ROW(A892)&lt;=Bidding!$D$11,Raw_hydro_bm!B892,"")</f>
        <v/>
      </c>
      <c r="B892" t="str">
        <f>IF(ROW(B892)&lt;=Bidding!$D$11,Raw_hydro_bm!C892,"")</f>
        <v/>
      </c>
      <c r="C892" t="str">
        <f>IF(ROW(C892)&lt;=Bidding!$D$11,Raw_hydro_bm!D892,"")</f>
        <v/>
      </c>
      <c r="D892" t="str">
        <f>IF(ROW(D892)&lt;=Bidding!$D$11,Raw_hydro_bm!E892,"")</f>
        <v/>
      </c>
      <c r="E892" t="str">
        <f>IF(ROW(E892)&lt;=Bidding!$D$11,Raw_hydro_bm!F892,"")</f>
        <v/>
      </c>
      <c r="F892" t="str">
        <f>IF(ROW(F892)&lt;=Bidding!$D$11,Raw_hydro_bm!G892,"")</f>
        <v/>
      </c>
      <c r="G892" t="str">
        <f>IF(ROW(G892)&lt;=Bidding!$D$11,Raw_hydro_bm!H892,"")</f>
        <v/>
      </c>
      <c r="H892" t="str">
        <f>IF(ROW(H892)&lt;=Bidding!$D$11,Raw_hydro_bm!I892,"")</f>
        <v/>
      </c>
      <c r="I892" s="16" t="str">
        <f t="shared" si="13"/>
        <v/>
      </c>
    </row>
    <row r="893" spans="1:9" x14ac:dyDescent="0.3">
      <c r="A893" t="str">
        <f>IF(ROW(A893)&lt;=Bidding!$D$11,Raw_hydro_bm!B893,"")</f>
        <v/>
      </c>
      <c r="B893" t="str">
        <f>IF(ROW(B893)&lt;=Bidding!$D$11,Raw_hydro_bm!C893,"")</f>
        <v/>
      </c>
      <c r="C893" t="str">
        <f>IF(ROW(C893)&lt;=Bidding!$D$11,Raw_hydro_bm!D893,"")</f>
        <v/>
      </c>
      <c r="D893" t="str">
        <f>IF(ROW(D893)&lt;=Bidding!$D$11,Raw_hydro_bm!E893,"")</f>
        <v/>
      </c>
      <c r="E893" t="str">
        <f>IF(ROW(E893)&lt;=Bidding!$D$11,Raw_hydro_bm!F893,"")</f>
        <v/>
      </c>
      <c r="F893" t="str">
        <f>IF(ROW(F893)&lt;=Bidding!$D$11,Raw_hydro_bm!G893,"")</f>
        <v/>
      </c>
      <c r="G893" t="str">
        <f>IF(ROW(G893)&lt;=Bidding!$D$11,Raw_hydro_bm!H893,"")</f>
        <v/>
      </c>
      <c r="H893" t="str">
        <f>IF(ROW(H893)&lt;=Bidding!$D$11,Raw_hydro_bm!I893,"")</f>
        <v/>
      </c>
      <c r="I893" s="16" t="str">
        <f t="shared" si="13"/>
        <v/>
      </c>
    </row>
    <row r="894" spans="1:9" x14ac:dyDescent="0.3">
      <c r="A894" t="str">
        <f>IF(ROW(A894)&lt;=Bidding!$D$11,Raw_hydro_bm!B894,"")</f>
        <v/>
      </c>
      <c r="B894" t="str">
        <f>IF(ROW(B894)&lt;=Bidding!$D$11,Raw_hydro_bm!C894,"")</f>
        <v/>
      </c>
      <c r="C894" t="str">
        <f>IF(ROW(C894)&lt;=Bidding!$D$11,Raw_hydro_bm!D894,"")</f>
        <v/>
      </c>
      <c r="D894" t="str">
        <f>IF(ROW(D894)&lt;=Bidding!$D$11,Raw_hydro_bm!E894,"")</f>
        <v/>
      </c>
      <c r="E894" t="str">
        <f>IF(ROW(E894)&lt;=Bidding!$D$11,Raw_hydro_bm!F894,"")</f>
        <v/>
      </c>
      <c r="F894" t="str">
        <f>IF(ROW(F894)&lt;=Bidding!$D$11,Raw_hydro_bm!G894,"")</f>
        <v/>
      </c>
      <c r="G894" t="str">
        <f>IF(ROW(G894)&lt;=Bidding!$D$11,Raw_hydro_bm!H894,"")</f>
        <v/>
      </c>
      <c r="H894" t="str">
        <f>IF(ROW(H894)&lt;=Bidding!$D$11,Raw_hydro_bm!I894,"")</f>
        <v/>
      </c>
      <c r="I894" s="16" t="str">
        <f t="shared" si="13"/>
        <v/>
      </c>
    </row>
    <row r="895" spans="1:9" x14ac:dyDescent="0.3">
      <c r="A895" t="str">
        <f>IF(ROW(A895)&lt;=Bidding!$D$11,Raw_hydro_bm!B895,"")</f>
        <v/>
      </c>
      <c r="B895" t="str">
        <f>IF(ROW(B895)&lt;=Bidding!$D$11,Raw_hydro_bm!C895,"")</f>
        <v/>
      </c>
      <c r="C895" t="str">
        <f>IF(ROW(C895)&lt;=Bidding!$D$11,Raw_hydro_bm!D895,"")</f>
        <v/>
      </c>
      <c r="D895" t="str">
        <f>IF(ROW(D895)&lt;=Bidding!$D$11,Raw_hydro_bm!E895,"")</f>
        <v/>
      </c>
      <c r="E895" t="str">
        <f>IF(ROW(E895)&lt;=Bidding!$D$11,Raw_hydro_bm!F895,"")</f>
        <v/>
      </c>
      <c r="F895" t="str">
        <f>IF(ROW(F895)&lt;=Bidding!$D$11,Raw_hydro_bm!G895,"")</f>
        <v/>
      </c>
      <c r="G895" t="str">
        <f>IF(ROW(G895)&lt;=Bidding!$D$11,Raw_hydro_bm!H895,"")</f>
        <v/>
      </c>
      <c r="H895" t="str">
        <f>IF(ROW(H895)&lt;=Bidding!$D$11,Raw_hydro_bm!I895,"")</f>
        <v/>
      </c>
      <c r="I895" s="16" t="str">
        <f t="shared" si="13"/>
        <v/>
      </c>
    </row>
    <row r="896" spans="1:9" x14ac:dyDescent="0.3">
      <c r="A896" t="str">
        <f>IF(ROW(A896)&lt;=Bidding!$D$11,Raw_hydro_bm!B896,"")</f>
        <v/>
      </c>
      <c r="B896" t="str">
        <f>IF(ROW(B896)&lt;=Bidding!$D$11,Raw_hydro_bm!C896,"")</f>
        <v/>
      </c>
      <c r="C896" t="str">
        <f>IF(ROW(C896)&lt;=Bidding!$D$11,Raw_hydro_bm!D896,"")</f>
        <v/>
      </c>
      <c r="D896" t="str">
        <f>IF(ROW(D896)&lt;=Bidding!$D$11,Raw_hydro_bm!E896,"")</f>
        <v/>
      </c>
      <c r="E896" t="str">
        <f>IF(ROW(E896)&lt;=Bidding!$D$11,Raw_hydro_bm!F896,"")</f>
        <v/>
      </c>
      <c r="F896" t="str">
        <f>IF(ROW(F896)&lt;=Bidding!$D$11,Raw_hydro_bm!G896,"")</f>
        <v/>
      </c>
      <c r="G896" t="str">
        <f>IF(ROW(G896)&lt;=Bidding!$D$11,Raw_hydro_bm!H896,"")</f>
        <v/>
      </c>
      <c r="H896" t="str">
        <f>IF(ROW(H896)&lt;=Bidding!$D$11,Raw_hydro_bm!I896,"")</f>
        <v/>
      </c>
      <c r="I896" s="16" t="str">
        <f t="shared" si="13"/>
        <v/>
      </c>
    </row>
    <row r="897" spans="1:9" x14ac:dyDescent="0.3">
      <c r="A897" t="str">
        <f>IF(ROW(A897)&lt;=Bidding!$D$11,Raw_hydro_bm!B897,"")</f>
        <v/>
      </c>
      <c r="B897" t="str">
        <f>IF(ROW(B897)&lt;=Bidding!$D$11,Raw_hydro_bm!C897,"")</f>
        <v/>
      </c>
      <c r="C897" t="str">
        <f>IF(ROW(C897)&lt;=Bidding!$D$11,Raw_hydro_bm!D897,"")</f>
        <v/>
      </c>
      <c r="D897" t="str">
        <f>IF(ROW(D897)&lt;=Bidding!$D$11,Raw_hydro_bm!E897,"")</f>
        <v/>
      </c>
      <c r="E897" t="str">
        <f>IF(ROW(E897)&lt;=Bidding!$D$11,Raw_hydro_bm!F897,"")</f>
        <v/>
      </c>
      <c r="F897" t="str">
        <f>IF(ROW(F897)&lt;=Bidding!$D$11,Raw_hydro_bm!G897,"")</f>
        <v/>
      </c>
      <c r="G897" t="str">
        <f>IF(ROW(G897)&lt;=Bidding!$D$11,Raw_hydro_bm!H897,"")</f>
        <v/>
      </c>
      <c r="H897" t="str">
        <f>IF(ROW(H897)&lt;=Bidding!$D$11,Raw_hydro_bm!I897,"")</f>
        <v/>
      </c>
      <c r="I897" s="16" t="str">
        <f t="shared" si="13"/>
        <v/>
      </c>
    </row>
    <row r="898" spans="1:9" x14ac:dyDescent="0.3">
      <c r="A898" t="str">
        <f>IF(ROW(A898)&lt;=Bidding!$D$11,Raw_hydro_bm!B898,"")</f>
        <v/>
      </c>
      <c r="B898" t="str">
        <f>IF(ROW(B898)&lt;=Bidding!$D$11,Raw_hydro_bm!C898,"")</f>
        <v/>
      </c>
      <c r="C898" t="str">
        <f>IF(ROW(C898)&lt;=Bidding!$D$11,Raw_hydro_bm!D898,"")</f>
        <v/>
      </c>
      <c r="D898" t="str">
        <f>IF(ROW(D898)&lt;=Bidding!$D$11,Raw_hydro_bm!E898,"")</f>
        <v/>
      </c>
      <c r="E898" t="str">
        <f>IF(ROW(E898)&lt;=Bidding!$D$11,Raw_hydro_bm!F898,"")</f>
        <v/>
      </c>
      <c r="F898" t="str">
        <f>IF(ROW(F898)&lt;=Bidding!$D$11,Raw_hydro_bm!G898,"")</f>
        <v/>
      </c>
      <c r="G898" t="str">
        <f>IF(ROW(G898)&lt;=Bidding!$D$11,Raw_hydro_bm!H898,"")</f>
        <v/>
      </c>
      <c r="H898" t="str">
        <f>IF(ROW(H898)&lt;=Bidding!$D$11,Raw_hydro_bm!I898,"")</f>
        <v/>
      </c>
      <c r="I898" s="16" t="str">
        <f t="shared" ref="I898:I961" si="14">IF(IFERROR(FIND("e",H898),-1)&lt;0,IFERROR(_xlfn.NUMBERVALUE(LEFT(H898,FIND(".",H898)-1))+_xlfn.NUMBERVALUE("0,"&amp;RIGHT(H898,LEN(H898)-FIND(".",H898))),""),0)</f>
        <v/>
      </c>
    </row>
    <row r="899" spans="1:9" x14ac:dyDescent="0.3">
      <c r="A899" t="str">
        <f>IF(ROW(A899)&lt;=Bidding!$D$11,Raw_hydro_bm!B899,"")</f>
        <v/>
      </c>
      <c r="B899" t="str">
        <f>IF(ROW(B899)&lt;=Bidding!$D$11,Raw_hydro_bm!C899,"")</f>
        <v/>
      </c>
      <c r="C899" t="str">
        <f>IF(ROW(C899)&lt;=Bidding!$D$11,Raw_hydro_bm!D899,"")</f>
        <v/>
      </c>
      <c r="D899" t="str">
        <f>IF(ROW(D899)&lt;=Bidding!$D$11,Raw_hydro_bm!E899,"")</f>
        <v/>
      </c>
      <c r="E899" t="str">
        <f>IF(ROW(E899)&lt;=Bidding!$D$11,Raw_hydro_bm!F899,"")</f>
        <v/>
      </c>
      <c r="F899" t="str">
        <f>IF(ROW(F899)&lt;=Bidding!$D$11,Raw_hydro_bm!G899,"")</f>
        <v/>
      </c>
      <c r="G899" t="str">
        <f>IF(ROW(G899)&lt;=Bidding!$D$11,Raw_hydro_bm!H899,"")</f>
        <v/>
      </c>
      <c r="H899" t="str">
        <f>IF(ROW(H899)&lt;=Bidding!$D$11,Raw_hydro_bm!I899,"")</f>
        <v/>
      </c>
      <c r="I899" s="16" t="str">
        <f t="shared" si="14"/>
        <v/>
      </c>
    </row>
    <row r="900" spans="1:9" x14ac:dyDescent="0.3">
      <c r="A900" t="str">
        <f>IF(ROW(A900)&lt;=Bidding!$D$11,Raw_hydro_bm!B900,"")</f>
        <v/>
      </c>
      <c r="B900" t="str">
        <f>IF(ROW(B900)&lt;=Bidding!$D$11,Raw_hydro_bm!C900,"")</f>
        <v/>
      </c>
      <c r="C900" t="str">
        <f>IF(ROW(C900)&lt;=Bidding!$D$11,Raw_hydro_bm!D900,"")</f>
        <v/>
      </c>
      <c r="D900" t="str">
        <f>IF(ROW(D900)&lt;=Bidding!$D$11,Raw_hydro_bm!E900,"")</f>
        <v/>
      </c>
      <c r="E900" t="str">
        <f>IF(ROW(E900)&lt;=Bidding!$D$11,Raw_hydro_bm!F900,"")</f>
        <v/>
      </c>
      <c r="F900" t="str">
        <f>IF(ROW(F900)&lt;=Bidding!$D$11,Raw_hydro_bm!G900,"")</f>
        <v/>
      </c>
      <c r="G900" t="str">
        <f>IF(ROW(G900)&lt;=Bidding!$D$11,Raw_hydro_bm!H900,"")</f>
        <v/>
      </c>
      <c r="H900" t="str">
        <f>IF(ROW(H900)&lt;=Bidding!$D$11,Raw_hydro_bm!I900,"")</f>
        <v/>
      </c>
      <c r="I900" s="16" t="str">
        <f t="shared" si="14"/>
        <v/>
      </c>
    </row>
    <row r="901" spans="1:9" x14ac:dyDescent="0.3">
      <c r="A901" t="str">
        <f>IF(ROW(A901)&lt;=Bidding!$D$11,Raw_hydro_bm!B901,"")</f>
        <v/>
      </c>
      <c r="B901" t="str">
        <f>IF(ROW(B901)&lt;=Bidding!$D$11,Raw_hydro_bm!C901,"")</f>
        <v/>
      </c>
      <c r="C901" t="str">
        <f>IF(ROW(C901)&lt;=Bidding!$D$11,Raw_hydro_bm!D901,"")</f>
        <v/>
      </c>
      <c r="D901" t="str">
        <f>IF(ROW(D901)&lt;=Bidding!$D$11,Raw_hydro_bm!E901,"")</f>
        <v/>
      </c>
      <c r="E901" t="str">
        <f>IF(ROW(E901)&lt;=Bidding!$D$11,Raw_hydro_bm!F901,"")</f>
        <v/>
      </c>
      <c r="F901" t="str">
        <f>IF(ROW(F901)&lt;=Bidding!$D$11,Raw_hydro_bm!G901,"")</f>
        <v/>
      </c>
      <c r="G901" t="str">
        <f>IF(ROW(G901)&lt;=Bidding!$D$11,Raw_hydro_bm!H901,"")</f>
        <v/>
      </c>
      <c r="H901" t="str">
        <f>IF(ROW(H901)&lt;=Bidding!$D$11,Raw_hydro_bm!I901,"")</f>
        <v/>
      </c>
      <c r="I901" s="16" t="str">
        <f t="shared" si="14"/>
        <v/>
      </c>
    </row>
    <row r="902" spans="1:9" x14ac:dyDescent="0.3">
      <c r="A902" t="str">
        <f>IF(ROW(A902)&lt;=Bidding!$D$11,Raw_hydro_bm!B902,"")</f>
        <v/>
      </c>
      <c r="B902" t="str">
        <f>IF(ROW(B902)&lt;=Bidding!$D$11,Raw_hydro_bm!C902,"")</f>
        <v/>
      </c>
      <c r="C902" t="str">
        <f>IF(ROW(C902)&lt;=Bidding!$D$11,Raw_hydro_bm!D902,"")</f>
        <v/>
      </c>
      <c r="D902" t="str">
        <f>IF(ROW(D902)&lt;=Bidding!$D$11,Raw_hydro_bm!E902,"")</f>
        <v/>
      </c>
      <c r="E902" t="str">
        <f>IF(ROW(E902)&lt;=Bidding!$D$11,Raw_hydro_bm!F902,"")</f>
        <v/>
      </c>
      <c r="F902" t="str">
        <f>IF(ROW(F902)&lt;=Bidding!$D$11,Raw_hydro_bm!G902,"")</f>
        <v/>
      </c>
      <c r="G902" t="str">
        <f>IF(ROW(G902)&lt;=Bidding!$D$11,Raw_hydro_bm!H902,"")</f>
        <v/>
      </c>
      <c r="H902" t="str">
        <f>IF(ROW(H902)&lt;=Bidding!$D$11,Raw_hydro_bm!I902,"")</f>
        <v/>
      </c>
      <c r="I902" s="16" t="str">
        <f t="shared" si="14"/>
        <v/>
      </c>
    </row>
    <row r="903" spans="1:9" x14ac:dyDescent="0.3">
      <c r="A903" t="str">
        <f>IF(ROW(A903)&lt;=Bidding!$D$11,Raw_hydro_bm!B903,"")</f>
        <v/>
      </c>
      <c r="B903" t="str">
        <f>IF(ROW(B903)&lt;=Bidding!$D$11,Raw_hydro_bm!C903,"")</f>
        <v/>
      </c>
      <c r="C903" t="str">
        <f>IF(ROW(C903)&lt;=Bidding!$D$11,Raw_hydro_bm!D903,"")</f>
        <v/>
      </c>
      <c r="D903" t="str">
        <f>IF(ROW(D903)&lt;=Bidding!$D$11,Raw_hydro_bm!E903,"")</f>
        <v/>
      </c>
      <c r="E903" t="str">
        <f>IF(ROW(E903)&lt;=Bidding!$D$11,Raw_hydro_bm!F903,"")</f>
        <v/>
      </c>
      <c r="F903" t="str">
        <f>IF(ROW(F903)&lt;=Bidding!$D$11,Raw_hydro_bm!G903,"")</f>
        <v/>
      </c>
      <c r="G903" t="str">
        <f>IF(ROW(G903)&lt;=Bidding!$D$11,Raw_hydro_bm!H903,"")</f>
        <v/>
      </c>
      <c r="H903" t="str">
        <f>IF(ROW(H903)&lt;=Bidding!$D$11,Raw_hydro_bm!I903,"")</f>
        <v/>
      </c>
      <c r="I903" s="16" t="str">
        <f t="shared" si="14"/>
        <v/>
      </c>
    </row>
    <row r="904" spans="1:9" x14ac:dyDescent="0.3">
      <c r="A904" t="str">
        <f>IF(ROW(A904)&lt;=Bidding!$D$11,Raw_hydro_bm!B904,"")</f>
        <v/>
      </c>
      <c r="B904" t="str">
        <f>IF(ROW(B904)&lt;=Bidding!$D$11,Raw_hydro_bm!C904,"")</f>
        <v/>
      </c>
      <c r="C904" t="str">
        <f>IF(ROW(C904)&lt;=Bidding!$D$11,Raw_hydro_bm!D904,"")</f>
        <v/>
      </c>
      <c r="D904" t="str">
        <f>IF(ROW(D904)&lt;=Bidding!$D$11,Raw_hydro_bm!E904,"")</f>
        <v/>
      </c>
      <c r="E904" t="str">
        <f>IF(ROW(E904)&lt;=Bidding!$D$11,Raw_hydro_bm!F904,"")</f>
        <v/>
      </c>
      <c r="F904" t="str">
        <f>IF(ROW(F904)&lt;=Bidding!$D$11,Raw_hydro_bm!G904,"")</f>
        <v/>
      </c>
      <c r="G904" t="str">
        <f>IF(ROW(G904)&lt;=Bidding!$D$11,Raw_hydro_bm!H904,"")</f>
        <v/>
      </c>
      <c r="H904" t="str">
        <f>IF(ROW(H904)&lt;=Bidding!$D$11,Raw_hydro_bm!I904,"")</f>
        <v/>
      </c>
      <c r="I904" s="16" t="str">
        <f t="shared" si="14"/>
        <v/>
      </c>
    </row>
    <row r="905" spans="1:9" x14ac:dyDescent="0.3">
      <c r="A905" t="str">
        <f>IF(ROW(A905)&lt;=Bidding!$D$11,Raw_hydro_bm!B905,"")</f>
        <v/>
      </c>
      <c r="B905" t="str">
        <f>IF(ROW(B905)&lt;=Bidding!$D$11,Raw_hydro_bm!C905,"")</f>
        <v/>
      </c>
      <c r="C905" t="str">
        <f>IF(ROW(C905)&lt;=Bidding!$D$11,Raw_hydro_bm!D905,"")</f>
        <v/>
      </c>
      <c r="D905" t="str">
        <f>IF(ROW(D905)&lt;=Bidding!$D$11,Raw_hydro_bm!E905,"")</f>
        <v/>
      </c>
      <c r="E905" t="str">
        <f>IF(ROW(E905)&lt;=Bidding!$D$11,Raw_hydro_bm!F905,"")</f>
        <v/>
      </c>
      <c r="F905" t="str">
        <f>IF(ROW(F905)&lt;=Bidding!$D$11,Raw_hydro_bm!G905,"")</f>
        <v/>
      </c>
      <c r="G905" t="str">
        <f>IF(ROW(G905)&lt;=Bidding!$D$11,Raw_hydro_bm!H905,"")</f>
        <v/>
      </c>
      <c r="H905" t="str">
        <f>IF(ROW(H905)&lt;=Bidding!$D$11,Raw_hydro_bm!I905,"")</f>
        <v/>
      </c>
      <c r="I905" s="16" t="str">
        <f t="shared" si="14"/>
        <v/>
      </c>
    </row>
    <row r="906" spans="1:9" x14ac:dyDescent="0.3">
      <c r="A906" t="str">
        <f>IF(ROW(A906)&lt;=Bidding!$D$11,Raw_hydro_bm!B906,"")</f>
        <v/>
      </c>
      <c r="B906" t="str">
        <f>IF(ROW(B906)&lt;=Bidding!$D$11,Raw_hydro_bm!C906,"")</f>
        <v/>
      </c>
      <c r="C906" t="str">
        <f>IF(ROW(C906)&lt;=Bidding!$D$11,Raw_hydro_bm!D906,"")</f>
        <v/>
      </c>
      <c r="D906" t="str">
        <f>IF(ROW(D906)&lt;=Bidding!$D$11,Raw_hydro_bm!E906,"")</f>
        <v/>
      </c>
      <c r="E906" t="str">
        <f>IF(ROW(E906)&lt;=Bidding!$D$11,Raw_hydro_bm!F906,"")</f>
        <v/>
      </c>
      <c r="F906" t="str">
        <f>IF(ROW(F906)&lt;=Bidding!$D$11,Raw_hydro_bm!G906,"")</f>
        <v/>
      </c>
      <c r="G906" t="str">
        <f>IF(ROW(G906)&lt;=Bidding!$D$11,Raw_hydro_bm!H906,"")</f>
        <v/>
      </c>
      <c r="H906" t="str">
        <f>IF(ROW(H906)&lt;=Bidding!$D$11,Raw_hydro_bm!I906,"")</f>
        <v/>
      </c>
      <c r="I906" s="16" t="str">
        <f t="shared" si="14"/>
        <v/>
      </c>
    </row>
    <row r="907" spans="1:9" x14ac:dyDescent="0.3">
      <c r="A907" t="str">
        <f>IF(ROW(A907)&lt;=Bidding!$D$11,Raw_hydro_bm!B907,"")</f>
        <v/>
      </c>
      <c r="B907" t="str">
        <f>IF(ROW(B907)&lt;=Bidding!$D$11,Raw_hydro_bm!C907,"")</f>
        <v/>
      </c>
      <c r="C907" t="str">
        <f>IF(ROW(C907)&lt;=Bidding!$D$11,Raw_hydro_bm!D907,"")</f>
        <v/>
      </c>
      <c r="D907" t="str">
        <f>IF(ROW(D907)&lt;=Bidding!$D$11,Raw_hydro_bm!E907,"")</f>
        <v/>
      </c>
      <c r="E907" t="str">
        <f>IF(ROW(E907)&lt;=Bidding!$D$11,Raw_hydro_bm!F907,"")</f>
        <v/>
      </c>
      <c r="F907" t="str">
        <f>IF(ROW(F907)&lt;=Bidding!$D$11,Raw_hydro_bm!G907,"")</f>
        <v/>
      </c>
      <c r="G907" t="str">
        <f>IF(ROW(G907)&lt;=Bidding!$D$11,Raw_hydro_bm!H907,"")</f>
        <v/>
      </c>
      <c r="H907" t="str">
        <f>IF(ROW(H907)&lt;=Bidding!$D$11,Raw_hydro_bm!I907,"")</f>
        <v/>
      </c>
      <c r="I907" s="16" t="str">
        <f t="shared" si="14"/>
        <v/>
      </c>
    </row>
    <row r="908" spans="1:9" x14ac:dyDescent="0.3">
      <c r="A908" t="str">
        <f>IF(ROW(A908)&lt;=Bidding!$D$11,Raw_hydro_bm!B908,"")</f>
        <v/>
      </c>
      <c r="B908" t="str">
        <f>IF(ROW(B908)&lt;=Bidding!$D$11,Raw_hydro_bm!C908,"")</f>
        <v/>
      </c>
      <c r="C908" t="str">
        <f>IF(ROW(C908)&lt;=Bidding!$D$11,Raw_hydro_bm!D908,"")</f>
        <v/>
      </c>
      <c r="D908" t="str">
        <f>IF(ROW(D908)&lt;=Bidding!$D$11,Raw_hydro_bm!E908,"")</f>
        <v/>
      </c>
      <c r="E908" t="str">
        <f>IF(ROW(E908)&lt;=Bidding!$D$11,Raw_hydro_bm!F908,"")</f>
        <v/>
      </c>
      <c r="F908" t="str">
        <f>IF(ROW(F908)&lt;=Bidding!$D$11,Raw_hydro_bm!G908,"")</f>
        <v/>
      </c>
      <c r="G908" t="str">
        <f>IF(ROW(G908)&lt;=Bidding!$D$11,Raw_hydro_bm!H908,"")</f>
        <v/>
      </c>
      <c r="H908" t="str">
        <f>IF(ROW(H908)&lt;=Bidding!$D$11,Raw_hydro_bm!I908,"")</f>
        <v/>
      </c>
      <c r="I908" s="16" t="str">
        <f t="shared" si="14"/>
        <v/>
      </c>
    </row>
    <row r="909" spans="1:9" x14ac:dyDescent="0.3">
      <c r="A909" t="str">
        <f>IF(ROW(A909)&lt;=Bidding!$D$11,Raw_hydro_bm!B909,"")</f>
        <v/>
      </c>
      <c r="B909" t="str">
        <f>IF(ROW(B909)&lt;=Bidding!$D$11,Raw_hydro_bm!C909,"")</f>
        <v/>
      </c>
      <c r="C909" t="str">
        <f>IF(ROW(C909)&lt;=Bidding!$D$11,Raw_hydro_bm!D909,"")</f>
        <v/>
      </c>
      <c r="D909" t="str">
        <f>IF(ROW(D909)&lt;=Bidding!$D$11,Raw_hydro_bm!E909,"")</f>
        <v/>
      </c>
      <c r="E909" t="str">
        <f>IF(ROW(E909)&lt;=Bidding!$D$11,Raw_hydro_bm!F909,"")</f>
        <v/>
      </c>
      <c r="F909" t="str">
        <f>IF(ROW(F909)&lt;=Bidding!$D$11,Raw_hydro_bm!G909,"")</f>
        <v/>
      </c>
      <c r="G909" t="str">
        <f>IF(ROW(G909)&lt;=Bidding!$D$11,Raw_hydro_bm!H909,"")</f>
        <v/>
      </c>
      <c r="H909" t="str">
        <f>IF(ROW(H909)&lt;=Bidding!$D$11,Raw_hydro_bm!I909,"")</f>
        <v/>
      </c>
      <c r="I909" s="16" t="str">
        <f t="shared" si="14"/>
        <v/>
      </c>
    </row>
    <row r="910" spans="1:9" x14ac:dyDescent="0.3">
      <c r="A910" t="str">
        <f>IF(ROW(A910)&lt;=Bidding!$D$11,Raw_hydro_bm!B910,"")</f>
        <v/>
      </c>
      <c r="B910" t="str">
        <f>IF(ROW(B910)&lt;=Bidding!$D$11,Raw_hydro_bm!C910,"")</f>
        <v/>
      </c>
      <c r="C910" t="str">
        <f>IF(ROW(C910)&lt;=Bidding!$D$11,Raw_hydro_bm!D910,"")</f>
        <v/>
      </c>
      <c r="D910" t="str">
        <f>IF(ROW(D910)&lt;=Bidding!$D$11,Raw_hydro_bm!E910,"")</f>
        <v/>
      </c>
      <c r="E910" t="str">
        <f>IF(ROW(E910)&lt;=Bidding!$D$11,Raw_hydro_bm!F910,"")</f>
        <v/>
      </c>
      <c r="F910" t="str">
        <f>IF(ROW(F910)&lt;=Bidding!$D$11,Raw_hydro_bm!G910,"")</f>
        <v/>
      </c>
      <c r="G910" t="str">
        <f>IF(ROW(G910)&lt;=Bidding!$D$11,Raw_hydro_bm!H910,"")</f>
        <v/>
      </c>
      <c r="H910" t="str">
        <f>IF(ROW(H910)&lt;=Bidding!$D$11,Raw_hydro_bm!I910,"")</f>
        <v/>
      </c>
      <c r="I910" s="16" t="str">
        <f t="shared" si="14"/>
        <v/>
      </c>
    </row>
    <row r="911" spans="1:9" x14ac:dyDescent="0.3">
      <c r="A911" t="str">
        <f>IF(ROW(A911)&lt;=Bidding!$D$11,Raw_hydro_bm!B911,"")</f>
        <v/>
      </c>
      <c r="B911" t="str">
        <f>IF(ROW(B911)&lt;=Bidding!$D$11,Raw_hydro_bm!C911,"")</f>
        <v/>
      </c>
      <c r="C911" t="str">
        <f>IF(ROW(C911)&lt;=Bidding!$D$11,Raw_hydro_bm!D911,"")</f>
        <v/>
      </c>
      <c r="D911" t="str">
        <f>IF(ROW(D911)&lt;=Bidding!$D$11,Raw_hydro_bm!E911,"")</f>
        <v/>
      </c>
      <c r="E911" t="str">
        <f>IF(ROW(E911)&lt;=Bidding!$D$11,Raw_hydro_bm!F911,"")</f>
        <v/>
      </c>
      <c r="F911" t="str">
        <f>IF(ROW(F911)&lt;=Bidding!$D$11,Raw_hydro_bm!G911,"")</f>
        <v/>
      </c>
      <c r="G911" t="str">
        <f>IF(ROW(G911)&lt;=Bidding!$D$11,Raw_hydro_bm!H911,"")</f>
        <v/>
      </c>
      <c r="H911" t="str">
        <f>IF(ROW(H911)&lt;=Bidding!$D$11,Raw_hydro_bm!I911,"")</f>
        <v/>
      </c>
      <c r="I911" s="16" t="str">
        <f t="shared" si="14"/>
        <v/>
      </c>
    </row>
    <row r="912" spans="1:9" x14ac:dyDescent="0.3">
      <c r="A912" t="str">
        <f>IF(ROW(A912)&lt;=Bidding!$D$11,Raw_hydro_bm!B912,"")</f>
        <v/>
      </c>
      <c r="B912" t="str">
        <f>IF(ROW(B912)&lt;=Bidding!$D$11,Raw_hydro_bm!C912,"")</f>
        <v/>
      </c>
      <c r="C912" t="str">
        <f>IF(ROW(C912)&lt;=Bidding!$D$11,Raw_hydro_bm!D912,"")</f>
        <v/>
      </c>
      <c r="D912" t="str">
        <f>IF(ROW(D912)&lt;=Bidding!$D$11,Raw_hydro_bm!E912,"")</f>
        <v/>
      </c>
      <c r="E912" t="str">
        <f>IF(ROW(E912)&lt;=Bidding!$D$11,Raw_hydro_bm!F912,"")</f>
        <v/>
      </c>
      <c r="F912" t="str">
        <f>IF(ROW(F912)&lt;=Bidding!$D$11,Raw_hydro_bm!G912,"")</f>
        <v/>
      </c>
      <c r="G912" t="str">
        <f>IF(ROW(G912)&lt;=Bidding!$D$11,Raw_hydro_bm!H912,"")</f>
        <v/>
      </c>
      <c r="H912" t="str">
        <f>IF(ROW(H912)&lt;=Bidding!$D$11,Raw_hydro_bm!I912,"")</f>
        <v/>
      </c>
      <c r="I912" s="16" t="str">
        <f t="shared" si="14"/>
        <v/>
      </c>
    </row>
    <row r="913" spans="1:9" x14ac:dyDescent="0.3">
      <c r="A913" t="str">
        <f>IF(ROW(A913)&lt;=Bidding!$D$11,Raw_hydro_bm!B913,"")</f>
        <v/>
      </c>
      <c r="B913" t="str">
        <f>IF(ROW(B913)&lt;=Bidding!$D$11,Raw_hydro_bm!C913,"")</f>
        <v/>
      </c>
      <c r="C913" t="str">
        <f>IF(ROW(C913)&lt;=Bidding!$D$11,Raw_hydro_bm!D913,"")</f>
        <v/>
      </c>
      <c r="D913" t="str">
        <f>IF(ROW(D913)&lt;=Bidding!$D$11,Raw_hydro_bm!E913,"")</f>
        <v/>
      </c>
      <c r="E913" t="str">
        <f>IF(ROW(E913)&lt;=Bidding!$D$11,Raw_hydro_bm!F913,"")</f>
        <v/>
      </c>
      <c r="F913" t="str">
        <f>IF(ROW(F913)&lt;=Bidding!$D$11,Raw_hydro_bm!G913,"")</f>
        <v/>
      </c>
      <c r="G913" t="str">
        <f>IF(ROW(G913)&lt;=Bidding!$D$11,Raw_hydro_bm!H913,"")</f>
        <v/>
      </c>
      <c r="H913" t="str">
        <f>IF(ROW(H913)&lt;=Bidding!$D$11,Raw_hydro_bm!I913,"")</f>
        <v/>
      </c>
      <c r="I913" s="16" t="str">
        <f t="shared" si="14"/>
        <v/>
      </c>
    </row>
    <row r="914" spans="1:9" x14ac:dyDescent="0.3">
      <c r="A914" t="str">
        <f>IF(ROW(A914)&lt;=Bidding!$D$11,Raw_hydro_bm!B914,"")</f>
        <v/>
      </c>
      <c r="B914" t="str">
        <f>IF(ROW(B914)&lt;=Bidding!$D$11,Raw_hydro_bm!C914,"")</f>
        <v/>
      </c>
      <c r="C914" t="str">
        <f>IF(ROW(C914)&lt;=Bidding!$D$11,Raw_hydro_bm!D914,"")</f>
        <v/>
      </c>
      <c r="D914" t="str">
        <f>IF(ROW(D914)&lt;=Bidding!$D$11,Raw_hydro_bm!E914,"")</f>
        <v/>
      </c>
      <c r="E914" t="str">
        <f>IF(ROW(E914)&lt;=Bidding!$D$11,Raw_hydro_bm!F914,"")</f>
        <v/>
      </c>
      <c r="F914" t="str">
        <f>IF(ROW(F914)&lt;=Bidding!$D$11,Raw_hydro_bm!G914,"")</f>
        <v/>
      </c>
      <c r="G914" t="str">
        <f>IF(ROW(G914)&lt;=Bidding!$D$11,Raw_hydro_bm!H914,"")</f>
        <v/>
      </c>
      <c r="H914" t="str">
        <f>IF(ROW(H914)&lt;=Bidding!$D$11,Raw_hydro_bm!I914,"")</f>
        <v/>
      </c>
      <c r="I914" s="16" t="str">
        <f t="shared" si="14"/>
        <v/>
      </c>
    </row>
    <row r="915" spans="1:9" x14ac:dyDescent="0.3">
      <c r="A915" t="str">
        <f>IF(ROW(A915)&lt;=Bidding!$D$11,Raw_hydro_bm!B915,"")</f>
        <v/>
      </c>
      <c r="B915" t="str">
        <f>IF(ROW(B915)&lt;=Bidding!$D$11,Raw_hydro_bm!C915,"")</f>
        <v/>
      </c>
      <c r="C915" t="str">
        <f>IF(ROW(C915)&lt;=Bidding!$D$11,Raw_hydro_bm!D915,"")</f>
        <v/>
      </c>
      <c r="D915" t="str">
        <f>IF(ROW(D915)&lt;=Bidding!$D$11,Raw_hydro_bm!E915,"")</f>
        <v/>
      </c>
      <c r="E915" t="str">
        <f>IF(ROW(E915)&lt;=Bidding!$D$11,Raw_hydro_bm!F915,"")</f>
        <v/>
      </c>
      <c r="F915" t="str">
        <f>IF(ROW(F915)&lt;=Bidding!$D$11,Raw_hydro_bm!G915,"")</f>
        <v/>
      </c>
      <c r="G915" t="str">
        <f>IF(ROW(G915)&lt;=Bidding!$D$11,Raw_hydro_bm!H915,"")</f>
        <v/>
      </c>
      <c r="H915" t="str">
        <f>IF(ROW(H915)&lt;=Bidding!$D$11,Raw_hydro_bm!I915,"")</f>
        <v/>
      </c>
      <c r="I915" s="16" t="str">
        <f t="shared" si="14"/>
        <v/>
      </c>
    </row>
    <row r="916" spans="1:9" x14ac:dyDescent="0.3">
      <c r="A916" t="str">
        <f>IF(ROW(A916)&lt;=Bidding!$D$11,Raw_hydro_bm!B916,"")</f>
        <v/>
      </c>
      <c r="B916" t="str">
        <f>IF(ROW(B916)&lt;=Bidding!$D$11,Raw_hydro_bm!C916,"")</f>
        <v/>
      </c>
      <c r="C916" t="str">
        <f>IF(ROW(C916)&lt;=Bidding!$D$11,Raw_hydro_bm!D916,"")</f>
        <v/>
      </c>
      <c r="D916" t="str">
        <f>IF(ROW(D916)&lt;=Bidding!$D$11,Raw_hydro_bm!E916,"")</f>
        <v/>
      </c>
      <c r="E916" t="str">
        <f>IF(ROW(E916)&lt;=Bidding!$D$11,Raw_hydro_bm!F916,"")</f>
        <v/>
      </c>
      <c r="F916" t="str">
        <f>IF(ROW(F916)&lt;=Bidding!$D$11,Raw_hydro_bm!G916,"")</f>
        <v/>
      </c>
      <c r="G916" t="str">
        <f>IF(ROW(G916)&lt;=Bidding!$D$11,Raw_hydro_bm!H916,"")</f>
        <v/>
      </c>
      <c r="H916" t="str">
        <f>IF(ROW(H916)&lt;=Bidding!$D$11,Raw_hydro_bm!I916,"")</f>
        <v/>
      </c>
      <c r="I916" s="16" t="str">
        <f t="shared" si="14"/>
        <v/>
      </c>
    </row>
    <row r="917" spans="1:9" x14ac:dyDescent="0.3">
      <c r="A917" t="str">
        <f>IF(ROW(A917)&lt;=Bidding!$D$11,Raw_hydro_bm!B917,"")</f>
        <v/>
      </c>
      <c r="B917" t="str">
        <f>IF(ROW(B917)&lt;=Bidding!$D$11,Raw_hydro_bm!C917,"")</f>
        <v/>
      </c>
      <c r="C917" t="str">
        <f>IF(ROW(C917)&lt;=Bidding!$D$11,Raw_hydro_bm!D917,"")</f>
        <v/>
      </c>
      <c r="D917" t="str">
        <f>IF(ROW(D917)&lt;=Bidding!$D$11,Raw_hydro_bm!E917,"")</f>
        <v/>
      </c>
      <c r="E917" t="str">
        <f>IF(ROW(E917)&lt;=Bidding!$D$11,Raw_hydro_bm!F917,"")</f>
        <v/>
      </c>
      <c r="F917" t="str">
        <f>IF(ROW(F917)&lt;=Bidding!$D$11,Raw_hydro_bm!G917,"")</f>
        <v/>
      </c>
      <c r="G917" t="str">
        <f>IF(ROW(G917)&lt;=Bidding!$D$11,Raw_hydro_bm!H917,"")</f>
        <v/>
      </c>
      <c r="H917" t="str">
        <f>IF(ROW(H917)&lt;=Bidding!$D$11,Raw_hydro_bm!I917,"")</f>
        <v/>
      </c>
      <c r="I917" s="16" t="str">
        <f t="shared" si="14"/>
        <v/>
      </c>
    </row>
    <row r="918" spans="1:9" x14ac:dyDescent="0.3">
      <c r="A918" t="str">
        <f>IF(ROW(A918)&lt;=Bidding!$D$11,Raw_hydro_bm!B918,"")</f>
        <v/>
      </c>
      <c r="B918" t="str">
        <f>IF(ROW(B918)&lt;=Bidding!$D$11,Raw_hydro_bm!C918,"")</f>
        <v/>
      </c>
      <c r="C918" t="str">
        <f>IF(ROW(C918)&lt;=Bidding!$D$11,Raw_hydro_bm!D918,"")</f>
        <v/>
      </c>
      <c r="D918" t="str">
        <f>IF(ROW(D918)&lt;=Bidding!$D$11,Raw_hydro_bm!E918,"")</f>
        <v/>
      </c>
      <c r="E918" t="str">
        <f>IF(ROW(E918)&lt;=Bidding!$D$11,Raw_hydro_bm!F918,"")</f>
        <v/>
      </c>
      <c r="F918" t="str">
        <f>IF(ROW(F918)&lt;=Bidding!$D$11,Raw_hydro_bm!G918,"")</f>
        <v/>
      </c>
      <c r="G918" t="str">
        <f>IF(ROW(G918)&lt;=Bidding!$D$11,Raw_hydro_bm!H918,"")</f>
        <v/>
      </c>
      <c r="H918" t="str">
        <f>IF(ROW(H918)&lt;=Bidding!$D$11,Raw_hydro_bm!I918,"")</f>
        <v/>
      </c>
      <c r="I918" s="16" t="str">
        <f t="shared" si="14"/>
        <v/>
      </c>
    </row>
    <row r="919" spans="1:9" x14ac:dyDescent="0.3">
      <c r="A919" t="str">
        <f>IF(ROW(A919)&lt;=Bidding!$D$11,Raw_hydro_bm!B919,"")</f>
        <v/>
      </c>
      <c r="B919" t="str">
        <f>IF(ROW(B919)&lt;=Bidding!$D$11,Raw_hydro_bm!C919,"")</f>
        <v/>
      </c>
      <c r="C919" t="str">
        <f>IF(ROW(C919)&lt;=Bidding!$D$11,Raw_hydro_bm!D919,"")</f>
        <v/>
      </c>
      <c r="D919" t="str">
        <f>IF(ROW(D919)&lt;=Bidding!$D$11,Raw_hydro_bm!E919,"")</f>
        <v/>
      </c>
      <c r="E919" t="str">
        <f>IF(ROW(E919)&lt;=Bidding!$D$11,Raw_hydro_bm!F919,"")</f>
        <v/>
      </c>
      <c r="F919" t="str">
        <f>IF(ROW(F919)&lt;=Bidding!$D$11,Raw_hydro_bm!G919,"")</f>
        <v/>
      </c>
      <c r="G919" t="str">
        <f>IF(ROW(G919)&lt;=Bidding!$D$11,Raw_hydro_bm!H919,"")</f>
        <v/>
      </c>
      <c r="H919" t="str">
        <f>IF(ROW(H919)&lt;=Bidding!$D$11,Raw_hydro_bm!I919,"")</f>
        <v/>
      </c>
      <c r="I919" s="16" t="str">
        <f t="shared" si="14"/>
        <v/>
      </c>
    </row>
    <row r="920" spans="1:9" x14ac:dyDescent="0.3">
      <c r="A920" t="str">
        <f>IF(ROW(A920)&lt;=Bidding!$D$11,Raw_hydro_bm!B920,"")</f>
        <v/>
      </c>
      <c r="B920" t="str">
        <f>IF(ROW(B920)&lt;=Bidding!$D$11,Raw_hydro_bm!C920,"")</f>
        <v/>
      </c>
      <c r="C920" t="str">
        <f>IF(ROW(C920)&lt;=Bidding!$D$11,Raw_hydro_bm!D920,"")</f>
        <v/>
      </c>
      <c r="D920" t="str">
        <f>IF(ROW(D920)&lt;=Bidding!$D$11,Raw_hydro_bm!E920,"")</f>
        <v/>
      </c>
      <c r="E920" t="str">
        <f>IF(ROW(E920)&lt;=Bidding!$D$11,Raw_hydro_bm!F920,"")</f>
        <v/>
      </c>
      <c r="F920" t="str">
        <f>IF(ROW(F920)&lt;=Bidding!$D$11,Raw_hydro_bm!G920,"")</f>
        <v/>
      </c>
      <c r="G920" t="str">
        <f>IF(ROW(G920)&lt;=Bidding!$D$11,Raw_hydro_bm!H920,"")</f>
        <v/>
      </c>
      <c r="H920" t="str">
        <f>IF(ROW(H920)&lt;=Bidding!$D$11,Raw_hydro_bm!I920,"")</f>
        <v/>
      </c>
      <c r="I920" s="16" t="str">
        <f t="shared" si="14"/>
        <v/>
      </c>
    </row>
    <row r="921" spans="1:9" x14ac:dyDescent="0.3">
      <c r="A921" t="str">
        <f>IF(ROW(A921)&lt;=Bidding!$D$11,Raw_hydro_bm!B921,"")</f>
        <v/>
      </c>
      <c r="B921" t="str">
        <f>IF(ROW(B921)&lt;=Bidding!$D$11,Raw_hydro_bm!C921,"")</f>
        <v/>
      </c>
      <c r="C921" t="str">
        <f>IF(ROW(C921)&lt;=Bidding!$D$11,Raw_hydro_bm!D921,"")</f>
        <v/>
      </c>
      <c r="D921" t="str">
        <f>IF(ROW(D921)&lt;=Bidding!$D$11,Raw_hydro_bm!E921,"")</f>
        <v/>
      </c>
      <c r="E921" t="str">
        <f>IF(ROW(E921)&lt;=Bidding!$D$11,Raw_hydro_bm!F921,"")</f>
        <v/>
      </c>
      <c r="F921" t="str">
        <f>IF(ROW(F921)&lt;=Bidding!$D$11,Raw_hydro_bm!G921,"")</f>
        <v/>
      </c>
      <c r="G921" t="str">
        <f>IF(ROW(G921)&lt;=Bidding!$D$11,Raw_hydro_bm!H921,"")</f>
        <v/>
      </c>
      <c r="H921" t="str">
        <f>IF(ROW(H921)&lt;=Bidding!$D$11,Raw_hydro_bm!I921,"")</f>
        <v/>
      </c>
      <c r="I921" s="16" t="str">
        <f t="shared" si="14"/>
        <v/>
      </c>
    </row>
    <row r="922" spans="1:9" x14ac:dyDescent="0.3">
      <c r="A922" t="str">
        <f>IF(ROW(A922)&lt;=Bidding!$D$11,Raw_hydro_bm!B922,"")</f>
        <v/>
      </c>
      <c r="B922" t="str">
        <f>IF(ROW(B922)&lt;=Bidding!$D$11,Raw_hydro_bm!C922,"")</f>
        <v/>
      </c>
      <c r="C922" t="str">
        <f>IF(ROW(C922)&lt;=Bidding!$D$11,Raw_hydro_bm!D922,"")</f>
        <v/>
      </c>
      <c r="D922" t="str">
        <f>IF(ROW(D922)&lt;=Bidding!$D$11,Raw_hydro_bm!E922,"")</f>
        <v/>
      </c>
      <c r="E922" t="str">
        <f>IF(ROW(E922)&lt;=Bidding!$D$11,Raw_hydro_bm!F922,"")</f>
        <v/>
      </c>
      <c r="F922" t="str">
        <f>IF(ROW(F922)&lt;=Bidding!$D$11,Raw_hydro_bm!G922,"")</f>
        <v/>
      </c>
      <c r="G922" t="str">
        <f>IF(ROW(G922)&lt;=Bidding!$D$11,Raw_hydro_bm!H922,"")</f>
        <v/>
      </c>
      <c r="H922" t="str">
        <f>IF(ROW(H922)&lt;=Bidding!$D$11,Raw_hydro_bm!I922,"")</f>
        <v/>
      </c>
      <c r="I922" s="16" t="str">
        <f t="shared" si="14"/>
        <v/>
      </c>
    </row>
    <row r="923" spans="1:9" x14ac:dyDescent="0.3">
      <c r="A923" t="str">
        <f>IF(ROW(A923)&lt;=Bidding!$D$11,Raw_hydro_bm!B923,"")</f>
        <v/>
      </c>
      <c r="B923" t="str">
        <f>IF(ROW(B923)&lt;=Bidding!$D$11,Raw_hydro_bm!C923,"")</f>
        <v/>
      </c>
      <c r="C923" t="str">
        <f>IF(ROW(C923)&lt;=Bidding!$D$11,Raw_hydro_bm!D923,"")</f>
        <v/>
      </c>
      <c r="D923" t="str">
        <f>IF(ROW(D923)&lt;=Bidding!$D$11,Raw_hydro_bm!E923,"")</f>
        <v/>
      </c>
      <c r="E923" t="str">
        <f>IF(ROW(E923)&lt;=Bidding!$D$11,Raw_hydro_bm!F923,"")</f>
        <v/>
      </c>
      <c r="F923" t="str">
        <f>IF(ROW(F923)&lt;=Bidding!$D$11,Raw_hydro_bm!G923,"")</f>
        <v/>
      </c>
      <c r="G923" t="str">
        <f>IF(ROW(G923)&lt;=Bidding!$D$11,Raw_hydro_bm!H923,"")</f>
        <v/>
      </c>
      <c r="H923" t="str">
        <f>IF(ROW(H923)&lt;=Bidding!$D$11,Raw_hydro_bm!I923,"")</f>
        <v/>
      </c>
      <c r="I923" s="16" t="str">
        <f t="shared" si="14"/>
        <v/>
      </c>
    </row>
    <row r="924" spans="1:9" x14ac:dyDescent="0.3">
      <c r="A924" t="str">
        <f>IF(ROW(A924)&lt;=Bidding!$D$11,Raw_hydro_bm!B924,"")</f>
        <v/>
      </c>
      <c r="B924" t="str">
        <f>IF(ROW(B924)&lt;=Bidding!$D$11,Raw_hydro_bm!C924,"")</f>
        <v/>
      </c>
      <c r="C924" t="str">
        <f>IF(ROW(C924)&lt;=Bidding!$D$11,Raw_hydro_bm!D924,"")</f>
        <v/>
      </c>
      <c r="D924" t="str">
        <f>IF(ROW(D924)&lt;=Bidding!$D$11,Raw_hydro_bm!E924,"")</f>
        <v/>
      </c>
      <c r="E924" t="str">
        <f>IF(ROW(E924)&lt;=Bidding!$D$11,Raw_hydro_bm!F924,"")</f>
        <v/>
      </c>
      <c r="F924" t="str">
        <f>IF(ROW(F924)&lt;=Bidding!$D$11,Raw_hydro_bm!G924,"")</f>
        <v/>
      </c>
      <c r="G924" t="str">
        <f>IF(ROW(G924)&lt;=Bidding!$D$11,Raw_hydro_bm!H924,"")</f>
        <v/>
      </c>
      <c r="H924" t="str">
        <f>IF(ROW(H924)&lt;=Bidding!$D$11,Raw_hydro_bm!I924,"")</f>
        <v/>
      </c>
      <c r="I924" s="16" t="str">
        <f t="shared" si="14"/>
        <v/>
      </c>
    </row>
    <row r="925" spans="1:9" x14ac:dyDescent="0.3">
      <c r="A925" t="str">
        <f>IF(ROW(A925)&lt;=Bidding!$D$11,Raw_hydro_bm!B925,"")</f>
        <v/>
      </c>
      <c r="B925" t="str">
        <f>IF(ROW(B925)&lt;=Bidding!$D$11,Raw_hydro_bm!C925,"")</f>
        <v/>
      </c>
      <c r="C925" t="str">
        <f>IF(ROW(C925)&lt;=Bidding!$D$11,Raw_hydro_bm!D925,"")</f>
        <v/>
      </c>
      <c r="D925" t="str">
        <f>IF(ROW(D925)&lt;=Bidding!$D$11,Raw_hydro_bm!E925,"")</f>
        <v/>
      </c>
      <c r="E925" t="str">
        <f>IF(ROW(E925)&lt;=Bidding!$D$11,Raw_hydro_bm!F925,"")</f>
        <v/>
      </c>
      <c r="F925" t="str">
        <f>IF(ROW(F925)&lt;=Bidding!$D$11,Raw_hydro_bm!G925,"")</f>
        <v/>
      </c>
      <c r="G925" t="str">
        <f>IF(ROW(G925)&lt;=Bidding!$D$11,Raw_hydro_bm!H925,"")</f>
        <v/>
      </c>
      <c r="H925" t="str">
        <f>IF(ROW(H925)&lt;=Bidding!$D$11,Raw_hydro_bm!I925,"")</f>
        <v/>
      </c>
      <c r="I925" s="16" t="str">
        <f t="shared" si="14"/>
        <v/>
      </c>
    </row>
    <row r="926" spans="1:9" x14ac:dyDescent="0.3">
      <c r="A926" t="str">
        <f>IF(ROW(A926)&lt;=Bidding!$D$11,Raw_hydro_bm!B926,"")</f>
        <v/>
      </c>
      <c r="B926" t="str">
        <f>IF(ROW(B926)&lt;=Bidding!$D$11,Raw_hydro_bm!C926,"")</f>
        <v/>
      </c>
      <c r="C926" t="str">
        <f>IF(ROW(C926)&lt;=Bidding!$D$11,Raw_hydro_bm!D926,"")</f>
        <v/>
      </c>
      <c r="D926" t="str">
        <f>IF(ROW(D926)&lt;=Bidding!$D$11,Raw_hydro_bm!E926,"")</f>
        <v/>
      </c>
      <c r="E926" t="str">
        <f>IF(ROW(E926)&lt;=Bidding!$D$11,Raw_hydro_bm!F926,"")</f>
        <v/>
      </c>
      <c r="F926" t="str">
        <f>IF(ROW(F926)&lt;=Bidding!$D$11,Raw_hydro_bm!G926,"")</f>
        <v/>
      </c>
      <c r="G926" t="str">
        <f>IF(ROW(G926)&lt;=Bidding!$D$11,Raw_hydro_bm!H926,"")</f>
        <v/>
      </c>
      <c r="H926" t="str">
        <f>IF(ROW(H926)&lt;=Bidding!$D$11,Raw_hydro_bm!I926,"")</f>
        <v/>
      </c>
      <c r="I926" s="16" t="str">
        <f t="shared" si="14"/>
        <v/>
      </c>
    </row>
    <row r="927" spans="1:9" x14ac:dyDescent="0.3">
      <c r="A927" t="str">
        <f>IF(ROW(A927)&lt;=Bidding!$D$11,Raw_hydro_bm!B927,"")</f>
        <v/>
      </c>
      <c r="B927" t="str">
        <f>IF(ROW(B927)&lt;=Bidding!$D$11,Raw_hydro_bm!C927,"")</f>
        <v/>
      </c>
      <c r="C927" t="str">
        <f>IF(ROW(C927)&lt;=Bidding!$D$11,Raw_hydro_bm!D927,"")</f>
        <v/>
      </c>
      <c r="D927" t="str">
        <f>IF(ROW(D927)&lt;=Bidding!$D$11,Raw_hydro_bm!E927,"")</f>
        <v/>
      </c>
      <c r="E927" t="str">
        <f>IF(ROW(E927)&lt;=Bidding!$D$11,Raw_hydro_bm!F927,"")</f>
        <v/>
      </c>
      <c r="F927" t="str">
        <f>IF(ROW(F927)&lt;=Bidding!$D$11,Raw_hydro_bm!G927,"")</f>
        <v/>
      </c>
      <c r="G927" t="str">
        <f>IF(ROW(G927)&lt;=Bidding!$D$11,Raw_hydro_bm!H927,"")</f>
        <v/>
      </c>
      <c r="H927" t="str">
        <f>IF(ROW(H927)&lt;=Bidding!$D$11,Raw_hydro_bm!I927,"")</f>
        <v/>
      </c>
      <c r="I927" s="16" t="str">
        <f t="shared" si="14"/>
        <v/>
      </c>
    </row>
    <row r="928" spans="1:9" x14ac:dyDescent="0.3">
      <c r="A928" t="str">
        <f>IF(ROW(A928)&lt;=Bidding!$D$11,Raw_hydro_bm!B928,"")</f>
        <v/>
      </c>
      <c r="B928" t="str">
        <f>IF(ROW(B928)&lt;=Bidding!$D$11,Raw_hydro_bm!C928,"")</f>
        <v/>
      </c>
      <c r="C928" t="str">
        <f>IF(ROW(C928)&lt;=Bidding!$D$11,Raw_hydro_bm!D928,"")</f>
        <v/>
      </c>
      <c r="D928" t="str">
        <f>IF(ROW(D928)&lt;=Bidding!$D$11,Raw_hydro_bm!E928,"")</f>
        <v/>
      </c>
      <c r="E928" t="str">
        <f>IF(ROW(E928)&lt;=Bidding!$D$11,Raw_hydro_bm!F928,"")</f>
        <v/>
      </c>
      <c r="F928" t="str">
        <f>IF(ROW(F928)&lt;=Bidding!$D$11,Raw_hydro_bm!G928,"")</f>
        <v/>
      </c>
      <c r="G928" t="str">
        <f>IF(ROW(G928)&lt;=Bidding!$D$11,Raw_hydro_bm!H928,"")</f>
        <v/>
      </c>
      <c r="H928" t="str">
        <f>IF(ROW(H928)&lt;=Bidding!$D$11,Raw_hydro_bm!I928,"")</f>
        <v/>
      </c>
      <c r="I928" s="16" t="str">
        <f t="shared" si="14"/>
        <v/>
      </c>
    </row>
    <row r="929" spans="1:9" x14ac:dyDescent="0.3">
      <c r="A929" t="str">
        <f>IF(ROW(A929)&lt;=Bidding!$D$11,Raw_hydro_bm!B929,"")</f>
        <v/>
      </c>
      <c r="B929" t="str">
        <f>IF(ROW(B929)&lt;=Bidding!$D$11,Raw_hydro_bm!C929,"")</f>
        <v/>
      </c>
      <c r="C929" t="str">
        <f>IF(ROW(C929)&lt;=Bidding!$D$11,Raw_hydro_bm!D929,"")</f>
        <v/>
      </c>
      <c r="D929" t="str">
        <f>IF(ROW(D929)&lt;=Bidding!$D$11,Raw_hydro_bm!E929,"")</f>
        <v/>
      </c>
      <c r="E929" t="str">
        <f>IF(ROW(E929)&lt;=Bidding!$D$11,Raw_hydro_bm!F929,"")</f>
        <v/>
      </c>
      <c r="F929" t="str">
        <f>IF(ROW(F929)&lt;=Bidding!$D$11,Raw_hydro_bm!G929,"")</f>
        <v/>
      </c>
      <c r="G929" t="str">
        <f>IF(ROW(G929)&lt;=Bidding!$D$11,Raw_hydro_bm!H929,"")</f>
        <v/>
      </c>
      <c r="H929" t="str">
        <f>IF(ROW(H929)&lt;=Bidding!$D$11,Raw_hydro_bm!I929,"")</f>
        <v/>
      </c>
      <c r="I929" s="16" t="str">
        <f t="shared" si="14"/>
        <v/>
      </c>
    </row>
    <row r="930" spans="1:9" x14ac:dyDescent="0.3">
      <c r="A930" t="str">
        <f>IF(ROW(A930)&lt;=Bidding!$D$11,Raw_hydro_bm!B930,"")</f>
        <v/>
      </c>
      <c r="B930" t="str">
        <f>IF(ROW(B930)&lt;=Bidding!$D$11,Raw_hydro_bm!C930,"")</f>
        <v/>
      </c>
      <c r="C930" t="str">
        <f>IF(ROW(C930)&lt;=Bidding!$D$11,Raw_hydro_bm!D930,"")</f>
        <v/>
      </c>
      <c r="D930" t="str">
        <f>IF(ROW(D930)&lt;=Bidding!$D$11,Raw_hydro_bm!E930,"")</f>
        <v/>
      </c>
      <c r="E930" t="str">
        <f>IF(ROW(E930)&lt;=Bidding!$D$11,Raw_hydro_bm!F930,"")</f>
        <v/>
      </c>
      <c r="F930" t="str">
        <f>IF(ROW(F930)&lt;=Bidding!$D$11,Raw_hydro_bm!G930,"")</f>
        <v/>
      </c>
      <c r="G930" t="str">
        <f>IF(ROW(G930)&lt;=Bidding!$D$11,Raw_hydro_bm!H930,"")</f>
        <v/>
      </c>
      <c r="H930" t="str">
        <f>IF(ROW(H930)&lt;=Bidding!$D$11,Raw_hydro_bm!I930,"")</f>
        <v/>
      </c>
      <c r="I930" s="16" t="str">
        <f t="shared" si="14"/>
        <v/>
      </c>
    </row>
    <row r="931" spans="1:9" x14ac:dyDescent="0.3">
      <c r="A931" t="str">
        <f>IF(ROW(A931)&lt;=Bidding!$D$11,Raw_hydro_bm!B931,"")</f>
        <v/>
      </c>
      <c r="B931" t="str">
        <f>IF(ROW(B931)&lt;=Bidding!$D$11,Raw_hydro_bm!C931,"")</f>
        <v/>
      </c>
      <c r="C931" t="str">
        <f>IF(ROW(C931)&lt;=Bidding!$D$11,Raw_hydro_bm!D931,"")</f>
        <v/>
      </c>
      <c r="D931" t="str">
        <f>IF(ROW(D931)&lt;=Bidding!$D$11,Raw_hydro_bm!E931,"")</f>
        <v/>
      </c>
      <c r="E931" t="str">
        <f>IF(ROW(E931)&lt;=Bidding!$D$11,Raw_hydro_bm!F931,"")</f>
        <v/>
      </c>
      <c r="F931" t="str">
        <f>IF(ROW(F931)&lt;=Bidding!$D$11,Raw_hydro_bm!G931,"")</f>
        <v/>
      </c>
      <c r="G931" t="str">
        <f>IF(ROW(G931)&lt;=Bidding!$D$11,Raw_hydro_bm!H931,"")</f>
        <v/>
      </c>
      <c r="H931" t="str">
        <f>IF(ROW(H931)&lt;=Bidding!$D$11,Raw_hydro_bm!I931,"")</f>
        <v/>
      </c>
      <c r="I931" s="16" t="str">
        <f t="shared" si="14"/>
        <v/>
      </c>
    </row>
    <row r="932" spans="1:9" x14ac:dyDescent="0.3">
      <c r="A932" t="str">
        <f>IF(ROW(A932)&lt;=Bidding!$D$11,Raw_hydro_bm!B932,"")</f>
        <v/>
      </c>
      <c r="B932" t="str">
        <f>IF(ROW(B932)&lt;=Bidding!$D$11,Raw_hydro_bm!C932,"")</f>
        <v/>
      </c>
      <c r="C932" t="str">
        <f>IF(ROW(C932)&lt;=Bidding!$D$11,Raw_hydro_bm!D932,"")</f>
        <v/>
      </c>
      <c r="D932" t="str">
        <f>IF(ROW(D932)&lt;=Bidding!$D$11,Raw_hydro_bm!E932,"")</f>
        <v/>
      </c>
      <c r="E932" t="str">
        <f>IF(ROW(E932)&lt;=Bidding!$D$11,Raw_hydro_bm!F932,"")</f>
        <v/>
      </c>
      <c r="F932" t="str">
        <f>IF(ROW(F932)&lt;=Bidding!$D$11,Raw_hydro_bm!G932,"")</f>
        <v/>
      </c>
      <c r="G932" t="str">
        <f>IF(ROW(G932)&lt;=Bidding!$D$11,Raw_hydro_bm!H932,"")</f>
        <v/>
      </c>
      <c r="H932" t="str">
        <f>IF(ROW(H932)&lt;=Bidding!$D$11,Raw_hydro_bm!I932,"")</f>
        <v/>
      </c>
      <c r="I932" s="16" t="str">
        <f t="shared" si="14"/>
        <v/>
      </c>
    </row>
    <row r="933" spans="1:9" x14ac:dyDescent="0.3">
      <c r="A933" t="str">
        <f>IF(ROW(A933)&lt;=Bidding!$D$11,Raw_hydro_bm!B933,"")</f>
        <v/>
      </c>
      <c r="B933" t="str">
        <f>IF(ROW(B933)&lt;=Bidding!$D$11,Raw_hydro_bm!C933,"")</f>
        <v/>
      </c>
      <c r="C933" t="str">
        <f>IF(ROW(C933)&lt;=Bidding!$D$11,Raw_hydro_bm!D933,"")</f>
        <v/>
      </c>
      <c r="D933" t="str">
        <f>IF(ROW(D933)&lt;=Bidding!$D$11,Raw_hydro_bm!E933,"")</f>
        <v/>
      </c>
      <c r="E933" t="str">
        <f>IF(ROW(E933)&lt;=Bidding!$D$11,Raw_hydro_bm!F933,"")</f>
        <v/>
      </c>
      <c r="F933" t="str">
        <f>IF(ROW(F933)&lt;=Bidding!$D$11,Raw_hydro_bm!G933,"")</f>
        <v/>
      </c>
      <c r="G933" t="str">
        <f>IF(ROW(G933)&lt;=Bidding!$D$11,Raw_hydro_bm!H933,"")</f>
        <v/>
      </c>
      <c r="H933" t="str">
        <f>IF(ROW(H933)&lt;=Bidding!$D$11,Raw_hydro_bm!I933,"")</f>
        <v/>
      </c>
      <c r="I933" s="16" t="str">
        <f t="shared" si="14"/>
        <v/>
      </c>
    </row>
    <row r="934" spans="1:9" x14ac:dyDescent="0.3">
      <c r="A934" t="str">
        <f>IF(ROW(A934)&lt;=Bidding!$D$11,Raw_hydro_bm!B934,"")</f>
        <v/>
      </c>
      <c r="B934" t="str">
        <f>IF(ROW(B934)&lt;=Bidding!$D$11,Raw_hydro_bm!C934,"")</f>
        <v/>
      </c>
      <c r="C934" t="str">
        <f>IF(ROW(C934)&lt;=Bidding!$D$11,Raw_hydro_bm!D934,"")</f>
        <v/>
      </c>
      <c r="D934" t="str">
        <f>IF(ROW(D934)&lt;=Bidding!$D$11,Raw_hydro_bm!E934,"")</f>
        <v/>
      </c>
      <c r="E934" t="str">
        <f>IF(ROW(E934)&lt;=Bidding!$D$11,Raw_hydro_bm!F934,"")</f>
        <v/>
      </c>
      <c r="F934" t="str">
        <f>IF(ROW(F934)&lt;=Bidding!$D$11,Raw_hydro_bm!G934,"")</f>
        <v/>
      </c>
      <c r="G934" t="str">
        <f>IF(ROW(G934)&lt;=Bidding!$D$11,Raw_hydro_bm!H934,"")</f>
        <v/>
      </c>
      <c r="H934" t="str">
        <f>IF(ROW(H934)&lt;=Bidding!$D$11,Raw_hydro_bm!I934,"")</f>
        <v/>
      </c>
      <c r="I934" s="16" t="str">
        <f t="shared" si="14"/>
        <v/>
      </c>
    </row>
    <row r="935" spans="1:9" x14ac:dyDescent="0.3">
      <c r="A935" t="str">
        <f>IF(ROW(A935)&lt;=Bidding!$D$11,Raw_hydro_bm!B935,"")</f>
        <v/>
      </c>
      <c r="B935" t="str">
        <f>IF(ROW(B935)&lt;=Bidding!$D$11,Raw_hydro_bm!C935,"")</f>
        <v/>
      </c>
      <c r="C935" t="str">
        <f>IF(ROW(C935)&lt;=Bidding!$D$11,Raw_hydro_bm!D935,"")</f>
        <v/>
      </c>
      <c r="D935" t="str">
        <f>IF(ROW(D935)&lt;=Bidding!$D$11,Raw_hydro_bm!E935,"")</f>
        <v/>
      </c>
      <c r="E935" t="str">
        <f>IF(ROW(E935)&lt;=Bidding!$D$11,Raw_hydro_bm!F935,"")</f>
        <v/>
      </c>
      <c r="F935" t="str">
        <f>IF(ROW(F935)&lt;=Bidding!$D$11,Raw_hydro_bm!G935,"")</f>
        <v/>
      </c>
      <c r="G935" t="str">
        <f>IF(ROW(G935)&lt;=Bidding!$D$11,Raw_hydro_bm!H935,"")</f>
        <v/>
      </c>
      <c r="H935" t="str">
        <f>IF(ROW(H935)&lt;=Bidding!$D$11,Raw_hydro_bm!I935,"")</f>
        <v/>
      </c>
      <c r="I935" s="16" t="str">
        <f t="shared" si="14"/>
        <v/>
      </c>
    </row>
    <row r="936" spans="1:9" x14ac:dyDescent="0.3">
      <c r="A936" t="str">
        <f>IF(ROW(A936)&lt;=Bidding!$D$11,Raw_hydro_bm!B936,"")</f>
        <v/>
      </c>
      <c r="B936" t="str">
        <f>IF(ROW(B936)&lt;=Bidding!$D$11,Raw_hydro_bm!C936,"")</f>
        <v/>
      </c>
      <c r="C936" t="str">
        <f>IF(ROW(C936)&lt;=Bidding!$D$11,Raw_hydro_bm!D936,"")</f>
        <v/>
      </c>
      <c r="D936" t="str">
        <f>IF(ROW(D936)&lt;=Bidding!$D$11,Raw_hydro_bm!E936,"")</f>
        <v/>
      </c>
      <c r="E936" t="str">
        <f>IF(ROW(E936)&lt;=Bidding!$D$11,Raw_hydro_bm!F936,"")</f>
        <v/>
      </c>
      <c r="F936" t="str">
        <f>IF(ROW(F936)&lt;=Bidding!$D$11,Raw_hydro_bm!G936,"")</f>
        <v/>
      </c>
      <c r="G936" t="str">
        <f>IF(ROW(G936)&lt;=Bidding!$D$11,Raw_hydro_bm!H936,"")</f>
        <v/>
      </c>
      <c r="H936" t="str">
        <f>IF(ROW(H936)&lt;=Bidding!$D$11,Raw_hydro_bm!I936,"")</f>
        <v/>
      </c>
      <c r="I936" s="16" t="str">
        <f t="shared" si="14"/>
        <v/>
      </c>
    </row>
    <row r="937" spans="1:9" x14ac:dyDescent="0.3">
      <c r="A937" t="str">
        <f>IF(ROW(A937)&lt;=Bidding!$D$11,Raw_hydro_bm!B937,"")</f>
        <v/>
      </c>
      <c r="B937" t="str">
        <f>IF(ROW(B937)&lt;=Bidding!$D$11,Raw_hydro_bm!C937,"")</f>
        <v/>
      </c>
      <c r="C937" t="str">
        <f>IF(ROW(C937)&lt;=Bidding!$D$11,Raw_hydro_bm!D937,"")</f>
        <v/>
      </c>
      <c r="D937" t="str">
        <f>IF(ROW(D937)&lt;=Bidding!$D$11,Raw_hydro_bm!E937,"")</f>
        <v/>
      </c>
      <c r="E937" t="str">
        <f>IF(ROW(E937)&lt;=Bidding!$D$11,Raw_hydro_bm!F937,"")</f>
        <v/>
      </c>
      <c r="F937" t="str">
        <f>IF(ROW(F937)&lt;=Bidding!$D$11,Raw_hydro_bm!G937,"")</f>
        <v/>
      </c>
      <c r="G937" t="str">
        <f>IF(ROW(G937)&lt;=Bidding!$D$11,Raw_hydro_bm!H937,"")</f>
        <v/>
      </c>
      <c r="H937" t="str">
        <f>IF(ROW(H937)&lt;=Bidding!$D$11,Raw_hydro_bm!I937,"")</f>
        <v/>
      </c>
      <c r="I937" s="16" t="str">
        <f t="shared" si="14"/>
        <v/>
      </c>
    </row>
    <row r="938" spans="1:9" x14ac:dyDescent="0.3">
      <c r="A938" t="str">
        <f>IF(ROW(A938)&lt;=Bidding!$D$11,Raw_hydro_bm!B938,"")</f>
        <v/>
      </c>
      <c r="B938" t="str">
        <f>IF(ROW(B938)&lt;=Bidding!$D$11,Raw_hydro_bm!C938,"")</f>
        <v/>
      </c>
      <c r="C938" t="str">
        <f>IF(ROW(C938)&lt;=Bidding!$D$11,Raw_hydro_bm!D938,"")</f>
        <v/>
      </c>
      <c r="D938" t="str">
        <f>IF(ROW(D938)&lt;=Bidding!$D$11,Raw_hydro_bm!E938,"")</f>
        <v/>
      </c>
      <c r="E938" t="str">
        <f>IF(ROW(E938)&lt;=Bidding!$D$11,Raw_hydro_bm!F938,"")</f>
        <v/>
      </c>
      <c r="F938" t="str">
        <f>IF(ROW(F938)&lt;=Bidding!$D$11,Raw_hydro_bm!G938,"")</f>
        <v/>
      </c>
      <c r="G938" t="str">
        <f>IF(ROW(G938)&lt;=Bidding!$D$11,Raw_hydro_bm!H938,"")</f>
        <v/>
      </c>
      <c r="H938" t="str">
        <f>IF(ROW(H938)&lt;=Bidding!$D$11,Raw_hydro_bm!I938,"")</f>
        <v/>
      </c>
      <c r="I938" s="16" t="str">
        <f t="shared" si="14"/>
        <v/>
      </c>
    </row>
    <row r="939" spans="1:9" x14ac:dyDescent="0.3">
      <c r="A939" t="str">
        <f>IF(ROW(A939)&lt;=Bidding!$D$11,Raw_hydro_bm!B939,"")</f>
        <v/>
      </c>
      <c r="B939" t="str">
        <f>IF(ROW(B939)&lt;=Bidding!$D$11,Raw_hydro_bm!C939,"")</f>
        <v/>
      </c>
      <c r="C939" t="str">
        <f>IF(ROW(C939)&lt;=Bidding!$D$11,Raw_hydro_bm!D939,"")</f>
        <v/>
      </c>
      <c r="D939" t="str">
        <f>IF(ROW(D939)&lt;=Bidding!$D$11,Raw_hydro_bm!E939,"")</f>
        <v/>
      </c>
      <c r="E939" t="str">
        <f>IF(ROW(E939)&lt;=Bidding!$D$11,Raw_hydro_bm!F939,"")</f>
        <v/>
      </c>
      <c r="F939" t="str">
        <f>IF(ROW(F939)&lt;=Bidding!$D$11,Raw_hydro_bm!G939,"")</f>
        <v/>
      </c>
      <c r="G939" t="str">
        <f>IF(ROW(G939)&lt;=Bidding!$D$11,Raw_hydro_bm!H939,"")</f>
        <v/>
      </c>
      <c r="H939" t="str">
        <f>IF(ROW(H939)&lt;=Bidding!$D$11,Raw_hydro_bm!I939,"")</f>
        <v/>
      </c>
      <c r="I939" s="16" t="str">
        <f t="shared" si="14"/>
        <v/>
      </c>
    </row>
    <row r="940" spans="1:9" x14ac:dyDescent="0.3">
      <c r="A940" t="str">
        <f>IF(ROW(A940)&lt;=Bidding!$D$11,Raw_hydro_bm!B940,"")</f>
        <v/>
      </c>
      <c r="B940" t="str">
        <f>IF(ROW(B940)&lt;=Bidding!$D$11,Raw_hydro_bm!C940,"")</f>
        <v/>
      </c>
      <c r="C940" t="str">
        <f>IF(ROW(C940)&lt;=Bidding!$D$11,Raw_hydro_bm!D940,"")</f>
        <v/>
      </c>
      <c r="D940" t="str">
        <f>IF(ROW(D940)&lt;=Bidding!$D$11,Raw_hydro_bm!E940,"")</f>
        <v/>
      </c>
      <c r="E940" t="str">
        <f>IF(ROW(E940)&lt;=Bidding!$D$11,Raw_hydro_bm!F940,"")</f>
        <v/>
      </c>
      <c r="F940" t="str">
        <f>IF(ROW(F940)&lt;=Bidding!$D$11,Raw_hydro_bm!G940,"")</f>
        <v/>
      </c>
      <c r="G940" t="str">
        <f>IF(ROW(G940)&lt;=Bidding!$D$11,Raw_hydro_bm!H940,"")</f>
        <v/>
      </c>
      <c r="H940" t="str">
        <f>IF(ROW(H940)&lt;=Bidding!$D$11,Raw_hydro_bm!I940,"")</f>
        <v/>
      </c>
      <c r="I940" s="16" t="str">
        <f t="shared" si="14"/>
        <v/>
      </c>
    </row>
    <row r="941" spans="1:9" x14ac:dyDescent="0.3">
      <c r="A941" t="str">
        <f>IF(ROW(A941)&lt;=Bidding!$D$11,Raw_hydro_bm!B941,"")</f>
        <v/>
      </c>
      <c r="B941" t="str">
        <f>IF(ROW(B941)&lt;=Bidding!$D$11,Raw_hydro_bm!C941,"")</f>
        <v/>
      </c>
      <c r="C941" t="str">
        <f>IF(ROW(C941)&lt;=Bidding!$D$11,Raw_hydro_bm!D941,"")</f>
        <v/>
      </c>
      <c r="D941" t="str">
        <f>IF(ROW(D941)&lt;=Bidding!$D$11,Raw_hydro_bm!E941,"")</f>
        <v/>
      </c>
      <c r="E941" t="str">
        <f>IF(ROW(E941)&lt;=Bidding!$D$11,Raw_hydro_bm!F941,"")</f>
        <v/>
      </c>
      <c r="F941" t="str">
        <f>IF(ROW(F941)&lt;=Bidding!$D$11,Raw_hydro_bm!G941,"")</f>
        <v/>
      </c>
      <c r="G941" t="str">
        <f>IF(ROW(G941)&lt;=Bidding!$D$11,Raw_hydro_bm!H941,"")</f>
        <v/>
      </c>
      <c r="H941" t="str">
        <f>IF(ROW(H941)&lt;=Bidding!$D$11,Raw_hydro_bm!I941,"")</f>
        <v/>
      </c>
      <c r="I941" s="16" t="str">
        <f t="shared" si="14"/>
        <v/>
      </c>
    </row>
    <row r="942" spans="1:9" x14ac:dyDescent="0.3">
      <c r="A942" t="str">
        <f>IF(ROW(A942)&lt;=Bidding!$D$11,Raw_hydro_bm!B942,"")</f>
        <v/>
      </c>
      <c r="B942" t="str">
        <f>IF(ROW(B942)&lt;=Bidding!$D$11,Raw_hydro_bm!C942,"")</f>
        <v/>
      </c>
      <c r="C942" t="str">
        <f>IF(ROW(C942)&lt;=Bidding!$D$11,Raw_hydro_bm!D942,"")</f>
        <v/>
      </c>
      <c r="D942" t="str">
        <f>IF(ROW(D942)&lt;=Bidding!$D$11,Raw_hydro_bm!E942,"")</f>
        <v/>
      </c>
      <c r="E942" t="str">
        <f>IF(ROW(E942)&lt;=Bidding!$D$11,Raw_hydro_bm!F942,"")</f>
        <v/>
      </c>
      <c r="F942" t="str">
        <f>IF(ROW(F942)&lt;=Bidding!$D$11,Raw_hydro_bm!G942,"")</f>
        <v/>
      </c>
      <c r="G942" t="str">
        <f>IF(ROW(G942)&lt;=Bidding!$D$11,Raw_hydro_bm!H942,"")</f>
        <v/>
      </c>
      <c r="H942" t="str">
        <f>IF(ROW(H942)&lt;=Bidding!$D$11,Raw_hydro_bm!I942,"")</f>
        <v/>
      </c>
      <c r="I942" s="16" t="str">
        <f t="shared" si="14"/>
        <v/>
      </c>
    </row>
    <row r="943" spans="1:9" x14ac:dyDescent="0.3">
      <c r="A943" t="str">
        <f>IF(ROW(A943)&lt;=Bidding!$D$11,Raw_hydro_bm!B943,"")</f>
        <v/>
      </c>
      <c r="B943" t="str">
        <f>IF(ROW(B943)&lt;=Bidding!$D$11,Raw_hydro_bm!C943,"")</f>
        <v/>
      </c>
      <c r="C943" t="str">
        <f>IF(ROW(C943)&lt;=Bidding!$D$11,Raw_hydro_bm!D943,"")</f>
        <v/>
      </c>
      <c r="D943" t="str">
        <f>IF(ROW(D943)&lt;=Bidding!$D$11,Raw_hydro_bm!E943,"")</f>
        <v/>
      </c>
      <c r="E943" t="str">
        <f>IF(ROW(E943)&lt;=Bidding!$D$11,Raw_hydro_bm!F943,"")</f>
        <v/>
      </c>
      <c r="F943" t="str">
        <f>IF(ROW(F943)&lt;=Bidding!$D$11,Raw_hydro_bm!G943,"")</f>
        <v/>
      </c>
      <c r="G943" t="str">
        <f>IF(ROW(G943)&lt;=Bidding!$D$11,Raw_hydro_bm!H943,"")</f>
        <v/>
      </c>
      <c r="H943" t="str">
        <f>IF(ROW(H943)&lt;=Bidding!$D$11,Raw_hydro_bm!I943,"")</f>
        <v/>
      </c>
      <c r="I943" s="16" t="str">
        <f t="shared" si="14"/>
        <v/>
      </c>
    </row>
    <row r="944" spans="1:9" x14ac:dyDescent="0.3">
      <c r="A944" t="str">
        <f>IF(ROW(A944)&lt;=Bidding!$D$11,Raw_hydro_bm!B944,"")</f>
        <v/>
      </c>
      <c r="B944" t="str">
        <f>IF(ROW(B944)&lt;=Bidding!$D$11,Raw_hydro_bm!C944,"")</f>
        <v/>
      </c>
      <c r="C944" t="str">
        <f>IF(ROW(C944)&lt;=Bidding!$D$11,Raw_hydro_bm!D944,"")</f>
        <v/>
      </c>
      <c r="D944" t="str">
        <f>IF(ROW(D944)&lt;=Bidding!$D$11,Raw_hydro_bm!E944,"")</f>
        <v/>
      </c>
      <c r="E944" t="str">
        <f>IF(ROW(E944)&lt;=Bidding!$D$11,Raw_hydro_bm!F944,"")</f>
        <v/>
      </c>
      <c r="F944" t="str">
        <f>IF(ROW(F944)&lt;=Bidding!$D$11,Raw_hydro_bm!G944,"")</f>
        <v/>
      </c>
      <c r="G944" t="str">
        <f>IF(ROW(G944)&lt;=Bidding!$D$11,Raw_hydro_bm!H944,"")</f>
        <v/>
      </c>
      <c r="H944" t="str">
        <f>IF(ROW(H944)&lt;=Bidding!$D$11,Raw_hydro_bm!I944,"")</f>
        <v/>
      </c>
      <c r="I944" s="16" t="str">
        <f t="shared" si="14"/>
        <v/>
      </c>
    </row>
    <row r="945" spans="1:9" x14ac:dyDescent="0.3">
      <c r="A945" t="str">
        <f>IF(ROW(A945)&lt;=Bidding!$D$11,Raw_hydro_bm!B945,"")</f>
        <v/>
      </c>
      <c r="B945" t="str">
        <f>IF(ROW(B945)&lt;=Bidding!$D$11,Raw_hydro_bm!C945,"")</f>
        <v/>
      </c>
      <c r="C945" t="str">
        <f>IF(ROW(C945)&lt;=Bidding!$D$11,Raw_hydro_bm!D945,"")</f>
        <v/>
      </c>
      <c r="D945" t="str">
        <f>IF(ROW(D945)&lt;=Bidding!$D$11,Raw_hydro_bm!E945,"")</f>
        <v/>
      </c>
      <c r="E945" t="str">
        <f>IF(ROW(E945)&lt;=Bidding!$D$11,Raw_hydro_bm!F945,"")</f>
        <v/>
      </c>
      <c r="F945" t="str">
        <f>IF(ROW(F945)&lt;=Bidding!$D$11,Raw_hydro_bm!G945,"")</f>
        <v/>
      </c>
      <c r="G945" t="str">
        <f>IF(ROW(G945)&lt;=Bidding!$D$11,Raw_hydro_bm!H945,"")</f>
        <v/>
      </c>
      <c r="H945" t="str">
        <f>IF(ROW(H945)&lt;=Bidding!$D$11,Raw_hydro_bm!I945,"")</f>
        <v/>
      </c>
      <c r="I945" s="16" t="str">
        <f t="shared" si="14"/>
        <v/>
      </c>
    </row>
    <row r="946" spans="1:9" x14ac:dyDescent="0.3">
      <c r="A946" t="str">
        <f>IF(ROW(A946)&lt;=Bidding!$D$11,Raw_hydro_bm!B946,"")</f>
        <v/>
      </c>
      <c r="B946" t="str">
        <f>IF(ROW(B946)&lt;=Bidding!$D$11,Raw_hydro_bm!C946,"")</f>
        <v/>
      </c>
      <c r="C946" t="str">
        <f>IF(ROW(C946)&lt;=Bidding!$D$11,Raw_hydro_bm!D946,"")</f>
        <v/>
      </c>
      <c r="D946" t="str">
        <f>IF(ROW(D946)&lt;=Bidding!$D$11,Raw_hydro_bm!E946,"")</f>
        <v/>
      </c>
      <c r="E946" t="str">
        <f>IF(ROW(E946)&lt;=Bidding!$D$11,Raw_hydro_bm!F946,"")</f>
        <v/>
      </c>
      <c r="F946" t="str">
        <f>IF(ROW(F946)&lt;=Bidding!$D$11,Raw_hydro_bm!G946,"")</f>
        <v/>
      </c>
      <c r="G946" t="str">
        <f>IF(ROW(G946)&lt;=Bidding!$D$11,Raw_hydro_bm!H946,"")</f>
        <v/>
      </c>
      <c r="H946" t="str">
        <f>IF(ROW(H946)&lt;=Bidding!$D$11,Raw_hydro_bm!I946,"")</f>
        <v/>
      </c>
      <c r="I946" s="16" t="str">
        <f t="shared" si="14"/>
        <v/>
      </c>
    </row>
    <row r="947" spans="1:9" x14ac:dyDescent="0.3">
      <c r="A947" t="str">
        <f>IF(ROW(A947)&lt;=Bidding!$D$11,Raw_hydro_bm!B947,"")</f>
        <v/>
      </c>
      <c r="B947" t="str">
        <f>IF(ROW(B947)&lt;=Bidding!$D$11,Raw_hydro_bm!C947,"")</f>
        <v/>
      </c>
      <c r="C947" t="str">
        <f>IF(ROW(C947)&lt;=Bidding!$D$11,Raw_hydro_bm!D947,"")</f>
        <v/>
      </c>
      <c r="D947" t="str">
        <f>IF(ROW(D947)&lt;=Bidding!$D$11,Raw_hydro_bm!E947,"")</f>
        <v/>
      </c>
      <c r="E947" t="str">
        <f>IF(ROW(E947)&lt;=Bidding!$D$11,Raw_hydro_bm!F947,"")</f>
        <v/>
      </c>
      <c r="F947" t="str">
        <f>IF(ROW(F947)&lt;=Bidding!$D$11,Raw_hydro_bm!G947,"")</f>
        <v/>
      </c>
      <c r="G947" t="str">
        <f>IF(ROW(G947)&lt;=Bidding!$D$11,Raw_hydro_bm!H947,"")</f>
        <v/>
      </c>
      <c r="H947" t="str">
        <f>IF(ROW(H947)&lt;=Bidding!$D$11,Raw_hydro_bm!I947,"")</f>
        <v/>
      </c>
      <c r="I947" s="16" t="str">
        <f t="shared" si="14"/>
        <v/>
      </c>
    </row>
    <row r="948" spans="1:9" x14ac:dyDescent="0.3">
      <c r="A948" t="str">
        <f>IF(ROW(A948)&lt;=Bidding!$D$11,Raw_hydro_bm!B948,"")</f>
        <v/>
      </c>
      <c r="B948" t="str">
        <f>IF(ROW(B948)&lt;=Bidding!$D$11,Raw_hydro_bm!C948,"")</f>
        <v/>
      </c>
      <c r="C948" t="str">
        <f>IF(ROW(C948)&lt;=Bidding!$D$11,Raw_hydro_bm!D948,"")</f>
        <v/>
      </c>
      <c r="D948" t="str">
        <f>IF(ROW(D948)&lt;=Bidding!$D$11,Raw_hydro_bm!E948,"")</f>
        <v/>
      </c>
      <c r="E948" t="str">
        <f>IF(ROW(E948)&lt;=Bidding!$D$11,Raw_hydro_bm!F948,"")</f>
        <v/>
      </c>
      <c r="F948" t="str">
        <f>IF(ROW(F948)&lt;=Bidding!$D$11,Raw_hydro_bm!G948,"")</f>
        <v/>
      </c>
      <c r="G948" t="str">
        <f>IF(ROW(G948)&lt;=Bidding!$D$11,Raw_hydro_bm!H948,"")</f>
        <v/>
      </c>
      <c r="H948" t="str">
        <f>IF(ROW(H948)&lt;=Bidding!$D$11,Raw_hydro_bm!I948,"")</f>
        <v/>
      </c>
      <c r="I948" s="16" t="str">
        <f t="shared" si="14"/>
        <v/>
      </c>
    </row>
    <row r="949" spans="1:9" x14ac:dyDescent="0.3">
      <c r="A949" t="str">
        <f>IF(ROW(A949)&lt;=Bidding!$D$11,Raw_hydro_bm!B949,"")</f>
        <v/>
      </c>
      <c r="B949" t="str">
        <f>IF(ROW(B949)&lt;=Bidding!$D$11,Raw_hydro_bm!C949,"")</f>
        <v/>
      </c>
      <c r="C949" t="str">
        <f>IF(ROW(C949)&lt;=Bidding!$D$11,Raw_hydro_bm!D949,"")</f>
        <v/>
      </c>
      <c r="D949" t="str">
        <f>IF(ROW(D949)&lt;=Bidding!$D$11,Raw_hydro_bm!E949,"")</f>
        <v/>
      </c>
      <c r="E949" t="str">
        <f>IF(ROW(E949)&lt;=Bidding!$D$11,Raw_hydro_bm!F949,"")</f>
        <v/>
      </c>
      <c r="F949" t="str">
        <f>IF(ROW(F949)&lt;=Bidding!$D$11,Raw_hydro_bm!G949,"")</f>
        <v/>
      </c>
      <c r="G949" t="str">
        <f>IF(ROW(G949)&lt;=Bidding!$D$11,Raw_hydro_bm!H949,"")</f>
        <v/>
      </c>
      <c r="H949" t="str">
        <f>IF(ROW(H949)&lt;=Bidding!$D$11,Raw_hydro_bm!I949,"")</f>
        <v/>
      </c>
      <c r="I949" s="16" t="str">
        <f t="shared" si="14"/>
        <v/>
      </c>
    </row>
    <row r="950" spans="1:9" x14ac:dyDescent="0.3">
      <c r="A950" t="str">
        <f>IF(ROW(A950)&lt;=Bidding!$D$11,Raw_hydro_bm!B950,"")</f>
        <v/>
      </c>
      <c r="B950" t="str">
        <f>IF(ROW(B950)&lt;=Bidding!$D$11,Raw_hydro_bm!C950,"")</f>
        <v/>
      </c>
      <c r="C950" t="str">
        <f>IF(ROW(C950)&lt;=Bidding!$D$11,Raw_hydro_bm!D950,"")</f>
        <v/>
      </c>
      <c r="D950" t="str">
        <f>IF(ROW(D950)&lt;=Bidding!$D$11,Raw_hydro_bm!E950,"")</f>
        <v/>
      </c>
      <c r="E950" t="str">
        <f>IF(ROW(E950)&lt;=Bidding!$D$11,Raw_hydro_bm!F950,"")</f>
        <v/>
      </c>
      <c r="F950" t="str">
        <f>IF(ROW(F950)&lt;=Bidding!$D$11,Raw_hydro_bm!G950,"")</f>
        <v/>
      </c>
      <c r="G950" t="str">
        <f>IF(ROW(G950)&lt;=Bidding!$D$11,Raw_hydro_bm!H950,"")</f>
        <v/>
      </c>
      <c r="H950" t="str">
        <f>IF(ROW(H950)&lt;=Bidding!$D$11,Raw_hydro_bm!I950,"")</f>
        <v/>
      </c>
      <c r="I950" s="16" t="str">
        <f t="shared" si="14"/>
        <v/>
      </c>
    </row>
    <row r="951" spans="1:9" x14ac:dyDescent="0.3">
      <c r="A951" t="str">
        <f>IF(ROW(A951)&lt;=Bidding!$D$11,Raw_hydro_bm!B951,"")</f>
        <v/>
      </c>
      <c r="B951" t="str">
        <f>IF(ROW(B951)&lt;=Bidding!$D$11,Raw_hydro_bm!C951,"")</f>
        <v/>
      </c>
      <c r="C951" t="str">
        <f>IF(ROW(C951)&lt;=Bidding!$D$11,Raw_hydro_bm!D951,"")</f>
        <v/>
      </c>
      <c r="D951" t="str">
        <f>IF(ROW(D951)&lt;=Bidding!$D$11,Raw_hydro_bm!E951,"")</f>
        <v/>
      </c>
      <c r="E951" t="str">
        <f>IF(ROW(E951)&lt;=Bidding!$D$11,Raw_hydro_bm!F951,"")</f>
        <v/>
      </c>
      <c r="F951" t="str">
        <f>IF(ROW(F951)&lt;=Bidding!$D$11,Raw_hydro_bm!G951,"")</f>
        <v/>
      </c>
      <c r="G951" t="str">
        <f>IF(ROW(G951)&lt;=Bidding!$D$11,Raw_hydro_bm!H951,"")</f>
        <v/>
      </c>
      <c r="H951" t="str">
        <f>IF(ROW(H951)&lt;=Bidding!$D$11,Raw_hydro_bm!I951,"")</f>
        <v/>
      </c>
      <c r="I951" s="16" t="str">
        <f t="shared" si="14"/>
        <v/>
      </c>
    </row>
    <row r="952" spans="1:9" x14ac:dyDescent="0.3">
      <c r="A952" t="str">
        <f>IF(ROW(A952)&lt;=Bidding!$D$11,Raw_hydro_bm!B952,"")</f>
        <v/>
      </c>
      <c r="B952" t="str">
        <f>IF(ROW(B952)&lt;=Bidding!$D$11,Raw_hydro_bm!C952,"")</f>
        <v/>
      </c>
      <c r="C952" t="str">
        <f>IF(ROW(C952)&lt;=Bidding!$D$11,Raw_hydro_bm!D952,"")</f>
        <v/>
      </c>
      <c r="D952" t="str">
        <f>IF(ROW(D952)&lt;=Bidding!$D$11,Raw_hydro_bm!E952,"")</f>
        <v/>
      </c>
      <c r="E952" t="str">
        <f>IF(ROW(E952)&lt;=Bidding!$D$11,Raw_hydro_bm!F952,"")</f>
        <v/>
      </c>
      <c r="F952" t="str">
        <f>IF(ROW(F952)&lt;=Bidding!$D$11,Raw_hydro_bm!G952,"")</f>
        <v/>
      </c>
      <c r="G952" t="str">
        <f>IF(ROW(G952)&lt;=Bidding!$D$11,Raw_hydro_bm!H952,"")</f>
        <v/>
      </c>
      <c r="H952" t="str">
        <f>IF(ROW(H952)&lt;=Bidding!$D$11,Raw_hydro_bm!I952,"")</f>
        <v/>
      </c>
      <c r="I952" s="16" t="str">
        <f t="shared" si="14"/>
        <v/>
      </c>
    </row>
    <row r="953" spans="1:9" x14ac:dyDescent="0.3">
      <c r="A953" t="str">
        <f>IF(ROW(A953)&lt;=Bidding!$D$11,Raw_hydro_bm!B953,"")</f>
        <v/>
      </c>
      <c r="B953" t="str">
        <f>IF(ROW(B953)&lt;=Bidding!$D$11,Raw_hydro_bm!C953,"")</f>
        <v/>
      </c>
      <c r="C953" t="str">
        <f>IF(ROW(C953)&lt;=Bidding!$D$11,Raw_hydro_bm!D953,"")</f>
        <v/>
      </c>
      <c r="D953" t="str">
        <f>IF(ROW(D953)&lt;=Bidding!$D$11,Raw_hydro_bm!E953,"")</f>
        <v/>
      </c>
      <c r="E953" t="str">
        <f>IF(ROW(E953)&lt;=Bidding!$D$11,Raw_hydro_bm!F953,"")</f>
        <v/>
      </c>
      <c r="F953" t="str">
        <f>IF(ROW(F953)&lt;=Bidding!$D$11,Raw_hydro_bm!G953,"")</f>
        <v/>
      </c>
      <c r="G953" t="str">
        <f>IF(ROW(G953)&lt;=Bidding!$D$11,Raw_hydro_bm!H953,"")</f>
        <v/>
      </c>
      <c r="H953" t="str">
        <f>IF(ROW(H953)&lt;=Bidding!$D$11,Raw_hydro_bm!I953,"")</f>
        <v/>
      </c>
      <c r="I953" s="16" t="str">
        <f t="shared" si="14"/>
        <v/>
      </c>
    </row>
    <row r="954" spans="1:9" x14ac:dyDescent="0.3">
      <c r="A954" t="str">
        <f>IF(ROW(A954)&lt;=Bidding!$D$11,Raw_hydro_bm!B954,"")</f>
        <v/>
      </c>
      <c r="B954" t="str">
        <f>IF(ROW(B954)&lt;=Bidding!$D$11,Raw_hydro_bm!C954,"")</f>
        <v/>
      </c>
      <c r="C954" t="str">
        <f>IF(ROW(C954)&lt;=Bidding!$D$11,Raw_hydro_bm!D954,"")</f>
        <v/>
      </c>
      <c r="D954" t="str">
        <f>IF(ROW(D954)&lt;=Bidding!$D$11,Raw_hydro_bm!E954,"")</f>
        <v/>
      </c>
      <c r="E954" t="str">
        <f>IF(ROW(E954)&lt;=Bidding!$D$11,Raw_hydro_bm!F954,"")</f>
        <v/>
      </c>
      <c r="F954" t="str">
        <f>IF(ROW(F954)&lt;=Bidding!$D$11,Raw_hydro_bm!G954,"")</f>
        <v/>
      </c>
      <c r="G954" t="str">
        <f>IF(ROW(G954)&lt;=Bidding!$D$11,Raw_hydro_bm!H954,"")</f>
        <v/>
      </c>
      <c r="H954" t="str">
        <f>IF(ROW(H954)&lt;=Bidding!$D$11,Raw_hydro_bm!I954,"")</f>
        <v/>
      </c>
      <c r="I954" s="16" t="str">
        <f t="shared" si="14"/>
        <v/>
      </c>
    </row>
    <row r="955" spans="1:9" x14ac:dyDescent="0.3">
      <c r="A955" t="str">
        <f>IF(ROW(A955)&lt;=Bidding!$D$11,Raw_hydro_bm!B955,"")</f>
        <v/>
      </c>
      <c r="B955" t="str">
        <f>IF(ROW(B955)&lt;=Bidding!$D$11,Raw_hydro_bm!C955,"")</f>
        <v/>
      </c>
      <c r="C955" t="str">
        <f>IF(ROW(C955)&lt;=Bidding!$D$11,Raw_hydro_bm!D955,"")</f>
        <v/>
      </c>
      <c r="D955" t="str">
        <f>IF(ROW(D955)&lt;=Bidding!$D$11,Raw_hydro_bm!E955,"")</f>
        <v/>
      </c>
      <c r="E955" t="str">
        <f>IF(ROW(E955)&lt;=Bidding!$D$11,Raw_hydro_bm!F955,"")</f>
        <v/>
      </c>
      <c r="F955" t="str">
        <f>IF(ROW(F955)&lt;=Bidding!$D$11,Raw_hydro_bm!G955,"")</f>
        <v/>
      </c>
      <c r="G955" t="str">
        <f>IF(ROW(G955)&lt;=Bidding!$D$11,Raw_hydro_bm!H955,"")</f>
        <v/>
      </c>
      <c r="H955" t="str">
        <f>IF(ROW(H955)&lt;=Bidding!$D$11,Raw_hydro_bm!I955,"")</f>
        <v/>
      </c>
      <c r="I955" s="16" t="str">
        <f t="shared" si="14"/>
        <v/>
      </c>
    </row>
    <row r="956" spans="1:9" x14ac:dyDescent="0.3">
      <c r="A956" t="str">
        <f>IF(ROW(A956)&lt;=Bidding!$D$11,Raw_hydro_bm!B956,"")</f>
        <v/>
      </c>
      <c r="B956" t="str">
        <f>IF(ROW(B956)&lt;=Bidding!$D$11,Raw_hydro_bm!C956,"")</f>
        <v/>
      </c>
      <c r="C956" t="str">
        <f>IF(ROW(C956)&lt;=Bidding!$D$11,Raw_hydro_bm!D956,"")</f>
        <v/>
      </c>
      <c r="D956" t="str">
        <f>IF(ROW(D956)&lt;=Bidding!$D$11,Raw_hydro_bm!E956,"")</f>
        <v/>
      </c>
      <c r="E956" t="str">
        <f>IF(ROW(E956)&lt;=Bidding!$D$11,Raw_hydro_bm!F956,"")</f>
        <v/>
      </c>
      <c r="F956" t="str">
        <f>IF(ROW(F956)&lt;=Bidding!$D$11,Raw_hydro_bm!G956,"")</f>
        <v/>
      </c>
      <c r="G956" t="str">
        <f>IF(ROW(G956)&lt;=Bidding!$D$11,Raw_hydro_bm!H956,"")</f>
        <v/>
      </c>
      <c r="H956" t="str">
        <f>IF(ROW(H956)&lt;=Bidding!$D$11,Raw_hydro_bm!I956,"")</f>
        <v/>
      </c>
      <c r="I956" s="16" t="str">
        <f t="shared" si="14"/>
        <v/>
      </c>
    </row>
    <row r="957" spans="1:9" x14ac:dyDescent="0.3">
      <c r="A957" t="str">
        <f>IF(ROW(A957)&lt;=Bidding!$D$11,Raw_hydro_bm!B957,"")</f>
        <v/>
      </c>
      <c r="B957" t="str">
        <f>IF(ROW(B957)&lt;=Bidding!$D$11,Raw_hydro_bm!C957,"")</f>
        <v/>
      </c>
      <c r="C957" t="str">
        <f>IF(ROW(C957)&lt;=Bidding!$D$11,Raw_hydro_bm!D957,"")</f>
        <v/>
      </c>
      <c r="D957" t="str">
        <f>IF(ROW(D957)&lt;=Bidding!$D$11,Raw_hydro_bm!E957,"")</f>
        <v/>
      </c>
      <c r="E957" t="str">
        <f>IF(ROW(E957)&lt;=Bidding!$D$11,Raw_hydro_bm!F957,"")</f>
        <v/>
      </c>
      <c r="F957" t="str">
        <f>IF(ROW(F957)&lt;=Bidding!$D$11,Raw_hydro_bm!G957,"")</f>
        <v/>
      </c>
      <c r="G957" t="str">
        <f>IF(ROW(G957)&lt;=Bidding!$D$11,Raw_hydro_bm!H957,"")</f>
        <v/>
      </c>
      <c r="H957" t="str">
        <f>IF(ROW(H957)&lt;=Bidding!$D$11,Raw_hydro_bm!I957,"")</f>
        <v/>
      </c>
      <c r="I957" s="16" t="str">
        <f t="shared" si="14"/>
        <v/>
      </c>
    </row>
    <row r="958" spans="1:9" x14ac:dyDescent="0.3">
      <c r="A958" t="str">
        <f>IF(ROW(A958)&lt;=Bidding!$D$11,Raw_hydro_bm!B958,"")</f>
        <v/>
      </c>
      <c r="B958" t="str">
        <f>IF(ROW(B958)&lt;=Bidding!$D$11,Raw_hydro_bm!C958,"")</f>
        <v/>
      </c>
      <c r="C958" t="str">
        <f>IF(ROW(C958)&lt;=Bidding!$D$11,Raw_hydro_bm!D958,"")</f>
        <v/>
      </c>
      <c r="D958" t="str">
        <f>IF(ROW(D958)&lt;=Bidding!$D$11,Raw_hydro_bm!E958,"")</f>
        <v/>
      </c>
      <c r="E958" t="str">
        <f>IF(ROW(E958)&lt;=Bidding!$D$11,Raw_hydro_bm!F958,"")</f>
        <v/>
      </c>
      <c r="F958" t="str">
        <f>IF(ROW(F958)&lt;=Bidding!$D$11,Raw_hydro_bm!G958,"")</f>
        <v/>
      </c>
      <c r="G958" t="str">
        <f>IF(ROW(G958)&lt;=Bidding!$D$11,Raw_hydro_bm!H958,"")</f>
        <v/>
      </c>
      <c r="H958" t="str">
        <f>IF(ROW(H958)&lt;=Bidding!$D$11,Raw_hydro_bm!I958,"")</f>
        <v/>
      </c>
      <c r="I958" s="16" t="str">
        <f t="shared" si="14"/>
        <v/>
      </c>
    </row>
    <row r="959" spans="1:9" x14ac:dyDescent="0.3">
      <c r="A959" t="str">
        <f>IF(ROW(A959)&lt;=Bidding!$D$11,Raw_hydro_bm!B959,"")</f>
        <v/>
      </c>
      <c r="B959" t="str">
        <f>IF(ROW(B959)&lt;=Bidding!$D$11,Raw_hydro_bm!C959,"")</f>
        <v/>
      </c>
      <c r="C959" t="str">
        <f>IF(ROW(C959)&lt;=Bidding!$D$11,Raw_hydro_bm!D959,"")</f>
        <v/>
      </c>
      <c r="D959" t="str">
        <f>IF(ROW(D959)&lt;=Bidding!$D$11,Raw_hydro_bm!E959,"")</f>
        <v/>
      </c>
      <c r="E959" t="str">
        <f>IF(ROW(E959)&lt;=Bidding!$D$11,Raw_hydro_bm!F959,"")</f>
        <v/>
      </c>
      <c r="F959" t="str">
        <f>IF(ROW(F959)&lt;=Bidding!$D$11,Raw_hydro_bm!G959,"")</f>
        <v/>
      </c>
      <c r="G959" t="str">
        <f>IF(ROW(G959)&lt;=Bidding!$D$11,Raw_hydro_bm!H959,"")</f>
        <v/>
      </c>
      <c r="H959" t="str">
        <f>IF(ROW(H959)&lt;=Bidding!$D$11,Raw_hydro_bm!I959,"")</f>
        <v/>
      </c>
      <c r="I959" s="16" t="str">
        <f t="shared" si="14"/>
        <v/>
      </c>
    </row>
    <row r="960" spans="1:9" x14ac:dyDescent="0.3">
      <c r="A960" t="str">
        <f>IF(ROW(A960)&lt;=Bidding!$D$11,Raw_hydro_bm!B960,"")</f>
        <v/>
      </c>
      <c r="B960" t="str">
        <f>IF(ROW(B960)&lt;=Bidding!$D$11,Raw_hydro_bm!C960,"")</f>
        <v/>
      </c>
      <c r="C960" t="str">
        <f>IF(ROW(C960)&lt;=Bidding!$D$11,Raw_hydro_bm!D960,"")</f>
        <v/>
      </c>
      <c r="D960" t="str">
        <f>IF(ROW(D960)&lt;=Bidding!$D$11,Raw_hydro_bm!E960,"")</f>
        <v/>
      </c>
      <c r="E960" t="str">
        <f>IF(ROW(E960)&lt;=Bidding!$D$11,Raw_hydro_bm!F960,"")</f>
        <v/>
      </c>
      <c r="F960" t="str">
        <f>IF(ROW(F960)&lt;=Bidding!$D$11,Raw_hydro_bm!G960,"")</f>
        <v/>
      </c>
      <c r="G960" t="str">
        <f>IF(ROW(G960)&lt;=Bidding!$D$11,Raw_hydro_bm!H960,"")</f>
        <v/>
      </c>
      <c r="H960" t="str">
        <f>IF(ROW(H960)&lt;=Bidding!$D$11,Raw_hydro_bm!I960,"")</f>
        <v/>
      </c>
      <c r="I960" s="16" t="str">
        <f t="shared" si="14"/>
        <v/>
      </c>
    </row>
    <row r="961" spans="1:9" x14ac:dyDescent="0.3">
      <c r="A961" t="str">
        <f>IF(ROW(A961)&lt;=Bidding!$D$11,Raw_hydro_bm!B961,"")</f>
        <v/>
      </c>
      <c r="B961" t="str">
        <f>IF(ROW(B961)&lt;=Bidding!$D$11,Raw_hydro_bm!C961,"")</f>
        <v/>
      </c>
      <c r="C961" t="str">
        <f>IF(ROW(C961)&lt;=Bidding!$D$11,Raw_hydro_bm!D961,"")</f>
        <v/>
      </c>
      <c r="D961" t="str">
        <f>IF(ROW(D961)&lt;=Bidding!$D$11,Raw_hydro_bm!E961,"")</f>
        <v/>
      </c>
      <c r="E961" t="str">
        <f>IF(ROW(E961)&lt;=Bidding!$D$11,Raw_hydro_bm!F961,"")</f>
        <v/>
      </c>
      <c r="F961" t="str">
        <f>IF(ROW(F961)&lt;=Bidding!$D$11,Raw_hydro_bm!G961,"")</f>
        <v/>
      </c>
      <c r="G961" t="str">
        <f>IF(ROW(G961)&lt;=Bidding!$D$11,Raw_hydro_bm!H961,"")</f>
        <v/>
      </c>
      <c r="H961" t="str">
        <f>IF(ROW(H961)&lt;=Bidding!$D$11,Raw_hydro_bm!I961,"")</f>
        <v/>
      </c>
      <c r="I961" s="16" t="str">
        <f t="shared" si="14"/>
        <v/>
      </c>
    </row>
    <row r="962" spans="1:9" x14ac:dyDescent="0.3">
      <c r="A962" t="str">
        <f>IF(ROW(A962)&lt;=Bidding!$D$11,Raw_hydro_bm!B962,"")</f>
        <v/>
      </c>
      <c r="B962" t="str">
        <f>IF(ROW(B962)&lt;=Bidding!$D$11,Raw_hydro_bm!C962,"")</f>
        <v/>
      </c>
      <c r="C962" t="str">
        <f>IF(ROW(C962)&lt;=Bidding!$D$11,Raw_hydro_bm!D962,"")</f>
        <v/>
      </c>
      <c r="D962" t="str">
        <f>IF(ROW(D962)&lt;=Bidding!$D$11,Raw_hydro_bm!E962,"")</f>
        <v/>
      </c>
      <c r="E962" t="str">
        <f>IF(ROW(E962)&lt;=Bidding!$D$11,Raw_hydro_bm!F962,"")</f>
        <v/>
      </c>
      <c r="F962" t="str">
        <f>IF(ROW(F962)&lt;=Bidding!$D$11,Raw_hydro_bm!G962,"")</f>
        <v/>
      </c>
      <c r="G962" t="str">
        <f>IF(ROW(G962)&lt;=Bidding!$D$11,Raw_hydro_bm!H962,"")</f>
        <v/>
      </c>
      <c r="H962" t="str">
        <f>IF(ROW(H962)&lt;=Bidding!$D$11,Raw_hydro_bm!I962,"")</f>
        <v/>
      </c>
      <c r="I962" s="16" t="str">
        <f t="shared" ref="I962:I1025" si="15">IF(IFERROR(FIND("e",H962),-1)&lt;0,IFERROR(_xlfn.NUMBERVALUE(LEFT(H962,FIND(".",H962)-1))+_xlfn.NUMBERVALUE("0,"&amp;RIGHT(H962,LEN(H962)-FIND(".",H962))),""),0)</f>
        <v/>
      </c>
    </row>
    <row r="963" spans="1:9" x14ac:dyDescent="0.3">
      <c r="A963" t="str">
        <f>IF(ROW(A963)&lt;=Bidding!$D$11,Raw_hydro_bm!B963,"")</f>
        <v/>
      </c>
      <c r="B963" t="str">
        <f>IF(ROW(B963)&lt;=Bidding!$D$11,Raw_hydro_bm!C963,"")</f>
        <v/>
      </c>
      <c r="C963" t="str">
        <f>IF(ROW(C963)&lt;=Bidding!$D$11,Raw_hydro_bm!D963,"")</f>
        <v/>
      </c>
      <c r="D963" t="str">
        <f>IF(ROW(D963)&lt;=Bidding!$D$11,Raw_hydro_bm!E963,"")</f>
        <v/>
      </c>
      <c r="E963" t="str">
        <f>IF(ROW(E963)&lt;=Bidding!$D$11,Raw_hydro_bm!F963,"")</f>
        <v/>
      </c>
      <c r="F963" t="str">
        <f>IF(ROW(F963)&lt;=Bidding!$D$11,Raw_hydro_bm!G963,"")</f>
        <v/>
      </c>
      <c r="G963" t="str">
        <f>IF(ROW(G963)&lt;=Bidding!$D$11,Raw_hydro_bm!H963,"")</f>
        <v/>
      </c>
      <c r="H963" t="str">
        <f>IF(ROW(H963)&lt;=Bidding!$D$11,Raw_hydro_bm!I963,"")</f>
        <v/>
      </c>
      <c r="I963" s="16" t="str">
        <f t="shared" si="15"/>
        <v/>
      </c>
    </row>
    <row r="964" spans="1:9" x14ac:dyDescent="0.3">
      <c r="A964" t="str">
        <f>IF(ROW(A964)&lt;=Bidding!$D$11,Raw_hydro_bm!B964,"")</f>
        <v/>
      </c>
      <c r="B964" t="str">
        <f>IF(ROW(B964)&lt;=Bidding!$D$11,Raw_hydro_bm!C964,"")</f>
        <v/>
      </c>
      <c r="C964" t="str">
        <f>IF(ROW(C964)&lt;=Bidding!$D$11,Raw_hydro_bm!D964,"")</f>
        <v/>
      </c>
      <c r="D964" t="str">
        <f>IF(ROW(D964)&lt;=Bidding!$D$11,Raw_hydro_bm!E964,"")</f>
        <v/>
      </c>
      <c r="E964" t="str">
        <f>IF(ROW(E964)&lt;=Bidding!$D$11,Raw_hydro_bm!F964,"")</f>
        <v/>
      </c>
      <c r="F964" t="str">
        <f>IF(ROW(F964)&lt;=Bidding!$D$11,Raw_hydro_bm!G964,"")</f>
        <v/>
      </c>
      <c r="G964" t="str">
        <f>IF(ROW(G964)&lt;=Bidding!$D$11,Raw_hydro_bm!H964,"")</f>
        <v/>
      </c>
      <c r="H964" t="str">
        <f>IF(ROW(H964)&lt;=Bidding!$D$11,Raw_hydro_bm!I964,"")</f>
        <v/>
      </c>
      <c r="I964" s="16" t="str">
        <f t="shared" si="15"/>
        <v/>
      </c>
    </row>
    <row r="965" spans="1:9" x14ac:dyDescent="0.3">
      <c r="A965" t="str">
        <f>IF(ROW(A965)&lt;=Bidding!$D$11,Raw_hydro_bm!B965,"")</f>
        <v/>
      </c>
      <c r="B965" t="str">
        <f>IF(ROW(B965)&lt;=Bidding!$D$11,Raw_hydro_bm!C965,"")</f>
        <v/>
      </c>
      <c r="C965" t="str">
        <f>IF(ROW(C965)&lt;=Bidding!$D$11,Raw_hydro_bm!D965,"")</f>
        <v/>
      </c>
      <c r="D965" t="str">
        <f>IF(ROW(D965)&lt;=Bidding!$D$11,Raw_hydro_bm!E965,"")</f>
        <v/>
      </c>
      <c r="E965" t="str">
        <f>IF(ROW(E965)&lt;=Bidding!$D$11,Raw_hydro_bm!F965,"")</f>
        <v/>
      </c>
      <c r="F965" t="str">
        <f>IF(ROW(F965)&lt;=Bidding!$D$11,Raw_hydro_bm!G965,"")</f>
        <v/>
      </c>
      <c r="G965" t="str">
        <f>IF(ROW(G965)&lt;=Bidding!$D$11,Raw_hydro_bm!H965,"")</f>
        <v/>
      </c>
      <c r="H965" t="str">
        <f>IF(ROW(H965)&lt;=Bidding!$D$11,Raw_hydro_bm!I965,"")</f>
        <v/>
      </c>
      <c r="I965" s="16" t="str">
        <f t="shared" si="15"/>
        <v/>
      </c>
    </row>
    <row r="966" spans="1:9" x14ac:dyDescent="0.3">
      <c r="A966" t="str">
        <f>IF(ROW(A966)&lt;=Bidding!$D$11,Raw_hydro_bm!B966,"")</f>
        <v/>
      </c>
      <c r="B966" t="str">
        <f>IF(ROW(B966)&lt;=Bidding!$D$11,Raw_hydro_bm!C966,"")</f>
        <v/>
      </c>
      <c r="C966" t="str">
        <f>IF(ROW(C966)&lt;=Bidding!$D$11,Raw_hydro_bm!D966,"")</f>
        <v/>
      </c>
      <c r="D966" t="str">
        <f>IF(ROW(D966)&lt;=Bidding!$D$11,Raw_hydro_bm!E966,"")</f>
        <v/>
      </c>
      <c r="E966" t="str">
        <f>IF(ROW(E966)&lt;=Bidding!$D$11,Raw_hydro_bm!F966,"")</f>
        <v/>
      </c>
      <c r="F966" t="str">
        <f>IF(ROW(F966)&lt;=Bidding!$D$11,Raw_hydro_bm!G966,"")</f>
        <v/>
      </c>
      <c r="G966" t="str">
        <f>IF(ROW(G966)&lt;=Bidding!$D$11,Raw_hydro_bm!H966,"")</f>
        <v/>
      </c>
      <c r="H966" t="str">
        <f>IF(ROW(H966)&lt;=Bidding!$D$11,Raw_hydro_bm!I966,"")</f>
        <v/>
      </c>
      <c r="I966" s="16" t="str">
        <f t="shared" si="15"/>
        <v/>
      </c>
    </row>
    <row r="967" spans="1:9" x14ac:dyDescent="0.3">
      <c r="A967" t="str">
        <f>IF(ROW(A967)&lt;=Bidding!$D$11,Raw_hydro_bm!B967,"")</f>
        <v/>
      </c>
      <c r="B967" t="str">
        <f>IF(ROW(B967)&lt;=Bidding!$D$11,Raw_hydro_bm!C967,"")</f>
        <v/>
      </c>
      <c r="C967" t="str">
        <f>IF(ROW(C967)&lt;=Bidding!$D$11,Raw_hydro_bm!D967,"")</f>
        <v/>
      </c>
      <c r="D967" t="str">
        <f>IF(ROW(D967)&lt;=Bidding!$D$11,Raw_hydro_bm!E967,"")</f>
        <v/>
      </c>
      <c r="E967" t="str">
        <f>IF(ROW(E967)&lt;=Bidding!$D$11,Raw_hydro_bm!F967,"")</f>
        <v/>
      </c>
      <c r="F967" t="str">
        <f>IF(ROW(F967)&lt;=Bidding!$D$11,Raw_hydro_bm!G967,"")</f>
        <v/>
      </c>
      <c r="G967" t="str">
        <f>IF(ROW(G967)&lt;=Bidding!$D$11,Raw_hydro_bm!H967,"")</f>
        <v/>
      </c>
      <c r="H967" t="str">
        <f>IF(ROW(H967)&lt;=Bidding!$D$11,Raw_hydro_bm!I967,"")</f>
        <v/>
      </c>
      <c r="I967" s="16" t="str">
        <f t="shared" si="15"/>
        <v/>
      </c>
    </row>
    <row r="968" spans="1:9" x14ac:dyDescent="0.3">
      <c r="A968" t="str">
        <f>IF(ROW(A968)&lt;=Bidding!$D$11,Raw_hydro_bm!B968,"")</f>
        <v/>
      </c>
      <c r="B968" t="str">
        <f>IF(ROW(B968)&lt;=Bidding!$D$11,Raw_hydro_bm!C968,"")</f>
        <v/>
      </c>
      <c r="C968" t="str">
        <f>IF(ROW(C968)&lt;=Bidding!$D$11,Raw_hydro_bm!D968,"")</f>
        <v/>
      </c>
      <c r="D968" t="str">
        <f>IF(ROW(D968)&lt;=Bidding!$D$11,Raw_hydro_bm!E968,"")</f>
        <v/>
      </c>
      <c r="E968" t="str">
        <f>IF(ROW(E968)&lt;=Bidding!$D$11,Raw_hydro_bm!F968,"")</f>
        <v/>
      </c>
      <c r="F968" t="str">
        <f>IF(ROW(F968)&lt;=Bidding!$D$11,Raw_hydro_bm!G968,"")</f>
        <v/>
      </c>
      <c r="G968" t="str">
        <f>IF(ROW(G968)&lt;=Bidding!$D$11,Raw_hydro_bm!H968,"")</f>
        <v/>
      </c>
      <c r="H968" t="str">
        <f>IF(ROW(H968)&lt;=Bidding!$D$11,Raw_hydro_bm!I968,"")</f>
        <v/>
      </c>
      <c r="I968" s="16" t="str">
        <f t="shared" si="15"/>
        <v/>
      </c>
    </row>
    <row r="969" spans="1:9" x14ac:dyDescent="0.3">
      <c r="A969" t="str">
        <f>IF(ROW(A969)&lt;=Bidding!$D$11,Raw_hydro_bm!B969,"")</f>
        <v/>
      </c>
      <c r="B969" t="str">
        <f>IF(ROW(B969)&lt;=Bidding!$D$11,Raw_hydro_bm!C969,"")</f>
        <v/>
      </c>
      <c r="C969" t="str">
        <f>IF(ROW(C969)&lt;=Bidding!$D$11,Raw_hydro_bm!D969,"")</f>
        <v/>
      </c>
      <c r="D969" t="str">
        <f>IF(ROW(D969)&lt;=Bidding!$D$11,Raw_hydro_bm!E969,"")</f>
        <v/>
      </c>
      <c r="E969" t="str">
        <f>IF(ROW(E969)&lt;=Bidding!$D$11,Raw_hydro_bm!F969,"")</f>
        <v/>
      </c>
      <c r="F969" t="str">
        <f>IF(ROW(F969)&lt;=Bidding!$D$11,Raw_hydro_bm!G969,"")</f>
        <v/>
      </c>
      <c r="G969" t="str">
        <f>IF(ROW(G969)&lt;=Bidding!$D$11,Raw_hydro_bm!H969,"")</f>
        <v/>
      </c>
      <c r="H969" t="str">
        <f>IF(ROW(H969)&lt;=Bidding!$D$11,Raw_hydro_bm!I969,"")</f>
        <v/>
      </c>
      <c r="I969" s="16" t="str">
        <f t="shared" si="15"/>
        <v/>
      </c>
    </row>
    <row r="970" spans="1:9" x14ac:dyDescent="0.3">
      <c r="A970" t="str">
        <f>IF(ROW(A970)&lt;=Bidding!$D$11,Raw_hydro_bm!B970,"")</f>
        <v/>
      </c>
      <c r="B970" t="str">
        <f>IF(ROW(B970)&lt;=Bidding!$D$11,Raw_hydro_bm!C970,"")</f>
        <v/>
      </c>
      <c r="C970" t="str">
        <f>IF(ROW(C970)&lt;=Bidding!$D$11,Raw_hydro_bm!D970,"")</f>
        <v/>
      </c>
      <c r="D970" t="str">
        <f>IF(ROW(D970)&lt;=Bidding!$D$11,Raw_hydro_bm!E970,"")</f>
        <v/>
      </c>
      <c r="E970" t="str">
        <f>IF(ROW(E970)&lt;=Bidding!$D$11,Raw_hydro_bm!F970,"")</f>
        <v/>
      </c>
      <c r="F970" t="str">
        <f>IF(ROW(F970)&lt;=Bidding!$D$11,Raw_hydro_bm!G970,"")</f>
        <v/>
      </c>
      <c r="G970" t="str">
        <f>IF(ROW(G970)&lt;=Bidding!$D$11,Raw_hydro_bm!H970,"")</f>
        <v/>
      </c>
      <c r="H970" t="str">
        <f>IF(ROW(H970)&lt;=Bidding!$D$11,Raw_hydro_bm!I970,"")</f>
        <v/>
      </c>
      <c r="I970" s="16" t="str">
        <f t="shared" si="15"/>
        <v/>
      </c>
    </row>
    <row r="971" spans="1:9" x14ac:dyDescent="0.3">
      <c r="A971" t="str">
        <f>IF(ROW(A971)&lt;=Bidding!$D$11,Raw_hydro_bm!B971,"")</f>
        <v/>
      </c>
      <c r="B971" t="str">
        <f>IF(ROW(B971)&lt;=Bidding!$D$11,Raw_hydro_bm!C971,"")</f>
        <v/>
      </c>
      <c r="C971" t="str">
        <f>IF(ROW(C971)&lt;=Bidding!$D$11,Raw_hydro_bm!D971,"")</f>
        <v/>
      </c>
      <c r="D971" t="str">
        <f>IF(ROW(D971)&lt;=Bidding!$D$11,Raw_hydro_bm!E971,"")</f>
        <v/>
      </c>
      <c r="E971" t="str">
        <f>IF(ROW(E971)&lt;=Bidding!$D$11,Raw_hydro_bm!F971,"")</f>
        <v/>
      </c>
      <c r="F971" t="str">
        <f>IF(ROW(F971)&lt;=Bidding!$D$11,Raw_hydro_bm!G971,"")</f>
        <v/>
      </c>
      <c r="G971" t="str">
        <f>IF(ROW(G971)&lt;=Bidding!$D$11,Raw_hydro_bm!H971,"")</f>
        <v/>
      </c>
      <c r="H971" t="str">
        <f>IF(ROW(H971)&lt;=Bidding!$D$11,Raw_hydro_bm!I971,"")</f>
        <v/>
      </c>
      <c r="I971" s="16" t="str">
        <f t="shared" si="15"/>
        <v/>
      </c>
    </row>
    <row r="972" spans="1:9" x14ac:dyDescent="0.3">
      <c r="A972" t="str">
        <f>IF(ROW(A972)&lt;=Bidding!$D$11,Raw_hydro_bm!B972,"")</f>
        <v/>
      </c>
      <c r="B972" t="str">
        <f>IF(ROW(B972)&lt;=Bidding!$D$11,Raw_hydro_bm!C972,"")</f>
        <v/>
      </c>
      <c r="C972" t="str">
        <f>IF(ROW(C972)&lt;=Bidding!$D$11,Raw_hydro_bm!D972,"")</f>
        <v/>
      </c>
      <c r="D972" t="str">
        <f>IF(ROW(D972)&lt;=Bidding!$D$11,Raw_hydro_bm!E972,"")</f>
        <v/>
      </c>
      <c r="E972" t="str">
        <f>IF(ROW(E972)&lt;=Bidding!$D$11,Raw_hydro_bm!F972,"")</f>
        <v/>
      </c>
      <c r="F972" t="str">
        <f>IF(ROW(F972)&lt;=Bidding!$D$11,Raw_hydro_bm!G972,"")</f>
        <v/>
      </c>
      <c r="G972" t="str">
        <f>IF(ROW(G972)&lt;=Bidding!$D$11,Raw_hydro_bm!H972,"")</f>
        <v/>
      </c>
      <c r="H972" t="str">
        <f>IF(ROW(H972)&lt;=Bidding!$D$11,Raw_hydro_bm!I972,"")</f>
        <v/>
      </c>
      <c r="I972" s="16" t="str">
        <f t="shared" si="15"/>
        <v/>
      </c>
    </row>
    <row r="973" spans="1:9" x14ac:dyDescent="0.3">
      <c r="A973" t="str">
        <f>IF(ROW(A973)&lt;=Bidding!$D$11,Raw_hydro_bm!B973,"")</f>
        <v/>
      </c>
      <c r="B973" t="str">
        <f>IF(ROW(B973)&lt;=Bidding!$D$11,Raw_hydro_bm!C973,"")</f>
        <v/>
      </c>
      <c r="C973" t="str">
        <f>IF(ROW(C973)&lt;=Bidding!$D$11,Raw_hydro_bm!D973,"")</f>
        <v/>
      </c>
      <c r="D973" t="str">
        <f>IF(ROW(D973)&lt;=Bidding!$D$11,Raw_hydro_bm!E973,"")</f>
        <v/>
      </c>
      <c r="E973" t="str">
        <f>IF(ROW(E973)&lt;=Bidding!$D$11,Raw_hydro_bm!F973,"")</f>
        <v/>
      </c>
      <c r="F973" t="str">
        <f>IF(ROW(F973)&lt;=Bidding!$D$11,Raw_hydro_bm!G973,"")</f>
        <v/>
      </c>
      <c r="G973" t="str">
        <f>IF(ROW(G973)&lt;=Bidding!$D$11,Raw_hydro_bm!H973,"")</f>
        <v/>
      </c>
      <c r="H973" t="str">
        <f>IF(ROW(H973)&lt;=Bidding!$D$11,Raw_hydro_bm!I973,"")</f>
        <v/>
      </c>
      <c r="I973" s="16" t="str">
        <f t="shared" si="15"/>
        <v/>
      </c>
    </row>
    <row r="974" spans="1:9" x14ac:dyDescent="0.3">
      <c r="A974" t="str">
        <f>IF(ROW(A974)&lt;=Bidding!$D$11,Raw_hydro_bm!B974,"")</f>
        <v/>
      </c>
      <c r="B974" t="str">
        <f>IF(ROW(B974)&lt;=Bidding!$D$11,Raw_hydro_bm!C974,"")</f>
        <v/>
      </c>
      <c r="C974" t="str">
        <f>IF(ROW(C974)&lt;=Bidding!$D$11,Raw_hydro_bm!D974,"")</f>
        <v/>
      </c>
      <c r="D974" t="str">
        <f>IF(ROW(D974)&lt;=Bidding!$D$11,Raw_hydro_bm!E974,"")</f>
        <v/>
      </c>
      <c r="E974" t="str">
        <f>IF(ROW(E974)&lt;=Bidding!$D$11,Raw_hydro_bm!F974,"")</f>
        <v/>
      </c>
      <c r="F974" t="str">
        <f>IF(ROW(F974)&lt;=Bidding!$D$11,Raw_hydro_bm!G974,"")</f>
        <v/>
      </c>
      <c r="G974" t="str">
        <f>IF(ROW(G974)&lt;=Bidding!$D$11,Raw_hydro_bm!H974,"")</f>
        <v/>
      </c>
      <c r="H974" t="str">
        <f>IF(ROW(H974)&lt;=Bidding!$D$11,Raw_hydro_bm!I974,"")</f>
        <v/>
      </c>
      <c r="I974" s="16" t="str">
        <f t="shared" si="15"/>
        <v/>
      </c>
    </row>
    <row r="975" spans="1:9" x14ac:dyDescent="0.3">
      <c r="A975" t="str">
        <f>IF(ROW(A975)&lt;=Bidding!$D$11,Raw_hydro_bm!B975,"")</f>
        <v/>
      </c>
      <c r="B975" t="str">
        <f>IF(ROW(B975)&lt;=Bidding!$D$11,Raw_hydro_bm!C975,"")</f>
        <v/>
      </c>
      <c r="C975" t="str">
        <f>IF(ROW(C975)&lt;=Bidding!$D$11,Raw_hydro_bm!D975,"")</f>
        <v/>
      </c>
      <c r="D975" t="str">
        <f>IF(ROW(D975)&lt;=Bidding!$D$11,Raw_hydro_bm!E975,"")</f>
        <v/>
      </c>
      <c r="E975" t="str">
        <f>IF(ROW(E975)&lt;=Bidding!$D$11,Raw_hydro_bm!F975,"")</f>
        <v/>
      </c>
      <c r="F975" t="str">
        <f>IF(ROW(F975)&lt;=Bidding!$D$11,Raw_hydro_bm!G975,"")</f>
        <v/>
      </c>
      <c r="G975" t="str">
        <f>IF(ROW(G975)&lt;=Bidding!$D$11,Raw_hydro_bm!H975,"")</f>
        <v/>
      </c>
      <c r="H975" t="str">
        <f>IF(ROW(H975)&lt;=Bidding!$D$11,Raw_hydro_bm!I975,"")</f>
        <v/>
      </c>
      <c r="I975" s="16" t="str">
        <f t="shared" si="15"/>
        <v/>
      </c>
    </row>
    <row r="976" spans="1:9" x14ac:dyDescent="0.3">
      <c r="A976" t="str">
        <f>IF(ROW(A976)&lt;=Bidding!$D$11,Raw_hydro_bm!B976,"")</f>
        <v/>
      </c>
      <c r="B976" t="str">
        <f>IF(ROW(B976)&lt;=Bidding!$D$11,Raw_hydro_bm!C976,"")</f>
        <v/>
      </c>
      <c r="C976" t="str">
        <f>IF(ROW(C976)&lt;=Bidding!$D$11,Raw_hydro_bm!D976,"")</f>
        <v/>
      </c>
      <c r="D976" t="str">
        <f>IF(ROW(D976)&lt;=Bidding!$D$11,Raw_hydro_bm!E976,"")</f>
        <v/>
      </c>
      <c r="E976" t="str">
        <f>IF(ROW(E976)&lt;=Bidding!$D$11,Raw_hydro_bm!F976,"")</f>
        <v/>
      </c>
      <c r="F976" t="str">
        <f>IF(ROW(F976)&lt;=Bidding!$D$11,Raw_hydro_bm!G976,"")</f>
        <v/>
      </c>
      <c r="G976" t="str">
        <f>IF(ROW(G976)&lt;=Bidding!$D$11,Raw_hydro_bm!H976,"")</f>
        <v/>
      </c>
      <c r="H976" t="str">
        <f>IF(ROW(H976)&lt;=Bidding!$D$11,Raw_hydro_bm!I976,"")</f>
        <v/>
      </c>
      <c r="I976" s="16" t="str">
        <f t="shared" si="15"/>
        <v/>
      </c>
    </row>
    <row r="977" spans="1:9" x14ac:dyDescent="0.3">
      <c r="A977" t="str">
        <f>IF(ROW(A977)&lt;=Bidding!$D$11,Raw_hydro_bm!B977,"")</f>
        <v/>
      </c>
      <c r="B977" t="str">
        <f>IF(ROW(B977)&lt;=Bidding!$D$11,Raw_hydro_bm!C977,"")</f>
        <v/>
      </c>
      <c r="C977" t="str">
        <f>IF(ROW(C977)&lt;=Bidding!$D$11,Raw_hydro_bm!D977,"")</f>
        <v/>
      </c>
      <c r="D977" t="str">
        <f>IF(ROW(D977)&lt;=Bidding!$D$11,Raw_hydro_bm!E977,"")</f>
        <v/>
      </c>
      <c r="E977" t="str">
        <f>IF(ROW(E977)&lt;=Bidding!$D$11,Raw_hydro_bm!F977,"")</f>
        <v/>
      </c>
      <c r="F977" t="str">
        <f>IF(ROW(F977)&lt;=Bidding!$D$11,Raw_hydro_bm!G977,"")</f>
        <v/>
      </c>
      <c r="G977" t="str">
        <f>IF(ROW(G977)&lt;=Bidding!$D$11,Raw_hydro_bm!H977,"")</f>
        <v/>
      </c>
      <c r="H977" t="str">
        <f>IF(ROW(H977)&lt;=Bidding!$D$11,Raw_hydro_bm!I977,"")</f>
        <v/>
      </c>
      <c r="I977" s="16" t="str">
        <f t="shared" si="15"/>
        <v/>
      </c>
    </row>
    <row r="978" spans="1:9" x14ac:dyDescent="0.3">
      <c r="A978" t="str">
        <f>IF(ROW(A978)&lt;=Bidding!$D$11,Raw_hydro_bm!B978,"")</f>
        <v/>
      </c>
      <c r="B978" t="str">
        <f>IF(ROW(B978)&lt;=Bidding!$D$11,Raw_hydro_bm!C978,"")</f>
        <v/>
      </c>
      <c r="C978" t="str">
        <f>IF(ROW(C978)&lt;=Bidding!$D$11,Raw_hydro_bm!D978,"")</f>
        <v/>
      </c>
      <c r="D978" t="str">
        <f>IF(ROW(D978)&lt;=Bidding!$D$11,Raw_hydro_bm!E978,"")</f>
        <v/>
      </c>
      <c r="E978" t="str">
        <f>IF(ROW(E978)&lt;=Bidding!$D$11,Raw_hydro_bm!F978,"")</f>
        <v/>
      </c>
      <c r="F978" t="str">
        <f>IF(ROW(F978)&lt;=Bidding!$D$11,Raw_hydro_bm!G978,"")</f>
        <v/>
      </c>
      <c r="G978" t="str">
        <f>IF(ROW(G978)&lt;=Bidding!$D$11,Raw_hydro_bm!H978,"")</f>
        <v/>
      </c>
      <c r="H978" t="str">
        <f>IF(ROW(H978)&lt;=Bidding!$D$11,Raw_hydro_bm!I978,"")</f>
        <v/>
      </c>
      <c r="I978" s="16" t="str">
        <f t="shared" si="15"/>
        <v/>
      </c>
    </row>
    <row r="979" spans="1:9" x14ac:dyDescent="0.3">
      <c r="A979" t="str">
        <f>IF(ROW(A979)&lt;=Bidding!$D$11,Raw_hydro_bm!B979,"")</f>
        <v/>
      </c>
      <c r="B979" t="str">
        <f>IF(ROW(B979)&lt;=Bidding!$D$11,Raw_hydro_bm!C979,"")</f>
        <v/>
      </c>
      <c r="C979" t="str">
        <f>IF(ROW(C979)&lt;=Bidding!$D$11,Raw_hydro_bm!D979,"")</f>
        <v/>
      </c>
      <c r="D979" t="str">
        <f>IF(ROW(D979)&lt;=Bidding!$D$11,Raw_hydro_bm!E979,"")</f>
        <v/>
      </c>
      <c r="E979" t="str">
        <f>IF(ROW(E979)&lt;=Bidding!$D$11,Raw_hydro_bm!F979,"")</f>
        <v/>
      </c>
      <c r="F979" t="str">
        <f>IF(ROW(F979)&lt;=Bidding!$D$11,Raw_hydro_bm!G979,"")</f>
        <v/>
      </c>
      <c r="G979" t="str">
        <f>IF(ROW(G979)&lt;=Bidding!$D$11,Raw_hydro_bm!H979,"")</f>
        <v/>
      </c>
      <c r="H979" t="str">
        <f>IF(ROW(H979)&lt;=Bidding!$D$11,Raw_hydro_bm!I979,"")</f>
        <v/>
      </c>
      <c r="I979" s="16" t="str">
        <f t="shared" si="15"/>
        <v/>
      </c>
    </row>
    <row r="980" spans="1:9" x14ac:dyDescent="0.3">
      <c r="A980" t="str">
        <f>IF(ROW(A980)&lt;=Bidding!$D$11,Raw_hydro_bm!B980,"")</f>
        <v/>
      </c>
      <c r="B980" t="str">
        <f>IF(ROW(B980)&lt;=Bidding!$D$11,Raw_hydro_bm!C980,"")</f>
        <v/>
      </c>
      <c r="C980" t="str">
        <f>IF(ROW(C980)&lt;=Bidding!$D$11,Raw_hydro_bm!D980,"")</f>
        <v/>
      </c>
      <c r="D980" t="str">
        <f>IF(ROW(D980)&lt;=Bidding!$D$11,Raw_hydro_bm!E980,"")</f>
        <v/>
      </c>
      <c r="E980" t="str">
        <f>IF(ROW(E980)&lt;=Bidding!$D$11,Raw_hydro_bm!F980,"")</f>
        <v/>
      </c>
      <c r="F980" t="str">
        <f>IF(ROW(F980)&lt;=Bidding!$D$11,Raw_hydro_bm!G980,"")</f>
        <v/>
      </c>
      <c r="G980" t="str">
        <f>IF(ROW(G980)&lt;=Bidding!$D$11,Raw_hydro_bm!H980,"")</f>
        <v/>
      </c>
      <c r="H980" t="str">
        <f>IF(ROW(H980)&lt;=Bidding!$D$11,Raw_hydro_bm!I980,"")</f>
        <v/>
      </c>
      <c r="I980" s="16" t="str">
        <f t="shared" si="15"/>
        <v/>
      </c>
    </row>
    <row r="981" spans="1:9" x14ac:dyDescent="0.3">
      <c r="A981" t="str">
        <f>IF(ROW(A981)&lt;=Bidding!$D$11,Raw_hydro_bm!B981,"")</f>
        <v/>
      </c>
      <c r="B981" t="str">
        <f>IF(ROW(B981)&lt;=Bidding!$D$11,Raw_hydro_bm!C981,"")</f>
        <v/>
      </c>
      <c r="C981" t="str">
        <f>IF(ROW(C981)&lt;=Bidding!$D$11,Raw_hydro_bm!D981,"")</f>
        <v/>
      </c>
      <c r="D981" t="str">
        <f>IF(ROW(D981)&lt;=Bidding!$D$11,Raw_hydro_bm!E981,"")</f>
        <v/>
      </c>
      <c r="E981" t="str">
        <f>IF(ROW(E981)&lt;=Bidding!$D$11,Raw_hydro_bm!F981,"")</f>
        <v/>
      </c>
      <c r="F981" t="str">
        <f>IF(ROW(F981)&lt;=Bidding!$D$11,Raw_hydro_bm!G981,"")</f>
        <v/>
      </c>
      <c r="G981" t="str">
        <f>IF(ROW(G981)&lt;=Bidding!$D$11,Raw_hydro_bm!H981,"")</f>
        <v/>
      </c>
      <c r="H981" t="str">
        <f>IF(ROW(H981)&lt;=Bidding!$D$11,Raw_hydro_bm!I981,"")</f>
        <v/>
      </c>
      <c r="I981" s="16" t="str">
        <f t="shared" si="15"/>
        <v/>
      </c>
    </row>
    <row r="982" spans="1:9" x14ac:dyDescent="0.3">
      <c r="A982" t="str">
        <f>IF(ROW(A982)&lt;=Bidding!$D$11,Raw_hydro_bm!B982,"")</f>
        <v/>
      </c>
      <c r="B982" t="str">
        <f>IF(ROW(B982)&lt;=Bidding!$D$11,Raw_hydro_bm!C982,"")</f>
        <v/>
      </c>
      <c r="C982" t="str">
        <f>IF(ROW(C982)&lt;=Bidding!$D$11,Raw_hydro_bm!D982,"")</f>
        <v/>
      </c>
      <c r="D982" t="str">
        <f>IF(ROW(D982)&lt;=Bidding!$D$11,Raw_hydro_bm!E982,"")</f>
        <v/>
      </c>
      <c r="E982" t="str">
        <f>IF(ROW(E982)&lt;=Bidding!$D$11,Raw_hydro_bm!F982,"")</f>
        <v/>
      </c>
      <c r="F982" t="str">
        <f>IF(ROW(F982)&lt;=Bidding!$D$11,Raw_hydro_bm!G982,"")</f>
        <v/>
      </c>
      <c r="G982" t="str">
        <f>IF(ROW(G982)&lt;=Bidding!$D$11,Raw_hydro_bm!H982,"")</f>
        <v/>
      </c>
      <c r="H982" t="str">
        <f>IF(ROW(H982)&lt;=Bidding!$D$11,Raw_hydro_bm!I982,"")</f>
        <v/>
      </c>
      <c r="I982" s="16" t="str">
        <f t="shared" si="15"/>
        <v/>
      </c>
    </row>
    <row r="983" spans="1:9" x14ac:dyDescent="0.3">
      <c r="A983" t="str">
        <f>IF(ROW(A983)&lt;=Bidding!$D$11,Raw_hydro_bm!B983,"")</f>
        <v/>
      </c>
      <c r="B983" t="str">
        <f>IF(ROW(B983)&lt;=Bidding!$D$11,Raw_hydro_bm!C983,"")</f>
        <v/>
      </c>
      <c r="C983" t="str">
        <f>IF(ROW(C983)&lt;=Bidding!$D$11,Raw_hydro_bm!D983,"")</f>
        <v/>
      </c>
      <c r="D983" t="str">
        <f>IF(ROW(D983)&lt;=Bidding!$D$11,Raw_hydro_bm!E983,"")</f>
        <v/>
      </c>
      <c r="E983" t="str">
        <f>IF(ROW(E983)&lt;=Bidding!$D$11,Raw_hydro_bm!F983,"")</f>
        <v/>
      </c>
      <c r="F983" t="str">
        <f>IF(ROW(F983)&lt;=Bidding!$D$11,Raw_hydro_bm!G983,"")</f>
        <v/>
      </c>
      <c r="G983" t="str">
        <f>IF(ROW(G983)&lt;=Bidding!$D$11,Raw_hydro_bm!H983,"")</f>
        <v/>
      </c>
      <c r="H983" t="str">
        <f>IF(ROW(H983)&lt;=Bidding!$D$11,Raw_hydro_bm!I983,"")</f>
        <v/>
      </c>
      <c r="I983" s="16" t="str">
        <f t="shared" si="15"/>
        <v/>
      </c>
    </row>
    <row r="984" spans="1:9" x14ac:dyDescent="0.3">
      <c r="A984" t="str">
        <f>IF(ROW(A984)&lt;=Bidding!$D$11,Raw_hydro_bm!B984,"")</f>
        <v/>
      </c>
      <c r="B984" t="str">
        <f>IF(ROW(B984)&lt;=Bidding!$D$11,Raw_hydro_bm!C984,"")</f>
        <v/>
      </c>
      <c r="C984" t="str">
        <f>IF(ROW(C984)&lt;=Bidding!$D$11,Raw_hydro_bm!D984,"")</f>
        <v/>
      </c>
      <c r="D984" t="str">
        <f>IF(ROW(D984)&lt;=Bidding!$D$11,Raw_hydro_bm!E984,"")</f>
        <v/>
      </c>
      <c r="E984" t="str">
        <f>IF(ROW(E984)&lt;=Bidding!$D$11,Raw_hydro_bm!F984,"")</f>
        <v/>
      </c>
      <c r="F984" t="str">
        <f>IF(ROW(F984)&lt;=Bidding!$D$11,Raw_hydro_bm!G984,"")</f>
        <v/>
      </c>
      <c r="G984" t="str">
        <f>IF(ROW(G984)&lt;=Bidding!$D$11,Raw_hydro_bm!H984,"")</f>
        <v/>
      </c>
      <c r="H984" t="str">
        <f>IF(ROW(H984)&lt;=Bidding!$D$11,Raw_hydro_bm!I984,"")</f>
        <v/>
      </c>
      <c r="I984" s="16" t="str">
        <f t="shared" si="15"/>
        <v/>
      </c>
    </row>
    <row r="985" spans="1:9" x14ac:dyDescent="0.3">
      <c r="A985" t="str">
        <f>IF(ROW(A985)&lt;=Bidding!$D$11,Raw_hydro_bm!B985,"")</f>
        <v/>
      </c>
      <c r="B985" t="str">
        <f>IF(ROW(B985)&lt;=Bidding!$D$11,Raw_hydro_bm!C985,"")</f>
        <v/>
      </c>
      <c r="C985" t="str">
        <f>IF(ROW(C985)&lt;=Bidding!$D$11,Raw_hydro_bm!D985,"")</f>
        <v/>
      </c>
      <c r="D985" t="str">
        <f>IF(ROW(D985)&lt;=Bidding!$D$11,Raw_hydro_bm!E985,"")</f>
        <v/>
      </c>
      <c r="E985" t="str">
        <f>IF(ROW(E985)&lt;=Bidding!$D$11,Raw_hydro_bm!F985,"")</f>
        <v/>
      </c>
      <c r="F985" t="str">
        <f>IF(ROW(F985)&lt;=Bidding!$D$11,Raw_hydro_bm!G985,"")</f>
        <v/>
      </c>
      <c r="G985" t="str">
        <f>IF(ROW(G985)&lt;=Bidding!$D$11,Raw_hydro_bm!H985,"")</f>
        <v/>
      </c>
      <c r="H985" t="str">
        <f>IF(ROW(H985)&lt;=Bidding!$D$11,Raw_hydro_bm!I985,"")</f>
        <v/>
      </c>
      <c r="I985" s="16" t="str">
        <f t="shared" si="15"/>
        <v/>
      </c>
    </row>
    <row r="986" spans="1:9" x14ac:dyDescent="0.3">
      <c r="A986" t="str">
        <f>IF(ROW(A986)&lt;=Bidding!$D$11,Raw_hydro_bm!B986,"")</f>
        <v/>
      </c>
      <c r="B986" t="str">
        <f>IF(ROW(B986)&lt;=Bidding!$D$11,Raw_hydro_bm!C986,"")</f>
        <v/>
      </c>
      <c r="C986" t="str">
        <f>IF(ROW(C986)&lt;=Bidding!$D$11,Raw_hydro_bm!D986,"")</f>
        <v/>
      </c>
      <c r="D986" t="str">
        <f>IF(ROW(D986)&lt;=Bidding!$D$11,Raw_hydro_bm!E986,"")</f>
        <v/>
      </c>
      <c r="E986" t="str">
        <f>IF(ROW(E986)&lt;=Bidding!$D$11,Raw_hydro_bm!F986,"")</f>
        <v/>
      </c>
      <c r="F986" t="str">
        <f>IF(ROW(F986)&lt;=Bidding!$D$11,Raw_hydro_bm!G986,"")</f>
        <v/>
      </c>
      <c r="G986" t="str">
        <f>IF(ROW(G986)&lt;=Bidding!$D$11,Raw_hydro_bm!H986,"")</f>
        <v/>
      </c>
      <c r="H986" t="str">
        <f>IF(ROW(H986)&lt;=Bidding!$D$11,Raw_hydro_bm!I986,"")</f>
        <v/>
      </c>
      <c r="I986" s="16" t="str">
        <f t="shared" si="15"/>
        <v/>
      </c>
    </row>
    <row r="987" spans="1:9" x14ac:dyDescent="0.3">
      <c r="A987" t="str">
        <f>IF(ROW(A987)&lt;=Bidding!$D$11,Raw_hydro_bm!B987,"")</f>
        <v/>
      </c>
      <c r="B987" t="str">
        <f>IF(ROW(B987)&lt;=Bidding!$D$11,Raw_hydro_bm!C987,"")</f>
        <v/>
      </c>
      <c r="C987" t="str">
        <f>IF(ROW(C987)&lt;=Bidding!$D$11,Raw_hydro_bm!D987,"")</f>
        <v/>
      </c>
      <c r="D987" t="str">
        <f>IF(ROW(D987)&lt;=Bidding!$D$11,Raw_hydro_bm!E987,"")</f>
        <v/>
      </c>
      <c r="E987" t="str">
        <f>IF(ROW(E987)&lt;=Bidding!$D$11,Raw_hydro_bm!F987,"")</f>
        <v/>
      </c>
      <c r="F987" t="str">
        <f>IF(ROW(F987)&lt;=Bidding!$D$11,Raw_hydro_bm!G987,"")</f>
        <v/>
      </c>
      <c r="G987" t="str">
        <f>IF(ROW(G987)&lt;=Bidding!$D$11,Raw_hydro_bm!H987,"")</f>
        <v/>
      </c>
      <c r="H987" t="str">
        <f>IF(ROW(H987)&lt;=Bidding!$D$11,Raw_hydro_bm!I987,"")</f>
        <v/>
      </c>
      <c r="I987" s="16" t="str">
        <f t="shared" si="15"/>
        <v/>
      </c>
    </row>
    <row r="988" spans="1:9" x14ac:dyDescent="0.3">
      <c r="A988" t="str">
        <f>IF(ROW(A988)&lt;=Bidding!$D$11,Raw_hydro_bm!B988,"")</f>
        <v/>
      </c>
      <c r="B988" t="str">
        <f>IF(ROW(B988)&lt;=Bidding!$D$11,Raw_hydro_bm!C988,"")</f>
        <v/>
      </c>
      <c r="C988" t="str">
        <f>IF(ROW(C988)&lt;=Bidding!$D$11,Raw_hydro_bm!D988,"")</f>
        <v/>
      </c>
      <c r="D988" t="str">
        <f>IF(ROW(D988)&lt;=Bidding!$D$11,Raw_hydro_bm!E988,"")</f>
        <v/>
      </c>
      <c r="E988" t="str">
        <f>IF(ROW(E988)&lt;=Bidding!$D$11,Raw_hydro_bm!F988,"")</f>
        <v/>
      </c>
      <c r="F988" t="str">
        <f>IF(ROW(F988)&lt;=Bidding!$D$11,Raw_hydro_bm!G988,"")</f>
        <v/>
      </c>
      <c r="G988" t="str">
        <f>IF(ROW(G988)&lt;=Bidding!$D$11,Raw_hydro_bm!H988,"")</f>
        <v/>
      </c>
      <c r="H988" t="str">
        <f>IF(ROW(H988)&lt;=Bidding!$D$11,Raw_hydro_bm!I988,"")</f>
        <v/>
      </c>
      <c r="I988" s="16" t="str">
        <f t="shared" si="15"/>
        <v/>
      </c>
    </row>
    <row r="989" spans="1:9" x14ac:dyDescent="0.3">
      <c r="A989" t="str">
        <f>IF(ROW(A989)&lt;=Bidding!$D$11,Raw_hydro_bm!B989,"")</f>
        <v/>
      </c>
      <c r="B989" t="str">
        <f>IF(ROW(B989)&lt;=Bidding!$D$11,Raw_hydro_bm!C989,"")</f>
        <v/>
      </c>
      <c r="C989" t="str">
        <f>IF(ROW(C989)&lt;=Bidding!$D$11,Raw_hydro_bm!D989,"")</f>
        <v/>
      </c>
      <c r="D989" t="str">
        <f>IF(ROW(D989)&lt;=Bidding!$D$11,Raw_hydro_bm!E989,"")</f>
        <v/>
      </c>
      <c r="E989" t="str">
        <f>IF(ROW(E989)&lt;=Bidding!$D$11,Raw_hydro_bm!F989,"")</f>
        <v/>
      </c>
      <c r="F989" t="str">
        <f>IF(ROW(F989)&lt;=Bidding!$D$11,Raw_hydro_bm!G989,"")</f>
        <v/>
      </c>
      <c r="G989" t="str">
        <f>IF(ROW(G989)&lt;=Bidding!$D$11,Raw_hydro_bm!H989,"")</f>
        <v/>
      </c>
      <c r="H989" t="str">
        <f>IF(ROW(H989)&lt;=Bidding!$D$11,Raw_hydro_bm!I989,"")</f>
        <v/>
      </c>
      <c r="I989" s="16" t="str">
        <f t="shared" si="15"/>
        <v/>
      </c>
    </row>
    <row r="990" spans="1:9" x14ac:dyDescent="0.3">
      <c r="A990" t="str">
        <f>IF(ROW(A990)&lt;=Bidding!$D$11,Raw_hydro_bm!B990,"")</f>
        <v/>
      </c>
      <c r="B990" t="str">
        <f>IF(ROW(B990)&lt;=Bidding!$D$11,Raw_hydro_bm!C990,"")</f>
        <v/>
      </c>
      <c r="C990" t="str">
        <f>IF(ROW(C990)&lt;=Bidding!$D$11,Raw_hydro_bm!D990,"")</f>
        <v/>
      </c>
      <c r="D990" t="str">
        <f>IF(ROW(D990)&lt;=Bidding!$D$11,Raw_hydro_bm!E990,"")</f>
        <v/>
      </c>
      <c r="E990" t="str">
        <f>IF(ROW(E990)&lt;=Bidding!$D$11,Raw_hydro_bm!F990,"")</f>
        <v/>
      </c>
      <c r="F990" t="str">
        <f>IF(ROW(F990)&lt;=Bidding!$D$11,Raw_hydro_bm!G990,"")</f>
        <v/>
      </c>
      <c r="G990" t="str">
        <f>IF(ROW(G990)&lt;=Bidding!$D$11,Raw_hydro_bm!H990,"")</f>
        <v/>
      </c>
      <c r="H990" t="str">
        <f>IF(ROW(H990)&lt;=Bidding!$D$11,Raw_hydro_bm!I990,"")</f>
        <v/>
      </c>
      <c r="I990" s="16" t="str">
        <f t="shared" si="15"/>
        <v/>
      </c>
    </row>
    <row r="991" spans="1:9" x14ac:dyDescent="0.3">
      <c r="A991" t="str">
        <f>IF(ROW(A991)&lt;=Bidding!$D$11,Raw_hydro_bm!B991,"")</f>
        <v/>
      </c>
      <c r="B991" t="str">
        <f>IF(ROW(B991)&lt;=Bidding!$D$11,Raw_hydro_bm!C991,"")</f>
        <v/>
      </c>
      <c r="C991" t="str">
        <f>IF(ROW(C991)&lt;=Bidding!$D$11,Raw_hydro_bm!D991,"")</f>
        <v/>
      </c>
      <c r="D991" t="str">
        <f>IF(ROW(D991)&lt;=Bidding!$D$11,Raw_hydro_bm!E991,"")</f>
        <v/>
      </c>
      <c r="E991" t="str">
        <f>IF(ROW(E991)&lt;=Bidding!$D$11,Raw_hydro_bm!F991,"")</f>
        <v/>
      </c>
      <c r="F991" t="str">
        <f>IF(ROW(F991)&lt;=Bidding!$D$11,Raw_hydro_bm!G991,"")</f>
        <v/>
      </c>
      <c r="G991" t="str">
        <f>IF(ROW(G991)&lt;=Bidding!$D$11,Raw_hydro_bm!H991,"")</f>
        <v/>
      </c>
      <c r="H991" t="str">
        <f>IF(ROW(H991)&lt;=Bidding!$D$11,Raw_hydro_bm!I991,"")</f>
        <v/>
      </c>
      <c r="I991" s="16" t="str">
        <f t="shared" si="15"/>
        <v/>
      </c>
    </row>
    <row r="992" spans="1:9" x14ac:dyDescent="0.3">
      <c r="A992" t="str">
        <f>IF(ROW(A992)&lt;=Bidding!$D$11,Raw_hydro_bm!B992,"")</f>
        <v/>
      </c>
      <c r="B992" t="str">
        <f>IF(ROW(B992)&lt;=Bidding!$D$11,Raw_hydro_bm!C992,"")</f>
        <v/>
      </c>
      <c r="C992" t="str">
        <f>IF(ROW(C992)&lt;=Bidding!$D$11,Raw_hydro_bm!D992,"")</f>
        <v/>
      </c>
      <c r="D992" t="str">
        <f>IF(ROW(D992)&lt;=Bidding!$D$11,Raw_hydro_bm!E992,"")</f>
        <v/>
      </c>
      <c r="E992" t="str">
        <f>IF(ROW(E992)&lt;=Bidding!$D$11,Raw_hydro_bm!F992,"")</f>
        <v/>
      </c>
      <c r="F992" t="str">
        <f>IF(ROW(F992)&lt;=Bidding!$D$11,Raw_hydro_bm!G992,"")</f>
        <v/>
      </c>
      <c r="G992" t="str">
        <f>IF(ROW(G992)&lt;=Bidding!$D$11,Raw_hydro_bm!H992,"")</f>
        <v/>
      </c>
      <c r="H992" t="str">
        <f>IF(ROW(H992)&lt;=Bidding!$D$11,Raw_hydro_bm!I992,"")</f>
        <v/>
      </c>
      <c r="I992" s="16" t="str">
        <f t="shared" si="15"/>
        <v/>
      </c>
    </row>
    <row r="993" spans="1:9" x14ac:dyDescent="0.3">
      <c r="A993" t="str">
        <f>IF(ROW(A993)&lt;=Bidding!$D$11,Raw_hydro_bm!B993,"")</f>
        <v/>
      </c>
      <c r="B993" t="str">
        <f>IF(ROW(B993)&lt;=Bidding!$D$11,Raw_hydro_bm!C993,"")</f>
        <v/>
      </c>
      <c r="C993" t="str">
        <f>IF(ROW(C993)&lt;=Bidding!$D$11,Raw_hydro_bm!D993,"")</f>
        <v/>
      </c>
      <c r="D993" t="str">
        <f>IF(ROW(D993)&lt;=Bidding!$D$11,Raw_hydro_bm!E993,"")</f>
        <v/>
      </c>
      <c r="E993" t="str">
        <f>IF(ROW(E993)&lt;=Bidding!$D$11,Raw_hydro_bm!F993,"")</f>
        <v/>
      </c>
      <c r="F993" t="str">
        <f>IF(ROW(F993)&lt;=Bidding!$D$11,Raw_hydro_bm!G993,"")</f>
        <v/>
      </c>
      <c r="G993" t="str">
        <f>IF(ROW(G993)&lt;=Bidding!$D$11,Raw_hydro_bm!H993,"")</f>
        <v/>
      </c>
      <c r="H993" t="str">
        <f>IF(ROW(H993)&lt;=Bidding!$D$11,Raw_hydro_bm!I993,"")</f>
        <v/>
      </c>
      <c r="I993" s="16" t="str">
        <f t="shared" si="15"/>
        <v/>
      </c>
    </row>
    <row r="994" spans="1:9" x14ac:dyDescent="0.3">
      <c r="A994" t="str">
        <f>IF(ROW(A994)&lt;=Bidding!$D$11,Raw_hydro_bm!B994,"")</f>
        <v/>
      </c>
      <c r="B994" t="str">
        <f>IF(ROW(B994)&lt;=Bidding!$D$11,Raw_hydro_bm!C994,"")</f>
        <v/>
      </c>
      <c r="C994" t="str">
        <f>IF(ROW(C994)&lt;=Bidding!$D$11,Raw_hydro_bm!D994,"")</f>
        <v/>
      </c>
      <c r="D994" t="str">
        <f>IF(ROW(D994)&lt;=Bidding!$D$11,Raw_hydro_bm!E994,"")</f>
        <v/>
      </c>
      <c r="E994" t="str">
        <f>IF(ROW(E994)&lt;=Bidding!$D$11,Raw_hydro_bm!F994,"")</f>
        <v/>
      </c>
      <c r="F994" t="str">
        <f>IF(ROW(F994)&lt;=Bidding!$D$11,Raw_hydro_bm!G994,"")</f>
        <v/>
      </c>
      <c r="G994" t="str">
        <f>IF(ROW(G994)&lt;=Bidding!$D$11,Raw_hydro_bm!H994,"")</f>
        <v/>
      </c>
      <c r="H994" t="str">
        <f>IF(ROW(H994)&lt;=Bidding!$D$11,Raw_hydro_bm!I994,"")</f>
        <v/>
      </c>
      <c r="I994" s="16" t="str">
        <f t="shared" si="15"/>
        <v/>
      </c>
    </row>
    <row r="995" spans="1:9" x14ac:dyDescent="0.3">
      <c r="A995" t="str">
        <f>IF(ROW(A995)&lt;=Bidding!$D$11,Raw_hydro_bm!B995,"")</f>
        <v/>
      </c>
      <c r="B995" t="str">
        <f>IF(ROW(B995)&lt;=Bidding!$D$11,Raw_hydro_bm!C995,"")</f>
        <v/>
      </c>
      <c r="C995" t="str">
        <f>IF(ROW(C995)&lt;=Bidding!$D$11,Raw_hydro_bm!D995,"")</f>
        <v/>
      </c>
      <c r="D995" t="str">
        <f>IF(ROW(D995)&lt;=Bidding!$D$11,Raw_hydro_bm!E995,"")</f>
        <v/>
      </c>
      <c r="E995" t="str">
        <f>IF(ROW(E995)&lt;=Bidding!$D$11,Raw_hydro_bm!F995,"")</f>
        <v/>
      </c>
      <c r="F995" t="str">
        <f>IF(ROW(F995)&lt;=Bidding!$D$11,Raw_hydro_bm!G995,"")</f>
        <v/>
      </c>
      <c r="G995" t="str">
        <f>IF(ROW(G995)&lt;=Bidding!$D$11,Raw_hydro_bm!H995,"")</f>
        <v/>
      </c>
      <c r="H995" t="str">
        <f>IF(ROW(H995)&lt;=Bidding!$D$11,Raw_hydro_bm!I995,"")</f>
        <v/>
      </c>
      <c r="I995" s="16" t="str">
        <f t="shared" si="15"/>
        <v/>
      </c>
    </row>
    <row r="996" spans="1:9" x14ac:dyDescent="0.3">
      <c r="A996" t="str">
        <f>IF(ROW(A996)&lt;=Bidding!$D$11,Raw_hydro_bm!B996,"")</f>
        <v/>
      </c>
      <c r="B996" t="str">
        <f>IF(ROW(B996)&lt;=Bidding!$D$11,Raw_hydro_bm!C996,"")</f>
        <v/>
      </c>
      <c r="C996" t="str">
        <f>IF(ROW(C996)&lt;=Bidding!$D$11,Raw_hydro_bm!D996,"")</f>
        <v/>
      </c>
      <c r="D996" t="str">
        <f>IF(ROW(D996)&lt;=Bidding!$D$11,Raw_hydro_bm!E996,"")</f>
        <v/>
      </c>
      <c r="E996" t="str">
        <f>IF(ROW(E996)&lt;=Bidding!$D$11,Raw_hydro_bm!F996,"")</f>
        <v/>
      </c>
      <c r="F996" t="str">
        <f>IF(ROW(F996)&lt;=Bidding!$D$11,Raw_hydro_bm!G996,"")</f>
        <v/>
      </c>
      <c r="G996" t="str">
        <f>IF(ROW(G996)&lt;=Bidding!$D$11,Raw_hydro_bm!H996,"")</f>
        <v/>
      </c>
      <c r="H996" t="str">
        <f>IF(ROW(H996)&lt;=Bidding!$D$11,Raw_hydro_bm!I996,"")</f>
        <v/>
      </c>
      <c r="I996" s="16" t="str">
        <f t="shared" si="15"/>
        <v/>
      </c>
    </row>
    <row r="997" spans="1:9" x14ac:dyDescent="0.3">
      <c r="A997" t="str">
        <f>IF(ROW(A997)&lt;=Bidding!$D$11,Raw_hydro_bm!B997,"")</f>
        <v/>
      </c>
      <c r="B997" t="str">
        <f>IF(ROW(B997)&lt;=Bidding!$D$11,Raw_hydro_bm!C997,"")</f>
        <v/>
      </c>
      <c r="C997" t="str">
        <f>IF(ROW(C997)&lt;=Bidding!$D$11,Raw_hydro_bm!D997,"")</f>
        <v/>
      </c>
      <c r="D997" t="str">
        <f>IF(ROW(D997)&lt;=Bidding!$D$11,Raw_hydro_bm!E997,"")</f>
        <v/>
      </c>
      <c r="E997" t="str">
        <f>IF(ROW(E997)&lt;=Bidding!$D$11,Raw_hydro_bm!F997,"")</f>
        <v/>
      </c>
      <c r="F997" t="str">
        <f>IF(ROW(F997)&lt;=Bidding!$D$11,Raw_hydro_bm!G997,"")</f>
        <v/>
      </c>
      <c r="G997" t="str">
        <f>IF(ROW(G997)&lt;=Bidding!$D$11,Raw_hydro_bm!H997,"")</f>
        <v/>
      </c>
      <c r="H997" t="str">
        <f>IF(ROW(H997)&lt;=Bidding!$D$11,Raw_hydro_bm!I997,"")</f>
        <v/>
      </c>
      <c r="I997" s="16" t="str">
        <f t="shared" si="15"/>
        <v/>
      </c>
    </row>
    <row r="998" spans="1:9" x14ac:dyDescent="0.3">
      <c r="A998" t="str">
        <f>IF(ROW(A998)&lt;=Bidding!$D$11,Raw_hydro_bm!B998,"")</f>
        <v/>
      </c>
      <c r="B998" t="str">
        <f>IF(ROW(B998)&lt;=Bidding!$D$11,Raw_hydro_bm!C998,"")</f>
        <v/>
      </c>
      <c r="C998" t="str">
        <f>IF(ROW(C998)&lt;=Bidding!$D$11,Raw_hydro_bm!D998,"")</f>
        <v/>
      </c>
      <c r="D998" t="str">
        <f>IF(ROW(D998)&lt;=Bidding!$D$11,Raw_hydro_bm!E998,"")</f>
        <v/>
      </c>
      <c r="E998" t="str">
        <f>IF(ROW(E998)&lt;=Bidding!$D$11,Raw_hydro_bm!F998,"")</f>
        <v/>
      </c>
      <c r="F998" t="str">
        <f>IF(ROW(F998)&lt;=Bidding!$D$11,Raw_hydro_bm!G998,"")</f>
        <v/>
      </c>
      <c r="G998" t="str">
        <f>IF(ROW(G998)&lt;=Bidding!$D$11,Raw_hydro_bm!H998,"")</f>
        <v/>
      </c>
      <c r="H998" t="str">
        <f>IF(ROW(H998)&lt;=Bidding!$D$11,Raw_hydro_bm!I998,"")</f>
        <v/>
      </c>
      <c r="I998" s="16" t="str">
        <f t="shared" si="15"/>
        <v/>
      </c>
    </row>
    <row r="999" spans="1:9" x14ac:dyDescent="0.3">
      <c r="A999" t="str">
        <f>IF(ROW(A999)&lt;=Bidding!$D$11,Raw_hydro_bm!B999,"")</f>
        <v/>
      </c>
      <c r="B999" t="str">
        <f>IF(ROW(B999)&lt;=Bidding!$D$11,Raw_hydro_bm!C999,"")</f>
        <v/>
      </c>
      <c r="C999" t="str">
        <f>IF(ROW(C999)&lt;=Bidding!$D$11,Raw_hydro_bm!D999,"")</f>
        <v/>
      </c>
      <c r="D999" t="str">
        <f>IF(ROW(D999)&lt;=Bidding!$D$11,Raw_hydro_bm!E999,"")</f>
        <v/>
      </c>
      <c r="E999" t="str">
        <f>IF(ROW(E999)&lt;=Bidding!$D$11,Raw_hydro_bm!F999,"")</f>
        <v/>
      </c>
      <c r="F999" t="str">
        <f>IF(ROW(F999)&lt;=Bidding!$D$11,Raw_hydro_bm!G999,"")</f>
        <v/>
      </c>
      <c r="G999" t="str">
        <f>IF(ROW(G999)&lt;=Bidding!$D$11,Raw_hydro_bm!H999,"")</f>
        <v/>
      </c>
      <c r="H999" t="str">
        <f>IF(ROW(H999)&lt;=Bidding!$D$11,Raw_hydro_bm!I999,"")</f>
        <v/>
      </c>
      <c r="I999" s="16" t="str">
        <f t="shared" si="15"/>
        <v/>
      </c>
    </row>
    <row r="1000" spans="1:9" x14ac:dyDescent="0.3">
      <c r="A1000" t="str">
        <f>IF(ROW(A1000)&lt;=Bidding!$D$11,Raw_hydro_bm!B1000,"")</f>
        <v/>
      </c>
      <c r="B1000" t="str">
        <f>IF(ROW(B1000)&lt;=Bidding!$D$11,Raw_hydro_bm!C1000,"")</f>
        <v/>
      </c>
      <c r="C1000" t="str">
        <f>IF(ROW(C1000)&lt;=Bidding!$D$11,Raw_hydro_bm!D1000,"")</f>
        <v/>
      </c>
      <c r="D1000" t="str">
        <f>IF(ROW(D1000)&lt;=Bidding!$D$11,Raw_hydro_bm!E1000,"")</f>
        <v/>
      </c>
      <c r="E1000" t="str">
        <f>IF(ROW(E1000)&lt;=Bidding!$D$11,Raw_hydro_bm!F1000,"")</f>
        <v/>
      </c>
      <c r="F1000" t="str">
        <f>IF(ROW(F1000)&lt;=Bidding!$D$11,Raw_hydro_bm!G1000,"")</f>
        <v/>
      </c>
      <c r="G1000" t="str">
        <f>IF(ROW(G1000)&lt;=Bidding!$D$11,Raw_hydro_bm!H1000,"")</f>
        <v/>
      </c>
      <c r="H1000" t="str">
        <f>IF(ROW(H1000)&lt;=Bidding!$D$11,Raw_hydro_bm!I1000,"")</f>
        <v/>
      </c>
      <c r="I1000" s="16" t="str">
        <f t="shared" si="15"/>
        <v/>
      </c>
    </row>
    <row r="1001" spans="1:9" x14ac:dyDescent="0.3">
      <c r="A1001" t="str">
        <f>IF(ROW(A1001)&lt;=Bidding!$D$11,Raw_hydro_bm!B1001,"")</f>
        <v/>
      </c>
      <c r="B1001" t="str">
        <f>IF(ROW(B1001)&lt;=Bidding!$D$11,Raw_hydro_bm!C1001,"")</f>
        <v/>
      </c>
      <c r="C1001" t="str">
        <f>IF(ROW(C1001)&lt;=Bidding!$D$11,Raw_hydro_bm!D1001,"")</f>
        <v/>
      </c>
      <c r="D1001" t="str">
        <f>IF(ROW(D1001)&lt;=Bidding!$D$11,Raw_hydro_bm!E1001,"")</f>
        <v/>
      </c>
      <c r="E1001" t="str">
        <f>IF(ROW(E1001)&lt;=Bidding!$D$11,Raw_hydro_bm!F1001,"")</f>
        <v/>
      </c>
      <c r="F1001" t="str">
        <f>IF(ROW(F1001)&lt;=Bidding!$D$11,Raw_hydro_bm!G1001,"")</f>
        <v/>
      </c>
      <c r="G1001" t="str">
        <f>IF(ROW(G1001)&lt;=Bidding!$D$11,Raw_hydro_bm!H1001,"")</f>
        <v/>
      </c>
      <c r="H1001" t="str">
        <f>IF(ROW(H1001)&lt;=Bidding!$D$11,Raw_hydro_bm!I1001,"")</f>
        <v/>
      </c>
      <c r="I1001" s="16" t="str">
        <f t="shared" si="15"/>
        <v/>
      </c>
    </row>
    <row r="1002" spans="1:9" x14ac:dyDescent="0.3">
      <c r="A1002" t="str">
        <f>IF(ROW(A1002)&lt;=Bidding!$D$11,Raw_hydro_bm!B1002,"")</f>
        <v/>
      </c>
      <c r="B1002" t="str">
        <f>IF(ROW(B1002)&lt;=Bidding!$D$11,Raw_hydro_bm!C1002,"")</f>
        <v/>
      </c>
      <c r="C1002" t="str">
        <f>IF(ROW(C1002)&lt;=Bidding!$D$11,Raw_hydro_bm!D1002,"")</f>
        <v/>
      </c>
      <c r="D1002" t="str">
        <f>IF(ROW(D1002)&lt;=Bidding!$D$11,Raw_hydro_bm!E1002,"")</f>
        <v/>
      </c>
      <c r="E1002" t="str">
        <f>IF(ROW(E1002)&lt;=Bidding!$D$11,Raw_hydro_bm!F1002,"")</f>
        <v/>
      </c>
      <c r="F1002" t="str">
        <f>IF(ROW(F1002)&lt;=Bidding!$D$11,Raw_hydro_bm!G1002,"")</f>
        <v/>
      </c>
      <c r="G1002" t="str">
        <f>IF(ROW(G1002)&lt;=Bidding!$D$11,Raw_hydro_bm!H1002,"")</f>
        <v/>
      </c>
      <c r="H1002" t="str">
        <f>IF(ROW(H1002)&lt;=Bidding!$D$11,Raw_hydro_bm!I1002,"")</f>
        <v/>
      </c>
      <c r="I1002" s="16" t="str">
        <f t="shared" si="15"/>
        <v/>
      </c>
    </row>
    <row r="1003" spans="1:9" x14ac:dyDescent="0.3">
      <c r="A1003" t="str">
        <f>IF(ROW(A1003)&lt;=Bidding!$D$11,Raw_hydro_bm!B1003,"")</f>
        <v/>
      </c>
      <c r="B1003" t="str">
        <f>IF(ROW(B1003)&lt;=Bidding!$D$11,Raw_hydro_bm!C1003,"")</f>
        <v/>
      </c>
      <c r="C1003" t="str">
        <f>IF(ROW(C1003)&lt;=Bidding!$D$11,Raw_hydro_bm!D1003,"")</f>
        <v/>
      </c>
      <c r="D1003" t="str">
        <f>IF(ROW(D1003)&lt;=Bidding!$D$11,Raw_hydro_bm!E1003,"")</f>
        <v/>
      </c>
      <c r="E1003" t="str">
        <f>IF(ROW(E1003)&lt;=Bidding!$D$11,Raw_hydro_bm!F1003,"")</f>
        <v/>
      </c>
      <c r="F1003" t="str">
        <f>IF(ROW(F1003)&lt;=Bidding!$D$11,Raw_hydro_bm!G1003,"")</f>
        <v/>
      </c>
      <c r="G1003" t="str">
        <f>IF(ROW(G1003)&lt;=Bidding!$D$11,Raw_hydro_bm!H1003,"")</f>
        <v/>
      </c>
      <c r="H1003" t="str">
        <f>IF(ROW(H1003)&lt;=Bidding!$D$11,Raw_hydro_bm!I1003,"")</f>
        <v/>
      </c>
      <c r="I1003" s="16" t="str">
        <f t="shared" si="15"/>
        <v/>
      </c>
    </row>
    <row r="1004" spans="1:9" x14ac:dyDescent="0.3">
      <c r="A1004" t="str">
        <f>IF(ROW(A1004)&lt;=Bidding!$D$11,Raw_hydro_bm!B1004,"")</f>
        <v/>
      </c>
      <c r="B1004" t="str">
        <f>IF(ROW(B1004)&lt;=Bidding!$D$11,Raw_hydro_bm!C1004,"")</f>
        <v/>
      </c>
      <c r="C1004" t="str">
        <f>IF(ROW(C1004)&lt;=Bidding!$D$11,Raw_hydro_bm!D1004,"")</f>
        <v/>
      </c>
      <c r="D1004" t="str">
        <f>IF(ROW(D1004)&lt;=Bidding!$D$11,Raw_hydro_bm!E1004,"")</f>
        <v/>
      </c>
      <c r="E1004" t="str">
        <f>IF(ROW(E1004)&lt;=Bidding!$D$11,Raw_hydro_bm!F1004,"")</f>
        <v/>
      </c>
      <c r="F1004" t="str">
        <f>IF(ROW(F1004)&lt;=Bidding!$D$11,Raw_hydro_bm!G1004,"")</f>
        <v/>
      </c>
      <c r="G1004" t="str">
        <f>IF(ROW(G1004)&lt;=Bidding!$D$11,Raw_hydro_bm!H1004,"")</f>
        <v/>
      </c>
      <c r="H1004" t="str">
        <f>IF(ROW(H1004)&lt;=Bidding!$D$11,Raw_hydro_bm!I1004,"")</f>
        <v/>
      </c>
      <c r="I1004" s="16" t="str">
        <f t="shared" si="15"/>
        <v/>
      </c>
    </row>
    <row r="1005" spans="1:9" x14ac:dyDescent="0.3">
      <c r="A1005" t="str">
        <f>IF(ROW(A1005)&lt;=Bidding!$D$11,Raw_hydro_bm!B1005,"")</f>
        <v/>
      </c>
      <c r="B1005" t="str">
        <f>IF(ROW(B1005)&lt;=Bidding!$D$11,Raw_hydro_bm!C1005,"")</f>
        <v/>
      </c>
      <c r="C1005" t="str">
        <f>IF(ROW(C1005)&lt;=Bidding!$D$11,Raw_hydro_bm!D1005,"")</f>
        <v/>
      </c>
      <c r="D1005" t="str">
        <f>IF(ROW(D1005)&lt;=Bidding!$D$11,Raw_hydro_bm!E1005,"")</f>
        <v/>
      </c>
      <c r="E1005" t="str">
        <f>IF(ROW(E1005)&lt;=Bidding!$D$11,Raw_hydro_bm!F1005,"")</f>
        <v/>
      </c>
      <c r="F1005" t="str">
        <f>IF(ROW(F1005)&lt;=Bidding!$D$11,Raw_hydro_bm!G1005,"")</f>
        <v/>
      </c>
      <c r="G1005" t="str">
        <f>IF(ROW(G1005)&lt;=Bidding!$D$11,Raw_hydro_bm!H1005,"")</f>
        <v/>
      </c>
      <c r="H1005" t="str">
        <f>IF(ROW(H1005)&lt;=Bidding!$D$11,Raw_hydro_bm!I1005,"")</f>
        <v/>
      </c>
      <c r="I1005" s="16" t="str">
        <f t="shared" si="15"/>
        <v/>
      </c>
    </row>
    <row r="1006" spans="1:9" x14ac:dyDescent="0.3">
      <c r="A1006" t="str">
        <f>IF(ROW(A1006)&lt;=Bidding!$D$11,Raw_hydro_bm!B1006,"")</f>
        <v/>
      </c>
      <c r="B1006" t="str">
        <f>IF(ROW(B1006)&lt;=Bidding!$D$11,Raw_hydro_bm!C1006,"")</f>
        <v/>
      </c>
      <c r="C1006" t="str">
        <f>IF(ROW(C1006)&lt;=Bidding!$D$11,Raw_hydro_bm!D1006,"")</f>
        <v/>
      </c>
      <c r="D1006" t="str">
        <f>IF(ROW(D1006)&lt;=Bidding!$D$11,Raw_hydro_bm!E1006,"")</f>
        <v/>
      </c>
      <c r="E1006" t="str">
        <f>IF(ROW(E1006)&lt;=Bidding!$D$11,Raw_hydro_bm!F1006,"")</f>
        <v/>
      </c>
      <c r="F1006" t="str">
        <f>IF(ROW(F1006)&lt;=Bidding!$D$11,Raw_hydro_bm!G1006,"")</f>
        <v/>
      </c>
      <c r="G1006" t="str">
        <f>IF(ROW(G1006)&lt;=Bidding!$D$11,Raw_hydro_bm!H1006,"")</f>
        <v/>
      </c>
      <c r="H1006" t="str">
        <f>IF(ROW(H1006)&lt;=Bidding!$D$11,Raw_hydro_bm!I1006,"")</f>
        <v/>
      </c>
      <c r="I1006" s="16" t="str">
        <f t="shared" si="15"/>
        <v/>
      </c>
    </row>
    <row r="1007" spans="1:9" x14ac:dyDescent="0.3">
      <c r="A1007" t="str">
        <f>IF(ROW(A1007)&lt;=Bidding!$D$11,Raw_hydro_bm!B1007,"")</f>
        <v/>
      </c>
      <c r="B1007" t="str">
        <f>IF(ROW(B1007)&lt;=Bidding!$D$11,Raw_hydro_bm!C1007,"")</f>
        <v/>
      </c>
      <c r="C1007" t="str">
        <f>IF(ROW(C1007)&lt;=Bidding!$D$11,Raw_hydro_bm!D1007,"")</f>
        <v/>
      </c>
      <c r="D1007" t="str">
        <f>IF(ROW(D1007)&lt;=Bidding!$D$11,Raw_hydro_bm!E1007,"")</f>
        <v/>
      </c>
      <c r="E1007" t="str">
        <f>IF(ROW(E1007)&lt;=Bidding!$D$11,Raw_hydro_bm!F1007,"")</f>
        <v/>
      </c>
      <c r="F1007" t="str">
        <f>IF(ROW(F1007)&lt;=Bidding!$D$11,Raw_hydro_bm!G1007,"")</f>
        <v/>
      </c>
      <c r="G1007" t="str">
        <f>IF(ROW(G1007)&lt;=Bidding!$D$11,Raw_hydro_bm!H1007,"")</f>
        <v/>
      </c>
      <c r="H1007" t="str">
        <f>IF(ROW(H1007)&lt;=Bidding!$D$11,Raw_hydro_bm!I1007,"")</f>
        <v/>
      </c>
      <c r="I1007" s="16" t="str">
        <f t="shared" si="15"/>
        <v/>
      </c>
    </row>
    <row r="1008" spans="1:9" x14ac:dyDescent="0.3">
      <c r="A1008" t="str">
        <f>IF(ROW(A1008)&lt;=Bidding!$D$11,Raw_hydro_bm!B1008,"")</f>
        <v/>
      </c>
      <c r="B1008" t="str">
        <f>IF(ROW(B1008)&lt;=Bidding!$D$11,Raw_hydro_bm!C1008,"")</f>
        <v/>
      </c>
      <c r="C1008" t="str">
        <f>IF(ROW(C1008)&lt;=Bidding!$D$11,Raw_hydro_bm!D1008,"")</f>
        <v/>
      </c>
      <c r="D1008" t="str">
        <f>IF(ROW(D1008)&lt;=Bidding!$D$11,Raw_hydro_bm!E1008,"")</f>
        <v/>
      </c>
      <c r="E1008" t="str">
        <f>IF(ROW(E1008)&lt;=Bidding!$D$11,Raw_hydro_bm!F1008,"")</f>
        <v/>
      </c>
      <c r="F1008" t="str">
        <f>IF(ROW(F1008)&lt;=Bidding!$D$11,Raw_hydro_bm!G1008,"")</f>
        <v/>
      </c>
      <c r="G1008" t="str">
        <f>IF(ROW(G1008)&lt;=Bidding!$D$11,Raw_hydro_bm!H1008,"")</f>
        <v/>
      </c>
      <c r="H1008" t="str">
        <f>IF(ROW(H1008)&lt;=Bidding!$D$11,Raw_hydro_bm!I1008,"")</f>
        <v/>
      </c>
      <c r="I1008" s="16" t="str">
        <f t="shared" si="15"/>
        <v/>
      </c>
    </row>
    <row r="1009" spans="1:9" x14ac:dyDescent="0.3">
      <c r="A1009" t="str">
        <f>IF(ROW(A1009)&lt;=Bidding!$D$11,Raw_hydro_bm!B1009,"")</f>
        <v/>
      </c>
      <c r="B1009" t="str">
        <f>IF(ROW(B1009)&lt;=Bidding!$D$11,Raw_hydro_bm!C1009,"")</f>
        <v/>
      </c>
      <c r="C1009" t="str">
        <f>IF(ROW(C1009)&lt;=Bidding!$D$11,Raw_hydro_bm!D1009,"")</f>
        <v/>
      </c>
      <c r="D1009" t="str">
        <f>IF(ROW(D1009)&lt;=Bidding!$D$11,Raw_hydro_bm!E1009,"")</f>
        <v/>
      </c>
      <c r="E1009" t="str">
        <f>IF(ROW(E1009)&lt;=Bidding!$D$11,Raw_hydro_bm!F1009,"")</f>
        <v/>
      </c>
      <c r="F1009" t="str">
        <f>IF(ROW(F1009)&lt;=Bidding!$D$11,Raw_hydro_bm!G1009,"")</f>
        <v/>
      </c>
      <c r="G1009" t="str">
        <f>IF(ROW(G1009)&lt;=Bidding!$D$11,Raw_hydro_bm!H1009,"")</f>
        <v/>
      </c>
      <c r="H1009" t="str">
        <f>IF(ROW(H1009)&lt;=Bidding!$D$11,Raw_hydro_bm!I1009,"")</f>
        <v/>
      </c>
      <c r="I1009" s="16" t="str">
        <f t="shared" si="15"/>
        <v/>
      </c>
    </row>
    <row r="1010" spans="1:9" x14ac:dyDescent="0.3">
      <c r="A1010" t="str">
        <f>IF(ROW(A1010)&lt;=Bidding!$D$11,Raw_hydro_bm!B1010,"")</f>
        <v/>
      </c>
      <c r="B1010" t="str">
        <f>IF(ROW(B1010)&lt;=Bidding!$D$11,Raw_hydro_bm!C1010,"")</f>
        <v/>
      </c>
      <c r="C1010" t="str">
        <f>IF(ROW(C1010)&lt;=Bidding!$D$11,Raw_hydro_bm!D1010,"")</f>
        <v/>
      </c>
      <c r="D1010" t="str">
        <f>IF(ROW(D1010)&lt;=Bidding!$D$11,Raw_hydro_bm!E1010,"")</f>
        <v/>
      </c>
      <c r="E1010" t="str">
        <f>IF(ROW(E1010)&lt;=Bidding!$D$11,Raw_hydro_bm!F1010,"")</f>
        <v/>
      </c>
      <c r="F1010" t="str">
        <f>IF(ROW(F1010)&lt;=Bidding!$D$11,Raw_hydro_bm!G1010,"")</f>
        <v/>
      </c>
      <c r="G1010" t="str">
        <f>IF(ROW(G1010)&lt;=Bidding!$D$11,Raw_hydro_bm!H1010,"")</f>
        <v/>
      </c>
      <c r="H1010" t="str">
        <f>IF(ROW(H1010)&lt;=Bidding!$D$11,Raw_hydro_bm!I1010,"")</f>
        <v/>
      </c>
      <c r="I1010" s="16" t="str">
        <f t="shared" si="15"/>
        <v/>
      </c>
    </row>
    <row r="1011" spans="1:9" x14ac:dyDescent="0.3">
      <c r="A1011" t="str">
        <f>IF(ROW(A1011)&lt;=Bidding!$D$11,Raw_hydro_bm!B1011,"")</f>
        <v/>
      </c>
      <c r="B1011" t="str">
        <f>IF(ROW(B1011)&lt;=Bidding!$D$11,Raw_hydro_bm!C1011,"")</f>
        <v/>
      </c>
      <c r="C1011" t="str">
        <f>IF(ROW(C1011)&lt;=Bidding!$D$11,Raw_hydro_bm!D1011,"")</f>
        <v/>
      </c>
      <c r="D1011" t="str">
        <f>IF(ROW(D1011)&lt;=Bidding!$D$11,Raw_hydro_bm!E1011,"")</f>
        <v/>
      </c>
      <c r="E1011" t="str">
        <f>IF(ROW(E1011)&lt;=Bidding!$D$11,Raw_hydro_bm!F1011,"")</f>
        <v/>
      </c>
      <c r="F1011" t="str">
        <f>IF(ROW(F1011)&lt;=Bidding!$D$11,Raw_hydro_bm!G1011,"")</f>
        <v/>
      </c>
      <c r="G1011" t="str">
        <f>IF(ROW(G1011)&lt;=Bidding!$D$11,Raw_hydro_bm!H1011,"")</f>
        <v/>
      </c>
      <c r="H1011" t="str">
        <f>IF(ROW(H1011)&lt;=Bidding!$D$11,Raw_hydro_bm!I1011,"")</f>
        <v/>
      </c>
      <c r="I1011" s="16" t="str">
        <f t="shared" si="15"/>
        <v/>
      </c>
    </row>
    <row r="1012" spans="1:9" x14ac:dyDescent="0.3">
      <c r="A1012" t="str">
        <f>IF(ROW(A1012)&lt;=Bidding!$D$11,Raw_hydro_bm!B1012,"")</f>
        <v/>
      </c>
      <c r="B1012" t="str">
        <f>IF(ROW(B1012)&lt;=Bidding!$D$11,Raw_hydro_bm!C1012,"")</f>
        <v/>
      </c>
      <c r="C1012" t="str">
        <f>IF(ROW(C1012)&lt;=Bidding!$D$11,Raw_hydro_bm!D1012,"")</f>
        <v/>
      </c>
      <c r="D1012" t="str">
        <f>IF(ROW(D1012)&lt;=Bidding!$D$11,Raw_hydro_bm!E1012,"")</f>
        <v/>
      </c>
      <c r="E1012" t="str">
        <f>IF(ROW(E1012)&lt;=Bidding!$D$11,Raw_hydro_bm!F1012,"")</f>
        <v/>
      </c>
      <c r="F1012" t="str">
        <f>IF(ROW(F1012)&lt;=Bidding!$D$11,Raw_hydro_bm!G1012,"")</f>
        <v/>
      </c>
      <c r="G1012" t="str">
        <f>IF(ROW(G1012)&lt;=Bidding!$D$11,Raw_hydro_bm!H1012,"")</f>
        <v/>
      </c>
      <c r="H1012" t="str">
        <f>IF(ROW(H1012)&lt;=Bidding!$D$11,Raw_hydro_bm!I1012,"")</f>
        <v/>
      </c>
      <c r="I1012" s="16" t="str">
        <f t="shared" si="15"/>
        <v/>
      </c>
    </row>
    <row r="1013" spans="1:9" x14ac:dyDescent="0.3">
      <c r="A1013" t="str">
        <f>IF(ROW(A1013)&lt;=Bidding!$D$11,Raw_hydro_bm!B1013,"")</f>
        <v/>
      </c>
      <c r="B1013" t="str">
        <f>IF(ROW(B1013)&lt;=Bidding!$D$11,Raw_hydro_bm!C1013,"")</f>
        <v/>
      </c>
      <c r="C1013" t="str">
        <f>IF(ROW(C1013)&lt;=Bidding!$D$11,Raw_hydro_bm!D1013,"")</f>
        <v/>
      </c>
      <c r="D1013" t="str">
        <f>IF(ROW(D1013)&lt;=Bidding!$D$11,Raw_hydro_bm!E1013,"")</f>
        <v/>
      </c>
      <c r="E1013" t="str">
        <f>IF(ROW(E1013)&lt;=Bidding!$D$11,Raw_hydro_bm!F1013,"")</f>
        <v/>
      </c>
      <c r="F1013" t="str">
        <f>IF(ROW(F1013)&lt;=Bidding!$D$11,Raw_hydro_bm!G1013,"")</f>
        <v/>
      </c>
      <c r="G1013" t="str">
        <f>IF(ROW(G1013)&lt;=Bidding!$D$11,Raw_hydro_bm!H1013,"")</f>
        <v/>
      </c>
      <c r="H1013" t="str">
        <f>IF(ROW(H1013)&lt;=Bidding!$D$11,Raw_hydro_bm!I1013,"")</f>
        <v/>
      </c>
      <c r="I1013" s="16" t="str">
        <f t="shared" si="15"/>
        <v/>
      </c>
    </row>
    <row r="1014" spans="1:9" x14ac:dyDescent="0.3">
      <c r="A1014" t="str">
        <f>IF(ROW(A1014)&lt;=Bidding!$D$11,Raw_hydro_bm!B1014,"")</f>
        <v/>
      </c>
      <c r="B1014" t="str">
        <f>IF(ROW(B1014)&lt;=Bidding!$D$11,Raw_hydro_bm!C1014,"")</f>
        <v/>
      </c>
      <c r="C1014" t="str">
        <f>IF(ROW(C1014)&lt;=Bidding!$D$11,Raw_hydro_bm!D1014,"")</f>
        <v/>
      </c>
      <c r="D1014" t="str">
        <f>IF(ROW(D1014)&lt;=Bidding!$D$11,Raw_hydro_bm!E1014,"")</f>
        <v/>
      </c>
      <c r="E1014" t="str">
        <f>IF(ROW(E1014)&lt;=Bidding!$D$11,Raw_hydro_bm!F1014,"")</f>
        <v/>
      </c>
      <c r="F1014" t="str">
        <f>IF(ROW(F1014)&lt;=Bidding!$D$11,Raw_hydro_bm!G1014,"")</f>
        <v/>
      </c>
      <c r="G1014" t="str">
        <f>IF(ROW(G1014)&lt;=Bidding!$D$11,Raw_hydro_bm!H1014,"")</f>
        <v/>
      </c>
      <c r="H1014" t="str">
        <f>IF(ROW(H1014)&lt;=Bidding!$D$11,Raw_hydro_bm!I1014,"")</f>
        <v/>
      </c>
      <c r="I1014" s="16" t="str">
        <f t="shared" si="15"/>
        <v/>
      </c>
    </row>
    <row r="1015" spans="1:9" x14ac:dyDescent="0.3">
      <c r="A1015" t="str">
        <f>IF(ROW(A1015)&lt;=Bidding!$D$11,Raw_hydro_bm!B1015,"")</f>
        <v/>
      </c>
      <c r="B1015" t="str">
        <f>IF(ROW(B1015)&lt;=Bidding!$D$11,Raw_hydro_bm!C1015,"")</f>
        <v/>
      </c>
      <c r="C1015" t="str">
        <f>IF(ROW(C1015)&lt;=Bidding!$D$11,Raw_hydro_bm!D1015,"")</f>
        <v/>
      </c>
      <c r="D1015" t="str">
        <f>IF(ROW(D1015)&lt;=Bidding!$D$11,Raw_hydro_bm!E1015,"")</f>
        <v/>
      </c>
      <c r="E1015" t="str">
        <f>IF(ROW(E1015)&lt;=Bidding!$D$11,Raw_hydro_bm!F1015,"")</f>
        <v/>
      </c>
      <c r="F1015" t="str">
        <f>IF(ROW(F1015)&lt;=Bidding!$D$11,Raw_hydro_bm!G1015,"")</f>
        <v/>
      </c>
      <c r="G1015" t="str">
        <f>IF(ROW(G1015)&lt;=Bidding!$D$11,Raw_hydro_bm!H1015,"")</f>
        <v/>
      </c>
      <c r="H1015" t="str">
        <f>IF(ROW(H1015)&lt;=Bidding!$D$11,Raw_hydro_bm!I1015,"")</f>
        <v/>
      </c>
      <c r="I1015" s="16" t="str">
        <f t="shared" si="15"/>
        <v/>
      </c>
    </row>
    <row r="1016" spans="1:9" x14ac:dyDescent="0.3">
      <c r="A1016" t="str">
        <f>IF(ROW(A1016)&lt;=Bidding!$D$11,Raw_hydro_bm!B1016,"")</f>
        <v/>
      </c>
      <c r="B1016" t="str">
        <f>IF(ROW(B1016)&lt;=Bidding!$D$11,Raw_hydro_bm!C1016,"")</f>
        <v/>
      </c>
      <c r="C1016" t="str">
        <f>IF(ROW(C1016)&lt;=Bidding!$D$11,Raw_hydro_bm!D1016,"")</f>
        <v/>
      </c>
      <c r="D1016" t="str">
        <f>IF(ROW(D1016)&lt;=Bidding!$D$11,Raw_hydro_bm!E1016,"")</f>
        <v/>
      </c>
      <c r="E1016" t="str">
        <f>IF(ROW(E1016)&lt;=Bidding!$D$11,Raw_hydro_bm!F1016,"")</f>
        <v/>
      </c>
      <c r="F1016" t="str">
        <f>IF(ROW(F1016)&lt;=Bidding!$D$11,Raw_hydro_bm!G1016,"")</f>
        <v/>
      </c>
      <c r="G1016" t="str">
        <f>IF(ROW(G1016)&lt;=Bidding!$D$11,Raw_hydro_bm!H1016,"")</f>
        <v/>
      </c>
      <c r="H1016" t="str">
        <f>IF(ROW(H1016)&lt;=Bidding!$D$11,Raw_hydro_bm!I1016,"")</f>
        <v/>
      </c>
      <c r="I1016" s="16" t="str">
        <f t="shared" si="15"/>
        <v/>
      </c>
    </row>
    <row r="1017" spans="1:9" x14ac:dyDescent="0.3">
      <c r="A1017" t="str">
        <f>IF(ROW(A1017)&lt;=Bidding!$D$11,Raw_hydro_bm!B1017,"")</f>
        <v/>
      </c>
      <c r="B1017" t="str">
        <f>IF(ROW(B1017)&lt;=Bidding!$D$11,Raw_hydro_bm!C1017,"")</f>
        <v/>
      </c>
      <c r="C1017" t="str">
        <f>IF(ROW(C1017)&lt;=Bidding!$D$11,Raw_hydro_bm!D1017,"")</f>
        <v/>
      </c>
      <c r="D1017" t="str">
        <f>IF(ROW(D1017)&lt;=Bidding!$D$11,Raw_hydro_bm!E1017,"")</f>
        <v/>
      </c>
      <c r="E1017" t="str">
        <f>IF(ROW(E1017)&lt;=Bidding!$D$11,Raw_hydro_bm!F1017,"")</f>
        <v/>
      </c>
      <c r="F1017" t="str">
        <f>IF(ROW(F1017)&lt;=Bidding!$D$11,Raw_hydro_bm!G1017,"")</f>
        <v/>
      </c>
      <c r="G1017" t="str">
        <f>IF(ROW(G1017)&lt;=Bidding!$D$11,Raw_hydro_bm!H1017,"")</f>
        <v/>
      </c>
      <c r="H1017" t="str">
        <f>IF(ROW(H1017)&lt;=Bidding!$D$11,Raw_hydro_bm!I1017,"")</f>
        <v/>
      </c>
      <c r="I1017" s="16" t="str">
        <f t="shared" si="15"/>
        <v/>
      </c>
    </row>
    <row r="1018" spans="1:9" x14ac:dyDescent="0.3">
      <c r="A1018" t="str">
        <f>IF(ROW(A1018)&lt;=Bidding!$D$11,Raw_hydro_bm!B1018,"")</f>
        <v/>
      </c>
      <c r="B1018" t="str">
        <f>IF(ROW(B1018)&lt;=Bidding!$D$11,Raw_hydro_bm!C1018,"")</f>
        <v/>
      </c>
      <c r="C1018" t="str">
        <f>IF(ROW(C1018)&lt;=Bidding!$D$11,Raw_hydro_bm!D1018,"")</f>
        <v/>
      </c>
      <c r="D1018" t="str">
        <f>IF(ROW(D1018)&lt;=Bidding!$D$11,Raw_hydro_bm!E1018,"")</f>
        <v/>
      </c>
      <c r="E1018" t="str">
        <f>IF(ROW(E1018)&lt;=Bidding!$D$11,Raw_hydro_bm!F1018,"")</f>
        <v/>
      </c>
      <c r="F1018" t="str">
        <f>IF(ROW(F1018)&lt;=Bidding!$D$11,Raw_hydro_bm!G1018,"")</f>
        <v/>
      </c>
      <c r="G1018" t="str">
        <f>IF(ROW(G1018)&lt;=Bidding!$D$11,Raw_hydro_bm!H1018,"")</f>
        <v/>
      </c>
      <c r="H1018" t="str">
        <f>IF(ROW(H1018)&lt;=Bidding!$D$11,Raw_hydro_bm!I1018,"")</f>
        <v/>
      </c>
      <c r="I1018" s="16" t="str">
        <f t="shared" si="15"/>
        <v/>
      </c>
    </row>
    <row r="1019" spans="1:9" x14ac:dyDescent="0.3">
      <c r="A1019" t="str">
        <f>IF(ROW(A1019)&lt;=Bidding!$D$11,Raw_hydro_bm!B1019,"")</f>
        <v/>
      </c>
      <c r="B1019" t="str">
        <f>IF(ROW(B1019)&lt;=Bidding!$D$11,Raw_hydro_bm!C1019,"")</f>
        <v/>
      </c>
      <c r="C1019" t="str">
        <f>IF(ROW(C1019)&lt;=Bidding!$D$11,Raw_hydro_bm!D1019,"")</f>
        <v/>
      </c>
      <c r="D1019" t="str">
        <f>IF(ROW(D1019)&lt;=Bidding!$D$11,Raw_hydro_bm!E1019,"")</f>
        <v/>
      </c>
      <c r="E1019" t="str">
        <f>IF(ROW(E1019)&lt;=Bidding!$D$11,Raw_hydro_bm!F1019,"")</f>
        <v/>
      </c>
      <c r="F1019" t="str">
        <f>IF(ROW(F1019)&lt;=Bidding!$D$11,Raw_hydro_bm!G1019,"")</f>
        <v/>
      </c>
      <c r="G1019" t="str">
        <f>IF(ROW(G1019)&lt;=Bidding!$D$11,Raw_hydro_bm!H1019,"")</f>
        <v/>
      </c>
      <c r="H1019" t="str">
        <f>IF(ROW(H1019)&lt;=Bidding!$D$11,Raw_hydro_bm!I1019,"")</f>
        <v/>
      </c>
      <c r="I1019" s="16" t="str">
        <f t="shared" si="15"/>
        <v/>
      </c>
    </row>
    <row r="1020" spans="1:9" x14ac:dyDescent="0.3">
      <c r="A1020" t="str">
        <f>IF(ROW(A1020)&lt;=Bidding!$D$11,Raw_hydro_bm!B1020,"")</f>
        <v/>
      </c>
      <c r="B1020" t="str">
        <f>IF(ROW(B1020)&lt;=Bidding!$D$11,Raw_hydro_bm!C1020,"")</f>
        <v/>
      </c>
      <c r="C1020" t="str">
        <f>IF(ROW(C1020)&lt;=Bidding!$D$11,Raw_hydro_bm!D1020,"")</f>
        <v/>
      </c>
      <c r="D1020" t="str">
        <f>IF(ROW(D1020)&lt;=Bidding!$D$11,Raw_hydro_bm!E1020,"")</f>
        <v/>
      </c>
      <c r="E1020" t="str">
        <f>IF(ROW(E1020)&lt;=Bidding!$D$11,Raw_hydro_bm!F1020,"")</f>
        <v/>
      </c>
      <c r="F1020" t="str">
        <f>IF(ROW(F1020)&lt;=Bidding!$D$11,Raw_hydro_bm!G1020,"")</f>
        <v/>
      </c>
      <c r="G1020" t="str">
        <f>IF(ROW(G1020)&lt;=Bidding!$D$11,Raw_hydro_bm!H1020,"")</f>
        <v/>
      </c>
      <c r="H1020" t="str">
        <f>IF(ROW(H1020)&lt;=Bidding!$D$11,Raw_hydro_bm!I1020,"")</f>
        <v/>
      </c>
      <c r="I1020" s="16" t="str">
        <f t="shared" si="15"/>
        <v/>
      </c>
    </row>
    <row r="1021" spans="1:9" x14ac:dyDescent="0.3">
      <c r="A1021" t="str">
        <f>IF(ROW(A1021)&lt;=Bidding!$D$11,Raw_hydro_bm!B1021,"")</f>
        <v/>
      </c>
      <c r="B1021" t="str">
        <f>IF(ROW(B1021)&lt;=Bidding!$D$11,Raw_hydro_bm!C1021,"")</f>
        <v/>
      </c>
      <c r="C1021" t="str">
        <f>IF(ROW(C1021)&lt;=Bidding!$D$11,Raw_hydro_bm!D1021,"")</f>
        <v/>
      </c>
      <c r="D1021" t="str">
        <f>IF(ROW(D1021)&lt;=Bidding!$D$11,Raw_hydro_bm!E1021,"")</f>
        <v/>
      </c>
      <c r="E1021" t="str">
        <f>IF(ROW(E1021)&lt;=Bidding!$D$11,Raw_hydro_bm!F1021,"")</f>
        <v/>
      </c>
      <c r="F1021" t="str">
        <f>IF(ROW(F1021)&lt;=Bidding!$D$11,Raw_hydro_bm!G1021,"")</f>
        <v/>
      </c>
      <c r="G1021" t="str">
        <f>IF(ROW(G1021)&lt;=Bidding!$D$11,Raw_hydro_bm!H1021,"")</f>
        <v/>
      </c>
      <c r="H1021" t="str">
        <f>IF(ROW(H1021)&lt;=Bidding!$D$11,Raw_hydro_bm!I1021,"")</f>
        <v/>
      </c>
      <c r="I1021" s="16" t="str">
        <f t="shared" si="15"/>
        <v/>
      </c>
    </row>
    <row r="1022" spans="1:9" x14ac:dyDescent="0.3">
      <c r="A1022" t="str">
        <f>IF(ROW(A1022)&lt;=Bidding!$D$11,Raw_hydro_bm!B1022,"")</f>
        <v/>
      </c>
      <c r="B1022" t="str">
        <f>IF(ROW(B1022)&lt;=Bidding!$D$11,Raw_hydro_bm!C1022,"")</f>
        <v/>
      </c>
      <c r="C1022" t="str">
        <f>IF(ROW(C1022)&lt;=Bidding!$D$11,Raw_hydro_bm!D1022,"")</f>
        <v/>
      </c>
      <c r="D1022" t="str">
        <f>IF(ROW(D1022)&lt;=Bidding!$D$11,Raw_hydro_bm!E1022,"")</f>
        <v/>
      </c>
      <c r="E1022" t="str">
        <f>IF(ROW(E1022)&lt;=Bidding!$D$11,Raw_hydro_bm!F1022,"")</f>
        <v/>
      </c>
      <c r="F1022" t="str">
        <f>IF(ROW(F1022)&lt;=Bidding!$D$11,Raw_hydro_bm!G1022,"")</f>
        <v/>
      </c>
      <c r="G1022" t="str">
        <f>IF(ROW(G1022)&lt;=Bidding!$D$11,Raw_hydro_bm!H1022,"")</f>
        <v/>
      </c>
      <c r="H1022" t="str">
        <f>IF(ROW(H1022)&lt;=Bidding!$D$11,Raw_hydro_bm!I1022,"")</f>
        <v/>
      </c>
      <c r="I1022" s="16" t="str">
        <f t="shared" si="15"/>
        <v/>
      </c>
    </row>
    <row r="1023" spans="1:9" x14ac:dyDescent="0.3">
      <c r="A1023" t="str">
        <f>IF(ROW(A1023)&lt;=Bidding!$D$11,Raw_hydro_bm!B1023,"")</f>
        <v/>
      </c>
      <c r="B1023" t="str">
        <f>IF(ROW(B1023)&lt;=Bidding!$D$11,Raw_hydro_bm!C1023,"")</f>
        <v/>
      </c>
      <c r="C1023" t="str">
        <f>IF(ROW(C1023)&lt;=Bidding!$D$11,Raw_hydro_bm!D1023,"")</f>
        <v/>
      </c>
      <c r="D1023" t="str">
        <f>IF(ROW(D1023)&lt;=Bidding!$D$11,Raw_hydro_bm!E1023,"")</f>
        <v/>
      </c>
      <c r="E1023" t="str">
        <f>IF(ROW(E1023)&lt;=Bidding!$D$11,Raw_hydro_bm!F1023,"")</f>
        <v/>
      </c>
      <c r="F1023" t="str">
        <f>IF(ROW(F1023)&lt;=Bidding!$D$11,Raw_hydro_bm!G1023,"")</f>
        <v/>
      </c>
      <c r="G1023" t="str">
        <f>IF(ROW(G1023)&lt;=Bidding!$D$11,Raw_hydro_bm!H1023,"")</f>
        <v/>
      </c>
      <c r="H1023" t="str">
        <f>IF(ROW(H1023)&lt;=Bidding!$D$11,Raw_hydro_bm!I1023,"")</f>
        <v/>
      </c>
      <c r="I1023" s="16" t="str">
        <f t="shared" si="15"/>
        <v/>
      </c>
    </row>
    <row r="1024" spans="1:9" x14ac:dyDescent="0.3">
      <c r="A1024" t="str">
        <f>IF(ROW(A1024)&lt;=Bidding!$D$11,Raw_hydro_bm!B1024,"")</f>
        <v/>
      </c>
      <c r="B1024" t="str">
        <f>IF(ROW(B1024)&lt;=Bidding!$D$11,Raw_hydro_bm!C1024,"")</f>
        <v/>
      </c>
      <c r="C1024" t="str">
        <f>IF(ROW(C1024)&lt;=Bidding!$D$11,Raw_hydro_bm!D1024,"")</f>
        <v/>
      </c>
      <c r="D1024" t="str">
        <f>IF(ROW(D1024)&lt;=Bidding!$D$11,Raw_hydro_bm!E1024,"")</f>
        <v/>
      </c>
      <c r="E1024" t="str">
        <f>IF(ROW(E1024)&lt;=Bidding!$D$11,Raw_hydro_bm!F1024,"")</f>
        <v/>
      </c>
      <c r="F1024" t="str">
        <f>IF(ROW(F1024)&lt;=Bidding!$D$11,Raw_hydro_bm!G1024,"")</f>
        <v/>
      </c>
      <c r="G1024" t="str">
        <f>IF(ROW(G1024)&lt;=Bidding!$D$11,Raw_hydro_bm!H1024,"")</f>
        <v/>
      </c>
      <c r="H1024" t="str">
        <f>IF(ROW(H1024)&lt;=Bidding!$D$11,Raw_hydro_bm!I1024,"")</f>
        <v/>
      </c>
      <c r="I1024" s="16" t="str">
        <f t="shared" si="15"/>
        <v/>
      </c>
    </row>
    <row r="1025" spans="1:9" x14ac:dyDescent="0.3">
      <c r="A1025" t="str">
        <f>IF(ROW(A1025)&lt;=Bidding!$D$11,Raw_hydro_bm!B1025,"")</f>
        <v/>
      </c>
      <c r="B1025" t="str">
        <f>IF(ROW(B1025)&lt;=Bidding!$D$11,Raw_hydro_bm!C1025,"")</f>
        <v/>
      </c>
      <c r="C1025" t="str">
        <f>IF(ROW(C1025)&lt;=Bidding!$D$11,Raw_hydro_bm!D1025,"")</f>
        <v/>
      </c>
      <c r="D1025" t="str">
        <f>IF(ROW(D1025)&lt;=Bidding!$D$11,Raw_hydro_bm!E1025,"")</f>
        <v/>
      </c>
      <c r="E1025" t="str">
        <f>IF(ROW(E1025)&lt;=Bidding!$D$11,Raw_hydro_bm!F1025,"")</f>
        <v/>
      </c>
      <c r="F1025" t="str">
        <f>IF(ROW(F1025)&lt;=Bidding!$D$11,Raw_hydro_bm!G1025,"")</f>
        <v/>
      </c>
      <c r="G1025" t="str">
        <f>IF(ROW(G1025)&lt;=Bidding!$D$11,Raw_hydro_bm!H1025,"")</f>
        <v/>
      </c>
      <c r="H1025" t="str">
        <f>IF(ROW(H1025)&lt;=Bidding!$D$11,Raw_hydro_bm!I1025,"")</f>
        <v/>
      </c>
      <c r="I1025" s="16" t="str">
        <f t="shared" si="15"/>
        <v/>
      </c>
    </row>
    <row r="1026" spans="1:9" x14ac:dyDescent="0.3">
      <c r="A1026" t="str">
        <f>IF(ROW(A1026)&lt;=Bidding!$D$11,Raw_hydro_bm!B1026,"")</f>
        <v/>
      </c>
      <c r="B1026" t="str">
        <f>IF(ROW(B1026)&lt;=Bidding!$D$11,Raw_hydro_bm!C1026,"")</f>
        <v/>
      </c>
      <c r="C1026" t="str">
        <f>IF(ROW(C1026)&lt;=Bidding!$D$11,Raw_hydro_bm!D1026,"")</f>
        <v/>
      </c>
      <c r="D1026" t="str">
        <f>IF(ROW(D1026)&lt;=Bidding!$D$11,Raw_hydro_bm!E1026,"")</f>
        <v/>
      </c>
      <c r="E1026" t="str">
        <f>IF(ROW(E1026)&lt;=Bidding!$D$11,Raw_hydro_bm!F1026,"")</f>
        <v/>
      </c>
      <c r="F1026" t="str">
        <f>IF(ROW(F1026)&lt;=Bidding!$D$11,Raw_hydro_bm!G1026,"")</f>
        <v/>
      </c>
      <c r="G1026" t="str">
        <f>IF(ROW(G1026)&lt;=Bidding!$D$11,Raw_hydro_bm!H1026,"")</f>
        <v/>
      </c>
      <c r="H1026" t="str">
        <f>IF(ROW(H1026)&lt;=Bidding!$D$11,Raw_hydro_bm!I1026,"")</f>
        <v/>
      </c>
      <c r="I1026" s="16" t="str">
        <f t="shared" ref="I1026:I1089" si="16">IF(IFERROR(FIND("e",H1026),-1)&lt;0,IFERROR(_xlfn.NUMBERVALUE(LEFT(H1026,FIND(".",H1026)-1))+_xlfn.NUMBERVALUE("0,"&amp;RIGHT(H1026,LEN(H1026)-FIND(".",H1026))),""),0)</f>
        <v/>
      </c>
    </row>
    <row r="1027" spans="1:9" x14ac:dyDescent="0.3">
      <c r="A1027" t="str">
        <f>IF(ROW(A1027)&lt;=Bidding!$D$11,Raw_hydro_bm!B1027,"")</f>
        <v/>
      </c>
      <c r="B1027" t="str">
        <f>IF(ROW(B1027)&lt;=Bidding!$D$11,Raw_hydro_bm!C1027,"")</f>
        <v/>
      </c>
      <c r="C1027" t="str">
        <f>IF(ROW(C1027)&lt;=Bidding!$D$11,Raw_hydro_bm!D1027,"")</f>
        <v/>
      </c>
      <c r="D1027" t="str">
        <f>IF(ROW(D1027)&lt;=Bidding!$D$11,Raw_hydro_bm!E1027,"")</f>
        <v/>
      </c>
      <c r="E1027" t="str">
        <f>IF(ROW(E1027)&lt;=Bidding!$D$11,Raw_hydro_bm!F1027,"")</f>
        <v/>
      </c>
      <c r="F1027" t="str">
        <f>IF(ROW(F1027)&lt;=Bidding!$D$11,Raw_hydro_bm!G1027,"")</f>
        <v/>
      </c>
      <c r="G1027" t="str">
        <f>IF(ROW(G1027)&lt;=Bidding!$D$11,Raw_hydro_bm!H1027,"")</f>
        <v/>
      </c>
      <c r="H1027" t="str">
        <f>IF(ROW(H1027)&lt;=Bidding!$D$11,Raw_hydro_bm!I1027,"")</f>
        <v/>
      </c>
      <c r="I1027" s="16" t="str">
        <f t="shared" si="16"/>
        <v/>
      </c>
    </row>
    <row r="1028" spans="1:9" x14ac:dyDescent="0.3">
      <c r="A1028" t="str">
        <f>IF(ROW(A1028)&lt;=Bidding!$D$11,Raw_hydro_bm!B1028,"")</f>
        <v/>
      </c>
      <c r="B1028" t="str">
        <f>IF(ROW(B1028)&lt;=Bidding!$D$11,Raw_hydro_bm!C1028,"")</f>
        <v/>
      </c>
      <c r="C1028" t="str">
        <f>IF(ROW(C1028)&lt;=Bidding!$D$11,Raw_hydro_bm!D1028,"")</f>
        <v/>
      </c>
      <c r="D1028" t="str">
        <f>IF(ROW(D1028)&lt;=Bidding!$D$11,Raw_hydro_bm!E1028,"")</f>
        <v/>
      </c>
      <c r="E1028" t="str">
        <f>IF(ROW(E1028)&lt;=Bidding!$D$11,Raw_hydro_bm!F1028,"")</f>
        <v/>
      </c>
      <c r="F1028" t="str">
        <f>IF(ROW(F1028)&lt;=Bidding!$D$11,Raw_hydro_bm!G1028,"")</f>
        <v/>
      </c>
      <c r="G1028" t="str">
        <f>IF(ROW(G1028)&lt;=Bidding!$D$11,Raw_hydro_bm!H1028,"")</f>
        <v/>
      </c>
      <c r="H1028" t="str">
        <f>IF(ROW(H1028)&lt;=Bidding!$D$11,Raw_hydro_bm!I1028,"")</f>
        <v/>
      </c>
      <c r="I1028" s="16" t="str">
        <f t="shared" si="16"/>
        <v/>
      </c>
    </row>
    <row r="1029" spans="1:9" x14ac:dyDescent="0.3">
      <c r="A1029" t="str">
        <f>IF(ROW(A1029)&lt;=Bidding!$D$11,Raw_hydro_bm!B1029,"")</f>
        <v/>
      </c>
      <c r="B1029" t="str">
        <f>IF(ROW(B1029)&lt;=Bidding!$D$11,Raw_hydro_bm!C1029,"")</f>
        <v/>
      </c>
      <c r="C1029" t="str">
        <f>IF(ROW(C1029)&lt;=Bidding!$D$11,Raw_hydro_bm!D1029,"")</f>
        <v/>
      </c>
      <c r="D1029" t="str">
        <f>IF(ROW(D1029)&lt;=Bidding!$D$11,Raw_hydro_bm!E1029,"")</f>
        <v/>
      </c>
      <c r="E1029" t="str">
        <f>IF(ROW(E1029)&lt;=Bidding!$D$11,Raw_hydro_bm!F1029,"")</f>
        <v/>
      </c>
      <c r="F1029" t="str">
        <f>IF(ROW(F1029)&lt;=Bidding!$D$11,Raw_hydro_bm!G1029,"")</f>
        <v/>
      </c>
      <c r="G1029" t="str">
        <f>IF(ROW(G1029)&lt;=Bidding!$D$11,Raw_hydro_bm!H1029,"")</f>
        <v/>
      </c>
      <c r="H1029" t="str">
        <f>IF(ROW(H1029)&lt;=Bidding!$D$11,Raw_hydro_bm!I1029,"")</f>
        <v/>
      </c>
      <c r="I1029" s="16" t="str">
        <f t="shared" si="16"/>
        <v/>
      </c>
    </row>
    <row r="1030" spans="1:9" x14ac:dyDescent="0.3">
      <c r="A1030" t="str">
        <f>IF(ROW(A1030)&lt;=Bidding!$D$11,Raw_hydro_bm!B1030,"")</f>
        <v/>
      </c>
      <c r="B1030" t="str">
        <f>IF(ROW(B1030)&lt;=Bidding!$D$11,Raw_hydro_bm!C1030,"")</f>
        <v/>
      </c>
      <c r="C1030" t="str">
        <f>IF(ROW(C1030)&lt;=Bidding!$D$11,Raw_hydro_bm!D1030,"")</f>
        <v/>
      </c>
      <c r="D1030" t="str">
        <f>IF(ROW(D1030)&lt;=Bidding!$D$11,Raw_hydro_bm!E1030,"")</f>
        <v/>
      </c>
      <c r="E1030" t="str">
        <f>IF(ROW(E1030)&lt;=Bidding!$D$11,Raw_hydro_bm!F1030,"")</f>
        <v/>
      </c>
      <c r="F1030" t="str">
        <f>IF(ROW(F1030)&lt;=Bidding!$D$11,Raw_hydro_bm!G1030,"")</f>
        <v/>
      </c>
      <c r="G1030" t="str">
        <f>IF(ROW(G1030)&lt;=Bidding!$D$11,Raw_hydro_bm!H1030,"")</f>
        <v/>
      </c>
      <c r="H1030" t="str">
        <f>IF(ROW(H1030)&lt;=Bidding!$D$11,Raw_hydro_bm!I1030,"")</f>
        <v/>
      </c>
      <c r="I1030" s="16" t="str">
        <f t="shared" si="16"/>
        <v/>
      </c>
    </row>
    <row r="1031" spans="1:9" x14ac:dyDescent="0.3">
      <c r="A1031" t="str">
        <f>IF(ROW(A1031)&lt;=Bidding!$D$11,Raw_hydro_bm!B1031,"")</f>
        <v/>
      </c>
      <c r="B1031" t="str">
        <f>IF(ROW(B1031)&lt;=Bidding!$D$11,Raw_hydro_bm!C1031,"")</f>
        <v/>
      </c>
      <c r="C1031" t="str">
        <f>IF(ROW(C1031)&lt;=Bidding!$D$11,Raw_hydro_bm!D1031,"")</f>
        <v/>
      </c>
      <c r="D1031" t="str">
        <f>IF(ROW(D1031)&lt;=Bidding!$D$11,Raw_hydro_bm!E1031,"")</f>
        <v/>
      </c>
      <c r="E1031" t="str">
        <f>IF(ROW(E1031)&lt;=Bidding!$D$11,Raw_hydro_bm!F1031,"")</f>
        <v/>
      </c>
      <c r="F1031" t="str">
        <f>IF(ROW(F1031)&lt;=Bidding!$D$11,Raw_hydro_bm!G1031,"")</f>
        <v/>
      </c>
      <c r="G1031" t="str">
        <f>IF(ROW(G1031)&lt;=Bidding!$D$11,Raw_hydro_bm!H1031,"")</f>
        <v/>
      </c>
      <c r="H1031" t="str">
        <f>IF(ROW(H1031)&lt;=Bidding!$D$11,Raw_hydro_bm!I1031,"")</f>
        <v/>
      </c>
      <c r="I1031" s="16" t="str">
        <f t="shared" si="16"/>
        <v/>
      </c>
    </row>
    <row r="1032" spans="1:9" x14ac:dyDescent="0.3">
      <c r="A1032" t="str">
        <f>IF(ROW(A1032)&lt;=Bidding!$D$11,Raw_hydro_bm!B1032,"")</f>
        <v/>
      </c>
      <c r="B1032" t="str">
        <f>IF(ROW(B1032)&lt;=Bidding!$D$11,Raw_hydro_bm!C1032,"")</f>
        <v/>
      </c>
      <c r="C1032" t="str">
        <f>IF(ROW(C1032)&lt;=Bidding!$D$11,Raw_hydro_bm!D1032,"")</f>
        <v/>
      </c>
      <c r="D1032" t="str">
        <f>IF(ROW(D1032)&lt;=Bidding!$D$11,Raw_hydro_bm!E1032,"")</f>
        <v/>
      </c>
      <c r="E1032" t="str">
        <f>IF(ROW(E1032)&lt;=Bidding!$D$11,Raw_hydro_bm!F1032,"")</f>
        <v/>
      </c>
      <c r="F1032" t="str">
        <f>IF(ROW(F1032)&lt;=Bidding!$D$11,Raw_hydro_bm!G1032,"")</f>
        <v/>
      </c>
      <c r="G1032" t="str">
        <f>IF(ROW(G1032)&lt;=Bidding!$D$11,Raw_hydro_bm!H1032,"")</f>
        <v/>
      </c>
      <c r="H1032" t="str">
        <f>IF(ROW(H1032)&lt;=Bidding!$D$11,Raw_hydro_bm!I1032,"")</f>
        <v/>
      </c>
      <c r="I1032" s="16" t="str">
        <f t="shared" si="16"/>
        <v/>
      </c>
    </row>
    <row r="1033" spans="1:9" x14ac:dyDescent="0.3">
      <c r="A1033" t="str">
        <f>IF(ROW(A1033)&lt;=Bidding!$D$11,Raw_hydro_bm!B1033,"")</f>
        <v/>
      </c>
      <c r="B1033" t="str">
        <f>IF(ROW(B1033)&lt;=Bidding!$D$11,Raw_hydro_bm!C1033,"")</f>
        <v/>
      </c>
      <c r="C1033" t="str">
        <f>IF(ROW(C1033)&lt;=Bidding!$D$11,Raw_hydro_bm!D1033,"")</f>
        <v/>
      </c>
      <c r="D1033" t="str">
        <f>IF(ROW(D1033)&lt;=Bidding!$D$11,Raw_hydro_bm!E1033,"")</f>
        <v/>
      </c>
      <c r="E1033" t="str">
        <f>IF(ROW(E1033)&lt;=Bidding!$D$11,Raw_hydro_bm!F1033,"")</f>
        <v/>
      </c>
      <c r="F1033" t="str">
        <f>IF(ROW(F1033)&lt;=Bidding!$D$11,Raw_hydro_bm!G1033,"")</f>
        <v/>
      </c>
      <c r="G1033" t="str">
        <f>IF(ROW(G1033)&lt;=Bidding!$D$11,Raw_hydro_bm!H1033,"")</f>
        <v/>
      </c>
      <c r="H1033" t="str">
        <f>IF(ROW(H1033)&lt;=Bidding!$D$11,Raw_hydro_bm!I1033,"")</f>
        <v/>
      </c>
      <c r="I1033" s="16" t="str">
        <f t="shared" si="16"/>
        <v/>
      </c>
    </row>
    <row r="1034" spans="1:9" x14ac:dyDescent="0.3">
      <c r="A1034" t="str">
        <f>IF(ROW(A1034)&lt;=Bidding!$D$11,Raw_hydro_bm!B1034,"")</f>
        <v/>
      </c>
      <c r="B1034" t="str">
        <f>IF(ROW(B1034)&lt;=Bidding!$D$11,Raw_hydro_bm!C1034,"")</f>
        <v/>
      </c>
      <c r="C1034" t="str">
        <f>IF(ROW(C1034)&lt;=Bidding!$D$11,Raw_hydro_bm!D1034,"")</f>
        <v/>
      </c>
      <c r="D1034" t="str">
        <f>IF(ROW(D1034)&lt;=Bidding!$D$11,Raw_hydro_bm!E1034,"")</f>
        <v/>
      </c>
      <c r="E1034" t="str">
        <f>IF(ROW(E1034)&lt;=Bidding!$D$11,Raw_hydro_bm!F1034,"")</f>
        <v/>
      </c>
      <c r="F1034" t="str">
        <f>IF(ROW(F1034)&lt;=Bidding!$D$11,Raw_hydro_bm!G1034,"")</f>
        <v/>
      </c>
      <c r="G1034" t="str">
        <f>IF(ROW(G1034)&lt;=Bidding!$D$11,Raw_hydro_bm!H1034,"")</f>
        <v/>
      </c>
      <c r="H1034" t="str">
        <f>IF(ROW(H1034)&lt;=Bidding!$D$11,Raw_hydro_bm!I1034,"")</f>
        <v/>
      </c>
      <c r="I1034" s="16" t="str">
        <f t="shared" si="16"/>
        <v/>
      </c>
    </row>
    <row r="1035" spans="1:9" x14ac:dyDescent="0.3">
      <c r="A1035" t="str">
        <f>IF(ROW(A1035)&lt;=Bidding!$D$11,Raw_hydro_bm!B1035,"")</f>
        <v/>
      </c>
      <c r="B1035" t="str">
        <f>IF(ROW(B1035)&lt;=Bidding!$D$11,Raw_hydro_bm!C1035,"")</f>
        <v/>
      </c>
      <c r="C1035" t="str">
        <f>IF(ROW(C1035)&lt;=Bidding!$D$11,Raw_hydro_bm!D1035,"")</f>
        <v/>
      </c>
      <c r="D1035" t="str">
        <f>IF(ROW(D1035)&lt;=Bidding!$D$11,Raw_hydro_bm!E1035,"")</f>
        <v/>
      </c>
      <c r="E1035" t="str">
        <f>IF(ROW(E1035)&lt;=Bidding!$D$11,Raw_hydro_bm!F1035,"")</f>
        <v/>
      </c>
      <c r="F1035" t="str">
        <f>IF(ROW(F1035)&lt;=Bidding!$D$11,Raw_hydro_bm!G1035,"")</f>
        <v/>
      </c>
      <c r="G1035" t="str">
        <f>IF(ROW(G1035)&lt;=Bidding!$D$11,Raw_hydro_bm!H1035,"")</f>
        <v/>
      </c>
      <c r="H1035" t="str">
        <f>IF(ROW(H1035)&lt;=Bidding!$D$11,Raw_hydro_bm!I1035,"")</f>
        <v/>
      </c>
      <c r="I1035" s="16" t="str">
        <f t="shared" si="16"/>
        <v/>
      </c>
    </row>
    <row r="1036" spans="1:9" x14ac:dyDescent="0.3">
      <c r="A1036" t="str">
        <f>IF(ROW(A1036)&lt;=Bidding!$D$11,Raw_hydro_bm!B1036,"")</f>
        <v/>
      </c>
      <c r="B1036" t="str">
        <f>IF(ROW(B1036)&lt;=Bidding!$D$11,Raw_hydro_bm!C1036,"")</f>
        <v/>
      </c>
      <c r="C1036" t="str">
        <f>IF(ROW(C1036)&lt;=Bidding!$D$11,Raw_hydro_bm!D1036,"")</f>
        <v/>
      </c>
      <c r="D1036" t="str">
        <f>IF(ROW(D1036)&lt;=Bidding!$D$11,Raw_hydro_bm!E1036,"")</f>
        <v/>
      </c>
      <c r="E1036" t="str">
        <f>IF(ROW(E1036)&lt;=Bidding!$D$11,Raw_hydro_bm!F1036,"")</f>
        <v/>
      </c>
      <c r="F1036" t="str">
        <f>IF(ROW(F1036)&lt;=Bidding!$D$11,Raw_hydro_bm!G1036,"")</f>
        <v/>
      </c>
      <c r="G1036" t="str">
        <f>IF(ROW(G1036)&lt;=Bidding!$D$11,Raw_hydro_bm!H1036,"")</f>
        <v/>
      </c>
      <c r="H1036" t="str">
        <f>IF(ROW(H1036)&lt;=Bidding!$D$11,Raw_hydro_bm!I1036,"")</f>
        <v/>
      </c>
      <c r="I1036" s="16" t="str">
        <f t="shared" si="16"/>
        <v/>
      </c>
    </row>
    <row r="1037" spans="1:9" x14ac:dyDescent="0.3">
      <c r="A1037" t="str">
        <f>IF(ROW(A1037)&lt;=Bidding!$D$11,Raw_hydro_bm!B1037,"")</f>
        <v/>
      </c>
      <c r="B1037" t="str">
        <f>IF(ROW(B1037)&lt;=Bidding!$D$11,Raw_hydro_bm!C1037,"")</f>
        <v/>
      </c>
      <c r="C1037" t="str">
        <f>IF(ROW(C1037)&lt;=Bidding!$D$11,Raw_hydro_bm!D1037,"")</f>
        <v/>
      </c>
      <c r="D1037" t="str">
        <f>IF(ROW(D1037)&lt;=Bidding!$D$11,Raw_hydro_bm!E1037,"")</f>
        <v/>
      </c>
      <c r="E1037" t="str">
        <f>IF(ROW(E1037)&lt;=Bidding!$D$11,Raw_hydro_bm!F1037,"")</f>
        <v/>
      </c>
      <c r="F1037" t="str">
        <f>IF(ROW(F1037)&lt;=Bidding!$D$11,Raw_hydro_bm!G1037,"")</f>
        <v/>
      </c>
      <c r="G1037" t="str">
        <f>IF(ROW(G1037)&lt;=Bidding!$D$11,Raw_hydro_bm!H1037,"")</f>
        <v/>
      </c>
      <c r="H1037" t="str">
        <f>IF(ROW(H1037)&lt;=Bidding!$D$11,Raw_hydro_bm!I1037,"")</f>
        <v/>
      </c>
      <c r="I1037" s="16" t="str">
        <f t="shared" si="16"/>
        <v/>
      </c>
    </row>
    <row r="1038" spans="1:9" x14ac:dyDescent="0.3">
      <c r="A1038" t="str">
        <f>IF(ROW(A1038)&lt;=Bidding!$D$11,Raw_hydro_bm!B1038,"")</f>
        <v/>
      </c>
      <c r="B1038" t="str">
        <f>IF(ROW(B1038)&lt;=Bidding!$D$11,Raw_hydro_bm!C1038,"")</f>
        <v/>
      </c>
      <c r="C1038" t="str">
        <f>IF(ROW(C1038)&lt;=Bidding!$D$11,Raw_hydro_bm!D1038,"")</f>
        <v/>
      </c>
      <c r="D1038" t="str">
        <f>IF(ROW(D1038)&lt;=Bidding!$D$11,Raw_hydro_bm!E1038,"")</f>
        <v/>
      </c>
      <c r="E1038" t="str">
        <f>IF(ROW(E1038)&lt;=Bidding!$D$11,Raw_hydro_bm!F1038,"")</f>
        <v/>
      </c>
      <c r="F1038" t="str">
        <f>IF(ROW(F1038)&lt;=Bidding!$D$11,Raw_hydro_bm!G1038,"")</f>
        <v/>
      </c>
      <c r="G1038" t="str">
        <f>IF(ROW(G1038)&lt;=Bidding!$D$11,Raw_hydro_bm!H1038,"")</f>
        <v/>
      </c>
      <c r="H1038" t="str">
        <f>IF(ROW(H1038)&lt;=Bidding!$D$11,Raw_hydro_bm!I1038,"")</f>
        <v/>
      </c>
      <c r="I1038" s="16" t="str">
        <f t="shared" si="16"/>
        <v/>
      </c>
    </row>
    <row r="1039" spans="1:9" x14ac:dyDescent="0.3">
      <c r="A1039" t="str">
        <f>IF(ROW(A1039)&lt;=Bidding!$D$11,Raw_hydro_bm!B1039,"")</f>
        <v/>
      </c>
      <c r="B1039" t="str">
        <f>IF(ROW(B1039)&lt;=Bidding!$D$11,Raw_hydro_bm!C1039,"")</f>
        <v/>
      </c>
      <c r="C1039" t="str">
        <f>IF(ROW(C1039)&lt;=Bidding!$D$11,Raw_hydro_bm!D1039,"")</f>
        <v/>
      </c>
      <c r="D1039" t="str">
        <f>IF(ROW(D1039)&lt;=Bidding!$D$11,Raw_hydro_bm!E1039,"")</f>
        <v/>
      </c>
      <c r="E1039" t="str">
        <f>IF(ROW(E1039)&lt;=Bidding!$D$11,Raw_hydro_bm!F1039,"")</f>
        <v/>
      </c>
      <c r="F1039" t="str">
        <f>IF(ROW(F1039)&lt;=Bidding!$D$11,Raw_hydro_bm!G1039,"")</f>
        <v/>
      </c>
      <c r="G1039" t="str">
        <f>IF(ROW(G1039)&lt;=Bidding!$D$11,Raw_hydro_bm!H1039,"")</f>
        <v/>
      </c>
      <c r="H1039" t="str">
        <f>IF(ROW(H1039)&lt;=Bidding!$D$11,Raw_hydro_bm!I1039,"")</f>
        <v/>
      </c>
      <c r="I1039" s="16" t="str">
        <f t="shared" si="16"/>
        <v/>
      </c>
    </row>
    <row r="1040" spans="1:9" x14ac:dyDescent="0.3">
      <c r="A1040" t="str">
        <f>IF(ROW(A1040)&lt;=Bidding!$D$11,Raw_hydro_bm!B1040,"")</f>
        <v/>
      </c>
      <c r="B1040" t="str">
        <f>IF(ROW(B1040)&lt;=Bidding!$D$11,Raw_hydro_bm!C1040,"")</f>
        <v/>
      </c>
      <c r="C1040" t="str">
        <f>IF(ROW(C1040)&lt;=Bidding!$D$11,Raw_hydro_bm!D1040,"")</f>
        <v/>
      </c>
      <c r="D1040" t="str">
        <f>IF(ROW(D1040)&lt;=Bidding!$D$11,Raw_hydro_bm!E1040,"")</f>
        <v/>
      </c>
      <c r="E1040" t="str">
        <f>IF(ROW(E1040)&lt;=Bidding!$D$11,Raw_hydro_bm!F1040,"")</f>
        <v/>
      </c>
      <c r="F1040" t="str">
        <f>IF(ROW(F1040)&lt;=Bidding!$D$11,Raw_hydro_bm!G1040,"")</f>
        <v/>
      </c>
      <c r="G1040" t="str">
        <f>IF(ROW(G1040)&lt;=Bidding!$D$11,Raw_hydro_bm!H1040,"")</f>
        <v/>
      </c>
      <c r="H1040" t="str">
        <f>IF(ROW(H1040)&lt;=Bidding!$D$11,Raw_hydro_bm!I1040,"")</f>
        <v/>
      </c>
      <c r="I1040" s="16" t="str">
        <f t="shared" si="16"/>
        <v/>
      </c>
    </row>
    <row r="1041" spans="1:9" x14ac:dyDescent="0.3">
      <c r="A1041" t="str">
        <f>IF(ROW(A1041)&lt;=Bidding!$D$11,Raw_hydro_bm!B1041,"")</f>
        <v/>
      </c>
      <c r="B1041" t="str">
        <f>IF(ROW(B1041)&lt;=Bidding!$D$11,Raw_hydro_bm!C1041,"")</f>
        <v/>
      </c>
      <c r="C1041" t="str">
        <f>IF(ROW(C1041)&lt;=Bidding!$D$11,Raw_hydro_bm!D1041,"")</f>
        <v/>
      </c>
      <c r="D1041" t="str">
        <f>IF(ROW(D1041)&lt;=Bidding!$D$11,Raw_hydro_bm!E1041,"")</f>
        <v/>
      </c>
      <c r="E1041" t="str">
        <f>IF(ROW(E1041)&lt;=Bidding!$D$11,Raw_hydro_bm!F1041,"")</f>
        <v/>
      </c>
      <c r="F1041" t="str">
        <f>IF(ROW(F1041)&lt;=Bidding!$D$11,Raw_hydro_bm!G1041,"")</f>
        <v/>
      </c>
      <c r="G1041" t="str">
        <f>IF(ROW(G1041)&lt;=Bidding!$D$11,Raw_hydro_bm!H1041,"")</f>
        <v/>
      </c>
      <c r="H1041" t="str">
        <f>IF(ROW(H1041)&lt;=Bidding!$D$11,Raw_hydro_bm!I1041,"")</f>
        <v/>
      </c>
      <c r="I1041" s="16" t="str">
        <f t="shared" si="16"/>
        <v/>
      </c>
    </row>
    <row r="1042" spans="1:9" x14ac:dyDescent="0.3">
      <c r="A1042" t="str">
        <f>IF(ROW(A1042)&lt;=Bidding!$D$11,Raw_hydro_bm!B1042,"")</f>
        <v/>
      </c>
      <c r="B1042" t="str">
        <f>IF(ROW(B1042)&lt;=Bidding!$D$11,Raw_hydro_bm!C1042,"")</f>
        <v/>
      </c>
      <c r="C1042" t="str">
        <f>IF(ROW(C1042)&lt;=Bidding!$D$11,Raw_hydro_bm!D1042,"")</f>
        <v/>
      </c>
      <c r="D1042" t="str">
        <f>IF(ROW(D1042)&lt;=Bidding!$D$11,Raw_hydro_bm!E1042,"")</f>
        <v/>
      </c>
      <c r="E1042" t="str">
        <f>IF(ROW(E1042)&lt;=Bidding!$D$11,Raw_hydro_bm!F1042,"")</f>
        <v/>
      </c>
      <c r="F1042" t="str">
        <f>IF(ROW(F1042)&lt;=Bidding!$D$11,Raw_hydro_bm!G1042,"")</f>
        <v/>
      </c>
      <c r="G1042" t="str">
        <f>IF(ROW(G1042)&lt;=Bidding!$D$11,Raw_hydro_bm!H1042,"")</f>
        <v/>
      </c>
      <c r="H1042" t="str">
        <f>IF(ROW(H1042)&lt;=Bidding!$D$11,Raw_hydro_bm!I1042,"")</f>
        <v/>
      </c>
      <c r="I1042" s="16" t="str">
        <f t="shared" si="16"/>
        <v/>
      </c>
    </row>
    <row r="1043" spans="1:9" x14ac:dyDescent="0.3">
      <c r="A1043" t="str">
        <f>IF(ROW(A1043)&lt;=Bidding!$D$11,Raw_hydro_bm!B1043,"")</f>
        <v/>
      </c>
      <c r="B1043" t="str">
        <f>IF(ROW(B1043)&lt;=Bidding!$D$11,Raw_hydro_bm!C1043,"")</f>
        <v/>
      </c>
      <c r="C1043" t="str">
        <f>IF(ROW(C1043)&lt;=Bidding!$D$11,Raw_hydro_bm!D1043,"")</f>
        <v/>
      </c>
      <c r="D1043" t="str">
        <f>IF(ROW(D1043)&lt;=Bidding!$D$11,Raw_hydro_bm!E1043,"")</f>
        <v/>
      </c>
      <c r="E1043" t="str">
        <f>IF(ROW(E1043)&lt;=Bidding!$D$11,Raw_hydro_bm!F1043,"")</f>
        <v/>
      </c>
      <c r="F1043" t="str">
        <f>IF(ROW(F1043)&lt;=Bidding!$D$11,Raw_hydro_bm!G1043,"")</f>
        <v/>
      </c>
      <c r="G1043" t="str">
        <f>IF(ROW(G1043)&lt;=Bidding!$D$11,Raw_hydro_bm!H1043,"")</f>
        <v/>
      </c>
      <c r="H1043" t="str">
        <f>IF(ROW(H1043)&lt;=Bidding!$D$11,Raw_hydro_bm!I1043,"")</f>
        <v/>
      </c>
      <c r="I1043" s="16" t="str">
        <f t="shared" si="16"/>
        <v/>
      </c>
    </row>
    <row r="1044" spans="1:9" x14ac:dyDescent="0.3">
      <c r="A1044" t="str">
        <f>IF(ROW(A1044)&lt;=Bidding!$D$11,Raw_hydro_bm!B1044,"")</f>
        <v/>
      </c>
      <c r="B1044" t="str">
        <f>IF(ROW(B1044)&lt;=Bidding!$D$11,Raw_hydro_bm!C1044,"")</f>
        <v/>
      </c>
      <c r="C1044" t="str">
        <f>IF(ROW(C1044)&lt;=Bidding!$D$11,Raw_hydro_bm!D1044,"")</f>
        <v/>
      </c>
      <c r="D1044" t="str">
        <f>IF(ROW(D1044)&lt;=Bidding!$D$11,Raw_hydro_bm!E1044,"")</f>
        <v/>
      </c>
      <c r="E1044" t="str">
        <f>IF(ROW(E1044)&lt;=Bidding!$D$11,Raw_hydro_bm!F1044,"")</f>
        <v/>
      </c>
      <c r="F1044" t="str">
        <f>IF(ROW(F1044)&lt;=Bidding!$D$11,Raw_hydro_bm!G1044,"")</f>
        <v/>
      </c>
      <c r="G1044" t="str">
        <f>IF(ROW(G1044)&lt;=Bidding!$D$11,Raw_hydro_bm!H1044,"")</f>
        <v/>
      </c>
      <c r="H1044" t="str">
        <f>IF(ROW(H1044)&lt;=Bidding!$D$11,Raw_hydro_bm!I1044,"")</f>
        <v/>
      </c>
      <c r="I1044" s="16" t="str">
        <f t="shared" si="16"/>
        <v/>
      </c>
    </row>
    <row r="1045" spans="1:9" x14ac:dyDescent="0.3">
      <c r="A1045" t="str">
        <f>IF(ROW(A1045)&lt;=Bidding!$D$11,Raw_hydro_bm!B1045,"")</f>
        <v/>
      </c>
      <c r="B1045" t="str">
        <f>IF(ROW(B1045)&lt;=Bidding!$D$11,Raw_hydro_bm!C1045,"")</f>
        <v/>
      </c>
      <c r="C1045" t="str">
        <f>IF(ROW(C1045)&lt;=Bidding!$D$11,Raw_hydro_bm!D1045,"")</f>
        <v/>
      </c>
      <c r="D1045" t="str">
        <f>IF(ROW(D1045)&lt;=Bidding!$D$11,Raw_hydro_bm!E1045,"")</f>
        <v/>
      </c>
      <c r="E1045" t="str">
        <f>IF(ROW(E1045)&lt;=Bidding!$D$11,Raw_hydro_bm!F1045,"")</f>
        <v/>
      </c>
      <c r="F1045" t="str">
        <f>IF(ROW(F1045)&lt;=Bidding!$D$11,Raw_hydro_bm!G1045,"")</f>
        <v/>
      </c>
      <c r="G1045" t="str">
        <f>IF(ROW(G1045)&lt;=Bidding!$D$11,Raw_hydro_bm!H1045,"")</f>
        <v/>
      </c>
      <c r="H1045" t="str">
        <f>IF(ROW(H1045)&lt;=Bidding!$D$11,Raw_hydro_bm!I1045,"")</f>
        <v/>
      </c>
      <c r="I1045" s="16" t="str">
        <f t="shared" si="16"/>
        <v/>
      </c>
    </row>
    <row r="1046" spans="1:9" x14ac:dyDescent="0.3">
      <c r="A1046" t="str">
        <f>IF(ROW(A1046)&lt;=Bidding!$D$11,Raw_hydro_bm!B1046,"")</f>
        <v/>
      </c>
      <c r="B1046" t="str">
        <f>IF(ROW(B1046)&lt;=Bidding!$D$11,Raw_hydro_bm!C1046,"")</f>
        <v/>
      </c>
      <c r="C1046" t="str">
        <f>IF(ROW(C1046)&lt;=Bidding!$D$11,Raw_hydro_bm!D1046,"")</f>
        <v/>
      </c>
      <c r="D1046" t="str">
        <f>IF(ROW(D1046)&lt;=Bidding!$D$11,Raw_hydro_bm!E1046,"")</f>
        <v/>
      </c>
      <c r="E1046" t="str">
        <f>IF(ROW(E1046)&lt;=Bidding!$D$11,Raw_hydro_bm!F1046,"")</f>
        <v/>
      </c>
      <c r="F1046" t="str">
        <f>IF(ROW(F1046)&lt;=Bidding!$D$11,Raw_hydro_bm!G1046,"")</f>
        <v/>
      </c>
      <c r="G1046" t="str">
        <f>IF(ROW(G1046)&lt;=Bidding!$D$11,Raw_hydro_bm!H1046,"")</f>
        <v/>
      </c>
      <c r="H1046" t="str">
        <f>IF(ROW(H1046)&lt;=Bidding!$D$11,Raw_hydro_bm!I1046,"")</f>
        <v/>
      </c>
      <c r="I1046" s="16" t="str">
        <f t="shared" si="16"/>
        <v/>
      </c>
    </row>
    <row r="1047" spans="1:9" x14ac:dyDescent="0.3">
      <c r="A1047" t="str">
        <f>IF(ROW(A1047)&lt;=Bidding!$D$11,Raw_hydro_bm!B1047,"")</f>
        <v/>
      </c>
      <c r="B1047" t="str">
        <f>IF(ROW(B1047)&lt;=Bidding!$D$11,Raw_hydro_bm!C1047,"")</f>
        <v/>
      </c>
      <c r="C1047" t="str">
        <f>IF(ROW(C1047)&lt;=Bidding!$D$11,Raw_hydro_bm!D1047,"")</f>
        <v/>
      </c>
      <c r="D1047" t="str">
        <f>IF(ROW(D1047)&lt;=Bidding!$D$11,Raw_hydro_bm!E1047,"")</f>
        <v/>
      </c>
      <c r="E1047" t="str">
        <f>IF(ROW(E1047)&lt;=Bidding!$D$11,Raw_hydro_bm!F1047,"")</f>
        <v/>
      </c>
      <c r="F1047" t="str">
        <f>IF(ROW(F1047)&lt;=Bidding!$D$11,Raw_hydro_bm!G1047,"")</f>
        <v/>
      </c>
      <c r="G1047" t="str">
        <f>IF(ROW(G1047)&lt;=Bidding!$D$11,Raw_hydro_bm!H1047,"")</f>
        <v/>
      </c>
      <c r="H1047" t="str">
        <f>IF(ROW(H1047)&lt;=Bidding!$D$11,Raw_hydro_bm!I1047,"")</f>
        <v/>
      </c>
      <c r="I1047" s="16" t="str">
        <f t="shared" si="16"/>
        <v/>
      </c>
    </row>
    <row r="1048" spans="1:9" x14ac:dyDescent="0.3">
      <c r="A1048" t="str">
        <f>IF(ROW(A1048)&lt;=Bidding!$D$11,Raw_hydro_bm!B1048,"")</f>
        <v/>
      </c>
      <c r="B1048" t="str">
        <f>IF(ROW(B1048)&lt;=Bidding!$D$11,Raw_hydro_bm!C1048,"")</f>
        <v/>
      </c>
      <c r="C1048" t="str">
        <f>IF(ROW(C1048)&lt;=Bidding!$D$11,Raw_hydro_bm!D1048,"")</f>
        <v/>
      </c>
      <c r="D1048" t="str">
        <f>IF(ROW(D1048)&lt;=Bidding!$D$11,Raw_hydro_bm!E1048,"")</f>
        <v/>
      </c>
      <c r="E1048" t="str">
        <f>IF(ROW(E1048)&lt;=Bidding!$D$11,Raw_hydro_bm!F1048,"")</f>
        <v/>
      </c>
      <c r="F1048" t="str">
        <f>IF(ROW(F1048)&lt;=Bidding!$D$11,Raw_hydro_bm!G1048,"")</f>
        <v/>
      </c>
      <c r="G1048" t="str">
        <f>IF(ROW(G1048)&lt;=Bidding!$D$11,Raw_hydro_bm!H1048,"")</f>
        <v/>
      </c>
      <c r="H1048" t="str">
        <f>IF(ROW(H1048)&lt;=Bidding!$D$11,Raw_hydro_bm!I1048,"")</f>
        <v/>
      </c>
      <c r="I1048" s="16" t="str">
        <f t="shared" si="16"/>
        <v/>
      </c>
    </row>
    <row r="1049" spans="1:9" x14ac:dyDescent="0.3">
      <c r="A1049" t="str">
        <f>IF(ROW(A1049)&lt;=Bidding!$D$11,Raw_hydro_bm!B1049,"")</f>
        <v/>
      </c>
      <c r="B1049" t="str">
        <f>IF(ROW(B1049)&lt;=Bidding!$D$11,Raw_hydro_bm!C1049,"")</f>
        <v/>
      </c>
      <c r="C1049" t="str">
        <f>IF(ROW(C1049)&lt;=Bidding!$D$11,Raw_hydro_bm!D1049,"")</f>
        <v/>
      </c>
      <c r="D1049" t="str">
        <f>IF(ROW(D1049)&lt;=Bidding!$D$11,Raw_hydro_bm!E1049,"")</f>
        <v/>
      </c>
      <c r="E1049" t="str">
        <f>IF(ROW(E1049)&lt;=Bidding!$D$11,Raw_hydro_bm!F1049,"")</f>
        <v/>
      </c>
      <c r="F1049" t="str">
        <f>IF(ROW(F1049)&lt;=Bidding!$D$11,Raw_hydro_bm!G1049,"")</f>
        <v/>
      </c>
      <c r="G1049" t="str">
        <f>IF(ROW(G1049)&lt;=Bidding!$D$11,Raw_hydro_bm!H1049,"")</f>
        <v/>
      </c>
      <c r="H1049" t="str">
        <f>IF(ROW(H1049)&lt;=Bidding!$D$11,Raw_hydro_bm!I1049,"")</f>
        <v/>
      </c>
      <c r="I1049" s="16" t="str">
        <f t="shared" si="16"/>
        <v/>
      </c>
    </row>
    <row r="1050" spans="1:9" x14ac:dyDescent="0.3">
      <c r="A1050" t="str">
        <f>IF(ROW(A1050)&lt;=Bidding!$D$11,Raw_hydro_bm!B1050,"")</f>
        <v/>
      </c>
      <c r="B1050" t="str">
        <f>IF(ROW(B1050)&lt;=Bidding!$D$11,Raw_hydro_bm!C1050,"")</f>
        <v/>
      </c>
      <c r="C1050" t="str">
        <f>IF(ROW(C1050)&lt;=Bidding!$D$11,Raw_hydro_bm!D1050,"")</f>
        <v/>
      </c>
      <c r="D1050" t="str">
        <f>IF(ROW(D1050)&lt;=Bidding!$D$11,Raw_hydro_bm!E1050,"")</f>
        <v/>
      </c>
      <c r="E1050" t="str">
        <f>IF(ROW(E1050)&lt;=Bidding!$D$11,Raw_hydro_bm!F1050,"")</f>
        <v/>
      </c>
      <c r="F1050" t="str">
        <f>IF(ROW(F1050)&lt;=Bidding!$D$11,Raw_hydro_bm!G1050,"")</f>
        <v/>
      </c>
      <c r="G1050" t="str">
        <f>IF(ROW(G1050)&lt;=Bidding!$D$11,Raw_hydro_bm!H1050,"")</f>
        <v/>
      </c>
      <c r="H1050" t="str">
        <f>IF(ROW(H1050)&lt;=Bidding!$D$11,Raw_hydro_bm!I1050,"")</f>
        <v/>
      </c>
      <c r="I1050" s="16" t="str">
        <f t="shared" si="16"/>
        <v/>
      </c>
    </row>
    <row r="1051" spans="1:9" x14ac:dyDescent="0.3">
      <c r="A1051" t="str">
        <f>IF(ROW(A1051)&lt;=Bidding!$D$11,Raw_hydro_bm!B1051,"")</f>
        <v/>
      </c>
      <c r="B1051" t="str">
        <f>IF(ROW(B1051)&lt;=Bidding!$D$11,Raw_hydro_bm!C1051,"")</f>
        <v/>
      </c>
      <c r="C1051" t="str">
        <f>IF(ROW(C1051)&lt;=Bidding!$D$11,Raw_hydro_bm!D1051,"")</f>
        <v/>
      </c>
      <c r="D1051" t="str">
        <f>IF(ROW(D1051)&lt;=Bidding!$D$11,Raw_hydro_bm!E1051,"")</f>
        <v/>
      </c>
      <c r="E1051" t="str">
        <f>IF(ROW(E1051)&lt;=Bidding!$D$11,Raw_hydro_bm!F1051,"")</f>
        <v/>
      </c>
      <c r="F1051" t="str">
        <f>IF(ROW(F1051)&lt;=Bidding!$D$11,Raw_hydro_bm!G1051,"")</f>
        <v/>
      </c>
      <c r="G1051" t="str">
        <f>IF(ROW(G1051)&lt;=Bidding!$D$11,Raw_hydro_bm!H1051,"")</f>
        <v/>
      </c>
      <c r="H1051" t="str">
        <f>IF(ROW(H1051)&lt;=Bidding!$D$11,Raw_hydro_bm!I1051,"")</f>
        <v/>
      </c>
      <c r="I1051" s="16" t="str">
        <f t="shared" si="16"/>
        <v/>
      </c>
    </row>
    <row r="1052" spans="1:9" x14ac:dyDescent="0.3">
      <c r="A1052" t="str">
        <f>IF(ROW(A1052)&lt;=Bidding!$D$11,Raw_hydro_bm!B1052,"")</f>
        <v/>
      </c>
      <c r="B1052" t="str">
        <f>IF(ROW(B1052)&lt;=Bidding!$D$11,Raw_hydro_bm!C1052,"")</f>
        <v/>
      </c>
      <c r="C1052" t="str">
        <f>IF(ROW(C1052)&lt;=Bidding!$D$11,Raw_hydro_bm!D1052,"")</f>
        <v/>
      </c>
      <c r="D1052" t="str">
        <f>IF(ROW(D1052)&lt;=Bidding!$D$11,Raw_hydro_bm!E1052,"")</f>
        <v/>
      </c>
      <c r="E1052" t="str">
        <f>IF(ROW(E1052)&lt;=Bidding!$D$11,Raw_hydro_bm!F1052,"")</f>
        <v/>
      </c>
      <c r="F1052" t="str">
        <f>IF(ROW(F1052)&lt;=Bidding!$D$11,Raw_hydro_bm!G1052,"")</f>
        <v/>
      </c>
      <c r="G1052" t="str">
        <f>IF(ROW(G1052)&lt;=Bidding!$D$11,Raw_hydro_bm!H1052,"")</f>
        <v/>
      </c>
      <c r="H1052" t="str">
        <f>IF(ROW(H1052)&lt;=Bidding!$D$11,Raw_hydro_bm!I1052,"")</f>
        <v/>
      </c>
      <c r="I1052" s="16" t="str">
        <f t="shared" si="16"/>
        <v/>
      </c>
    </row>
    <row r="1053" spans="1:9" x14ac:dyDescent="0.3">
      <c r="A1053" t="str">
        <f>IF(ROW(A1053)&lt;=Bidding!$D$11,Raw_hydro_bm!B1053,"")</f>
        <v/>
      </c>
      <c r="B1053" t="str">
        <f>IF(ROW(B1053)&lt;=Bidding!$D$11,Raw_hydro_bm!C1053,"")</f>
        <v/>
      </c>
      <c r="C1053" t="str">
        <f>IF(ROW(C1053)&lt;=Bidding!$D$11,Raw_hydro_bm!D1053,"")</f>
        <v/>
      </c>
      <c r="D1053" t="str">
        <f>IF(ROW(D1053)&lt;=Bidding!$D$11,Raw_hydro_bm!E1053,"")</f>
        <v/>
      </c>
      <c r="E1053" t="str">
        <f>IF(ROW(E1053)&lt;=Bidding!$D$11,Raw_hydro_bm!F1053,"")</f>
        <v/>
      </c>
      <c r="F1053" t="str">
        <f>IF(ROW(F1053)&lt;=Bidding!$D$11,Raw_hydro_bm!G1053,"")</f>
        <v/>
      </c>
      <c r="G1053" t="str">
        <f>IF(ROW(G1053)&lt;=Bidding!$D$11,Raw_hydro_bm!H1053,"")</f>
        <v/>
      </c>
      <c r="H1053" t="str">
        <f>IF(ROW(H1053)&lt;=Bidding!$D$11,Raw_hydro_bm!I1053,"")</f>
        <v/>
      </c>
      <c r="I1053" s="16" t="str">
        <f t="shared" si="16"/>
        <v/>
      </c>
    </row>
    <row r="1054" spans="1:9" x14ac:dyDescent="0.3">
      <c r="A1054" t="str">
        <f>IF(ROW(A1054)&lt;=Bidding!$D$11,Raw_hydro_bm!B1054,"")</f>
        <v/>
      </c>
      <c r="B1054" t="str">
        <f>IF(ROW(B1054)&lt;=Bidding!$D$11,Raw_hydro_bm!C1054,"")</f>
        <v/>
      </c>
      <c r="C1054" t="str">
        <f>IF(ROW(C1054)&lt;=Bidding!$D$11,Raw_hydro_bm!D1054,"")</f>
        <v/>
      </c>
      <c r="D1054" t="str">
        <f>IF(ROW(D1054)&lt;=Bidding!$D$11,Raw_hydro_bm!E1054,"")</f>
        <v/>
      </c>
      <c r="E1054" t="str">
        <f>IF(ROW(E1054)&lt;=Bidding!$D$11,Raw_hydro_bm!F1054,"")</f>
        <v/>
      </c>
      <c r="F1054" t="str">
        <f>IF(ROW(F1054)&lt;=Bidding!$D$11,Raw_hydro_bm!G1054,"")</f>
        <v/>
      </c>
      <c r="G1054" t="str">
        <f>IF(ROW(G1054)&lt;=Bidding!$D$11,Raw_hydro_bm!H1054,"")</f>
        <v/>
      </c>
      <c r="H1054" t="str">
        <f>IF(ROW(H1054)&lt;=Bidding!$D$11,Raw_hydro_bm!I1054,"")</f>
        <v/>
      </c>
      <c r="I1054" s="16" t="str">
        <f t="shared" si="16"/>
        <v/>
      </c>
    </row>
    <row r="1055" spans="1:9" x14ac:dyDescent="0.3">
      <c r="A1055" t="str">
        <f>IF(ROW(A1055)&lt;=Bidding!$D$11,Raw_hydro_bm!B1055,"")</f>
        <v/>
      </c>
      <c r="B1055" t="str">
        <f>IF(ROW(B1055)&lt;=Bidding!$D$11,Raw_hydro_bm!C1055,"")</f>
        <v/>
      </c>
      <c r="C1055" t="str">
        <f>IF(ROW(C1055)&lt;=Bidding!$D$11,Raw_hydro_bm!D1055,"")</f>
        <v/>
      </c>
      <c r="D1055" t="str">
        <f>IF(ROW(D1055)&lt;=Bidding!$D$11,Raw_hydro_bm!E1055,"")</f>
        <v/>
      </c>
      <c r="E1055" t="str">
        <f>IF(ROW(E1055)&lt;=Bidding!$D$11,Raw_hydro_bm!F1055,"")</f>
        <v/>
      </c>
      <c r="F1055" t="str">
        <f>IF(ROW(F1055)&lt;=Bidding!$D$11,Raw_hydro_bm!G1055,"")</f>
        <v/>
      </c>
      <c r="G1055" t="str">
        <f>IF(ROW(G1055)&lt;=Bidding!$D$11,Raw_hydro_bm!H1055,"")</f>
        <v/>
      </c>
      <c r="H1055" t="str">
        <f>IF(ROW(H1055)&lt;=Bidding!$D$11,Raw_hydro_bm!I1055,"")</f>
        <v/>
      </c>
      <c r="I1055" s="16" t="str">
        <f t="shared" si="16"/>
        <v/>
      </c>
    </row>
    <row r="1056" spans="1:9" x14ac:dyDescent="0.3">
      <c r="A1056" t="str">
        <f>IF(ROW(A1056)&lt;=Bidding!$D$11,Raw_hydro_bm!B1056,"")</f>
        <v/>
      </c>
      <c r="B1056" t="str">
        <f>IF(ROW(B1056)&lt;=Bidding!$D$11,Raw_hydro_bm!C1056,"")</f>
        <v/>
      </c>
      <c r="C1056" t="str">
        <f>IF(ROW(C1056)&lt;=Bidding!$D$11,Raw_hydro_bm!D1056,"")</f>
        <v/>
      </c>
      <c r="D1056" t="str">
        <f>IF(ROW(D1056)&lt;=Bidding!$D$11,Raw_hydro_bm!E1056,"")</f>
        <v/>
      </c>
      <c r="E1056" t="str">
        <f>IF(ROW(E1056)&lt;=Bidding!$D$11,Raw_hydro_bm!F1056,"")</f>
        <v/>
      </c>
      <c r="F1056" t="str">
        <f>IF(ROW(F1056)&lt;=Bidding!$D$11,Raw_hydro_bm!G1056,"")</f>
        <v/>
      </c>
      <c r="G1056" t="str">
        <f>IF(ROW(G1056)&lt;=Bidding!$D$11,Raw_hydro_bm!H1056,"")</f>
        <v/>
      </c>
      <c r="H1056" t="str">
        <f>IF(ROW(H1056)&lt;=Bidding!$D$11,Raw_hydro_bm!I1056,"")</f>
        <v/>
      </c>
      <c r="I1056" s="16" t="str">
        <f t="shared" si="16"/>
        <v/>
      </c>
    </row>
    <row r="1057" spans="1:9" x14ac:dyDescent="0.3">
      <c r="A1057" t="str">
        <f>IF(ROW(A1057)&lt;=Bidding!$D$11,Raw_hydro_bm!B1057,"")</f>
        <v/>
      </c>
      <c r="B1057" t="str">
        <f>IF(ROW(B1057)&lt;=Bidding!$D$11,Raw_hydro_bm!C1057,"")</f>
        <v/>
      </c>
      <c r="C1057" t="str">
        <f>IF(ROW(C1057)&lt;=Bidding!$D$11,Raw_hydro_bm!D1057,"")</f>
        <v/>
      </c>
      <c r="D1057" t="str">
        <f>IF(ROW(D1057)&lt;=Bidding!$D$11,Raw_hydro_bm!E1057,"")</f>
        <v/>
      </c>
      <c r="E1057" t="str">
        <f>IF(ROW(E1057)&lt;=Bidding!$D$11,Raw_hydro_bm!F1057,"")</f>
        <v/>
      </c>
      <c r="F1057" t="str">
        <f>IF(ROW(F1057)&lt;=Bidding!$D$11,Raw_hydro_bm!G1057,"")</f>
        <v/>
      </c>
      <c r="G1057" t="str">
        <f>IF(ROW(G1057)&lt;=Bidding!$D$11,Raw_hydro_bm!H1057,"")</f>
        <v/>
      </c>
      <c r="H1057" t="str">
        <f>IF(ROW(H1057)&lt;=Bidding!$D$11,Raw_hydro_bm!I1057,"")</f>
        <v/>
      </c>
      <c r="I1057" s="16" t="str">
        <f t="shared" si="16"/>
        <v/>
      </c>
    </row>
    <row r="1058" spans="1:9" x14ac:dyDescent="0.3">
      <c r="A1058" t="str">
        <f>IF(ROW(A1058)&lt;=Bidding!$D$11,Raw_hydro_bm!B1058,"")</f>
        <v/>
      </c>
      <c r="B1058" t="str">
        <f>IF(ROW(B1058)&lt;=Bidding!$D$11,Raw_hydro_bm!C1058,"")</f>
        <v/>
      </c>
      <c r="C1058" t="str">
        <f>IF(ROW(C1058)&lt;=Bidding!$D$11,Raw_hydro_bm!D1058,"")</f>
        <v/>
      </c>
      <c r="D1058" t="str">
        <f>IF(ROW(D1058)&lt;=Bidding!$D$11,Raw_hydro_bm!E1058,"")</f>
        <v/>
      </c>
      <c r="E1058" t="str">
        <f>IF(ROW(E1058)&lt;=Bidding!$D$11,Raw_hydro_bm!F1058,"")</f>
        <v/>
      </c>
      <c r="F1058" t="str">
        <f>IF(ROW(F1058)&lt;=Bidding!$D$11,Raw_hydro_bm!G1058,"")</f>
        <v/>
      </c>
      <c r="G1058" t="str">
        <f>IF(ROW(G1058)&lt;=Bidding!$D$11,Raw_hydro_bm!H1058,"")</f>
        <v/>
      </c>
      <c r="H1058" t="str">
        <f>IF(ROW(H1058)&lt;=Bidding!$D$11,Raw_hydro_bm!I1058,"")</f>
        <v/>
      </c>
      <c r="I1058" s="16" t="str">
        <f t="shared" si="16"/>
        <v/>
      </c>
    </row>
    <row r="1059" spans="1:9" x14ac:dyDescent="0.3">
      <c r="A1059" t="str">
        <f>IF(ROW(A1059)&lt;=Bidding!$D$11,Raw_hydro_bm!B1059,"")</f>
        <v/>
      </c>
      <c r="B1059" t="str">
        <f>IF(ROW(B1059)&lt;=Bidding!$D$11,Raw_hydro_bm!C1059,"")</f>
        <v/>
      </c>
      <c r="C1059" t="str">
        <f>IF(ROW(C1059)&lt;=Bidding!$D$11,Raw_hydro_bm!D1059,"")</f>
        <v/>
      </c>
      <c r="D1059" t="str">
        <f>IF(ROW(D1059)&lt;=Bidding!$D$11,Raw_hydro_bm!E1059,"")</f>
        <v/>
      </c>
      <c r="E1059" t="str">
        <f>IF(ROW(E1059)&lt;=Bidding!$D$11,Raw_hydro_bm!F1059,"")</f>
        <v/>
      </c>
      <c r="F1059" t="str">
        <f>IF(ROW(F1059)&lt;=Bidding!$D$11,Raw_hydro_bm!G1059,"")</f>
        <v/>
      </c>
      <c r="G1059" t="str">
        <f>IF(ROW(G1059)&lt;=Bidding!$D$11,Raw_hydro_bm!H1059,"")</f>
        <v/>
      </c>
      <c r="H1059" t="str">
        <f>IF(ROW(H1059)&lt;=Bidding!$D$11,Raw_hydro_bm!I1059,"")</f>
        <v/>
      </c>
      <c r="I1059" s="16" t="str">
        <f t="shared" si="16"/>
        <v/>
      </c>
    </row>
    <row r="1060" spans="1:9" x14ac:dyDescent="0.3">
      <c r="A1060" t="str">
        <f>IF(ROW(A1060)&lt;=Bidding!$D$11,Raw_hydro_bm!B1060,"")</f>
        <v/>
      </c>
      <c r="B1060" t="str">
        <f>IF(ROW(B1060)&lt;=Bidding!$D$11,Raw_hydro_bm!C1060,"")</f>
        <v/>
      </c>
      <c r="C1060" t="str">
        <f>IF(ROW(C1060)&lt;=Bidding!$D$11,Raw_hydro_bm!D1060,"")</f>
        <v/>
      </c>
      <c r="D1060" t="str">
        <f>IF(ROW(D1060)&lt;=Bidding!$D$11,Raw_hydro_bm!E1060,"")</f>
        <v/>
      </c>
      <c r="E1060" t="str">
        <f>IF(ROW(E1060)&lt;=Bidding!$D$11,Raw_hydro_bm!F1060,"")</f>
        <v/>
      </c>
      <c r="F1060" t="str">
        <f>IF(ROW(F1060)&lt;=Bidding!$D$11,Raw_hydro_bm!G1060,"")</f>
        <v/>
      </c>
      <c r="G1060" t="str">
        <f>IF(ROW(G1060)&lt;=Bidding!$D$11,Raw_hydro_bm!H1060,"")</f>
        <v/>
      </c>
      <c r="H1060" t="str">
        <f>IF(ROW(H1060)&lt;=Bidding!$D$11,Raw_hydro_bm!I1060,"")</f>
        <v/>
      </c>
      <c r="I1060" s="16" t="str">
        <f t="shared" si="16"/>
        <v/>
      </c>
    </row>
    <row r="1061" spans="1:9" x14ac:dyDescent="0.3">
      <c r="A1061" t="str">
        <f>IF(ROW(A1061)&lt;=Bidding!$D$11,Raw_hydro_bm!B1061,"")</f>
        <v/>
      </c>
      <c r="B1061" t="str">
        <f>IF(ROW(B1061)&lt;=Bidding!$D$11,Raw_hydro_bm!C1061,"")</f>
        <v/>
      </c>
      <c r="C1061" t="str">
        <f>IF(ROW(C1061)&lt;=Bidding!$D$11,Raw_hydro_bm!D1061,"")</f>
        <v/>
      </c>
      <c r="D1061" t="str">
        <f>IF(ROW(D1061)&lt;=Bidding!$D$11,Raw_hydro_bm!E1061,"")</f>
        <v/>
      </c>
      <c r="E1061" t="str">
        <f>IF(ROW(E1061)&lt;=Bidding!$D$11,Raw_hydro_bm!F1061,"")</f>
        <v/>
      </c>
      <c r="F1061" t="str">
        <f>IF(ROW(F1061)&lt;=Bidding!$D$11,Raw_hydro_bm!G1061,"")</f>
        <v/>
      </c>
      <c r="G1061" t="str">
        <f>IF(ROW(G1061)&lt;=Bidding!$D$11,Raw_hydro_bm!H1061,"")</f>
        <v/>
      </c>
      <c r="H1061" t="str">
        <f>IF(ROW(H1061)&lt;=Bidding!$D$11,Raw_hydro_bm!I1061,"")</f>
        <v/>
      </c>
      <c r="I1061" s="16" t="str">
        <f t="shared" si="16"/>
        <v/>
      </c>
    </row>
    <row r="1062" spans="1:9" x14ac:dyDescent="0.3">
      <c r="A1062" t="str">
        <f>IF(ROW(A1062)&lt;=Bidding!$D$11,Raw_hydro_bm!B1062,"")</f>
        <v/>
      </c>
      <c r="B1062" t="str">
        <f>IF(ROW(B1062)&lt;=Bidding!$D$11,Raw_hydro_bm!C1062,"")</f>
        <v/>
      </c>
      <c r="C1062" t="str">
        <f>IF(ROW(C1062)&lt;=Bidding!$D$11,Raw_hydro_bm!D1062,"")</f>
        <v/>
      </c>
      <c r="D1062" t="str">
        <f>IF(ROW(D1062)&lt;=Bidding!$D$11,Raw_hydro_bm!E1062,"")</f>
        <v/>
      </c>
      <c r="E1062" t="str">
        <f>IF(ROW(E1062)&lt;=Bidding!$D$11,Raw_hydro_bm!F1062,"")</f>
        <v/>
      </c>
      <c r="F1062" t="str">
        <f>IF(ROW(F1062)&lt;=Bidding!$D$11,Raw_hydro_bm!G1062,"")</f>
        <v/>
      </c>
      <c r="G1062" t="str">
        <f>IF(ROW(G1062)&lt;=Bidding!$D$11,Raw_hydro_bm!H1062,"")</f>
        <v/>
      </c>
      <c r="H1062" t="str">
        <f>IF(ROW(H1062)&lt;=Bidding!$D$11,Raw_hydro_bm!I1062,"")</f>
        <v/>
      </c>
      <c r="I1062" s="16" t="str">
        <f t="shared" si="16"/>
        <v/>
      </c>
    </row>
    <row r="1063" spans="1:9" x14ac:dyDescent="0.3">
      <c r="A1063" t="str">
        <f>IF(ROW(A1063)&lt;=Bidding!$D$11,Raw_hydro_bm!B1063,"")</f>
        <v/>
      </c>
      <c r="B1063" t="str">
        <f>IF(ROW(B1063)&lt;=Bidding!$D$11,Raw_hydro_bm!C1063,"")</f>
        <v/>
      </c>
      <c r="C1063" t="str">
        <f>IF(ROW(C1063)&lt;=Bidding!$D$11,Raw_hydro_bm!D1063,"")</f>
        <v/>
      </c>
      <c r="D1063" t="str">
        <f>IF(ROW(D1063)&lt;=Bidding!$D$11,Raw_hydro_bm!E1063,"")</f>
        <v/>
      </c>
      <c r="E1063" t="str">
        <f>IF(ROW(E1063)&lt;=Bidding!$D$11,Raw_hydro_bm!F1063,"")</f>
        <v/>
      </c>
      <c r="F1063" t="str">
        <f>IF(ROW(F1063)&lt;=Bidding!$D$11,Raw_hydro_bm!G1063,"")</f>
        <v/>
      </c>
      <c r="G1063" t="str">
        <f>IF(ROW(G1063)&lt;=Bidding!$D$11,Raw_hydro_bm!H1063,"")</f>
        <v/>
      </c>
      <c r="H1063" t="str">
        <f>IF(ROW(H1063)&lt;=Bidding!$D$11,Raw_hydro_bm!I1063,"")</f>
        <v/>
      </c>
      <c r="I1063" s="16" t="str">
        <f t="shared" si="16"/>
        <v/>
      </c>
    </row>
    <row r="1064" spans="1:9" x14ac:dyDescent="0.3">
      <c r="A1064" t="str">
        <f>IF(ROW(A1064)&lt;=Bidding!$D$11,Raw_hydro_bm!B1064,"")</f>
        <v/>
      </c>
      <c r="B1064" t="str">
        <f>IF(ROW(B1064)&lt;=Bidding!$D$11,Raw_hydro_bm!C1064,"")</f>
        <v/>
      </c>
      <c r="C1064" t="str">
        <f>IF(ROW(C1064)&lt;=Bidding!$D$11,Raw_hydro_bm!D1064,"")</f>
        <v/>
      </c>
      <c r="D1064" t="str">
        <f>IF(ROW(D1064)&lt;=Bidding!$D$11,Raw_hydro_bm!E1064,"")</f>
        <v/>
      </c>
      <c r="E1064" t="str">
        <f>IF(ROW(E1064)&lt;=Bidding!$D$11,Raw_hydro_bm!F1064,"")</f>
        <v/>
      </c>
      <c r="F1064" t="str">
        <f>IF(ROW(F1064)&lt;=Bidding!$D$11,Raw_hydro_bm!G1064,"")</f>
        <v/>
      </c>
      <c r="G1064" t="str">
        <f>IF(ROW(G1064)&lt;=Bidding!$D$11,Raw_hydro_bm!H1064,"")</f>
        <v/>
      </c>
      <c r="H1064" t="str">
        <f>IF(ROW(H1064)&lt;=Bidding!$D$11,Raw_hydro_bm!I1064,"")</f>
        <v/>
      </c>
      <c r="I1064" s="16" t="str">
        <f t="shared" si="16"/>
        <v/>
      </c>
    </row>
    <row r="1065" spans="1:9" x14ac:dyDescent="0.3">
      <c r="A1065" t="str">
        <f>IF(ROW(A1065)&lt;=Bidding!$D$11,Raw_hydro_bm!B1065,"")</f>
        <v/>
      </c>
      <c r="B1065" t="str">
        <f>IF(ROW(B1065)&lt;=Bidding!$D$11,Raw_hydro_bm!C1065,"")</f>
        <v/>
      </c>
      <c r="C1065" t="str">
        <f>IF(ROW(C1065)&lt;=Bidding!$D$11,Raw_hydro_bm!D1065,"")</f>
        <v/>
      </c>
      <c r="D1065" t="str">
        <f>IF(ROW(D1065)&lt;=Bidding!$D$11,Raw_hydro_bm!E1065,"")</f>
        <v/>
      </c>
      <c r="E1065" t="str">
        <f>IF(ROW(E1065)&lt;=Bidding!$D$11,Raw_hydro_bm!F1065,"")</f>
        <v/>
      </c>
      <c r="F1065" t="str">
        <f>IF(ROW(F1065)&lt;=Bidding!$D$11,Raw_hydro_bm!G1065,"")</f>
        <v/>
      </c>
      <c r="G1065" t="str">
        <f>IF(ROW(G1065)&lt;=Bidding!$D$11,Raw_hydro_bm!H1065,"")</f>
        <v/>
      </c>
      <c r="H1065" t="str">
        <f>IF(ROW(H1065)&lt;=Bidding!$D$11,Raw_hydro_bm!I1065,"")</f>
        <v/>
      </c>
      <c r="I1065" s="16" t="str">
        <f t="shared" si="16"/>
        <v/>
      </c>
    </row>
    <row r="1066" spans="1:9" x14ac:dyDescent="0.3">
      <c r="A1066" t="str">
        <f>IF(ROW(A1066)&lt;=Bidding!$D$11,Raw_hydro_bm!B1066,"")</f>
        <v/>
      </c>
      <c r="B1066" t="str">
        <f>IF(ROW(B1066)&lt;=Bidding!$D$11,Raw_hydro_bm!C1066,"")</f>
        <v/>
      </c>
      <c r="C1066" t="str">
        <f>IF(ROW(C1066)&lt;=Bidding!$D$11,Raw_hydro_bm!D1066,"")</f>
        <v/>
      </c>
      <c r="D1066" t="str">
        <f>IF(ROW(D1066)&lt;=Bidding!$D$11,Raw_hydro_bm!E1066,"")</f>
        <v/>
      </c>
      <c r="E1066" t="str">
        <f>IF(ROW(E1066)&lt;=Bidding!$D$11,Raw_hydro_bm!F1066,"")</f>
        <v/>
      </c>
      <c r="F1066" t="str">
        <f>IF(ROW(F1066)&lt;=Bidding!$D$11,Raw_hydro_bm!G1066,"")</f>
        <v/>
      </c>
      <c r="G1066" t="str">
        <f>IF(ROW(G1066)&lt;=Bidding!$D$11,Raw_hydro_bm!H1066,"")</f>
        <v/>
      </c>
      <c r="H1066" t="str">
        <f>IF(ROW(H1066)&lt;=Bidding!$D$11,Raw_hydro_bm!I1066,"")</f>
        <v/>
      </c>
      <c r="I1066" s="16" t="str">
        <f t="shared" si="16"/>
        <v/>
      </c>
    </row>
    <row r="1067" spans="1:9" x14ac:dyDescent="0.3">
      <c r="A1067" t="str">
        <f>IF(ROW(A1067)&lt;=Bidding!$D$11,Raw_hydro_bm!B1067,"")</f>
        <v/>
      </c>
      <c r="B1067" t="str">
        <f>IF(ROW(B1067)&lt;=Bidding!$D$11,Raw_hydro_bm!C1067,"")</f>
        <v/>
      </c>
      <c r="C1067" t="str">
        <f>IF(ROW(C1067)&lt;=Bidding!$D$11,Raw_hydro_bm!D1067,"")</f>
        <v/>
      </c>
      <c r="D1067" t="str">
        <f>IF(ROW(D1067)&lt;=Bidding!$D$11,Raw_hydro_bm!E1067,"")</f>
        <v/>
      </c>
      <c r="E1067" t="str">
        <f>IF(ROW(E1067)&lt;=Bidding!$D$11,Raw_hydro_bm!F1067,"")</f>
        <v/>
      </c>
      <c r="F1067" t="str">
        <f>IF(ROW(F1067)&lt;=Bidding!$D$11,Raw_hydro_bm!G1067,"")</f>
        <v/>
      </c>
      <c r="G1067" t="str">
        <f>IF(ROW(G1067)&lt;=Bidding!$D$11,Raw_hydro_bm!H1067,"")</f>
        <v/>
      </c>
      <c r="H1067" t="str">
        <f>IF(ROW(H1067)&lt;=Bidding!$D$11,Raw_hydro_bm!I1067,"")</f>
        <v/>
      </c>
      <c r="I1067" s="16" t="str">
        <f t="shared" si="16"/>
        <v/>
      </c>
    </row>
    <row r="1068" spans="1:9" x14ac:dyDescent="0.3">
      <c r="A1068" t="str">
        <f>IF(ROW(A1068)&lt;=Bidding!$D$11,Raw_hydro_bm!B1068,"")</f>
        <v/>
      </c>
      <c r="B1068" t="str">
        <f>IF(ROW(B1068)&lt;=Bidding!$D$11,Raw_hydro_bm!C1068,"")</f>
        <v/>
      </c>
      <c r="C1068" t="str">
        <f>IF(ROW(C1068)&lt;=Bidding!$D$11,Raw_hydro_bm!D1068,"")</f>
        <v/>
      </c>
      <c r="D1068" t="str">
        <f>IF(ROW(D1068)&lt;=Bidding!$D$11,Raw_hydro_bm!E1068,"")</f>
        <v/>
      </c>
      <c r="E1068" t="str">
        <f>IF(ROW(E1068)&lt;=Bidding!$D$11,Raw_hydro_bm!F1068,"")</f>
        <v/>
      </c>
      <c r="F1068" t="str">
        <f>IF(ROW(F1068)&lt;=Bidding!$D$11,Raw_hydro_bm!G1068,"")</f>
        <v/>
      </c>
      <c r="G1068" t="str">
        <f>IF(ROW(G1068)&lt;=Bidding!$D$11,Raw_hydro_bm!H1068,"")</f>
        <v/>
      </c>
      <c r="H1068" t="str">
        <f>IF(ROW(H1068)&lt;=Bidding!$D$11,Raw_hydro_bm!I1068,"")</f>
        <v/>
      </c>
      <c r="I1068" s="16" t="str">
        <f t="shared" si="16"/>
        <v/>
      </c>
    </row>
    <row r="1069" spans="1:9" x14ac:dyDescent="0.3">
      <c r="A1069" t="str">
        <f>IF(ROW(A1069)&lt;=Bidding!$D$11,Raw_hydro_bm!B1069,"")</f>
        <v/>
      </c>
      <c r="B1069" t="str">
        <f>IF(ROW(B1069)&lt;=Bidding!$D$11,Raw_hydro_bm!C1069,"")</f>
        <v/>
      </c>
      <c r="C1069" t="str">
        <f>IF(ROW(C1069)&lt;=Bidding!$D$11,Raw_hydro_bm!D1069,"")</f>
        <v/>
      </c>
      <c r="D1069" t="str">
        <f>IF(ROW(D1069)&lt;=Bidding!$D$11,Raw_hydro_bm!E1069,"")</f>
        <v/>
      </c>
      <c r="E1069" t="str">
        <f>IF(ROW(E1069)&lt;=Bidding!$D$11,Raw_hydro_bm!F1069,"")</f>
        <v/>
      </c>
      <c r="F1069" t="str">
        <f>IF(ROW(F1069)&lt;=Bidding!$D$11,Raw_hydro_bm!G1069,"")</f>
        <v/>
      </c>
      <c r="G1069" t="str">
        <f>IF(ROW(G1069)&lt;=Bidding!$D$11,Raw_hydro_bm!H1069,"")</f>
        <v/>
      </c>
      <c r="H1069" t="str">
        <f>IF(ROW(H1069)&lt;=Bidding!$D$11,Raw_hydro_bm!I1069,"")</f>
        <v/>
      </c>
      <c r="I1069" s="16" t="str">
        <f t="shared" si="16"/>
        <v/>
      </c>
    </row>
    <row r="1070" spans="1:9" x14ac:dyDescent="0.3">
      <c r="A1070" t="str">
        <f>IF(ROW(A1070)&lt;=Bidding!$D$11,Raw_hydro_bm!B1070,"")</f>
        <v/>
      </c>
      <c r="B1070" t="str">
        <f>IF(ROW(B1070)&lt;=Bidding!$D$11,Raw_hydro_bm!C1070,"")</f>
        <v/>
      </c>
      <c r="C1070" t="str">
        <f>IF(ROW(C1070)&lt;=Bidding!$D$11,Raw_hydro_bm!D1070,"")</f>
        <v/>
      </c>
      <c r="D1070" t="str">
        <f>IF(ROW(D1070)&lt;=Bidding!$D$11,Raw_hydro_bm!E1070,"")</f>
        <v/>
      </c>
      <c r="E1070" t="str">
        <f>IF(ROW(E1070)&lt;=Bidding!$D$11,Raw_hydro_bm!F1070,"")</f>
        <v/>
      </c>
      <c r="F1070" t="str">
        <f>IF(ROW(F1070)&lt;=Bidding!$D$11,Raw_hydro_bm!G1070,"")</f>
        <v/>
      </c>
      <c r="G1070" t="str">
        <f>IF(ROW(G1070)&lt;=Bidding!$D$11,Raw_hydro_bm!H1070,"")</f>
        <v/>
      </c>
      <c r="H1070" t="str">
        <f>IF(ROW(H1070)&lt;=Bidding!$D$11,Raw_hydro_bm!I1070,"")</f>
        <v/>
      </c>
      <c r="I1070" s="16" t="str">
        <f t="shared" si="16"/>
        <v/>
      </c>
    </row>
    <row r="1071" spans="1:9" x14ac:dyDescent="0.3">
      <c r="A1071" t="str">
        <f>IF(ROW(A1071)&lt;=Bidding!$D$11,Raw_hydro_bm!B1071,"")</f>
        <v/>
      </c>
      <c r="B1071" t="str">
        <f>IF(ROW(B1071)&lt;=Bidding!$D$11,Raw_hydro_bm!C1071,"")</f>
        <v/>
      </c>
      <c r="C1071" t="str">
        <f>IF(ROW(C1071)&lt;=Bidding!$D$11,Raw_hydro_bm!D1071,"")</f>
        <v/>
      </c>
      <c r="D1071" t="str">
        <f>IF(ROW(D1071)&lt;=Bidding!$D$11,Raw_hydro_bm!E1071,"")</f>
        <v/>
      </c>
      <c r="E1071" t="str">
        <f>IF(ROW(E1071)&lt;=Bidding!$D$11,Raw_hydro_bm!F1071,"")</f>
        <v/>
      </c>
      <c r="F1071" t="str">
        <f>IF(ROW(F1071)&lt;=Bidding!$D$11,Raw_hydro_bm!G1071,"")</f>
        <v/>
      </c>
      <c r="G1071" t="str">
        <f>IF(ROW(G1071)&lt;=Bidding!$D$11,Raw_hydro_bm!H1071,"")</f>
        <v/>
      </c>
      <c r="H1071" t="str">
        <f>IF(ROW(H1071)&lt;=Bidding!$D$11,Raw_hydro_bm!I1071,"")</f>
        <v/>
      </c>
      <c r="I1071" s="16" t="str">
        <f t="shared" si="16"/>
        <v/>
      </c>
    </row>
    <row r="1072" spans="1:9" x14ac:dyDescent="0.3">
      <c r="A1072" t="str">
        <f>IF(ROW(A1072)&lt;=Bidding!$D$11,Raw_hydro_bm!B1072,"")</f>
        <v/>
      </c>
      <c r="B1072" t="str">
        <f>IF(ROW(B1072)&lt;=Bidding!$D$11,Raw_hydro_bm!C1072,"")</f>
        <v/>
      </c>
      <c r="C1072" t="str">
        <f>IF(ROW(C1072)&lt;=Bidding!$D$11,Raw_hydro_bm!D1072,"")</f>
        <v/>
      </c>
      <c r="D1072" t="str">
        <f>IF(ROW(D1072)&lt;=Bidding!$D$11,Raw_hydro_bm!E1072,"")</f>
        <v/>
      </c>
      <c r="E1072" t="str">
        <f>IF(ROW(E1072)&lt;=Bidding!$D$11,Raw_hydro_bm!F1072,"")</f>
        <v/>
      </c>
      <c r="F1072" t="str">
        <f>IF(ROW(F1072)&lt;=Bidding!$D$11,Raw_hydro_bm!G1072,"")</f>
        <v/>
      </c>
      <c r="G1072" t="str">
        <f>IF(ROW(G1072)&lt;=Bidding!$D$11,Raw_hydro_bm!H1072,"")</f>
        <v/>
      </c>
      <c r="H1072" t="str">
        <f>IF(ROW(H1072)&lt;=Bidding!$D$11,Raw_hydro_bm!I1072,"")</f>
        <v/>
      </c>
      <c r="I1072" s="16" t="str">
        <f t="shared" si="16"/>
        <v/>
      </c>
    </row>
    <row r="1073" spans="1:9" x14ac:dyDescent="0.3">
      <c r="A1073" t="str">
        <f>IF(ROW(A1073)&lt;=Bidding!$D$11,Raw_hydro_bm!B1073,"")</f>
        <v/>
      </c>
      <c r="B1073" t="str">
        <f>IF(ROW(B1073)&lt;=Bidding!$D$11,Raw_hydro_bm!C1073,"")</f>
        <v/>
      </c>
      <c r="C1073" t="str">
        <f>IF(ROW(C1073)&lt;=Bidding!$D$11,Raw_hydro_bm!D1073,"")</f>
        <v/>
      </c>
      <c r="D1073" t="str">
        <f>IF(ROW(D1073)&lt;=Bidding!$D$11,Raw_hydro_bm!E1073,"")</f>
        <v/>
      </c>
      <c r="E1073" t="str">
        <f>IF(ROW(E1073)&lt;=Bidding!$D$11,Raw_hydro_bm!F1073,"")</f>
        <v/>
      </c>
      <c r="F1073" t="str">
        <f>IF(ROW(F1073)&lt;=Bidding!$D$11,Raw_hydro_bm!G1073,"")</f>
        <v/>
      </c>
      <c r="G1073" t="str">
        <f>IF(ROW(G1073)&lt;=Bidding!$D$11,Raw_hydro_bm!H1073,"")</f>
        <v/>
      </c>
      <c r="H1073" t="str">
        <f>IF(ROW(H1073)&lt;=Bidding!$D$11,Raw_hydro_bm!I1073,"")</f>
        <v/>
      </c>
      <c r="I1073" s="16" t="str">
        <f t="shared" si="16"/>
        <v/>
      </c>
    </row>
    <row r="1074" spans="1:9" x14ac:dyDescent="0.3">
      <c r="A1074" t="str">
        <f>IF(ROW(A1074)&lt;=Bidding!$D$11,Raw_hydro_bm!B1074,"")</f>
        <v/>
      </c>
      <c r="B1074" t="str">
        <f>IF(ROW(B1074)&lt;=Bidding!$D$11,Raw_hydro_bm!C1074,"")</f>
        <v/>
      </c>
      <c r="C1074" t="str">
        <f>IF(ROW(C1074)&lt;=Bidding!$D$11,Raw_hydro_bm!D1074,"")</f>
        <v/>
      </c>
      <c r="D1074" t="str">
        <f>IF(ROW(D1074)&lt;=Bidding!$D$11,Raw_hydro_bm!E1074,"")</f>
        <v/>
      </c>
      <c r="E1074" t="str">
        <f>IF(ROW(E1074)&lt;=Bidding!$D$11,Raw_hydro_bm!F1074,"")</f>
        <v/>
      </c>
      <c r="F1074" t="str">
        <f>IF(ROW(F1074)&lt;=Bidding!$D$11,Raw_hydro_bm!G1074,"")</f>
        <v/>
      </c>
      <c r="G1074" t="str">
        <f>IF(ROW(G1074)&lt;=Bidding!$D$11,Raw_hydro_bm!H1074,"")</f>
        <v/>
      </c>
      <c r="H1074" t="str">
        <f>IF(ROW(H1074)&lt;=Bidding!$D$11,Raw_hydro_bm!I1074,"")</f>
        <v/>
      </c>
      <c r="I1074" s="16" t="str">
        <f t="shared" si="16"/>
        <v/>
      </c>
    </row>
    <row r="1075" spans="1:9" x14ac:dyDescent="0.3">
      <c r="A1075" t="str">
        <f>IF(ROW(A1075)&lt;=Bidding!$D$11,Raw_hydro_bm!B1075,"")</f>
        <v/>
      </c>
      <c r="B1075" t="str">
        <f>IF(ROW(B1075)&lt;=Bidding!$D$11,Raw_hydro_bm!C1075,"")</f>
        <v/>
      </c>
      <c r="C1075" t="str">
        <f>IF(ROW(C1075)&lt;=Bidding!$D$11,Raw_hydro_bm!D1075,"")</f>
        <v/>
      </c>
      <c r="D1075" t="str">
        <f>IF(ROW(D1075)&lt;=Bidding!$D$11,Raw_hydro_bm!E1075,"")</f>
        <v/>
      </c>
      <c r="E1075" t="str">
        <f>IF(ROW(E1075)&lt;=Bidding!$D$11,Raw_hydro_bm!F1075,"")</f>
        <v/>
      </c>
      <c r="F1075" t="str">
        <f>IF(ROW(F1075)&lt;=Bidding!$D$11,Raw_hydro_bm!G1075,"")</f>
        <v/>
      </c>
      <c r="G1075" t="str">
        <f>IF(ROW(G1075)&lt;=Bidding!$D$11,Raw_hydro_bm!H1075,"")</f>
        <v/>
      </c>
      <c r="H1075" t="str">
        <f>IF(ROW(H1075)&lt;=Bidding!$D$11,Raw_hydro_bm!I1075,"")</f>
        <v/>
      </c>
      <c r="I1075" s="16" t="str">
        <f t="shared" si="16"/>
        <v/>
      </c>
    </row>
    <row r="1076" spans="1:9" x14ac:dyDescent="0.3">
      <c r="A1076" t="str">
        <f>IF(ROW(A1076)&lt;=Bidding!$D$11,Raw_hydro_bm!B1076,"")</f>
        <v/>
      </c>
      <c r="B1076" t="str">
        <f>IF(ROW(B1076)&lt;=Bidding!$D$11,Raw_hydro_bm!C1076,"")</f>
        <v/>
      </c>
      <c r="C1076" t="str">
        <f>IF(ROW(C1076)&lt;=Bidding!$D$11,Raw_hydro_bm!D1076,"")</f>
        <v/>
      </c>
      <c r="D1076" t="str">
        <f>IF(ROW(D1076)&lt;=Bidding!$D$11,Raw_hydro_bm!E1076,"")</f>
        <v/>
      </c>
      <c r="E1076" t="str">
        <f>IF(ROW(E1076)&lt;=Bidding!$D$11,Raw_hydro_bm!F1076,"")</f>
        <v/>
      </c>
      <c r="F1076" t="str">
        <f>IF(ROW(F1076)&lt;=Bidding!$D$11,Raw_hydro_bm!G1076,"")</f>
        <v/>
      </c>
      <c r="G1076" t="str">
        <f>IF(ROW(G1076)&lt;=Bidding!$D$11,Raw_hydro_bm!H1076,"")</f>
        <v/>
      </c>
      <c r="H1076" t="str">
        <f>IF(ROW(H1076)&lt;=Bidding!$D$11,Raw_hydro_bm!I1076,"")</f>
        <v/>
      </c>
      <c r="I1076" s="16" t="str">
        <f t="shared" si="16"/>
        <v/>
      </c>
    </row>
    <row r="1077" spans="1:9" x14ac:dyDescent="0.3">
      <c r="A1077" t="str">
        <f>IF(ROW(A1077)&lt;=Bidding!$D$11,Raw_hydro_bm!B1077,"")</f>
        <v/>
      </c>
      <c r="B1077" t="str">
        <f>IF(ROW(B1077)&lt;=Bidding!$D$11,Raw_hydro_bm!C1077,"")</f>
        <v/>
      </c>
      <c r="C1077" t="str">
        <f>IF(ROW(C1077)&lt;=Bidding!$D$11,Raw_hydro_bm!D1077,"")</f>
        <v/>
      </c>
      <c r="D1077" t="str">
        <f>IF(ROW(D1077)&lt;=Bidding!$D$11,Raw_hydro_bm!E1077,"")</f>
        <v/>
      </c>
      <c r="E1077" t="str">
        <f>IF(ROW(E1077)&lt;=Bidding!$D$11,Raw_hydro_bm!F1077,"")</f>
        <v/>
      </c>
      <c r="F1077" t="str">
        <f>IF(ROW(F1077)&lt;=Bidding!$D$11,Raw_hydro_bm!G1077,"")</f>
        <v/>
      </c>
      <c r="G1077" t="str">
        <f>IF(ROW(G1077)&lt;=Bidding!$D$11,Raw_hydro_bm!H1077,"")</f>
        <v/>
      </c>
      <c r="H1077" t="str">
        <f>IF(ROW(H1077)&lt;=Bidding!$D$11,Raw_hydro_bm!I1077,"")</f>
        <v/>
      </c>
      <c r="I1077" s="16" t="str">
        <f t="shared" si="16"/>
        <v/>
      </c>
    </row>
    <row r="1078" spans="1:9" x14ac:dyDescent="0.3">
      <c r="A1078" t="str">
        <f>IF(ROW(A1078)&lt;=Bidding!$D$11,Raw_hydro_bm!B1078,"")</f>
        <v/>
      </c>
      <c r="B1078" t="str">
        <f>IF(ROW(B1078)&lt;=Bidding!$D$11,Raw_hydro_bm!C1078,"")</f>
        <v/>
      </c>
      <c r="C1078" t="str">
        <f>IF(ROW(C1078)&lt;=Bidding!$D$11,Raw_hydro_bm!D1078,"")</f>
        <v/>
      </c>
      <c r="D1078" t="str">
        <f>IF(ROW(D1078)&lt;=Bidding!$D$11,Raw_hydro_bm!E1078,"")</f>
        <v/>
      </c>
      <c r="E1078" t="str">
        <f>IF(ROW(E1078)&lt;=Bidding!$D$11,Raw_hydro_bm!F1078,"")</f>
        <v/>
      </c>
      <c r="F1078" t="str">
        <f>IF(ROW(F1078)&lt;=Bidding!$D$11,Raw_hydro_bm!G1078,"")</f>
        <v/>
      </c>
      <c r="G1078" t="str">
        <f>IF(ROW(G1078)&lt;=Bidding!$D$11,Raw_hydro_bm!H1078,"")</f>
        <v/>
      </c>
      <c r="H1078" t="str">
        <f>IF(ROW(H1078)&lt;=Bidding!$D$11,Raw_hydro_bm!I1078,"")</f>
        <v/>
      </c>
      <c r="I1078" s="16" t="str">
        <f t="shared" si="16"/>
        <v/>
      </c>
    </row>
    <row r="1079" spans="1:9" x14ac:dyDescent="0.3">
      <c r="A1079" t="str">
        <f>IF(ROW(A1079)&lt;=Bidding!$D$11,Raw_hydro_bm!B1079,"")</f>
        <v/>
      </c>
      <c r="B1079" t="str">
        <f>IF(ROW(B1079)&lt;=Bidding!$D$11,Raw_hydro_bm!C1079,"")</f>
        <v/>
      </c>
      <c r="C1079" t="str">
        <f>IF(ROW(C1079)&lt;=Bidding!$D$11,Raw_hydro_bm!D1079,"")</f>
        <v/>
      </c>
      <c r="D1079" t="str">
        <f>IF(ROW(D1079)&lt;=Bidding!$D$11,Raw_hydro_bm!E1079,"")</f>
        <v/>
      </c>
      <c r="E1079" t="str">
        <f>IF(ROW(E1079)&lt;=Bidding!$D$11,Raw_hydro_bm!F1079,"")</f>
        <v/>
      </c>
      <c r="F1079" t="str">
        <f>IF(ROW(F1079)&lt;=Bidding!$D$11,Raw_hydro_bm!G1079,"")</f>
        <v/>
      </c>
      <c r="G1079" t="str">
        <f>IF(ROW(G1079)&lt;=Bidding!$D$11,Raw_hydro_bm!H1079,"")</f>
        <v/>
      </c>
      <c r="H1079" t="str">
        <f>IF(ROW(H1079)&lt;=Bidding!$D$11,Raw_hydro_bm!I1079,"")</f>
        <v/>
      </c>
      <c r="I1079" s="16" t="str">
        <f t="shared" si="16"/>
        <v/>
      </c>
    </row>
    <row r="1080" spans="1:9" x14ac:dyDescent="0.3">
      <c r="A1080" t="str">
        <f>IF(ROW(A1080)&lt;=Bidding!$D$11,Raw_hydro_bm!B1080,"")</f>
        <v/>
      </c>
      <c r="B1080" t="str">
        <f>IF(ROW(B1080)&lt;=Bidding!$D$11,Raw_hydro_bm!C1080,"")</f>
        <v/>
      </c>
      <c r="C1080" t="str">
        <f>IF(ROW(C1080)&lt;=Bidding!$D$11,Raw_hydro_bm!D1080,"")</f>
        <v/>
      </c>
      <c r="D1080" t="str">
        <f>IF(ROW(D1080)&lt;=Bidding!$D$11,Raw_hydro_bm!E1080,"")</f>
        <v/>
      </c>
      <c r="E1080" t="str">
        <f>IF(ROW(E1080)&lt;=Bidding!$D$11,Raw_hydro_bm!F1080,"")</f>
        <v/>
      </c>
      <c r="F1080" t="str">
        <f>IF(ROW(F1080)&lt;=Bidding!$D$11,Raw_hydro_bm!G1080,"")</f>
        <v/>
      </c>
      <c r="G1080" t="str">
        <f>IF(ROW(G1080)&lt;=Bidding!$D$11,Raw_hydro_bm!H1080,"")</f>
        <v/>
      </c>
      <c r="H1080" t="str">
        <f>IF(ROW(H1080)&lt;=Bidding!$D$11,Raw_hydro_bm!I1080,"")</f>
        <v/>
      </c>
      <c r="I1080" s="16" t="str">
        <f t="shared" si="16"/>
        <v/>
      </c>
    </row>
    <row r="1081" spans="1:9" x14ac:dyDescent="0.3">
      <c r="A1081" t="str">
        <f>IF(ROW(A1081)&lt;=Bidding!$D$11,Raw_hydro_bm!B1081,"")</f>
        <v/>
      </c>
      <c r="B1081" t="str">
        <f>IF(ROW(B1081)&lt;=Bidding!$D$11,Raw_hydro_bm!C1081,"")</f>
        <v/>
      </c>
      <c r="C1081" t="str">
        <f>IF(ROW(C1081)&lt;=Bidding!$D$11,Raw_hydro_bm!D1081,"")</f>
        <v/>
      </c>
      <c r="D1081" t="str">
        <f>IF(ROW(D1081)&lt;=Bidding!$D$11,Raw_hydro_bm!E1081,"")</f>
        <v/>
      </c>
      <c r="E1081" t="str">
        <f>IF(ROW(E1081)&lt;=Bidding!$D$11,Raw_hydro_bm!F1081,"")</f>
        <v/>
      </c>
      <c r="F1081" t="str">
        <f>IF(ROW(F1081)&lt;=Bidding!$D$11,Raw_hydro_bm!G1081,"")</f>
        <v/>
      </c>
      <c r="G1081" t="str">
        <f>IF(ROW(G1081)&lt;=Bidding!$D$11,Raw_hydro_bm!H1081,"")</f>
        <v/>
      </c>
      <c r="H1081" t="str">
        <f>IF(ROW(H1081)&lt;=Bidding!$D$11,Raw_hydro_bm!I1081,"")</f>
        <v/>
      </c>
      <c r="I1081" s="16" t="str">
        <f t="shared" si="16"/>
        <v/>
      </c>
    </row>
    <row r="1082" spans="1:9" x14ac:dyDescent="0.3">
      <c r="A1082" t="str">
        <f>IF(ROW(A1082)&lt;=Bidding!$D$11,Raw_hydro_bm!B1082,"")</f>
        <v/>
      </c>
      <c r="B1082" t="str">
        <f>IF(ROW(B1082)&lt;=Bidding!$D$11,Raw_hydro_bm!C1082,"")</f>
        <v/>
      </c>
      <c r="C1082" t="str">
        <f>IF(ROW(C1082)&lt;=Bidding!$D$11,Raw_hydro_bm!D1082,"")</f>
        <v/>
      </c>
      <c r="D1082" t="str">
        <f>IF(ROW(D1082)&lt;=Bidding!$D$11,Raw_hydro_bm!E1082,"")</f>
        <v/>
      </c>
      <c r="E1082" t="str">
        <f>IF(ROW(E1082)&lt;=Bidding!$D$11,Raw_hydro_bm!F1082,"")</f>
        <v/>
      </c>
      <c r="F1082" t="str">
        <f>IF(ROW(F1082)&lt;=Bidding!$D$11,Raw_hydro_bm!G1082,"")</f>
        <v/>
      </c>
      <c r="G1082" t="str">
        <f>IF(ROW(G1082)&lt;=Bidding!$D$11,Raw_hydro_bm!H1082,"")</f>
        <v/>
      </c>
      <c r="H1082" t="str">
        <f>IF(ROW(H1082)&lt;=Bidding!$D$11,Raw_hydro_bm!I1082,"")</f>
        <v/>
      </c>
      <c r="I1082" s="16" t="str">
        <f t="shared" si="16"/>
        <v/>
      </c>
    </row>
    <row r="1083" spans="1:9" x14ac:dyDescent="0.3">
      <c r="A1083" t="str">
        <f>IF(ROW(A1083)&lt;=Bidding!$D$11,Raw_hydro_bm!B1083,"")</f>
        <v/>
      </c>
      <c r="B1083" t="str">
        <f>IF(ROW(B1083)&lt;=Bidding!$D$11,Raw_hydro_bm!C1083,"")</f>
        <v/>
      </c>
      <c r="C1083" t="str">
        <f>IF(ROW(C1083)&lt;=Bidding!$D$11,Raw_hydro_bm!D1083,"")</f>
        <v/>
      </c>
      <c r="D1083" t="str">
        <f>IF(ROW(D1083)&lt;=Bidding!$D$11,Raw_hydro_bm!E1083,"")</f>
        <v/>
      </c>
      <c r="E1083" t="str">
        <f>IF(ROW(E1083)&lt;=Bidding!$D$11,Raw_hydro_bm!F1083,"")</f>
        <v/>
      </c>
      <c r="F1083" t="str">
        <f>IF(ROW(F1083)&lt;=Bidding!$D$11,Raw_hydro_bm!G1083,"")</f>
        <v/>
      </c>
      <c r="G1083" t="str">
        <f>IF(ROW(G1083)&lt;=Bidding!$D$11,Raw_hydro_bm!H1083,"")</f>
        <v/>
      </c>
      <c r="H1083" t="str">
        <f>IF(ROW(H1083)&lt;=Bidding!$D$11,Raw_hydro_bm!I1083,"")</f>
        <v/>
      </c>
      <c r="I1083" s="16" t="str">
        <f t="shared" si="16"/>
        <v/>
      </c>
    </row>
    <row r="1084" spans="1:9" x14ac:dyDescent="0.3">
      <c r="A1084" t="str">
        <f>IF(ROW(A1084)&lt;=Bidding!$D$11,Raw_hydro_bm!B1084,"")</f>
        <v/>
      </c>
      <c r="B1084" t="str">
        <f>IF(ROW(B1084)&lt;=Bidding!$D$11,Raw_hydro_bm!C1084,"")</f>
        <v/>
      </c>
      <c r="C1084" t="str">
        <f>IF(ROW(C1084)&lt;=Bidding!$D$11,Raw_hydro_bm!D1084,"")</f>
        <v/>
      </c>
      <c r="D1084" t="str">
        <f>IF(ROW(D1084)&lt;=Bidding!$D$11,Raw_hydro_bm!E1084,"")</f>
        <v/>
      </c>
      <c r="E1084" t="str">
        <f>IF(ROW(E1084)&lt;=Bidding!$D$11,Raw_hydro_bm!F1084,"")</f>
        <v/>
      </c>
      <c r="F1084" t="str">
        <f>IF(ROW(F1084)&lt;=Bidding!$D$11,Raw_hydro_bm!G1084,"")</f>
        <v/>
      </c>
      <c r="G1084" t="str">
        <f>IF(ROW(G1084)&lt;=Bidding!$D$11,Raw_hydro_bm!H1084,"")</f>
        <v/>
      </c>
      <c r="H1084" t="str">
        <f>IF(ROW(H1084)&lt;=Bidding!$D$11,Raw_hydro_bm!I1084,"")</f>
        <v/>
      </c>
      <c r="I1084" s="16" t="str">
        <f t="shared" si="16"/>
        <v/>
      </c>
    </row>
    <row r="1085" spans="1:9" x14ac:dyDescent="0.3">
      <c r="A1085" t="str">
        <f>IF(ROW(A1085)&lt;=Bidding!$D$11,Raw_hydro_bm!B1085,"")</f>
        <v/>
      </c>
      <c r="B1085" t="str">
        <f>IF(ROW(B1085)&lt;=Bidding!$D$11,Raw_hydro_bm!C1085,"")</f>
        <v/>
      </c>
      <c r="C1085" t="str">
        <f>IF(ROW(C1085)&lt;=Bidding!$D$11,Raw_hydro_bm!D1085,"")</f>
        <v/>
      </c>
      <c r="D1085" t="str">
        <f>IF(ROW(D1085)&lt;=Bidding!$D$11,Raw_hydro_bm!E1085,"")</f>
        <v/>
      </c>
      <c r="E1085" t="str">
        <f>IF(ROW(E1085)&lt;=Bidding!$D$11,Raw_hydro_bm!F1085,"")</f>
        <v/>
      </c>
      <c r="F1085" t="str">
        <f>IF(ROW(F1085)&lt;=Bidding!$D$11,Raw_hydro_bm!G1085,"")</f>
        <v/>
      </c>
      <c r="G1085" t="str">
        <f>IF(ROW(G1085)&lt;=Bidding!$D$11,Raw_hydro_bm!H1085,"")</f>
        <v/>
      </c>
      <c r="H1085" t="str">
        <f>IF(ROW(H1085)&lt;=Bidding!$D$11,Raw_hydro_bm!I1085,"")</f>
        <v/>
      </c>
      <c r="I1085" s="16" t="str">
        <f t="shared" si="16"/>
        <v/>
      </c>
    </row>
    <row r="1086" spans="1:9" x14ac:dyDescent="0.3">
      <c r="A1086" t="str">
        <f>IF(ROW(A1086)&lt;=Bidding!$D$11,Raw_hydro_bm!B1086,"")</f>
        <v/>
      </c>
      <c r="B1086" t="str">
        <f>IF(ROW(B1086)&lt;=Bidding!$D$11,Raw_hydro_bm!C1086,"")</f>
        <v/>
      </c>
      <c r="C1086" t="str">
        <f>IF(ROW(C1086)&lt;=Bidding!$D$11,Raw_hydro_bm!D1086,"")</f>
        <v/>
      </c>
      <c r="D1086" t="str">
        <f>IF(ROW(D1086)&lt;=Bidding!$D$11,Raw_hydro_bm!E1086,"")</f>
        <v/>
      </c>
      <c r="E1086" t="str">
        <f>IF(ROW(E1086)&lt;=Bidding!$D$11,Raw_hydro_bm!F1086,"")</f>
        <v/>
      </c>
      <c r="F1086" t="str">
        <f>IF(ROW(F1086)&lt;=Bidding!$D$11,Raw_hydro_bm!G1086,"")</f>
        <v/>
      </c>
      <c r="G1086" t="str">
        <f>IF(ROW(G1086)&lt;=Bidding!$D$11,Raw_hydro_bm!H1086,"")</f>
        <v/>
      </c>
      <c r="H1086" t="str">
        <f>IF(ROW(H1086)&lt;=Bidding!$D$11,Raw_hydro_bm!I1086,"")</f>
        <v/>
      </c>
      <c r="I1086" s="16" t="str">
        <f t="shared" si="16"/>
        <v/>
      </c>
    </row>
    <row r="1087" spans="1:9" x14ac:dyDescent="0.3">
      <c r="A1087" t="str">
        <f>IF(ROW(A1087)&lt;=Bidding!$D$11,Raw_hydro_bm!B1087,"")</f>
        <v/>
      </c>
      <c r="B1087" t="str">
        <f>IF(ROW(B1087)&lt;=Bidding!$D$11,Raw_hydro_bm!C1087,"")</f>
        <v/>
      </c>
      <c r="C1087" t="str">
        <f>IF(ROW(C1087)&lt;=Bidding!$D$11,Raw_hydro_bm!D1087,"")</f>
        <v/>
      </c>
      <c r="D1087" t="str">
        <f>IF(ROW(D1087)&lt;=Bidding!$D$11,Raw_hydro_bm!E1087,"")</f>
        <v/>
      </c>
      <c r="E1087" t="str">
        <f>IF(ROW(E1087)&lt;=Bidding!$D$11,Raw_hydro_bm!F1087,"")</f>
        <v/>
      </c>
      <c r="F1087" t="str">
        <f>IF(ROW(F1087)&lt;=Bidding!$D$11,Raw_hydro_bm!G1087,"")</f>
        <v/>
      </c>
      <c r="G1087" t="str">
        <f>IF(ROW(G1087)&lt;=Bidding!$D$11,Raw_hydro_bm!H1087,"")</f>
        <v/>
      </c>
      <c r="H1087" t="str">
        <f>IF(ROW(H1087)&lt;=Bidding!$D$11,Raw_hydro_bm!I1087,"")</f>
        <v/>
      </c>
      <c r="I1087" s="16" t="str">
        <f t="shared" si="16"/>
        <v/>
      </c>
    </row>
    <row r="1088" spans="1:9" x14ac:dyDescent="0.3">
      <c r="A1088" t="str">
        <f>IF(ROW(A1088)&lt;=Bidding!$D$11,Raw_hydro_bm!B1088,"")</f>
        <v/>
      </c>
      <c r="B1088" t="str">
        <f>IF(ROW(B1088)&lt;=Bidding!$D$11,Raw_hydro_bm!C1088,"")</f>
        <v/>
      </c>
      <c r="C1088" t="str">
        <f>IF(ROW(C1088)&lt;=Bidding!$D$11,Raw_hydro_bm!D1088,"")</f>
        <v/>
      </c>
      <c r="D1088" t="str">
        <f>IF(ROW(D1088)&lt;=Bidding!$D$11,Raw_hydro_bm!E1088,"")</f>
        <v/>
      </c>
      <c r="E1088" t="str">
        <f>IF(ROW(E1088)&lt;=Bidding!$D$11,Raw_hydro_bm!F1088,"")</f>
        <v/>
      </c>
      <c r="F1088" t="str">
        <f>IF(ROW(F1088)&lt;=Bidding!$D$11,Raw_hydro_bm!G1088,"")</f>
        <v/>
      </c>
      <c r="G1088" t="str">
        <f>IF(ROW(G1088)&lt;=Bidding!$D$11,Raw_hydro_bm!H1088,"")</f>
        <v/>
      </c>
      <c r="H1088" t="str">
        <f>IF(ROW(H1088)&lt;=Bidding!$D$11,Raw_hydro_bm!I1088,"")</f>
        <v/>
      </c>
      <c r="I1088" s="16" t="str">
        <f t="shared" si="16"/>
        <v/>
      </c>
    </row>
    <row r="1089" spans="1:9" x14ac:dyDescent="0.3">
      <c r="A1089" t="str">
        <f>IF(ROW(A1089)&lt;=Bidding!$D$11,Raw_hydro_bm!B1089,"")</f>
        <v/>
      </c>
      <c r="B1089" t="str">
        <f>IF(ROW(B1089)&lt;=Bidding!$D$11,Raw_hydro_bm!C1089,"")</f>
        <v/>
      </c>
      <c r="C1089" t="str">
        <f>IF(ROW(C1089)&lt;=Bidding!$D$11,Raw_hydro_bm!D1089,"")</f>
        <v/>
      </c>
      <c r="D1089" t="str">
        <f>IF(ROW(D1089)&lt;=Bidding!$D$11,Raw_hydro_bm!E1089,"")</f>
        <v/>
      </c>
      <c r="E1089" t="str">
        <f>IF(ROW(E1089)&lt;=Bidding!$D$11,Raw_hydro_bm!F1089,"")</f>
        <v/>
      </c>
      <c r="F1089" t="str">
        <f>IF(ROW(F1089)&lt;=Bidding!$D$11,Raw_hydro_bm!G1089,"")</f>
        <v/>
      </c>
      <c r="G1089" t="str">
        <f>IF(ROW(G1089)&lt;=Bidding!$D$11,Raw_hydro_bm!H1089,"")</f>
        <v/>
      </c>
      <c r="H1089" t="str">
        <f>IF(ROW(H1089)&lt;=Bidding!$D$11,Raw_hydro_bm!I1089,"")</f>
        <v/>
      </c>
      <c r="I1089" s="16" t="str">
        <f t="shared" si="16"/>
        <v/>
      </c>
    </row>
    <row r="1090" spans="1:9" x14ac:dyDescent="0.2">
      <c r="A1090" t="str">
        <f>IF(ROW(A1090)&lt;=Bidding!$D$11,Raw_hydro_bm!B1090,"")</f>
        <v/>
      </c>
      <c r="B1090" t="str">
        <f>IF(ROW(B1090)&lt;=Bidding!$D$11,Raw_hydro_bm!C1090,"")</f>
        <v/>
      </c>
      <c r="C1090" t="str">
        <f>IF(ROW(C1090)&lt;=Bidding!$D$11,Raw_hydro_bm!D1090,"")</f>
        <v/>
      </c>
      <c r="D1090" t="str">
        <f>IF(ROW(D1090)&lt;=Bidding!$D$11,Raw_hydro_bm!E1090,"")</f>
        <v/>
      </c>
      <c r="E1090" t="str">
        <f>IF(ROW(E1090)&lt;=Bidding!$D$11,Raw_hydro_bm!F1090,"")</f>
        <v/>
      </c>
      <c r="F1090" t="str">
        <f>IF(ROW(F1090)&lt;=Bidding!$D$11,Raw_hydro_bm!G1090,"")</f>
        <v/>
      </c>
      <c r="G1090" t="str">
        <f>IF(ROW(G1090)&lt;=Bidding!$D$11,Raw_hydro_bm!H1090,"")</f>
        <v/>
      </c>
      <c r="H1090" t="str">
        <f>IF(ROW(H1090)&lt;=Bidding!$D$11,Raw_hydro_bm!I1090,"")</f>
        <v/>
      </c>
      <c r="I1090" s="16" t="str">
        <f t="shared" ref="I1090:I1153" si="17">IF(IFERROR(FIND("e",H1090),-1)&lt;0,IFERROR(_xlfn.NUMBERVALUE(LEFT(H1090,FIND(".",H1090)-1))+_xlfn.NUMBERVALUE("0,"&amp;RIGHT(H1090,LEN(H1090)-FIND(".",H1090))),""),0)</f>
        <v/>
      </c>
    </row>
    <row r="1091" spans="1:9" x14ac:dyDescent="0.2">
      <c r="A1091" t="str">
        <f>IF(ROW(A1091)&lt;=Bidding!$D$11,Raw_hydro_bm!B1091,"")</f>
        <v/>
      </c>
      <c r="B1091" t="str">
        <f>IF(ROW(B1091)&lt;=Bidding!$D$11,Raw_hydro_bm!C1091,"")</f>
        <v/>
      </c>
      <c r="C1091" t="str">
        <f>IF(ROW(C1091)&lt;=Bidding!$D$11,Raw_hydro_bm!D1091,"")</f>
        <v/>
      </c>
      <c r="D1091" t="str">
        <f>IF(ROW(D1091)&lt;=Bidding!$D$11,Raw_hydro_bm!E1091,"")</f>
        <v/>
      </c>
      <c r="E1091" t="str">
        <f>IF(ROW(E1091)&lt;=Bidding!$D$11,Raw_hydro_bm!F1091,"")</f>
        <v/>
      </c>
      <c r="F1091" t="str">
        <f>IF(ROW(F1091)&lt;=Bidding!$D$11,Raw_hydro_bm!G1091,"")</f>
        <v/>
      </c>
      <c r="G1091" t="str">
        <f>IF(ROW(G1091)&lt;=Bidding!$D$11,Raw_hydro_bm!H1091,"")</f>
        <v/>
      </c>
      <c r="H1091" t="str">
        <f>IF(ROW(H1091)&lt;=Bidding!$D$11,Raw_hydro_bm!I1091,"")</f>
        <v/>
      </c>
      <c r="I1091" s="16" t="str">
        <f t="shared" si="17"/>
        <v/>
      </c>
    </row>
    <row r="1092" spans="1:9" x14ac:dyDescent="0.2">
      <c r="A1092" t="str">
        <f>IF(ROW(A1092)&lt;=Bidding!$D$11,Raw_hydro_bm!B1092,"")</f>
        <v/>
      </c>
      <c r="B1092" t="str">
        <f>IF(ROW(B1092)&lt;=Bidding!$D$11,Raw_hydro_bm!C1092,"")</f>
        <v/>
      </c>
      <c r="C1092" t="str">
        <f>IF(ROW(C1092)&lt;=Bidding!$D$11,Raw_hydro_bm!D1092,"")</f>
        <v/>
      </c>
      <c r="D1092" t="str">
        <f>IF(ROW(D1092)&lt;=Bidding!$D$11,Raw_hydro_bm!E1092,"")</f>
        <v/>
      </c>
      <c r="E1092" t="str">
        <f>IF(ROW(E1092)&lt;=Bidding!$D$11,Raw_hydro_bm!F1092,"")</f>
        <v/>
      </c>
      <c r="F1092" t="str">
        <f>IF(ROW(F1092)&lt;=Bidding!$D$11,Raw_hydro_bm!G1092,"")</f>
        <v/>
      </c>
      <c r="G1092" t="str">
        <f>IF(ROW(G1092)&lt;=Bidding!$D$11,Raw_hydro_bm!H1092,"")</f>
        <v/>
      </c>
      <c r="H1092" t="str">
        <f>IF(ROW(H1092)&lt;=Bidding!$D$11,Raw_hydro_bm!I1092,"")</f>
        <v/>
      </c>
      <c r="I1092" s="16" t="str">
        <f t="shared" si="17"/>
        <v/>
      </c>
    </row>
    <row r="1093" spans="1:9" x14ac:dyDescent="0.2">
      <c r="A1093" t="str">
        <f>IF(ROW(A1093)&lt;=Bidding!$D$11,Raw_hydro_bm!B1093,"")</f>
        <v/>
      </c>
      <c r="B1093" t="str">
        <f>IF(ROW(B1093)&lt;=Bidding!$D$11,Raw_hydro_bm!C1093,"")</f>
        <v/>
      </c>
      <c r="C1093" t="str">
        <f>IF(ROW(C1093)&lt;=Bidding!$D$11,Raw_hydro_bm!D1093,"")</f>
        <v/>
      </c>
      <c r="D1093" t="str">
        <f>IF(ROW(D1093)&lt;=Bidding!$D$11,Raw_hydro_bm!E1093,"")</f>
        <v/>
      </c>
      <c r="E1093" t="str">
        <f>IF(ROW(E1093)&lt;=Bidding!$D$11,Raw_hydro_bm!F1093,"")</f>
        <v/>
      </c>
      <c r="F1093" t="str">
        <f>IF(ROW(F1093)&lt;=Bidding!$D$11,Raw_hydro_bm!G1093,"")</f>
        <v/>
      </c>
      <c r="G1093" t="str">
        <f>IF(ROW(G1093)&lt;=Bidding!$D$11,Raw_hydro_bm!H1093,"")</f>
        <v/>
      </c>
      <c r="H1093" t="str">
        <f>IF(ROW(H1093)&lt;=Bidding!$D$11,Raw_hydro_bm!I1093,"")</f>
        <v/>
      </c>
      <c r="I1093" s="16" t="str">
        <f t="shared" si="17"/>
        <v/>
      </c>
    </row>
    <row r="1094" spans="1:9" x14ac:dyDescent="0.2">
      <c r="A1094" t="str">
        <f>IF(ROW(A1094)&lt;=Bidding!$D$11,Raw_hydro_bm!B1094,"")</f>
        <v/>
      </c>
      <c r="B1094" t="str">
        <f>IF(ROW(B1094)&lt;=Bidding!$D$11,Raw_hydro_bm!C1094,"")</f>
        <v/>
      </c>
      <c r="C1094" t="str">
        <f>IF(ROW(C1094)&lt;=Bidding!$D$11,Raw_hydro_bm!D1094,"")</f>
        <v/>
      </c>
      <c r="D1094" t="str">
        <f>IF(ROW(D1094)&lt;=Bidding!$D$11,Raw_hydro_bm!E1094,"")</f>
        <v/>
      </c>
      <c r="E1094" t="str">
        <f>IF(ROW(E1094)&lt;=Bidding!$D$11,Raw_hydro_bm!F1094,"")</f>
        <v/>
      </c>
      <c r="F1094" t="str">
        <f>IF(ROW(F1094)&lt;=Bidding!$D$11,Raw_hydro_bm!G1094,"")</f>
        <v/>
      </c>
      <c r="G1094" t="str">
        <f>IF(ROW(G1094)&lt;=Bidding!$D$11,Raw_hydro_bm!H1094,"")</f>
        <v/>
      </c>
      <c r="H1094" t="str">
        <f>IF(ROW(H1094)&lt;=Bidding!$D$11,Raw_hydro_bm!I1094,"")</f>
        <v/>
      </c>
      <c r="I1094" s="16" t="str">
        <f t="shared" si="17"/>
        <v/>
      </c>
    </row>
    <row r="1095" spans="1:9" x14ac:dyDescent="0.2">
      <c r="A1095" t="str">
        <f>IF(ROW(A1095)&lt;=Bidding!$D$11,Raw_hydro_bm!B1095,"")</f>
        <v/>
      </c>
      <c r="B1095" t="str">
        <f>IF(ROW(B1095)&lt;=Bidding!$D$11,Raw_hydro_bm!C1095,"")</f>
        <v/>
      </c>
      <c r="C1095" t="str">
        <f>IF(ROW(C1095)&lt;=Bidding!$D$11,Raw_hydro_bm!D1095,"")</f>
        <v/>
      </c>
      <c r="D1095" t="str">
        <f>IF(ROW(D1095)&lt;=Bidding!$D$11,Raw_hydro_bm!E1095,"")</f>
        <v/>
      </c>
      <c r="E1095" t="str">
        <f>IF(ROW(E1095)&lt;=Bidding!$D$11,Raw_hydro_bm!F1095,"")</f>
        <v/>
      </c>
      <c r="F1095" t="str">
        <f>IF(ROW(F1095)&lt;=Bidding!$D$11,Raw_hydro_bm!G1095,"")</f>
        <v/>
      </c>
      <c r="G1095" t="str">
        <f>IF(ROW(G1095)&lt;=Bidding!$D$11,Raw_hydro_bm!H1095,"")</f>
        <v/>
      </c>
      <c r="H1095" t="str">
        <f>IF(ROW(H1095)&lt;=Bidding!$D$11,Raw_hydro_bm!I1095,"")</f>
        <v/>
      </c>
      <c r="I1095" s="16" t="str">
        <f t="shared" si="17"/>
        <v/>
      </c>
    </row>
    <row r="1096" spans="1:9" x14ac:dyDescent="0.2">
      <c r="A1096" t="str">
        <f>IF(ROW(A1096)&lt;=Bidding!$D$11,Raw_hydro_bm!B1096,"")</f>
        <v/>
      </c>
      <c r="B1096" t="str">
        <f>IF(ROW(B1096)&lt;=Bidding!$D$11,Raw_hydro_bm!C1096,"")</f>
        <v/>
      </c>
      <c r="C1096" t="str">
        <f>IF(ROW(C1096)&lt;=Bidding!$D$11,Raw_hydro_bm!D1096,"")</f>
        <v/>
      </c>
      <c r="D1096" t="str">
        <f>IF(ROW(D1096)&lt;=Bidding!$D$11,Raw_hydro_bm!E1096,"")</f>
        <v/>
      </c>
      <c r="E1096" t="str">
        <f>IF(ROW(E1096)&lt;=Bidding!$D$11,Raw_hydro_bm!F1096,"")</f>
        <v/>
      </c>
      <c r="F1096" t="str">
        <f>IF(ROW(F1096)&lt;=Bidding!$D$11,Raw_hydro_bm!G1096,"")</f>
        <v/>
      </c>
      <c r="G1096" t="str">
        <f>IF(ROW(G1096)&lt;=Bidding!$D$11,Raw_hydro_bm!H1096,"")</f>
        <v/>
      </c>
      <c r="H1096" t="str">
        <f>IF(ROW(H1096)&lt;=Bidding!$D$11,Raw_hydro_bm!I1096,"")</f>
        <v/>
      </c>
      <c r="I1096" s="16" t="str">
        <f t="shared" si="17"/>
        <v/>
      </c>
    </row>
    <row r="1097" spans="1:9" x14ac:dyDescent="0.2">
      <c r="A1097" t="str">
        <f>IF(ROW(A1097)&lt;=Bidding!$D$11,Raw_hydro_bm!B1097,"")</f>
        <v/>
      </c>
      <c r="B1097" t="str">
        <f>IF(ROW(B1097)&lt;=Bidding!$D$11,Raw_hydro_bm!C1097,"")</f>
        <v/>
      </c>
      <c r="C1097" t="str">
        <f>IF(ROW(C1097)&lt;=Bidding!$D$11,Raw_hydro_bm!D1097,"")</f>
        <v/>
      </c>
      <c r="D1097" t="str">
        <f>IF(ROW(D1097)&lt;=Bidding!$D$11,Raw_hydro_bm!E1097,"")</f>
        <v/>
      </c>
      <c r="E1097" t="str">
        <f>IF(ROW(E1097)&lt;=Bidding!$D$11,Raw_hydro_bm!F1097,"")</f>
        <v/>
      </c>
      <c r="F1097" t="str">
        <f>IF(ROW(F1097)&lt;=Bidding!$D$11,Raw_hydro_bm!G1097,"")</f>
        <v/>
      </c>
      <c r="G1097" t="str">
        <f>IF(ROW(G1097)&lt;=Bidding!$D$11,Raw_hydro_bm!H1097,"")</f>
        <v/>
      </c>
      <c r="H1097" t="str">
        <f>IF(ROW(H1097)&lt;=Bidding!$D$11,Raw_hydro_bm!I1097,"")</f>
        <v/>
      </c>
      <c r="I1097" s="16" t="str">
        <f t="shared" si="17"/>
        <v/>
      </c>
    </row>
    <row r="1098" spans="1:9" x14ac:dyDescent="0.2">
      <c r="A1098" t="str">
        <f>IF(ROW(A1098)&lt;=Bidding!$D$11,Raw_hydro_bm!B1098,"")</f>
        <v/>
      </c>
      <c r="B1098" t="str">
        <f>IF(ROW(B1098)&lt;=Bidding!$D$11,Raw_hydro_bm!C1098,"")</f>
        <v/>
      </c>
      <c r="C1098" t="str">
        <f>IF(ROW(C1098)&lt;=Bidding!$D$11,Raw_hydro_bm!D1098,"")</f>
        <v/>
      </c>
      <c r="D1098" t="str">
        <f>IF(ROW(D1098)&lt;=Bidding!$D$11,Raw_hydro_bm!E1098,"")</f>
        <v/>
      </c>
      <c r="E1098" t="str">
        <f>IF(ROW(E1098)&lt;=Bidding!$D$11,Raw_hydro_bm!F1098,"")</f>
        <v/>
      </c>
      <c r="F1098" t="str">
        <f>IF(ROW(F1098)&lt;=Bidding!$D$11,Raw_hydro_bm!G1098,"")</f>
        <v/>
      </c>
      <c r="G1098" t="str">
        <f>IF(ROW(G1098)&lt;=Bidding!$D$11,Raw_hydro_bm!H1098,"")</f>
        <v/>
      </c>
      <c r="H1098" t="str">
        <f>IF(ROW(H1098)&lt;=Bidding!$D$11,Raw_hydro_bm!I1098,"")</f>
        <v/>
      </c>
      <c r="I1098" s="16" t="str">
        <f t="shared" si="17"/>
        <v/>
      </c>
    </row>
    <row r="1099" spans="1:9" x14ac:dyDescent="0.2">
      <c r="A1099" t="str">
        <f>IF(ROW(A1099)&lt;=Bidding!$D$11,Raw_hydro_bm!B1099,"")</f>
        <v/>
      </c>
      <c r="B1099" t="str">
        <f>IF(ROW(B1099)&lt;=Bidding!$D$11,Raw_hydro_bm!C1099,"")</f>
        <v/>
      </c>
      <c r="C1099" t="str">
        <f>IF(ROW(C1099)&lt;=Bidding!$D$11,Raw_hydro_bm!D1099,"")</f>
        <v/>
      </c>
      <c r="D1099" t="str">
        <f>IF(ROW(D1099)&lt;=Bidding!$D$11,Raw_hydro_bm!E1099,"")</f>
        <v/>
      </c>
      <c r="E1099" t="str">
        <f>IF(ROW(E1099)&lt;=Bidding!$D$11,Raw_hydro_bm!F1099,"")</f>
        <v/>
      </c>
      <c r="F1099" t="str">
        <f>IF(ROW(F1099)&lt;=Bidding!$D$11,Raw_hydro_bm!G1099,"")</f>
        <v/>
      </c>
      <c r="G1099" t="str">
        <f>IF(ROW(G1099)&lt;=Bidding!$D$11,Raw_hydro_bm!H1099,"")</f>
        <v/>
      </c>
      <c r="H1099" t="str">
        <f>IF(ROW(H1099)&lt;=Bidding!$D$11,Raw_hydro_bm!I1099,"")</f>
        <v/>
      </c>
      <c r="I1099" s="16" t="str">
        <f t="shared" si="17"/>
        <v/>
      </c>
    </row>
    <row r="1100" spans="1:9" x14ac:dyDescent="0.2">
      <c r="A1100" t="str">
        <f>IF(ROW(A1100)&lt;=Bidding!$D$11,Raw_hydro_bm!B1100,"")</f>
        <v/>
      </c>
      <c r="B1100" t="str">
        <f>IF(ROW(B1100)&lt;=Bidding!$D$11,Raw_hydro_bm!C1100,"")</f>
        <v/>
      </c>
      <c r="C1100" t="str">
        <f>IF(ROW(C1100)&lt;=Bidding!$D$11,Raw_hydro_bm!D1100,"")</f>
        <v/>
      </c>
      <c r="D1100" t="str">
        <f>IF(ROW(D1100)&lt;=Bidding!$D$11,Raw_hydro_bm!E1100,"")</f>
        <v/>
      </c>
      <c r="E1100" t="str">
        <f>IF(ROW(E1100)&lt;=Bidding!$D$11,Raw_hydro_bm!F1100,"")</f>
        <v/>
      </c>
      <c r="F1100" t="str">
        <f>IF(ROW(F1100)&lt;=Bidding!$D$11,Raw_hydro_bm!G1100,"")</f>
        <v/>
      </c>
      <c r="G1100" t="str">
        <f>IF(ROW(G1100)&lt;=Bidding!$D$11,Raw_hydro_bm!H1100,"")</f>
        <v/>
      </c>
      <c r="H1100" t="str">
        <f>IF(ROW(H1100)&lt;=Bidding!$D$11,Raw_hydro_bm!I1100,"")</f>
        <v/>
      </c>
      <c r="I1100" s="16" t="str">
        <f t="shared" si="17"/>
        <v/>
      </c>
    </row>
    <row r="1101" spans="1:9" x14ac:dyDescent="0.2">
      <c r="A1101" t="str">
        <f>IF(ROW(A1101)&lt;=Bidding!$D$11,Raw_hydro_bm!B1101,"")</f>
        <v/>
      </c>
      <c r="B1101" t="str">
        <f>IF(ROW(B1101)&lt;=Bidding!$D$11,Raw_hydro_bm!C1101,"")</f>
        <v/>
      </c>
      <c r="C1101" t="str">
        <f>IF(ROW(C1101)&lt;=Bidding!$D$11,Raw_hydro_bm!D1101,"")</f>
        <v/>
      </c>
      <c r="D1101" t="str">
        <f>IF(ROW(D1101)&lt;=Bidding!$D$11,Raw_hydro_bm!E1101,"")</f>
        <v/>
      </c>
      <c r="E1101" t="str">
        <f>IF(ROW(E1101)&lt;=Bidding!$D$11,Raw_hydro_bm!F1101,"")</f>
        <v/>
      </c>
      <c r="F1101" t="str">
        <f>IF(ROW(F1101)&lt;=Bidding!$D$11,Raw_hydro_bm!G1101,"")</f>
        <v/>
      </c>
      <c r="G1101" t="str">
        <f>IF(ROW(G1101)&lt;=Bidding!$D$11,Raw_hydro_bm!H1101,"")</f>
        <v/>
      </c>
      <c r="H1101" t="str">
        <f>IF(ROW(H1101)&lt;=Bidding!$D$11,Raw_hydro_bm!I1101,"")</f>
        <v/>
      </c>
      <c r="I1101" s="16" t="str">
        <f t="shared" si="17"/>
        <v/>
      </c>
    </row>
    <row r="1102" spans="1:9" x14ac:dyDescent="0.2">
      <c r="A1102" t="str">
        <f>IF(ROW(A1102)&lt;=Bidding!$D$11,Raw_hydro_bm!B1102,"")</f>
        <v/>
      </c>
      <c r="B1102" t="str">
        <f>IF(ROW(B1102)&lt;=Bidding!$D$11,Raw_hydro_bm!C1102,"")</f>
        <v/>
      </c>
      <c r="C1102" t="str">
        <f>IF(ROW(C1102)&lt;=Bidding!$D$11,Raw_hydro_bm!D1102,"")</f>
        <v/>
      </c>
      <c r="D1102" t="str">
        <f>IF(ROW(D1102)&lt;=Bidding!$D$11,Raw_hydro_bm!E1102,"")</f>
        <v/>
      </c>
      <c r="E1102" t="str">
        <f>IF(ROW(E1102)&lt;=Bidding!$D$11,Raw_hydro_bm!F1102,"")</f>
        <v/>
      </c>
      <c r="F1102" t="str">
        <f>IF(ROW(F1102)&lt;=Bidding!$D$11,Raw_hydro_bm!G1102,"")</f>
        <v/>
      </c>
      <c r="G1102" t="str">
        <f>IF(ROW(G1102)&lt;=Bidding!$D$11,Raw_hydro_bm!H1102,"")</f>
        <v/>
      </c>
      <c r="H1102" t="str">
        <f>IF(ROW(H1102)&lt;=Bidding!$D$11,Raw_hydro_bm!I1102,"")</f>
        <v/>
      </c>
      <c r="I1102" s="16" t="str">
        <f t="shared" si="17"/>
        <v/>
      </c>
    </row>
    <row r="1103" spans="1:9" x14ac:dyDescent="0.2">
      <c r="A1103" t="str">
        <f>IF(ROW(A1103)&lt;=Bidding!$D$11,Raw_hydro_bm!B1103,"")</f>
        <v/>
      </c>
      <c r="B1103" t="str">
        <f>IF(ROW(B1103)&lt;=Bidding!$D$11,Raw_hydro_bm!C1103,"")</f>
        <v/>
      </c>
      <c r="C1103" t="str">
        <f>IF(ROW(C1103)&lt;=Bidding!$D$11,Raw_hydro_bm!D1103,"")</f>
        <v/>
      </c>
      <c r="D1103" t="str">
        <f>IF(ROW(D1103)&lt;=Bidding!$D$11,Raw_hydro_bm!E1103,"")</f>
        <v/>
      </c>
      <c r="E1103" t="str">
        <f>IF(ROW(E1103)&lt;=Bidding!$D$11,Raw_hydro_bm!F1103,"")</f>
        <v/>
      </c>
      <c r="F1103" t="str">
        <f>IF(ROW(F1103)&lt;=Bidding!$D$11,Raw_hydro_bm!G1103,"")</f>
        <v/>
      </c>
      <c r="G1103" t="str">
        <f>IF(ROW(G1103)&lt;=Bidding!$D$11,Raw_hydro_bm!H1103,"")</f>
        <v/>
      </c>
      <c r="H1103" t="str">
        <f>IF(ROW(H1103)&lt;=Bidding!$D$11,Raw_hydro_bm!I1103,"")</f>
        <v/>
      </c>
      <c r="I1103" s="16" t="str">
        <f t="shared" si="17"/>
        <v/>
      </c>
    </row>
    <row r="1104" spans="1:9" x14ac:dyDescent="0.2">
      <c r="A1104" t="str">
        <f>IF(ROW(A1104)&lt;=Bidding!$D$11,Raw_hydro_bm!B1104,"")</f>
        <v/>
      </c>
      <c r="B1104" t="str">
        <f>IF(ROW(B1104)&lt;=Bidding!$D$11,Raw_hydro_bm!C1104,"")</f>
        <v/>
      </c>
      <c r="C1104" t="str">
        <f>IF(ROW(C1104)&lt;=Bidding!$D$11,Raw_hydro_bm!D1104,"")</f>
        <v/>
      </c>
      <c r="D1104" t="str">
        <f>IF(ROW(D1104)&lt;=Bidding!$D$11,Raw_hydro_bm!E1104,"")</f>
        <v/>
      </c>
      <c r="E1104" t="str">
        <f>IF(ROW(E1104)&lt;=Bidding!$D$11,Raw_hydro_bm!F1104,"")</f>
        <v/>
      </c>
      <c r="F1104" t="str">
        <f>IF(ROW(F1104)&lt;=Bidding!$D$11,Raw_hydro_bm!G1104,"")</f>
        <v/>
      </c>
      <c r="G1104" t="str">
        <f>IF(ROW(G1104)&lt;=Bidding!$D$11,Raw_hydro_bm!H1104,"")</f>
        <v/>
      </c>
      <c r="H1104" t="str">
        <f>IF(ROW(H1104)&lt;=Bidding!$D$11,Raw_hydro_bm!I1104,"")</f>
        <v/>
      </c>
      <c r="I1104" s="16" t="str">
        <f t="shared" si="17"/>
        <v/>
      </c>
    </row>
    <row r="1105" spans="1:9" x14ac:dyDescent="0.2">
      <c r="A1105" t="str">
        <f>IF(ROW(A1105)&lt;=Bidding!$D$11,Raw_hydro_bm!B1105,"")</f>
        <v/>
      </c>
      <c r="B1105" t="str">
        <f>IF(ROW(B1105)&lt;=Bidding!$D$11,Raw_hydro_bm!C1105,"")</f>
        <v/>
      </c>
      <c r="C1105" t="str">
        <f>IF(ROW(C1105)&lt;=Bidding!$D$11,Raw_hydro_bm!D1105,"")</f>
        <v/>
      </c>
      <c r="D1105" t="str">
        <f>IF(ROW(D1105)&lt;=Bidding!$D$11,Raw_hydro_bm!E1105,"")</f>
        <v/>
      </c>
      <c r="E1105" t="str">
        <f>IF(ROW(E1105)&lt;=Bidding!$D$11,Raw_hydro_bm!F1105,"")</f>
        <v/>
      </c>
      <c r="F1105" t="str">
        <f>IF(ROW(F1105)&lt;=Bidding!$D$11,Raw_hydro_bm!G1105,"")</f>
        <v/>
      </c>
      <c r="G1105" t="str">
        <f>IF(ROW(G1105)&lt;=Bidding!$D$11,Raw_hydro_bm!H1105,"")</f>
        <v/>
      </c>
      <c r="H1105" t="str">
        <f>IF(ROW(H1105)&lt;=Bidding!$D$11,Raw_hydro_bm!I1105,"")</f>
        <v/>
      </c>
      <c r="I1105" s="16" t="str">
        <f t="shared" si="17"/>
        <v/>
      </c>
    </row>
    <row r="1106" spans="1:9" x14ac:dyDescent="0.2">
      <c r="A1106" t="str">
        <f>IF(ROW(A1106)&lt;=Bidding!$D$11,Raw_hydro_bm!B1106,"")</f>
        <v/>
      </c>
      <c r="B1106" t="str">
        <f>IF(ROW(B1106)&lt;=Bidding!$D$11,Raw_hydro_bm!C1106,"")</f>
        <v/>
      </c>
      <c r="C1106" t="str">
        <f>IF(ROW(C1106)&lt;=Bidding!$D$11,Raw_hydro_bm!D1106,"")</f>
        <v/>
      </c>
      <c r="D1106" t="str">
        <f>IF(ROW(D1106)&lt;=Bidding!$D$11,Raw_hydro_bm!E1106,"")</f>
        <v/>
      </c>
      <c r="E1106" t="str">
        <f>IF(ROW(E1106)&lt;=Bidding!$D$11,Raw_hydro_bm!F1106,"")</f>
        <v/>
      </c>
      <c r="F1106" t="str">
        <f>IF(ROW(F1106)&lt;=Bidding!$D$11,Raw_hydro_bm!G1106,"")</f>
        <v/>
      </c>
      <c r="G1106" t="str">
        <f>IF(ROW(G1106)&lt;=Bidding!$D$11,Raw_hydro_bm!H1106,"")</f>
        <v/>
      </c>
      <c r="H1106" t="str">
        <f>IF(ROW(H1106)&lt;=Bidding!$D$11,Raw_hydro_bm!I1106,"")</f>
        <v/>
      </c>
      <c r="I1106" s="16" t="str">
        <f t="shared" si="17"/>
        <v/>
      </c>
    </row>
    <row r="1107" spans="1:9" x14ac:dyDescent="0.2">
      <c r="A1107" t="str">
        <f>IF(ROW(A1107)&lt;=Bidding!$D$11,Raw_hydro_bm!B1107,"")</f>
        <v/>
      </c>
      <c r="B1107" t="str">
        <f>IF(ROW(B1107)&lt;=Bidding!$D$11,Raw_hydro_bm!C1107,"")</f>
        <v/>
      </c>
      <c r="C1107" t="str">
        <f>IF(ROW(C1107)&lt;=Bidding!$D$11,Raw_hydro_bm!D1107,"")</f>
        <v/>
      </c>
      <c r="D1107" t="str">
        <f>IF(ROW(D1107)&lt;=Bidding!$D$11,Raw_hydro_bm!E1107,"")</f>
        <v/>
      </c>
      <c r="E1107" t="str">
        <f>IF(ROW(E1107)&lt;=Bidding!$D$11,Raw_hydro_bm!F1107,"")</f>
        <v/>
      </c>
      <c r="F1107" t="str">
        <f>IF(ROW(F1107)&lt;=Bidding!$D$11,Raw_hydro_bm!G1107,"")</f>
        <v/>
      </c>
      <c r="G1107" t="str">
        <f>IF(ROW(G1107)&lt;=Bidding!$D$11,Raw_hydro_bm!H1107,"")</f>
        <v/>
      </c>
      <c r="H1107" t="str">
        <f>IF(ROW(H1107)&lt;=Bidding!$D$11,Raw_hydro_bm!I1107,"")</f>
        <v/>
      </c>
      <c r="I1107" s="16" t="str">
        <f t="shared" si="17"/>
        <v/>
      </c>
    </row>
    <row r="1108" spans="1:9" x14ac:dyDescent="0.2">
      <c r="A1108" t="str">
        <f>IF(ROW(A1108)&lt;=Bidding!$D$11,Raw_hydro_bm!B1108,"")</f>
        <v/>
      </c>
      <c r="B1108" t="str">
        <f>IF(ROW(B1108)&lt;=Bidding!$D$11,Raw_hydro_bm!C1108,"")</f>
        <v/>
      </c>
      <c r="C1108" t="str">
        <f>IF(ROW(C1108)&lt;=Bidding!$D$11,Raw_hydro_bm!D1108,"")</f>
        <v/>
      </c>
      <c r="D1108" t="str">
        <f>IF(ROW(D1108)&lt;=Bidding!$D$11,Raw_hydro_bm!E1108,"")</f>
        <v/>
      </c>
      <c r="E1108" t="str">
        <f>IF(ROW(E1108)&lt;=Bidding!$D$11,Raw_hydro_bm!F1108,"")</f>
        <v/>
      </c>
      <c r="F1108" t="str">
        <f>IF(ROW(F1108)&lt;=Bidding!$D$11,Raw_hydro_bm!G1108,"")</f>
        <v/>
      </c>
      <c r="G1108" t="str">
        <f>IF(ROW(G1108)&lt;=Bidding!$D$11,Raw_hydro_bm!H1108,"")</f>
        <v/>
      </c>
      <c r="H1108" t="str">
        <f>IF(ROW(H1108)&lt;=Bidding!$D$11,Raw_hydro_bm!I1108,"")</f>
        <v/>
      </c>
      <c r="I1108" s="16" t="str">
        <f t="shared" si="17"/>
        <v/>
      </c>
    </row>
    <row r="1109" spans="1:9" x14ac:dyDescent="0.2">
      <c r="A1109" t="str">
        <f>IF(ROW(A1109)&lt;=Bidding!$D$11,Raw_hydro_bm!B1109,"")</f>
        <v/>
      </c>
      <c r="B1109" t="str">
        <f>IF(ROW(B1109)&lt;=Bidding!$D$11,Raw_hydro_bm!C1109,"")</f>
        <v/>
      </c>
      <c r="C1109" t="str">
        <f>IF(ROW(C1109)&lt;=Bidding!$D$11,Raw_hydro_bm!D1109,"")</f>
        <v/>
      </c>
      <c r="D1109" t="str">
        <f>IF(ROW(D1109)&lt;=Bidding!$D$11,Raw_hydro_bm!E1109,"")</f>
        <v/>
      </c>
      <c r="E1109" t="str">
        <f>IF(ROW(E1109)&lt;=Bidding!$D$11,Raw_hydro_bm!F1109,"")</f>
        <v/>
      </c>
      <c r="F1109" t="str">
        <f>IF(ROW(F1109)&lt;=Bidding!$D$11,Raw_hydro_bm!G1109,"")</f>
        <v/>
      </c>
      <c r="G1109" t="str">
        <f>IF(ROW(G1109)&lt;=Bidding!$D$11,Raw_hydro_bm!H1109,"")</f>
        <v/>
      </c>
      <c r="H1109" t="str">
        <f>IF(ROW(H1109)&lt;=Bidding!$D$11,Raw_hydro_bm!I1109,"")</f>
        <v/>
      </c>
      <c r="I1109" s="16" t="str">
        <f t="shared" si="17"/>
        <v/>
      </c>
    </row>
    <row r="1110" spans="1:9" x14ac:dyDescent="0.2">
      <c r="A1110" t="str">
        <f>IF(ROW(A1110)&lt;=Bidding!$D$11,Raw_hydro_bm!B1110,"")</f>
        <v/>
      </c>
      <c r="B1110" t="str">
        <f>IF(ROW(B1110)&lt;=Bidding!$D$11,Raw_hydro_bm!C1110,"")</f>
        <v/>
      </c>
      <c r="C1110" t="str">
        <f>IF(ROW(C1110)&lt;=Bidding!$D$11,Raw_hydro_bm!D1110,"")</f>
        <v/>
      </c>
      <c r="D1110" t="str">
        <f>IF(ROW(D1110)&lt;=Bidding!$D$11,Raw_hydro_bm!E1110,"")</f>
        <v/>
      </c>
      <c r="E1110" t="str">
        <f>IF(ROW(E1110)&lt;=Bidding!$D$11,Raw_hydro_bm!F1110,"")</f>
        <v/>
      </c>
      <c r="F1110" t="str">
        <f>IF(ROW(F1110)&lt;=Bidding!$D$11,Raw_hydro_bm!G1110,"")</f>
        <v/>
      </c>
      <c r="G1110" t="str">
        <f>IF(ROW(G1110)&lt;=Bidding!$D$11,Raw_hydro_bm!H1110,"")</f>
        <v/>
      </c>
      <c r="H1110" t="str">
        <f>IF(ROW(H1110)&lt;=Bidding!$D$11,Raw_hydro_bm!I1110,"")</f>
        <v/>
      </c>
      <c r="I1110" s="16" t="str">
        <f t="shared" si="17"/>
        <v/>
      </c>
    </row>
    <row r="1111" spans="1:9" x14ac:dyDescent="0.2">
      <c r="A1111" t="str">
        <f>IF(ROW(A1111)&lt;=Bidding!$D$11,Raw_hydro_bm!B1111,"")</f>
        <v/>
      </c>
      <c r="B1111" t="str">
        <f>IF(ROW(B1111)&lt;=Bidding!$D$11,Raw_hydro_bm!C1111,"")</f>
        <v/>
      </c>
      <c r="C1111" t="str">
        <f>IF(ROW(C1111)&lt;=Bidding!$D$11,Raw_hydro_bm!D1111,"")</f>
        <v/>
      </c>
      <c r="D1111" t="str">
        <f>IF(ROW(D1111)&lt;=Bidding!$D$11,Raw_hydro_bm!E1111,"")</f>
        <v/>
      </c>
      <c r="E1111" t="str">
        <f>IF(ROW(E1111)&lt;=Bidding!$D$11,Raw_hydro_bm!F1111,"")</f>
        <v/>
      </c>
      <c r="F1111" t="str">
        <f>IF(ROW(F1111)&lt;=Bidding!$D$11,Raw_hydro_bm!G1111,"")</f>
        <v/>
      </c>
      <c r="G1111" t="str">
        <f>IF(ROW(G1111)&lt;=Bidding!$D$11,Raw_hydro_bm!H1111,"")</f>
        <v/>
      </c>
      <c r="H1111" t="str">
        <f>IF(ROW(H1111)&lt;=Bidding!$D$11,Raw_hydro_bm!I1111,"")</f>
        <v/>
      </c>
      <c r="I1111" s="16" t="str">
        <f t="shared" si="17"/>
        <v/>
      </c>
    </row>
    <row r="1112" spans="1:9" x14ac:dyDescent="0.2">
      <c r="A1112" t="str">
        <f>IF(ROW(A1112)&lt;=Bidding!$D$11,Raw_hydro_bm!B1112,"")</f>
        <v/>
      </c>
      <c r="B1112" t="str">
        <f>IF(ROW(B1112)&lt;=Bidding!$D$11,Raw_hydro_bm!C1112,"")</f>
        <v/>
      </c>
      <c r="C1112" t="str">
        <f>IF(ROW(C1112)&lt;=Bidding!$D$11,Raw_hydro_bm!D1112,"")</f>
        <v/>
      </c>
      <c r="D1112" t="str">
        <f>IF(ROW(D1112)&lt;=Bidding!$D$11,Raw_hydro_bm!E1112,"")</f>
        <v/>
      </c>
      <c r="E1112" t="str">
        <f>IF(ROW(E1112)&lt;=Bidding!$D$11,Raw_hydro_bm!F1112,"")</f>
        <v/>
      </c>
      <c r="F1112" t="str">
        <f>IF(ROW(F1112)&lt;=Bidding!$D$11,Raw_hydro_bm!G1112,"")</f>
        <v/>
      </c>
      <c r="G1112" t="str">
        <f>IF(ROW(G1112)&lt;=Bidding!$D$11,Raw_hydro_bm!H1112,"")</f>
        <v/>
      </c>
      <c r="H1112" t="str">
        <f>IF(ROW(H1112)&lt;=Bidding!$D$11,Raw_hydro_bm!I1112,"")</f>
        <v/>
      </c>
      <c r="I1112" s="16" t="str">
        <f t="shared" si="17"/>
        <v/>
      </c>
    </row>
    <row r="1113" spans="1:9" x14ac:dyDescent="0.2">
      <c r="A1113" t="str">
        <f>IF(ROW(A1113)&lt;=Bidding!$D$11,Raw_hydro_bm!B1113,"")</f>
        <v/>
      </c>
      <c r="B1113" t="str">
        <f>IF(ROW(B1113)&lt;=Bidding!$D$11,Raw_hydro_bm!C1113,"")</f>
        <v/>
      </c>
      <c r="C1113" t="str">
        <f>IF(ROW(C1113)&lt;=Bidding!$D$11,Raw_hydro_bm!D1113,"")</f>
        <v/>
      </c>
      <c r="D1113" t="str">
        <f>IF(ROW(D1113)&lt;=Bidding!$D$11,Raw_hydro_bm!E1113,"")</f>
        <v/>
      </c>
      <c r="E1113" t="str">
        <f>IF(ROW(E1113)&lt;=Bidding!$D$11,Raw_hydro_bm!F1113,"")</f>
        <v/>
      </c>
      <c r="F1113" t="str">
        <f>IF(ROW(F1113)&lt;=Bidding!$D$11,Raw_hydro_bm!G1113,"")</f>
        <v/>
      </c>
      <c r="G1113" t="str">
        <f>IF(ROW(G1113)&lt;=Bidding!$D$11,Raw_hydro_bm!H1113,"")</f>
        <v/>
      </c>
      <c r="H1113" t="str">
        <f>IF(ROW(H1113)&lt;=Bidding!$D$11,Raw_hydro_bm!I1113,"")</f>
        <v/>
      </c>
      <c r="I1113" s="16" t="str">
        <f t="shared" si="17"/>
        <v/>
      </c>
    </row>
    <row r="1114" spans="1:9" x14ac:dyDescent="0.2">
      <c r="A1114" t="str">
        <f>IF(ROW(A1114)&lt;=Bidding!$D$11,Raw_hydro_bm!B1114,"")</f>
        <v/>
      </c>
      <c r="B1114" t="str">
        <f>IF(ROW(B1114)&lt;=Bidding!$D$11,Raw_hydro_bm!C1114,"")</f>
        <v/>
      </c>
      <c r="C1114" t="str">
        <f>IF(ROW(C1114)&lt;=Bidding!$D$11,Raw_hydro_bm!D1114,"")</f>
        <v/>
      </c>
      <c r="D1114" t="str">
        <f>IF(ROW(D1114)&lt;=Bidding!$D$11,Raw_hydro_bm!E1114,"")</f>
        <v/>
      </c>
      <c r="E1114" t="str">
        <f>IF(ROW(E1114)&lt;=Bidding!$D$11,Raw_hydro_bm!F1114,"")</f>
        <v/>
      </c>
      <c r="F1114" t="str">
        <f>IF(ROW(F1114)&lt;=Bidding!$D$11,Raw_hydro_bm!G1114,"")</f>
        <v/>
      </c>
      <c r="G1114" t="str">
        <f>IF(ROW(G1114)&lt;=Bidding!$D$11,Raw_hydro_bm!H1114,"")</f>
        <v/>
      </c>
      <c r="H1114" t="str">
        <f>IF(ROW(H1114)&lt;=Bidding!$D$11,Raw_hydro_bm!I1114,"")</f>
        <v/>
      </c>
      <c r="I1114" s="16" t="str">
        <f t="shared" si="17"/>
        <v/>
      </c>
    </row>
    <row r="1115" spans="1:9" x14ac:dyDescent="0.2">
      <c r="A1115" t="str">
        <f>IF(ROW(A1115)&lt;=Bidding!$D$11,Raw_hydro_bm!B1115,"")</f>
        <v/>
      </c>
      <c r="B1115" t="str">
        <f>IF(ROW(B1115)&lt;=Bidding!$D$11,Raw_hydro_bm!C1115,"")</f>
        <v/>
      </c>
      <c r="C1115" t="str">
        <f>IF(ROW(C1115)&lt;=Bidding!$D$11,Raw_hydro_bm!D1115,"")</f>
        <v/>
      </c>
      <c r="D1115" t="str">
        <f>IF(ROW(D1115)&lt;=Bidding!$D$11,Raw_hydro_bm!E1115,"")</f>
        <v/>
      </c>
      <c r="E1115" t="str">
        <f>IF(ROW(E1115)&lt;=Bidding!$D$11,Raw_hydro_bm!F1115,"")</f>
        <v/>
      </c>
      <c r="F1115" t="str">
        <f>IF(ROW(F1115)&lt;=Bidding!$D$11,Raw_hydro_bm!G1115,"")</f>
        <v/>
      </c>
      <c r="G1115" t="str">
        <f>IF(ROW(G1115)&lt;=Bidding!$D$11,Raw_hydro_bm!H1115,"")</f>
        <v/>
      </c>
      <c r="H1115" t="str">
        <f>IF(ROW(H1115)&lt;=Bidding!$D$11,Raw_hydro_bm!I1115,"")</f>
        <v/>
      </c>
      <c r="I1115" s="16" t="str">
        <f t="shared" si="17"/>
        <v/>
      </c>
    </row>
    <row r="1116" spans="1:9" x14ac:dyDescent="0.2">
      <c r="A1116" t="str">
        <f>IF(ROW(A1116)&lt;=Bidding!$D$11,Raw_hydro_bm!B1116,"")</f>
        <v/>
      </c>
      <c r="B1116" t="str">
        <f>IF(ROW(B1116)&lt;=Bidding!$D$11,Raw_hydro_bm!C1116,"")</f>
        <v/>
      </c>
      <c r="C1116" t="str">
        <f>IF(ROW(C1116)&lt;=Bidding!$D$11,Raw_hydro_bm!D1116,"")</f>
        <v/>
      </c>
      <c r="D1116" t="str">
        <f>IF(ROW(D1116)&lt;=Bidding!$D$11,Raw_hydro_bm!E1116,"")</f>
        <v/>
      </c>
      <c r="E1116" t="str">
        <f>IF(ROW(E1116)&lt;=Bidding!$D$11,Raw_hydro_bm!F1116,"")</f>
        <v/>
      </c>
      <c r="F1116" t="str">
        <f>IF(ROW(F1116)&lt;=Bidding!$D$11,Raw_hydro_bm!G1116,"")</f>
        <v/>
      </c>
      <c r="G1116" t="str">
        <f>IF(ROW(G1116)&lt;=Bidding!$D$11,Raw_hydro_bm!H1116,"")</f>
        <v/>
      </c>
      <c r="H1116" t="str">
        <f>IF(ROW(H1116)&lt;=Bidding!$D$11,Raw_hydro_bm!I1116,"")</f>
        <v/>
      </c>
      <c r="I1116" s="16" t="str">
        <f t="shared" si="17"/>
        <v/>
      </c>
    </row>
    <row r="1117" spans="1:9" x14ac:dyDescent="0.2">
      <c r="A1117" t="str">
        <f>IF(ROW(A1117)&lt;=Bidding!$D$11,Raw_hydro_bm!B1117,"")</f>
        <v/>
      </c>
      <c r="B1117" t="str">
        <f>IF(ROW(B1117)&lt;=Bidding!$D$11,Raw_hydro_bm!C1117,"")</f>
        <v/>
      </c>
      <c r="C1117" t="str">
        <f>IF(ROW(C1117)&lt;=Bidding!$D$11,Raw_hydro_bm!D1117,"")</f>
        <v/>
      </c>
      <c r="D1117" t="str">
        <f>IF(ROW(D1117)&lt;=Bidding!$D$11,Raw_hydro_bm!E1117,"")</f>
        <v/>
      </c>
      <c r="E1117" t="str">
        <f>IF(ROW(E1117)&lt;=Bidding!$D$11,Raw_hydro_bm!F1117,"")</f>
        <v/>
      </c>
      <c r="F1117" t="str">
        <f>IF(ROW(F1117)&lt;=Bidding!$D$11,Raw_hydro_bm!G1117,"")</f>
        <v/>
      </c>
      <c r="G1117" t="str">
        <f>IF(ROW(G1117)&lt;=Bidding!$D$11,Raw_hydro_bm!H1117,"")</f>
        <v/>
      </c>
      <c r="H1117" t="str">
        <f>IF(ROW(H1117)&lt;=Bidding!$D$11,Raw_hydro_bm!I1117,"")</f>
        <v/>
      </c>
      <c r="I1117" s="16" t="str">
        <f t="shared" si="17"/>
        <v/>
      </c>
    </row>
    <row r="1118" spans="1:9" x14ac:dyDescent="0.2">
      <c r="A1118" t="str">
        <f>IF(ROW(A1118)&lt;=Bidding!$D$11,Raw_hydro_bm!B1118,"")</f>
        <v/>
      </c>
      <c r="B1118" t="str">
        <f>IF(ROW(B1118)&lt;=Bidding!$D$11,Raw_hydro_bm!C1118,"")</f>
        <v/>
      </c>
      <c r="C1118" t="str">
        <f>IF(ROW(C1118)&lt;=Bidding!$D$11,Raw_hydro_bm!D1118,"")</f>
        <v/>
      </c>
      <c r="D1118" t="str">
        <f>IF(ROW(D1118)&lt;=Bidding!$D$11,Raw_hydro_bm!E1118,"")</f>
        <v/>
      </c>
      <c r="E1118" t="str">
        <f>IF(ROW(E1118)&lt;=Bidding!$D$11,Raw_hydro_bm!F1118,"")</f>
        <v/>
      </c>
      <c r="F1118" t="str">
        <f>IF(ROW(F1118)&lt;=Bidding!$D$11,Raw_hydro_bm!G1118,"")</f>
        <v/>
      </c>
      <c r="G1118" t="str">
        <f>IF(ROW(G1118)&lt;=Bidding!$D$11,Raw_hydro_bm!H1118,"")</f>
        <v/>
      </c>
      <c r="H1118" t="str">
        <f>IF(ROW(H1118)&lt;=Bidding!$D$11,Raw_hydro_bm!I1118,"")</f>
        <v/>
      </c>
      <c r="I1118" s="16" t="str">
        <f t="shared" si="17"/>
        <v/>
      </c>
    </row>
    <row r="1119" spans="1:9" x14ac:dyDescent="0.2">
      <c r="A1119" t="str">
        <f>IF(ROW(A1119)&lt;=Bidding!$D$11,Raw_hydro_bm!B1119,"")</f>
        <v/>
      </c>
      <c r="B1119" t="str">
        <f>IF(ROW(B1119)&lt;=Bidding!$D$11,Raw_hydro_bm!C1119,"")</f>
        <v/>
      </c>
      <c r="C1119" t="str">
        <f>IF(ROW(C1119)&lt;=Bidding!$D$11,Raw_hydro_bm!D1119,"")</f>
        <v/>
      </c>
      <c r="D1119" t="str">
        <f>IF(ROW(D1119)&lt;=Bidding!$D$11,Raw_hydro_bm!E1119,"")</f>
        <v/>
      </c>
      <c r="E1119" t="str">
        <f>IF(ROW(E1119)&lt;=Bidding!$D$11,Raw_hydro_bm!F1119,"")</f>
        <v/>
      </c>
      <c r="F1119" t="str">
        <f>IF(ROW(F1119)&lt;=Bidding!$D$11,Raw_hydro_bm!G1119,"")</f>
        <v/>
      </c>
      <c r="G1119" t="str">
        <f>IF(ROW(G1119)&lt;=Bidding!$D$11,Raw_hydro_bm!H1119,"")</f>
        <v/>
      </c>
      <c r="H1119" t="str">
        <f>IF(ROW(H1119)&lt;=Bidding!$D$11,Raw_hydro_bm!I1119,"")</f>
        <v/>
      </c>
      <c r="I1119" s="16" t="str">
        <f t="shared" si="17"/>
        <v/>
      </c>
    </row>
    <row r="1120" spans="1:9" x14ac:dyDescent="0.2">
      <c r="A1120" t="str">
        <f>IF(ROW(A1120)&lt;=Bidding!$D$11,Raw_hydro_bm!B1120,"")</f>
        <v/>
      </c>
      <c r="B1120" t="str">
        <f>IF(ROW(B1120)&lt;=Bidding!$D$11,Raw_hydro_bm!C1120,"")</f>
        <v/>
      </c>
      <c r="C1120" t="str">
        <f>IF(ROW(C1120)&lt;=Bidding!$D$11,Raw_hydro_bm!D1120,"")</f>
        <v/>
      </c>
      <c r="D1120" t="str">
        <f>IF(ROW(D1120)&lt;=Bidding!$D$11,Raw_hydro_bm!E1120,"")</f>
        <v/>
      </c>
      <c r="E1120" t="str">
        <f>IF(ROW(E1120)&lt;=Bidding!$D$11,Raw_hydro_bm!F1120,"")</f>
        <v/>
      </c>
      <c r="F1120" t="str">
        <f>IF(ROW(F1120)&lt;=Bidding!$D$11,Raw_hydro_bm!G1120,"")</f>
        <v/>
      </c>
      <c r="G1120" t="str">
        <f>IF(ROW(G1120)&lt;=Bidding!$D$11,Raw_hydro_bm!H1120,"")</f>
        <v/>
      </c>
      <c r="H1120" t="str">
        <f>IF(ROW(H1120)&lt;=Bidding!$D$11,Raw_hydro_bm!I1120,"")</f>
        <v/>
      </c>
      <c r="I1120" s="16" t="str">
        <f t="shared" si="17"/>
        <v/>
      </c>
    </row>
    <row r="1121" spans="1:9" x14ac:dyDescent="0.2">
      <c r="A1121" t="str">
        <f>IF(ROW(A1121)&lt;=Bidding!$D$11,Raw_hydro_bm!B1121,"")</f>
        <v/>
      </c>
      <c r="B1121" t="str">
        <f>IF(ROW(B1121)&lt;=Bidding!$D$11,Raw_hydro_bm!C1121,"")</f>
        <v/>
      </c>
      <c r="C1121" t="str">
        <f>IF(ROW(C1121)&lt;=Bidding!$D$11,Raw_hydro_bm!D1121,"")</f>
        <v/>
      </c>
      <c r="D1121" t="str">
        <f>IF(ROW(D1121)&lt;=Bidding!$D$11,Raw_hydro_bm!E1121,"")</f>
        <v/>
      </c>
      <c r="E1121" t="str">
        <f>IF(ROW(E1121)&lt;=Bidding!$D$11,Raw_hydro_bm!F1121,"")</f>
        <v/>
      </c>
      <c r="F1121" t="str">
        <f>IF(ROW(F1121)&lt;=Bidding!$D$11,Raw_hydro_bm!G1121,"")</f>
        <v/>
      </c>
      <c r="G1121" t="str">
        <f>IF(ROW(G1121)&lt;=Bidding!$D$11,Raw_hydro_bm!H1121,"")</f>
        <v/>
      </c>
      <c r="H1121" t="str">
        <f>IF(ROW(H1121)&lt;=Bidding!$D$11,Raw_hydro_bm!I1121,"")</f>
        <v/>
      </c>
      <c r="I1121" s="16" t="str">
        <f t="shared" si="17"/>
        <v/>
      </c>
    </row>
    <row r="1122" spans="1:9" x14ac:dyDescent="0.2">
      <c r="A1122" t="str">
        <f>IF(ROW(A1122)&lt;=Bidding!$D$11,Raw_hydro_bm!B1122,"")</f>
        <v/>
      </c>
      <c r="B1122" t="str">
        <f>IF(ROW(B1122)&lt;=Bidding!$D$11,Raw_hydro_bm!C1122,"")</f>
        <v/>
      </c>
      <c r="C1122" t="str">
        <f>IF(ROW(C1122)&lt;=Bidding!$D$11,Raw_hydro_bm!D1122,"")</f>
        <v/>
      </c>
      <c r="D1122" t="str">
        <f>IF(ROW(D1122)&lt;=Bidding!$D$11,Raw_hydro_bm!E1122,"")</f>
        <v/>
      </c>
      <c r="E1122" t="str">
        <f>IF(ROW(E1122)&lt;=Bidding!$D$11,Raw_hydro_bm!F1122,"")</f>
        <v/>
      </c>
      <c r="F1122" t="str">
        <f>IF(ROW(F1122)&lt;=Bidding!$D$11,Raw_hydro_bm!G1122,"")</f>
        <v/>
      </c>
      <c r="G1122" t="str">
        <f>IF(ROW(G1122)&lt;=Bidding!$D$11,Raw_hydro_bm!H1122,"")</f>
        <v/>
      </c>
      <c r="H1122" t="str">
        <f>IF(ROW(H1122)&lt;=Bidding!$D$11,Raw_hydro_bm!I1122,"")</f>
        <v/>
      </c>
      <c r="I1122" s="16" t="str">
        <f t="shared" si="17"/>
        <v/>
      </c>
    </row>
    <row r="1123" spans="1:9" x14ac:dyDescent="0.2">
      <c r="A1123" t="str">
        <f>IF(ROW(A1123)&lt;=Bidding!$D$11,Raw_hydro_bm!B1123,"")</f>
        <v/>
      </c>
      <c r="B1123" t="str">
        <f>IF(ROW(B1123)&lt;=Bidding!$D$11,Raw_hydro_bm!C1123,"")</f>
        <v/>
      </c>
      <c r="C1123" t="str">
        <f>IF(ROW(C1123)&lt;=Bidding!$D$11,Raw_hydro_bm!D1123,"")</f>
        <v/>
      </c>
      <c r="D1123" t="str">
        <f>IF(ROW(D1123)&lt;=Bidding!$D$11,Raw_hydro_bm!E1123,"")</f>
        <v/>
      </c>
      <c r="E1123" t="str">
        <f>IF(ROW(E1123)&lt;=Bidding!$D$11,Raw_hydro_bm!F1123,"")</f>
        <v/>
      </c>
      <c r="F1123" t="str">
        <f>IF(ROW(F1123)&lt;=Bidding!$D$11,Raw_hydro_bm!G1123,"")</f>
        <v/>
      </c>
      <c r="G1123" t="str">
        <f>IF(ROW(G1123)&lt;=Bidding!$D$11,Raw_hydro_bm!H1123,"")</f>
        <v/>
      </c>
      <c r="H1123" t="str">
        <f>IF(ROW(H1123)&lt;=Bidding!$D$11,Raw_hydro_bm!I1123,"")</f>
        <v/>
      </c>
      <c r="I1123" s="16" t="str">
        <f t="shared" si="17"/>
        <v/>
      </c>
    </row>
    <row r="1124" spans="1:9" x14ac:dyDescent="0.2">
      <c r="A1124" t="str">
        <f>IF(ROW(A1124)&lt;=Bidding!$D$11,Raw_hydro_bm!B1124,"")</f>
        <v/>
      </c>
      <c r="B1124" t="str">
        <f>IF(ROW(B1124)&lt;=Bidding!$D$11,Raw_hydro_bm!C1124,"")</f>
        <v/>
      </c>
      <c r="C1124" t="str">
        <f>IF(ROW(C1124)&lt;=Bidding!$D$11,Raw_hydro_bm!D1124,"")</f>
        <v/>
      </c>
      <c r="D1124" t="str">
        <f>IF(ROW(D1124)&lt;=Bidding!$D$11,Raw_hydro_bm!E1124,"")</f>
        <v/>
      </c>
      <c r="E1124" t="str">
        <f>IF(ROW(E1124)&lt;=Bidding!$D$11,Raw_hydro_bm!F1124,"")</f>
        <v/>
      </c>
      <c r="F1124" t="str">
        <f>IF(ROW(F1124)&lt;=Bidding!$D$11,Raw_hydro_bm!G1124,"")</f>
        <v/>
      </c>
      <c r="G1124" t="str">
        <f>IF(ROW(G1124)&lt;=Bidding!$D$11,Raw_hydro_bm!H1124,"")</f>
        <v/>
      </c>
      <c r="H1124" t="str">
        <f>IF(ROW(H1124)&lt;=Bidding!$D$11,Raw_hydro_bm!I1124,"")</f>
        <v/>
      </c>
      <c r="I1124" s="16" t="str">
        <f t="shared" si="17"/>
        <v/>
      </c>
    </row>
    <row r="1125" spans="1:9" x14ac:dyDescent="0.2">
      <c r="A1125" t="str">
        <f>IF(ROW(A1125)&lt;=Bidding!$D$11,Raw_hydro_bm!B1125,"")</f>
        <v/>
      </c>
      <c r="B1125" t="str">
        <f>IF(ROW(B1125)&lt;=Bidding!$D$11,Raw_hydro_bm!C1125,"")</f>
        <v/>
      </c>
      <c r="C1125" t="str">
        <f>IF(ROW(C1125)&lt;=Bidding!$D$11,Raw_hydro_bm!D1125,"")</f>
        <v/>
      </c>
      <c r="D1125" t="str">
        <f>IF(ROW(D1125)&lt;=Bidding!$D$11,Raw_hydro_bm!E1125,"")</f>
        <v/>
      </c>
      <c r="E1125" t="str">
        <f>IF(ROW(E1125)&lt;=Bidding!$D$11,Raw_hydro_bm!F1125,"")</f>
        <v/>
      </c>
      <c r="F1125" t="str">
        <f>IF(ROW(F1125)&lt;=Bidding!$D$11,Raw_hydro_bm!G1125,"")</f>
        <v/>
      </c>
      <c r="G1125" t="str">
        <f>IF(ROW(G1125)&lt;=Bidding!$D$11,Raw_hydro_bm!H1125,"")</f>
        <v/>
      </c>
      <c r="H1125" t="str">
        <f>IF(ROW(H1125)&lt;=Bidding!$D$11,Raw_hydro_bm!I1125,"")</f>
        <v/>
      </c>
      <c r="I1125" s="16" t="str">
        <f t="shared" si="17"/>
        <v/>
      </c>
    </row>
    <row r="1126" spans="1:9" x14ac:dyDescent="0.2">
      <c r="A1126" t="str">
        <f>IF(ROW(A1126)&lt;=Bidding!$D$11,Raw_hydro_bm!B1126,"")</f>
        <v/>
      </c>
      <c r="B1126" t="str">
        <f>IF(ROW(B1126)&lt;=Bidding!$D$11,Raw_hydro_bm!C1126,"")</f>
        <v/>
      </c>
      <c r="C1126" t="str">
        <f>IF(ROW(C1126)&lt;=Bidding!$D$11,Raw_hydro_bm!D1126,"")</f>
        <v/>
      </c>
      <c r="D1126" t="str">
        <f>IF(ROW(D1126)&lt;=Bidding!$D$11,Raw_hydro_bm!E1126,"")</f>
        <v/>
      </c>
      <c r="E1126" t="str">
        <f>IF(ROW(E1126)&lt;=Bidding!$D$11,Raw_hydro_bm!F1126,"")</f>
        <v/>
      </c>
      <c r="F1126" t="str">
        <f>IF(ROW(F1126)&lt;=Bidding!$D$11,Raw_hydro_bm!G1126,"")</f>
        <v/>
      </c>
      <c r="G1126" t="str">
        <f>IF(ROW(G1126)&lt;=Bidding!$D$11,Raw_hydro_bm!H1126,"")</f>
        <v/>
      </c>
      <c r="H1126" t="str">
        <f>IF(ROW(H1126)&lt;=Bidding!$D$11,Raw_hydro_bm!I1126,"")</f>
        <v/>
      </c>
      <c r="I1126" s="16" t="str">
        <f t="shared" si="17"/>
        <v/>
      </c>
    </row>
    <row r="1127" spans="1:9" x14ac:dyDescent="0.2">
      <c r="A1127" t="str">
        <f>IF(ROW(A1127)&lt;=Bidding!$D$11,Raw_hydro_bm!B1127,"")</f>
        <v/>
      </c>
      <c r="B1127" t="str">
        <f>IF(ROW(B1127)&lt;=Bidding!$D$11,Raw_hydro_bm!C1127,"")</f>
        <v/>
      </c>
      <c r="C1127" t="str">
        <f>IF(ROW(C1127)&lt;=Bidding!$D$11,Raw_hydro_bm!D1127,"")</f>
        <v/>
      </c>
      <c r="D1127" t="str">
        <f>IF(ROW(D1127)&lt;=Bidding!$D$11,Raw_hydro_bm!E1127,"")</f>
        <v/>
      </c>
      <c r="E1127" t="str">
        <f>IF(ROW(E1127)&lt;=Bidding!$D$11,Raw_hydro_bm!F1127,"")</f>
        <v/>
      </c>
      <c r="F1127" t="str">
        <f>IF(ROW(F1127)&lt;=Bidding!$D$11,Raw_hydro_bm!G1127,"")</f>
        <v/>
      </c>
      <c r="G1127" t="str">
        <f>IF(ROW(G1127)&lt;=Bidding!$D$11,Raw_hydro_bm!H1127,"")</f>
        <v/>
      </c>
      <c r="H1127" t="str">
        <f>IF(ROW(H1127)&lt;=Bidding!$D$11,Raw_hydro_bm!I1127,"")</f>
        <v/>
      </c>
      <c r="I1127" s="16" t="str">
        <f t="shared" si="17"/>
        <v/>
      </c>
    </row>
    <row r="1128" spans="1:9" x14ac:dyDescent="0.2">
      <c r="A1128" t="str">
        <f>IF(ROW(A1128)&lt;=Bidding!$D$11,Raw_hydro_bm!B1128,"")</f>
        <v/>
      </c>
      <c r="B1128" t="str">
        <f>IF(ROW(B1128)&lt;=Bidding!$D$11,Raw_hydro_bm!C1128,"")</f>
        <v/>
      </c>
      <c r="C1128" t="str">
        <f>IF(ROW(C1128)&lt;=Bidding!$D$11,Raw_hydro_bm!D1128,"")</f>
        <v/>
      </c>
      <c r="D1128" t="str">
        <f>IF(ROW(D1128)&lt;=Bidding!$D$11,Raw_hydro_bm!E1128,"")</f>
        <v/>
      </c>
      <c r="E1128" t="str">
        <f>IF(ROW(E1128)&lt;=Bidding!$D$11,Raw_hydro_bm!F1128,"")</f>
        <v/>
      </c>
      <c r="F1128" t="str">
        <f>IF(ROW(F1128)&lt;=Bidding!$D$11,Raw_hydro_bm!G1128,"")</f>
        <v/>
      </c>
      <c r="G1128" t="str">
        <f>IF(ROW(G1128)&lt;=Bidding!$D$11,Raw_hydro_bm!H1128,"")</f>
        <v/>
      </c>
      <c r="H1128" t="str">
        <f>IF(ROW(H1128)&lt;=Bidding!$D$11,Raw_hydro_bm!I1128,"")</f>
        <v/>
      </c>
      <c r="I1128" s="16" t="str">
        <f t="shared" si="17"/>
        <v/>
      </c>
    </row>
    <row r="1129" spans="1:9" x14ac:dyDescent="0.2">
      <c r="A1129" t="str">
        <f>IF(ROW(A1129)&lt;=Bidding!$D$11,Raw_hydro_bm!B1129,"")</f>
        <v/>
      </c>
      <c r="B1129" t="str">
        <f>IF(ROW(B1129)&lt;=Bidding!$D$11,Raw_hydro_bm!C1129,"")</f>
        <v/>
      </c>
      <c r="C1129" t="str">
        <f>IF(ROW(C1129)&lt;=Bidding!$D$11,Raw_hydro_bm!D1129,"")</f>
        <v/>
      </c>
      <c r="D1129" t="str">
        <f>IF(ROW(D1129)&lt;=Bidding!$D$11,Raw_hydro_bm!E1129,"")</f>
        <v/>
      </c>
      <c r="E1129" t="str">
        <f>IF(ROW(E1129)&lt;=Bidding!$D$11,Raw_hydro_bm!F1129,"")</f>
        <v/>
      </c>
      <c r="F1129" t="str">
        <f>IF(ROW(F1129)&lt;=Bidding!$D$11,Raw_hydro_bm!G1129,"")</f>
        <v/>
      </c>
      <c r="G1129" t="str">
        <f>IF(ROW(G1129)&lt;=Bidding!$D$11,Raw_hydro_bm!H1129,"")</f>
        <v/>
      </c>
      <c r="H1129" t="str">
        <f>IF(ROW(H1129)&lt;=Bidding!$D$11,Raw_hydro_bm!I1129,"")</f>
        <v/>
      </c>
      <c r="I1129" s="16" t="str">
        <f t="shared" si="17"/>
        <v/>
      </c>
    </row>
    <row r="1130" spans="1:9" x14ac:dyDescent="0.2">
      <c r="A1130" t="str">
        <f>IF(ROW(A1130)&lt;=Bidding!$D$11,Raw_hydro_bm!B1130,"")</f>
        <v/>
      </c>
      <c r="B1130" t="str">
        <f>IF(ROW(B1130)&lt;=Bidding!$D$11,Raw_hydro_bm!C1130,"")</f>
        <v/>
      </c>
      <c r="C1130" t="str">
        <f>IF(ROW(C1130)&lt;=Bidding!$D$11,Raw_hydro_bm!D1130,"")</f>
        <v/>
      </c>
      <c r="D1130" t="str">
        <f>IF(ROW(D1130)&lt;=Bidding!$D$11,Raw_hydro_bm!E1130,"")</f>
        <v/>
      </c>
      <c r="E1130" t="str">
        <f>IF(ROW(E1130)&lt;=Bidding!$D$11,Raw_hydro_bm!F1130,"")</f>
        <v/>
      </c>
      <c r="F1130" t="str">
        <f>IF(ROW(F1130)&lt;=Bidding!$D$11,Raw_hydro_bm!G1130,"")</f>
        <v/>
      </c>
      <c r="G1130" t="str">
        <f>IF(ROW(G1130)&lt;=Bidding!$D$11,Raw_hydro_bm!H1130,"")</f>
        <v/>
      </c>
      <c r="H1130" t="str">
        <f>IF(ROW(H1130)&lt;=Bidding!$D$11,Raw_hydro_bm!I1130,"")</f>
        <v/>
      </c>
      <c r="I1130" s="16" t="str">
        <f t="shared" si="17"/>
        <v/>
      </c>
    </row>
    <row r="1131" spans="1:9" x14ac:dyDescent="0.2">
      <c r="A1131" t="str">
        <f>IF(ROW(A1131)&lt;=Bidding!$D$11,Raw_hydro_bm!B1131,"")</f>
        <v/>
      </c>
      <c r="B1131" t="str">
        <f>IF(ROW(B1131)&lt;=Bidding!$D$11,Raw_hydro_bm!C1131,"")</f>
        <v/>
      </c>
      <c r="C1131" t="str">
        <f>IF(ROW(C1131)&lt;=Bidding!$D$11,Raw_hydro_bm!D1131,"")</f>
        <v/>
      </c>
      <c r="D1131" t="str">
        <f>IF(ROW(D1131)&lt;=Bidding!$D$11,Raw_hydro_bm!E1131,"")</f>
        <v/>
      </c>
      <c r="E1131" t="str">
        <f>IF(ROW(E1131)&lt;=Bidding!$D$11,Raw_hydro_bm!F1131,"")</f>
        <v/>
      </c>
      <c r="F1131" t="str">
        <f>IF(ROW(F1131)&lt;=Bidding!$D$11,Raw_hydro_bm!G1131,"")</f>
        <v/>
      </c>
      <c r="G1131" t="str">
        <f>IF(ROW(G1131)&lt;=Bidding!$D$11,Raw_hydro_bm!H1131,"")</f>
        <v/>
      </c>
      <c r="H1131" t="str">
        <f>IF(ROW(H1131)&lt;=Bidding!$D$11,Raw_hydro_bm!I1131,"")</f>
        <v/>
      </c>
      <c r="I1131" s="16" t="str">
        <f t="shared" si="17"/>
        <v/>
      </c>
    </row>
    <row r="1132" spans="1:9" x14ac:dyDescent="0.2">
      <c r="A1132" t="str">
        <f>IF(ROW(A1132)&lt;=Bidding!$D$11,Raw_hydro_bm!B1132,"")</f>
        <v/>
      </c>
      <c r="B1132" t="str">
        <f>IF(ROW(B1132)&lt;=Bidding!$D$11,Raw_hydro_bm!C1132,"")</f>
        <v/>
      </c>
      <c r="C1132" t="str">
        <f>IF(ROW(C1132)&lt;=Bidding!$D$11,Raw_hydro_bm!D1132,"")</f>
        <v/>
      </c>
      <c r="D1132" t="str">
        <f>IF(ROW(D1132)&lt;=Bidding!$D$11,Raw_hydro_bm!E1132,"")</f>
        <v/>
      </c>
      <c r="E1132" t="str">
        <f>IF(ROW(E1132)&lt;=Bidding!$D$11,Raw_hydro_bm!F1132,"")</f>
        <v/>
      </c>
      <c r="F1132" t="str">
        <f>IF(ROW(F1132)&lt;=Bidding!$D$11,Raw_hydro_bm!G1132,"")</f>
        <v/>
      </c>
      <c r="G1132" t="str">
        <f>IF(ROW(G1132)&lt;=Bidding!$D$11,Raw_hydro_bm!H1132,"")</f>
        <v/>
      </c>
      <c r="H1132" t="str">
        <f>IF(ROW(H1132)&lt;=Bidding!$D$11,Raw_hydro_bm!I1132,"")</f>
        <v/>
      </c>
      <c r="I1132" s="16" t="str">
        <f t="shared" si="17"/>
        <v/>
      </c>
    </row>
    <row r="1133" spans="1:9" x14ac:dyDescent="0.2">
      <c r="A1133" t="str">
        <f>IF(ROW(A1133)&lt;=Bidding!$D$11,Raw_hydro_bm!B1133,"")</f>
        <v/>
      </c>
      <c r="B1133" t="str">
        <f>IF(ROW(B1133)&lt;=Bidding!$D$11,Raw_hydro_bm!C1133,"")</f>
        <v/>
      </c>
      <c r="C1133" t="str">
        <f>IF(ROW(C1133)&lt;=Bidding!$D$11,Raw_hydro_bm!D1133,"")</f>
        <v/>
      </c>
      <c r="D1133" t="str">
        <f>IF(ROW(D1133)&lt;=Bidding!$D$11,Raw_hydro_bm!E1133,"")</f>
        <v/>
      </c>
      <c r="E1133" t="str">
        <f>IF(ROW(E1133)&lt;=Bidding!$D$11,Raw_hydro_bm!F1133,"")</f>
        <v/>
      </c>
      <c r="F1133" t="str">
        <f>IF(ROW(F1133)&lt;=Bidding!$D$11,Raw_hydro_bm!G1133,"")</f>
        <v/>
      </c>
      <c r="G1133" t="str">
        <f>IF(ROW(G1133)&lt;=Bidding!$D$11,Raw_hydro_bm!H1133,"")</f>
        <v/>
      </c>
      <c r="H1133" t="str">
        <f>IF(ROW(H1133)&lt;=Bidding!$D$11,Raw_hydro_bm!I1133,"")</f>
        <v/>
      </c>
      <c r="I1133" s="16" t="str">
        <f t="shared" si="17"/>
        <v/>
      </c>
    </row>
    <row r="1134" spans="1:9" x14ac:dyDescent="0.2">
      <c r="A1134" t="str">
        <f>IF(ROW(A1134)&lt;=Bidding!$D$11,Raw_hydro_bm!B1134,"")</f>
        <v/>
      </c>
      <c r="B1134" t="str">
        <f>IF(ROW(B1134)&lt;=Bidding!$D$11,Raw_hydro_bm!C1134,"")</f>
        <v/>
      </c>
      <c r="C1134" t="str">
        <f>IF(ROW(C1134)&lt;=Bidding!$D$11,Raw_hydro_bm!D1134,"")</f>
        <v/>
      </c>
      <c r="D1134" t="str">
        <f>IF(ROW(D1134)&lt;=Bidding!$D$11,Raw_hydro_bm!E1134,"")</f>
        <v/>
      </c>
      <c r="E1134" t="str">
        <f>IF(ROW(E1134)&lt;=Bidding!$D$11,Raw_hydro_bm!F1134,"")</f>
        <v/>
      </c>
      <c r="F1134" t="str">
        <f>IF(ROW(F1134)&lt;=Bidding!$D$11,Raw_hydro_bm!G1134,"")</f>
        <v/>
      </c>
      <c r="G1134" t="str">
        <f>IF(ROW(G1134)&lt;=Bidding!$D$11,Raw_hydro_bm!H1134,"")</f>
        <v/>
      </c>
      <c r="H1134" t="str">
        <f>IF(ROW(H1134)&lt;=Bidding!$D$11,Raw_hydro_bm!I1134,"")</f>
        <v/>
      </c>
      <c r="I1134" s="16" t="str">
        <f t="shared" si="17"/>
        <v/>
      </c>
    </row>
    <row r="1135" spans="1:9" x14ac:dyDescent="0.2">
      <c r="A1135" t="str">
        <f>IF(ROW(A1135)&lt;=Bidding!$D$11,Raw_hydro_bm!B1135,"")</f>
        <v/>
      </c>
      <c r="B1135" t="str">
        <f>IF(ROW(B1135)&lt;=Bidding!$D$11,Raw_hydro_bm!C1135,"")</f>
        <v/>
      </c>
      <c r="C1135" t="str">
        <f>IF(ROW(C1135)&lt;=Bidding!$D$11,Raw_hydro_bm!D1135,"")</f>
        <v/>
      </c>
      <c r="D1135" t="str">
        <f>IF(ROW(D1135)&lt;=Bidding!$D$11,Raw_hydro_bm!E1135,"")</f>
        <v/>
      </c>
      <c r="E1135" t="str">
        <f>IF(ROW(E1135)&lt;=Bidding!$D$11,Raw_hydro_bm!F1135,"")</f>
        <v/>
      </c>
      <c r="F1135" t="str">
        <f>IF(ROW(F1135)&lt;=Bidding!$D$11,Raw_hydro_bm!G1135,"")</f>
        <v/>
      </c>
      <c r="G1135" t="str">
        <f>IF(ROW(G1135)&lt;=Bidding!$D$11,Raw_hydro_bm!H1135,"")</f>
        <v/>
      </c>
      <c r="H1135" t="str">
        <f>IF(ROW(H1135)&lt;=Bidding!$D$11,Raw_hydro_bm!I1135,"")</f>
        <v/>
      </c>
      <c r="I1135" s="16" t="str">
        <f t="shared" si="17"/>
        <v/>
      </c>
    </row>
    <row r="1136" spans="1:9" x14ac:dyDescent="0.2">
      <c r="A1136" t="str">
        <f>IF(ROW(A1136)&lt;=Bidding!$D$11,Raw_hydro_bm!B1136,"")</f>
        <v/>
      </c>
      <c r="B1136" t="str">
        <f>IF(ROW(B1136)&lt;=Bidding!$D$11,Raw_hydro_bm!C1136,"")</f>
        <v/>
      </c>
      <c r="C1136" t="str">
        <f>IF(ROW(C1136)&lt;=Bidding!$D$11,Raw_hydro_bm!D1136,"")</f>
        <v/>
      </c>
      <c r="D1136" t="str">
        <f>IF(ROW(D1136)&lt;=Bidding!$D$11,Raw_hydro_bm!E1136,"")</f>
        <v/>
      </c>
      <c r="E1136" t="str">
        <f>IF(ROW(E1136)&lt;=Bidding!$D$11,Raw_hydro_bm!F1136,"")</f>
        <v/>
      </c>
      <c r="F1136" t="str">
        <f>IF(ROW(F1136)&lt;=Bidding!$D$11,Raw_hydro_bm!G1136,"")</f>
        <v/>
      </c>
      <c r="G1136" t="str">
        <f>IF(ROW(G1136)&lt;=Bidding!$D$11,Raw_hydro_bm!H1136,"")</f>
        <v/>
      </c>
      <c r="H1136" t="str">
        <f>IF(ROW(H1136)&lt;=Bidding!$D$11,Raw_hydro_bm!I1136,"")</f>
        <v/>
      </c>
      <c r="I1136" s="16" t="str">
        <f t="shared" si="17"/>
        <v/>
      </c>
    </row>
    <row r="1137" spans="1:9" x14ac:dyDescent="0.2">
      <c r="A1137" t="str">
        <f>IF(ROW(A1137)&lt;=Bidding!$D$11,Raw_hydro_bm!B1137,"")</f>
        <v/>
      </c>
      <c r="B1137" t="str">
        <f>IF(ROW(B1137)&lt;=Bidding!$D$11,Raw_hydro_bm!C1137,"")</f>
        <v/>
      </c>
      <c r="C1137" t="str">
        <f>IF(ROW(C1137)&lt;=Bidding!$D$11,Raw_hydro_bm!D1137,"")</f>
        <v/>
      </c>
      <c r="D1137" t="str">
        <f>IF(ROW(D1137)&lt;=Bidding!$D$11,Raw_hydro_bm!E1137,"")</f>
        <v/>
      </c>
      <c r="E1137" t="str">
        <f>IF(ROW(E1137)&lt;=Bidding!$D$11,Raw_hydro_bm!F1137,"")</f>
        <v/>
      </c>
      <c r="F1137" t="str">
        <f>IF(ROW(F1137)&lt;=Bidding!$D$11,Raw_hydro_bm!G1137,"")</f>
        <v/>
      </c>
      <c r="G1137" t="str">
        <f>IF(ROW(G1137)&lt;=Bidding!$D$11,Raw_hydro_bm!H1137,"")</f>
        <v/>
      </c>
      <c r="H1137" t="str">
        <f>IF(ROW(H1137)&lt;=Bidding!$D$11,Raw_hydro_bm!I1137,"")</f>
        <v/>
      </c>
      <c r="I1137" s="16" t="str">
        <f t="shared" si="17"/>
        <v/>
      </c>
    </row>
    <row r="1138" spans="1:9" x14ac:dyDescent="0.2">
      <c r="A1138" t="str">
        <f>IF(ROW(A1138)&lt;=Bidding!$D$11,Raw_hydro_bm!B1138,"")</f>
        <v/>
      </c>
      <c r="B1138" t="str">
        <f>IF(ROW(B1138)&lt;=Bidding!$D$11,Raw_hydro_bm!C1138,"")</f>
        <v/>
      </c>
      <c r="C1138" t="str">
        <f>IF(ROW(C1138)&lt;=Bidding!$D$11,Raw_hydro_bm!D1138,"")</f>
        <v/>
      </c>
      <c r="D1138" t="str">
        <f>IF(ROW(D1138)&lt;=Bidding!$D$11,Raw_hydro_bm!E1138,"")</f>
        <v/>
      </c>
      <c r="E1138" t="str">
        <f>IF(ROW(E1138)&lt;=Bidding!$D$11,Raw_hydro_bm!F1138,"")</f>
        <v/>
      </c>
      <c r="F1138" t="str">
        <f>IF(ROW(F1138)&lt;=Bidding!$D$11,Raw_hydro_bm!G1138,"")</f>
        <v/>
      </c>
      <c r="G1138" t="str">
        <f>IF(ROW(G1138)&lt;=Bidding!$D$11,Raw_hydro_bm!H1138,"")</f>
        <v/>
      </c>
      <c r="H1138" t="str">
        <f>IF(ROW(H1138)&lt;=Bidding!$D$11,Raw_hydro_bm!I1138,"")</f>
        <v/>
      </c>
      <c r="I1138" s="16" t="str">
        <f t="shared" si="17"/>
        <v/>
      </c>
    </row>
    <row r="1139" spans="1:9" x14ac:dyDescent="0.2">
      <c r="A1139" t="str">
        <f>IF(ROW(A1139)&lt;=Bidding!$D$11,Raw_hydro_bm!B1139,"")</f>
        <v/>
      </c>
      <c r="B1139" t="str">
        <f>IF(ROW(B1139)&lt;=Bidding!$D$11,Raw_hydro_bm!C1139,"")</f>
        <v/>
      </c>
      <c r="C1139" t="str">
        <f>IF(ROW(C1139)&lt;=Bidding!$D$11,Raw_hydro_bm!D1139,"")</f>
        <v/>
      </c>
      <c r="D1139" t="str">
        <f>IF(ROW(D1139)&lt;=Bidding!$D$11,Raw_hydro_bm!E1139,"")</f>
        <v/>
      </c>
      <c r="E1139" t="str">
        <f>IF(ROW(E1139)&lt;=Bidding!$D$11,Raw_hydro_bm!F1139,"")</f>
        <v/>
      </c>
      <c r="F1139" t="str">
        <f>IF(ROW(F1139)&lt;=Bidding!$D$11,Raw_hydro_bm!G1139,"")</f>
        <v/>
      </c>
      <c r="G1139" t="str">
        <f>IF(ROW(G1139)&lt;=Bidding!$D$11,Raw_hydro_bm!H1139,"")</f>
        <v/>
      </c>
      <c r="H1139" t="str">
        <f>IF(ROW(H1139)&lt;=Bidding!$D$11,Raw_hydro_bm!I1139,"")</f>
        <v/>
      </c>
      <c r="I1139" s="16" t="str">
        <f t="shared" si="17"/>
        <v/>
      </c>
    </row>
    <row r="1140" spans="1:9" x14ac:dyDescent="0.2">
      <c r="A1140" t="str">
        <f>IF(ROW(A1140)&lt;=Bidding!$D$11,Raw_hydro_bm!B1140,"")</f>
        <v/>
      </c>
      <c r="B1140" t="str">
        <f>IF(ROW(B1140)&lt;=Bidding!$D$11,Raw_hydro_bm!C1140,"")</f>
        <v/>
      </c>
      <c r="C1140" t="str">
        <f>IF(ROW(C1140)&lt;=Bidding!$D$11,Raw_hydro_bm!D1140,"")</f>
        <v/>
      </c>
      <c r="D1140" t="str">
        <f>IF(ROW(D1140)&lt;=Bidding!$D$11,Raw_hydro_bm!E1140,"")</f>
        <v/>
      </c>
      <c r="E1140" t="str">
        <f>IF(ROW(E1140)&lt;=Bidding!$D$11,Raw_hydro_bm!F1140,"")</f>
        <v/>
      </c>
      <c r="F1140" t="str">
        <f>IF(ROW(F1140)&lt;=Bidding!$D$11,Raw_hydro_bm!G1140,"")</f>
        <v/>
      </c>
      <c r="G1140" t="str">
        <f>IF(ROW(G1140)&lt;=Bidding!$D$11,Raw_hydro_bm!H1140,"")</f>
        <v/>
      </c>
      <c r="H1140" t="str">
        <f>IF(ROW(H1140)&lt;=Bidding!$D$11,Raw_hydro_bm!I1140,"")</f>
        <v/>
      </c>
      <c r="I1140" s="16" t="str">
        <f t="shared" si="17"/>
        <v/>
      </c>
    </row>
    <row r="1141" spans="1:9" x14ac:dyDescent="0.2">
      <c r="A1141" t="str">
        <f>IF(ROW(A1141)&lt;=Bidding!$D$11,Raw_hydro_bm!B1141,"")</f>
        <v/>
      </c>
      <c r="B1141" t="str">
        <f>IF(ROW(B1141)&lt;=Bidding!$D$11,Raw_hydro_bm!C1141,"")</f>
        <v/>
      </c>
      <c r="C1141" t="str">
        <f>IF(ROW(C1141)&lt;=Bidding!$D$11,Raw_hydro_bm!D1141,"")</f>
        <v/>
      </c>
      <c r="D1141" t="str">
        <f>IF(ROW(D1141)&lt;=Bidding!$D$11,Raw_hydro_bm!E1141,"")</f>
        <v/>
      </c>
      <c r="E1141" t="str">
        <f>IF(ROW(E1141)&lt;=Bidding!$D$11,Raw_hydro_bm!F1141,"")</f>
        <v/>
      </c>
      <c r="F1141" t="str">
        <f>IF(ROW(F1141)&lt;=Bidding!$D$11,Raw_hydro_bm!G1141,"")</f>
        <v/>
      </c>
      <c r="G1141" t="str">
        <f>IF(ROW(G1141)&lt;=Bidding!$D$11,Raw_hydro_bm!H1141,"")</f>
        <v/>
      </c>
      <c r="H1141" t="str">
        <f>IF(ROW(H1141)&lt;=Bidding!$D$11,Raw_hydro_bm!I1141,"")</f>
        <v/>
      </c>
      <c r="I1141" s="16" t="str">
        <f t="shared" si="17"/>
        <v/>
      </c>
    </row>
    <row r="1142" spans="1:9" x14ac:dyDescent="0.2">
      <c r="A1142" t="str">
        <f>IF(ROW(A1142)&lt;=Bidding!$D$11,Raw_hydro_bm!B1142,"")</f>
        <v/>
      </c>
      <c r="B1142" t="str">
        <f>IF(ROW(B1142)&lt;=Bidding!$D$11,Raw_hydro_bm!C1142,"")</f>
        <v/>
      </c>
      <c r="C1142" t="str">
        <f>IF(ROW(C1142)&lt;=Bidding!$D$11,Raw_hydro_bm!D1142,"")</f>
        <v/>
      </c>
      <c r="D1142" t="str">
        <f>IF(ROW(D1142)&lt;=Bidding!$D$11,Raw_hydro_bm!E1142,"")</f>
        <v/>
      </c>
      <c r="E1142" t="str">
        <f>IF(ROW(E1142)&lt;=Bidding!$D$11,Raw_hydro_bm!F1142,"")</f>
        <v/>
      </c>
      <c r="F1142" t="str">
        <f>IF(ROW(F1142)&lt;=Bidding!$D$11,Raw_hydro_bm!G1142,"")</f>
        <v/>
      </c>
      <c r="G1142" t="str">
        <f>IF(ROW(G1142)&lt;=Bidding!$D$11,Raw_hydro_bm!H1142,"")</f>
        <v/>
      </c>
      <c r="H1142" t="str">
        <f>IF(ROW(H1142)&lt;=Bidding!$D$11,Raw_hydro_bm!I1142,"")</f>
        <v/>
      </c>
      <c r="I1142" s="16" t="str">
        <f t="shared" si="17"/>
        <v/>
      </c>
    </row>
    <row r="1143" spans="1:9" x14ac:dyDescent="0.2">
      <c r="A1143" t="str">
        <f>IF(ROW(A1143)&lt;=Bidding!$D$11,Raw_hydro_bm!B1143,"")</f>
        <v/>
      </c>
      <c r="B1143" t="str">
        <f>IF(ROW(B1143)&lt;=Bidding!$D$11,Raw_hydro_bm!C1143,"")</f>
        <v/>
      </c>
      <c r="C1143" t="str">
        <f>IF(ROW(C1143)&lt;=Bidding!$D$11,Raw_hydro_bm!D1143,"")</f>
        <v/>
      </c>
      <c r="D1143" t="str">
        <f>IF(ROW(D1143)&lt;=Bidding!$D$11,Raw_hydro_bm!E1143,"")</f>
        <v/>
      </c>
      <c r="E1143" t="str">
        <f>IF(ROW(E1143)&lt;=Bidding!$D$11,Raw_hydro_bm!F1143,"")</f>
        <v/>
      </c>
      <c r="F1143" t="str">
        <f>IF(ROW(F1143)&lt;=Bidding!$D$11,Raw_hydro_bm!G1143,"")</f>
        <v/>
      </c>
      <c r="G1143" t="str">
        <f>IF(ROW(G1143)&lt;=Bidding!$D$11,Raw_hydro_bm!H1143,"")</f>
        <v/>
      </c>
      <c r="H1143" t="str">
        <f>IF(ROW(H1143)&lt;=Bidding!$D$11,Raw_hydro_bm!I1143,"")</f>
        <v/>
      </c>
      <c r="I1143" s="16" t="str">
        <f t="shared" si="17"/>
        <v/>
      </c>
    </row>
    <row r="1144" spans="1:9" x14ac:dyDescent="0.2">
      <c r="A1144" t="str">
        <f>IF(ROW(A1144)&lt;=Bidding!$D$11,Raw_hydro_bm!B1144,"")</f>
        <v/>
      </c>
      <c r="B1144" t="str">
        <f>IF(ROW(B1144)&lt;=Bidding!$D$11,Raw_hydro_bm!C1144,"")</f>
        <v/>
      </c>
      <c r="C1144" t="str">
        <f>IF(ROW(C1144)&lt;=Bidding!$D$11,Raw_hydro_bm!D1144,"")</f>
        <v/>
      </c>
      <c r="D1144" t="str">
        <f>IF(ROW(D1144)&lt;=Bidding!$D$11,Raw_hydro_bm!E1144,"")</f>
        <v/>
      </c>
      <c r="E1144" t="str">
        <f>IF(ROW(E1144)&lt;=Bidding!$D$11,Raw_hydro_bm!F1144,"")</f>
        <v/>
      </c>
      <c r="F1144" t="str">
        <f>IF(ROW(F1144)&lt;=Bidding!$D$11,Raw_hydro_bm!G1144,"")</f>
        <v/>
      </c>
      <c r="G1144" t="str">
        <f>IF(ROW(G1144)&lt;=Bidding!$D$11,Raw_hydro_bm!H1144,"")</f>
        <v/>
      </c>
      <c r="H1144" t="str">
        <f>IF(ROW(H1144)&lt;=Bidding!$D$11,Raw_hydro_bm!I1144,"")</f>
        <v/>
      </c>
      <c r="I1144" s="16" t="str">
        <f t="shared" si="17"/>
        <v/>
      </c>
    </row>
    <row r="1145" spans="1:9" x14ac:dyDescent="0.2">
      <c r="A1145" t="str">
        <f>IF(ROW(A1145)&lt;=Bidding!$D$11,Raw_hydro_bm!B1145,"")</f>
        <v/>
      </c>
      <c r="B1145" t="str">
        <f>IF(ROW(B1145)&lt;=Bidding!$D$11,Raw_hydro_bm!C1145,"")</f>
        <v/>
      </c>
      <c r="C1145" t="str">
        <f>IF(ROW(C1145)&lt;=Bidding!$D$11,Raw_hydro_bm!D1145,"")</f>
        <v/>
      </c>
      <c r="D1145" t="str">
        <f>IF(ROW(D1145)&lt;=Bidding!$D$11,Raw_hydro_bm!E1145,"")</f>
        <v/>
      </c>
      <c r="E1145" t="str">
        <f>IF(ROW(E1145)&lt;=Bidding!$D$11,Raw_hydro_bm!F1145,"")</f>
        <v/>
      </c>
      <c r="F1145" t="str">
        <f>IF(ROW(F1145)&lt;=Bidding!$D$11,Raw_hydro_bm!G1145,"")</f>
        <v/>
      </c>
      <c r="G1145" t="str">
        <f>IF(ROW(G1145)&lt;=Bidding!$D$11,Raw_hydro_bm!H1145,"")</f>
        <v/>
      </c>
      <c r="H1145" t="str">
        <f>IF(ROW(H1145)&lt;=Bidding!$D$11,Raw_hydro_bm!I1145,"")</f>
        <v/>
      </c>
      <c r="I1145" s="16" t="str">
        <f t="shared" si="17"/>
        <v/>
      </c>
    </row>
    <row r="1146" spans="1:9" x14ac:dyDescent="0.2">
      <c r="A1146" t="str">
        <f>IF(ROW(A1146)&lt;=Bidding!$D$11,Raw_hydro_bm!B1146,"")</f>
        <v/>
      </c>
      <c r="B1146" t="str">
        <f>IF(ROW(B1146)&lt;=Bidding!$D$11,Raw_hydro_bm!C1146,"")</f>
        <v/>
      </c>
      <c r="C1146" t="str">
        <f>IF(ROW(C1146)&lt;=Bidding!$D$11,Raw_hydro_bm!D1146,"")</f>
        <v/>
      </c>
      <c r="D1146" t="str">
        <f>IF(ROW(D1146)&lt;=Bidding!$D$11,Raw_hydro_bm!E1146,"")</f>
        <v/>
      </c>
      <c r="E1146" t="str">
        <f>IF(ROW(E1146)&lt;=Bidding!$D$11,Raw_hydro_bm!F1146,"")</f>
        <v/>
      </c>
      <c r="F1146" t="str">
        <f>IF(ROW(F1146)&lt;=Bidding!$D$11,Raw_hydro_bm!G1146,"")</f>
        <v/>
      </c>
      <c r="G1146" t="str">
        <f>IF(ROW(G1146)&lt;=Bidding!$D$11,Raw_hydro_bm!H1146,"")</f>
        <v/>
      </c>
      <c r="H1146" t="str">
        <f>IF(ROW(H1146)&lt;=Bidding!$D$11,Raw_hydro_bm!I1146,"")</f>
        <v/>
      </c>
      <c r="I1146" s="16" t="str">
        <f t="shared" si="17"/>
        <v/>
      </c>
    </row>
    <row r="1147" spans="1:9" x14ac:dyDescent="0.2">
      <c r="A1147" t="str">
        <f>IF(ROW(A1147)&lt;=Bidding!$D$11,Raw_hydro_bm!B1147,"")</f>
        <v/>
      </c>
      <c r="B1147" t="str">
        <f>IF(ROW(B1147)&lt;=Bidding!$D$11,Raw_hydro_bm!C1147,"")</f>
        <v/>
      </c>
      <c r="C1147" t="str">
        <f>IF(ROW(C1147)&lt;=Bidding!$D$11,Raw_hydro_bm!D1147,"")</f>
        <v/>
      </c>
      <c r="D1147" t="str">
        <f>IF(ROW(D1147)&lt;=Bidding!$D$11,Raw_hydro_bm!E1147,"")</f>
        <v/>
      </c>
      <c r="E1147" t="str">
        <f>IF(ROW(E1147)&lt;=Bidding!$D$11,Raw_hydro_bm!F1147,"")</f>
        <v/>
      </c>
      <c r="F1147" t="str">
        <f>IF(ROW(F1147)&lt;=Bidding!$D$11,Raw_hydro_bm!G1147,"")</f>
        <v/>
      </c>
      <c r="G1147" t="str">
        <f>IF(ROW(G1147)&lt;=Bidding!$D$11,Raw_hydro_bm!H1147,"")</f>
        <v/>
      </c>
      <c r="H1147" t="str">
        <f>IF(ROW(H1147)&lt;=Bidding!$D$11,Raw_hydro_bm!I1147,"")</f>
        <v/>
      </c>
      <c r="I1147" s="16" t="str">
        <f t="shared" si="17"/>
        <v/>
      </c>
    </row>
    <row r="1148" spans="1:9" x14ac:dyDescent="0.2">
      <c r="A1148" t="str">
        <f>IF(ROW(A1148)&lt;=Bidding!$D$11,Raw_hydro_bm!B1148,"")</f>
        <v/>
      </c>
      <c r="B1148" t="str">
        <f>IF(ROW(B1148)&lt;=Bidding!$D$11,Raw_hydro_bm!C1148,"")</f>
        <v/>
      </c>
      <c r="C1148" t="str">
        <f>IF(ROW(C1148)&lt;=Bidding!$D$11,Raw_hydro_bm!D1148,"")</f>
        <v/>
      </c>
      <c r="D1148" t="str">
        <f>IF(ROW(D1148)&lt;=Bidding!$D$11,Raw_hydro_bm!E1148,"")</f>
        <v/>
      </c>
      <c r="E1148" t="str">
        <f>IF(ROW(E1148)&lt;=Bidding!$D$11,Raw_hydro_bm!F1148,"")</f>
        <v/>
      </c>
      <c r="F1148" t="str">
        <f>IF(ROW(F1148)&lt;=Bidding!$D$11,Raw_hydro_bm!G1148,"")</f>
        <v/>
      </c>
      <c r="G1148" t="str">
        <f>IF(ROW(G1148)&lt;=Bidding!$D$11,Raw_hydro_bm!H1148,"")</f>
        <v/>
      </c>
      <c r="H1148" t="str">
        <f>IF(ROW(H1148)&lt;=Bidding!$D$11,Raw_hydro_bm!I1148,"")</f>
        <v/>
      </c>
      <c r="I1148" s="16" t="str">
        <f t="shared" si="17"/>
        <v/>
      </c>
    </row>
    <row r="1149" spans="1:9" x14ac:dyDescent="0.2">
      <c r="A1149" t="str">
        <f>IF(ROW(A1149)&lt;=Bidding!$D$11,Raw_hydro_bm!B1149,"")</f>
        <v/>
      </c>
      <c r="B1149" t="str">
        <f>IF(ROW(B1149)&lt;=Bidding!$D$11,Raw_hydro_bm!C1149,"")</f>
        <v/>
      </c>
      <c r="C1149" t="str">
        <f>IF(ROW(C1149)&lt;=Bidding!$D$11,Raw_hydro_bm!D1149,"")</f>
        <v/>
      </c>
      <c r="D1149" t="str">
        <f>IF(ROW(D1149)&lt;=Bidding!$D$11,Raw_hydro_bm!E1149,"")</f>
        <v/>
      </c>
      <c r="E1149" t="str">
        <f>IF(ROW(E1149)&lt;=Bidding!$D$11,Raw_hydro_bm!F1149,"")</f>
        <v/>
      </c>
      <c r="F1149" t="str">
        <f>IF(ROW(F1149)&lt;=Bidding!$D$11,Raw_hydro_bm!G1149,"")</f>
        <v/>
      </c>
      <c r="G1149" t="str">
        <f>IF(ROW(G1149)&lt;=Bidding!$D$11,Raw_hydro_bm!H1149,"")</f>
        <v/>
      </c>
      <c r="H1149" t="str">
        <f>IF(ROW(H1149)&lt;=Bidding!$D$11,Raw_hydro_bm!I1149,"")</f>
        <v/>
      </c>
      <c r="I1149" s="16" t="str">
        <f t="shared" si="17"/>
        <v/>
      </c>
    </row>
    <row r="1150" spans="1:9" x14ac:dyDescent="0.2">
      <c r="A1150" t="str">
        <f>IF(ROW(A1150)&lt;=Bidding!$D$11,Raw_hydro_bm!B1150,"")</f>
        <v/>
      </c>
      <c r="B1150" t="str">
        <f>IF(ROW(B1150)&lt;=Bidding!$D$11,Raw_hydro_bm!C1150,"")</f>
        <v/>
      </c>
      <c r="C1150" t="str">
        <f>IF(ROW(C1150)&lt;=Bidding!$D$11,Raw_hydro_bm!D1150,"")</f>
        <v/>
      </c>
      <c r="D1150" t="str">
        <f>IF(ROW(D1150)&lt;=Bidding!$D$11,Raw_hydro_bm!E1150,"")</f>
        <v/>
      </c>
      <c r="E1150" t="str">
        <f>IF(ROW(E1150)&lt;=Bidding!$D$11,Raw_hydro_bm!F1150,"")</f>
        <v/>
      </c>
      <c r="F1150" t="str">
        <f>IF(ROW(F1150)&lt;=Bidding!$D$11,Raw_hydro_bm!G1150,"")</f>
        <v/>
      </c>
      <c r="G1150" t="str">
        <f>IF(ROW(G1150)&lt;=Bidding!$D$11,Raw_hydro_bm!H1150,"")</f>
        <v/>
      </c>
      <c r="H1150" t="str">
        <f>IF(ROW(H1150)&lt;=Bidding!$D$11,Raw_hydro_bm!I1150,"")</f>
        <v/>
      </c>
      <c r="I1150" s="16" t="str">
        <f t="shared" si="17"/>
        <v/>
      </c>
    </row>
    <row r="1151" spans="1:9" x14ac:dyDescent="0.2">
      <c r="A1151" t="str">
        <f>IF(ROW(A1151)&lt;=Bidding!$D$11,Raw_hydro_bm!B1151,"")</f>
        <v/>
      </c>
      <c r="B1151" t="str">
        <f>IF(ROW(B1151)&lt;=Bidding!$D$11,Raw_hydro_bm!C1151,"")</f>
        <v/>
      </c>
      <c r="C1151" t="str">
        <f>IF(ROW(C1151)&lt;=Bidding!$D$11,Raw_hydro_bm!D1151,"")</f>
        <v/>
      </c>
      <c r="D1151" t="str">
        <f>IF(ROW(D1151)&lt;=Bidding!$D$11,Raw_hydro_bm!E1151,"")</f>
        <v/>
      </c>
      <c r="E1151" t="str">
        <f>IF(ROW(E1151)&lt;=Bidding!$D$11,Raw_hydro_bm!F1151,"")</f>
        <v/>
      </c>
      <c r="F1151" t="str">
        <f>IF(ROW(F1151)&lt;=Bidding!$D$11,Raw_hydro_bm!G1151,"")</f>
        <v/>
      </c>
      <c r="G1151" t="str">
        <f>IF(ROW(G1151)&lt;=Bidding!$D$11,Raw_hydro_bm!H1151,"")</f>
        <v/>
      </c>
      <c r="H1151" t="str">
        <f>IF(ROW(H1151)&lt;=Bidding!$D$11,Raw_hydro_bm!I1151,"")</f>
        <v/>
      </c>
      <c r="I1151" s="16" t="str">
        <f t="shared" si="17"/>
        <v/>
      </c>
    </row>
    <row r="1152" spans="1:9" x14ac:dyDescent="0.2">
      <c r="A1152" t="str">
        <f>IF(ROW(A1152)&lt;=Bidding!$D$11,Raw_hydro_bm!B1152,"")</f>
        <v/>
      </c>
      <c r="B1152" t="str">
        <f>IF(ROW(B1152)&lt;=Bidding!$D$11,Raw_hydro_bm!C1152,"")</f>
        <v/>
      </c>
      <c r="C1152" t="str">
        <f>IF(ROW(C1152)&lt;=Bidding!$D$11,Raw_hydro_bm!D1152,"")</f>
        <v/>
      </c>
      <c r="D1152" t="str">
        <f>IF(ROW(D1152)&lt;=Bidding!$D$11,Raw_hydro_bm!E1152,"")</f>
        <v/>
      </c>
      <c r="E1152" t="str">
        <f>IF(ROW(E1152)&lt;=Bidding!$D$11,Raw_hydro_bm!F1152,"")</f>
        <v/>
      </c>
      <c r="F1152" t="str">
        <f>IF(ROW(F1152)&lt;=Bidding!$D$11,Raw_hydro_bm!G1152,"")</f>
        <v/>
      </c>
      <c r="G1152" t="str">
        <f>IF(ROW(G1152)&lt;=Bidding!$D$11,Raw_hydro_bm!H1152,"")</f>
        <v/>
      </c>
      <c r="H1152" t="str">
        <f>IF(ROW(H1152)&lt;=Bidding!$D$11,Raw_hydro_bm!I1152,"")</f>
        <v/>
      </c>
      <c r="I1152" s="16" t="str">
        <f t="shared" si="17"/>
        <v/>
      </c>
    </row>
    <row r="1153" spans="1:9" x14ac:dyDescent="0.2">
      <c r="A1153" t="str">
        <f>IF(ROW(A1153)&lt;=Bidding!$D$11,Raw_hydro_bm!B1153,"")</f>
        <v/>
      </c>
      <c r="B1153" t="str">
        <f>IF(ROW(B1153)&lt;=Bidding!$D$11,Raw_hydro_bm!C1153,"")</f>
        <v/>
      </c>
      <c r="C1153" t="str">
        <f>IF(ROW(C1153)&lt;=Bidding!$D$11,Raw_hydro_bm!D1153,"")</f>
        <v/>
      </c>
      <c r="D1153" t="str">
        <f>IF(ROW(D1153)&lt;=Bidding!$D$11,Raw_hydro_bm!E1153,"")</f>
        <v/>
      </c>
      <c r="E1153" t="str">
        <f>IF(ROW(E1153)&lt;=Bidding!$D$11,Raw_hydro_bm!F1153,"")</f>
        <v/>
      </c>
      <c r="F1153" t="str">
        <f>IF(ROW(F1153)&lt;=Bidding!$D$11,Raw_hydro_bm!G1153,"")</f>
        <v/>
      </c>
      <c r="G1153" t="str">
        <f>IF(ROW(G1153)&lt;=Bidding!$D$11,Raw_hydro_bm!H1153,"")</f>
        <v/>
      </c>
      <c r="H1153" t="str">
        <f>IF(ROW(H1153)&lt;=Bidding!$D$11,Raw_hydro_bm!I1153,"")</f>
        <v/>
      </c>
      <c r="I1153" s="16" t="str">
        <f t="shared" si="17"/>
        <v/>
      </c>
    </row>
    <row r="1154" spans="1:9" x14ac:dyDescent="0.2">
      <c r="A1154" t="str">
        <f>IF(ROW(A1154)&lt;=Bidding!$D$11,Raw_hydro_bm!B1154,"")</f>
        <v/>
      </c>
      <c r="B1154" t="str">
        <f>IF(ROW(B1154)&lt;=Bidding!$D$11,Raw_hydro_bm!C1154,"")</f>
        <v/>
      </c>
      <c r="C1154" t="str">
        <f>IF(ROW(C1154)&lt;=Bidding!$D$11,Raw_hydro_bm!D1154,"")</f>
        <v/>
      </c>
      <c r="D1154" t="str">
        <f>IF(ROW(D1154)&lt;=Bidding!$D$11,Raw_hydro_bm!E1154,"")</f>
        <v/>
      </c>
      <c r="E1154" t="str">
        <f>IF(ROW(E1154)&lt;=Bidding!$D$11,Raw_hydro_bm!F1154,"")</f>
        <v/>
      </c>
      <c r="F1154" t="str">
        <f>IF(ROW(F1154)&lt;=Bidding!$D$11,Raw_hydro_bm!G1154,"")</f>
        <v/>
      </c>
      <c r="G1154" t="str">
        <f>IF(ROW(G1154)&lt;=Bidding!$D$11,Raw_hydro_bm!H1154,"")</f>
        <v/>
      </c>
      <c r="H1154" t="str">
        <f>IF(ROW(H1154)&lt;=Bidding!$D$11,Raw_hydro_bm!I1154,"")</f>
        <v/>
      </c>
      <c r="I1154" s="16" t="str">
        <f t="shared" ref="I1154:I1217" si="18">IF(IFERROR(FIND("e",H1154),-1)&lt;0,IFERROR(_xlfn.NUMBERVALUE(LEFT(H1154,FIND(".",H1154)-1))+_xlfn.NUMBERVALUE("0,"&amp;RIGHT(H1154,LEN(H1154)-FIND(".",H1154))),""),0)</f>
        <v/>
      </c>
    </row>
    <row r="1155" spans="1:9" x14ac:dyDescent="0.2">
      <c r="A1155" t="str">
        <f>IF(ROW(A1155)&lt;=Bidding!$D$11,Raw_hydro_bm!B1155,"")</f>
        <v/>
      </c>
      <c r="B1155" t="str">
        <f>IF(ROW(B1155)&lt;=Bidding!$D$11,Raw_hydro_bm!C1155,"")</f>
        <v/>
      </c>
      <c r="C1155" t="str">
        <f>IF(ROW(C1155)&lt;=Bidding!$D$11,Raw_hydro_bm!D1155,"")</f>
        <v/>
      </c>
      <c r="D1155" t="str">
        <f>IF(ROW(D1155)&lt;=Bidding!$D$11,Raw_hydro_bm!E1155,"")</f>
        <v/>
      </c>
      <c r="E1155" t="str">
        <f>IF(ROW(E1155)&lt;=Bidding!$D$11,Raw_hydro_bm!F1155,"")</f>
        <v/>
      </c>
      <c r="F1155" t="str">
        <f>IF(ROW(F1155)&lt;=Bidding!$D$11,Raw_hydro_bm!G1155,"")</f>
        <v/>
      </c>
      <c r="G1155" t="str">
        <f>IF(ROW(G1155)&lt;=Bidding!$D$11,Raw_hydro_bm!H1155,"")</f>
        <v/>
      </c>
      <c r="H1155" t="str">
        <f>IF(ROW(H1155)&lt;=Bidding!$D$11,Raw_hydro_bm!I1155,"")</f>
        <v/>
      </c>
      <c r="I1155" s="16" t="str">
        <f t="shared" si="18"/>
        <v/>
      </c>
    </row>
    <row r="1156" spans="1:9" x14ac:dyDescent="0.2">
      <c r="A1156" t="str">
        <f>IF(ROW(A1156)&lt;=Bidding!$D$11,Raw_hydro_bm!B1156,"")</f>
        <v/>
      </c>
      <c r="B1156" t="str">
        <f>IF(ROW(B1156)&lt;=Bidding!$D$11,Raw_hydro_bm!C1156,"")</f>
        <v/>
      </c>
      <c r="C1156" t="str">
        <f>IF(ROW(C1156)&lt;=Bidding!$D$11,Raw_hydro_bm!D1156,"")</f>
        <v/>
      </c>
      <c r="D1156" t="str">
        <f>IF(ROW(D1156)&lt;=Bidding!$D$11,Raw_hydro_bm!E1156,"")</f>
        <v/>
      </c>
      <c r="E1156" t="str">
        <f>IF(ROW(E1156)&lt;=Bidding!$D$11,Raw_hydro_bm!F1156,"")</f>
        <v/>
      </c>
      <c r="F1156" t="str">
        <f>IF(ROW(F1156)&lt;=Bidding!$D$11,Raw_hydro_bm!G1156,"")</f>
        <v/>
      </c>
      <c r="G1156" t="str">
        <f>IF(ROW(G1156)&lt;=Bidding!$D$11,Raw_hydro_bm!H1156,"")</f>
        <v/>
      </c>
      <c r="H1156" t="str">
        <f>IF(ROW(H1156)&lt;=Bidding!$D$11,Raw_hydro_bm!I1156,"")</f>
        <v/>
      </c>
      <c r="I1156" s="16" t="str">
        <f t="shared" si="18"/>
        <v/>
      </c>
    </row>
    <row r="1157" spans="1:9" x14ac:dyDescent="0.2">
      <c r="A1157" t="str">
        <f>IF(ROW(A1157)&lt;=Bidding!$D$11,Raw_hydro_bm!B1157,"")</f>
        <v/>
      </c>
      <c r="B1157" t="str">
        <f>IF(ROW(B1157)&lt;=Bidding!$D$11,Raw_hydro_bm!C1157,"")</f>
        <v/>
      </c>
      <c r="C1157" t="str">
        <f>IF(ROW(C1157)&lt;=Bidding!$D$11,Raw_hydro_bm!D1157,"")</f>
        <v/>
      </c>
      <c r="D1157" t="str">
        <f>IF(ROW(D1157)&lt;=Bidding!$D$11,Raw_hydro_bm!E1157,"")</f>
        <v/>
      </c>
      <c r="E1157" t="str">
        <f>IF(ROW(E1157)&lt;=Bidding!$D$11,Raw_hydro_bm!F1157,"")</f>
        <v/>
      </c>
      <c r="F1157" t="str">
        <f>IF(ROW(F1157)&lt;=Bidding!$D$11,Raw_hydro_bm!G1157,"")</f>
        <v/>
      </c>
      <c r="G1157" t="str">
        <f>IF(ROW(G1157)&lt;=Bidding!$D$11,Raw_hydro_bm!H1157,"")</f>
        <v/>
      </c>
      <c r="H1157" t="str">
        <f>IF(ROW(H1157)&lt;=Bidding!$D$11,Raw_hydro_bm!I1157,"")</f>
        <v/>
      </c>
      <c r="I1157" s="16" t="str">
        <f t="shared" si="18"/>
        <v/>
      </c>
    </row>
    <row r="1158" spans="1:9" x14ac:dyDescent="0.2">
      <c r="A1158" t="str">
        <f>IF(ROW(A1158)&lt;=Bidding!$D$11,Raw_hydro_bm!B1158,"")</f>
        <v/>
      </c>
      <c r="B1158" t="str">
        <f>IF(ROW(B1158)&lt;=Bidding!$D$11,Raw_hydro_bm!C1158,"")</f>
        <v/>
      </c>
      <c r="C1158" t="str">
        <f>IF(ROW(C1158)&lt;=Bidding!$D$11,Raw_hydro_bm!D1158,"")</f>
        <v/>
      </c>
      <c r="D1158" t="str">
        <f>IF(ROW(D1158)&lt;=Bidding!$D$11,Raw_hydro_bm!E1158,"")</f>
        <v/>
      </c>
      <c r="E1158" t="str">
        <f>IF(ROW(E1158)&lt;=Bidding!$D$11,Raw_hydro_bm!F1158,"")</f>
        <v/>
      </c>
      <c r="F1158" t="str">
        <f>IF(ROW(F1158)&lt;=Bidding!$D$11,Raw_hydro_bm!G1158,"")</f>
        <v/>
      </c>
      <c r="G1158" t="str">
        <f>IF(ROW(G1158)&lt;=Bidding!$D$11,Raw_hydro_bm!H1158,"")</f>
        <v/>
      </c>
      <c r="H1158" t="str">
        <f>IF(ROW(H1158)&lt;=Bidding!$D$11,Raw_hydro_bm!I1158,"")</f>
        <v/>
      </c>
      <c r="I1158" s="16" t="str">
        <f t="shared" si="18"/>
        <v/>
      </c>
    </row>
    <row r="1159" spans="1:9" x14ac:dyDescent="0.2">
      <c r="A1159" t="str">
        <f>IF(ROW(A1159)&lt;=Bidding!$D$11,Raw_hydro_bm!B1159,"")</f>
        <v/>
      </c>
      <c r="B1159" t="str">
        <f>IF(ROW(B1159)&lt;=Bidding!$D$11,Raw_hydro_bm!C1159,"")</f>
        <v/>
      </c>
      <c r="C1159" t="str">
        <f>IF(ROW(C1159)&lt;=Bidding!$D$11,Raw_hydro_bm!D1159,"")</f>
        <v/>
      </c>
      <c r="D1159" t="str">
        <f>IF(ROW(D1159)&lt;=Bidding!$D$11,Raw_hydro_bm!E1159,"")</f>
        <v/>
      </c>
      <c r="E1159" t="str">
        <f>IF(ROW(E1159)&lt;=Bidding!$D$11,Raw_hydro_bm!F1159,"")</f>
        <v/>
      </c>
      <c r="F1159" t="str">
        <f>IF(ROW(F1159)&lt;=Bidding!$D$11,Raw_hydro_bm!G1159,"")</f>
        <v/>
      </c>
      <c r="G1159" t="str">
        <f>IF(ROW(G1159)&lt;=Bidding!$D$11,Raw_hydro_bm!H1159,"")</f>
        <v/>
      </c>
      <c r="H1159" t="str">
        <f>IF(ROW(H1159)&lt;=Bidding!$D$11,Raw_hydro_bm!I1159,"")</f>
        <v/>
      </c>
      <c r="I1159" s="16" t="str">
        <f t="shared" si="18"/>
        <v/>
      </c>
    </row>
    <row r="1160" spans="1:9" x14ac:dyDescent="0.2">
      <c r="A1160" t="str">
        <f>IF(ROW(A1160)&lt;=Bidding!$D$11,Raw_hydro_bm!B1160,"")</f>
        <v/>
      </c>
      <c r="B1160" t="str">
        <f>IF(ROW(B1160)&lt;=Bidding!$D$11,Raw_hydro_bm!C1160,"")</f>
        <v/>
      </c>
      <c r="C1160" t="str">
        <f>IF(ROW(C1160)&lt;=Bidding!$D$11,Raw_hydro_bm!D1160,"")</f>
        <v/>
      </c>
      <c r="D1160" t="str">
        <f>IF(ROW(D1160)&lt;=Bidding!$D$11,Raw_hydro_bm!E1160,"")</f>
        <v/>
      </c>
      <c r="E1160" t="str">
        <f>IF(ROW(E1160)&lt;=Bidding!$D$11,Raw_hydro_bm!F1160,"")</f>
        <v/>
      </c>
      <c r="F1160" t="str">
        <f>IF(ROW(F1160)&lt;=Bidding!$D$11,Raw_hydro_bm!G1160,"")</f>
        <v/>
      </c>
      <c r="G1160" t="str">
        <f>IF(ROW(G1160)&lt;=Bidding!$D$11,Raw_hydro_bm!H1160,"")</f>
        <v/>
      </c>
      <c r="H1160" t="str">
        <f>IF(ROW(H1160)&lt;=Bidding!$D$11,Raw_hydro_bm!I1160,"")</f>
        <v/>
      </c>
      <c r="I1160" s="16" t="str">
        <f t="shared" si="18"/>
        <v/>
      </c>
    </row>
    <row r="1161" spans="1:9" x14ac:dyDescent="0.2">
      <c r="A1161" t="str">
        <f>IF(ROW(A1161)&lt;=Bidding!$D$11,Raw_hydro_bm!B1161,"")</f>
        <v/>
      </c>
      <c r="B1161" t="str">
        <f>IF(ROW(B1161)&lt;=Bidding!$D$11,Raw_hydro_bm!C1161,"")</f>
        <v/>
      </c>
      <c r="C1161" t="str">
        <f>IF(ROW(C1161)&lt;=Bidding!$D$11,Raw_hydro_bm!D1161,"")</f>
        <v/>
      </c>
      <c r="D1161" t="str">
        <f>IF(ROW(D1161)&lt;=Bidding!$D$11,Raw_hydro_bm!E1161,"")</f>
        <v/>
      </c>
      <c r="E1161" t="str">
        <f>IF(ROW(E1161)&lt;=Bidding!$D$11,Raw_hydro_bm!F1161,"")</f>
        <v/>
      </c>
      <c r="F1161" t="str">
        <f>IF(ROW(F1161)&lt;=Bidding!$D$11,Raw_hydro_bm!G1161,"")</f>
        <v/>
      </c>
      <c r="G1161" t="str">
        <f>IF(ROW(G1161)&lt;=Bidding!$D$11,Raw_hydro_bm!H1161,"")</f>
        <v/>
      </c>
      <c r="H1161" t="str">
        <f>IF(ROW(H1161)&lt;=Bidding!$D$11,Raw_hydro_bm!I1161,"")</f>
        <v/>
      </c>
      <c r="I1161" s="16" t="str">
        <f t="shared" si="18"/>
        <v/>
      </c>
    </row>
    <row r="1162" spans="1:9" x14ac:dyDescent="0.2">
      <c r="A1162" t="str">
        <f>IF(ROW(A1162)&lt;=Bidding!$D$11,Raw_hydro_bm!B1162,"")</f>
        <v/>
      </c>
      <c r="B1162" t="str">
        <f>IF(ROW(B1162)&lt;=Bidding!$D$11,Raw_hydro_bm!C1162,"")</f>
        <v/>
      </c>
      <c r="C1162" t="str">
        <f>IF(ROW(C1162)&lt;=Bidding!$D$11,Raw_hydro_bm!D1162,"")</f>
        <v/>
      </c>
      <c r="D1162" t="str">
        <f>IF(ROW(D1162)&lt;=Bidding!$D$11,Raw_hydro_bm!E1162,"")</f>
        <v/>
      </c>
      <c r="E1162" t="str">
        <f>IF(ROW(E1162)&lt;=Bidding!$D$11,Raw_hydro_bm!F1162,"")</f>
        <v/>
      </c>
      <c r="F1162" t="str">
        <f>IF(ROW(F1162)&lt;=Bidding!$D$11,Raw_hydro_bm!G1162,"")</f>
        <v/>
      </c>
      <c r="G1162" t="str">
        <f>IF(ROW(G1162)&lt;=Bidding!$D$11,Raw_hydro_bm!H1162,"")</f>
        <v/>
      </c>
      <c r="H1162" t="str">
        <f>IF(ROW(H1162)&lt;=Bidding!$D$11,Raw_hydro_bm!I1162,"")</f>
        <v/>
      </c>
      <c r="I1162" s="16" t="str">
        <f t="shared" si="18"/>
        <v/>
      </c>
    </row>
    <row r="1163" spans="1:9" x14ac:dyDescent="0.2">
      <c r="A1163" t="str">
        <f>IF(ROW(A1163)&lt;=Bidding!$D$11,Raw_hydro_bm!B1163,"")</f>
        <v/>
      </c>
      <c r="B1163" t="str">
        <f>IF(ROW(B1163)&lt;=Bidding!$D$11,Raw_hydro_bm!C1163,"")</f>
        <v/>
      </c>
      <c r="C1163" t="str">
        <f>IF(ROW(C1163)&lt;=Bidding!$D$11,Raw_hydro_bm!D1163,"")</f>
        <v/>
      </c>
      <c r="D1163" t="str">
        <f>IF(ROW(D1163)&lt;=Bidding!$D$11,Raw_hydro_bm!E1163,"")</f>
        <v/>
      </c>
      <c r="E1163" t="str">
        <f>IF(ROW(E1163)&lt;=Bidding!$D$11,Raw_hydro_bm!F1163,"")</f>
        <v/>
      </c>
      <c r="F1163" t="str">
        <f>IF(ROW(F1163)&lt;=Bidding!$D$11,Raw_hydro_bm!G1163,"")</f>
        <v/>
      </c>
      <c r="G1163" t="str">
        <f>IF(ROW(G1163)&lt;=Bidding!$D$11,Raw_hydro_bm!H1163,"")</f>
        <v/>
      </c>
      <c r="H1163" t="str">
        <f>IF(ROW(H1163)&lt;=Bidding!$D$11,Raw_hydro_bm!I1163,"")</f>
        <v/>
      </c>
      <c r="I1163" s="16" t="str">
        <f t="shared" si="18"/>
        <v/>
      </c>
    </row>
    <row r="1164" spans="1:9" x14ac:dyDescent="0.2">
      <c r="A1164" t="str">
        <f>IF(ROW(A1164)&lt;=Bidding!$D$11,Raw_hydro_bm!B1164,"")</f>
        <v/>
      </c>
      <c r="B1164" t="str">
        <f>IF(ROW(B1164)&lt;=Bidding!$D$11,Raw_hydro_bm!C1164,"")</f>
        <v/>
      </c>
      <c r="C1164" t="str">
        <f>IF(ROW(C1164)&lt;=Bidding!$D$11,Raw_hydro_bm!D1164,"")</f>
        <v/>
      </c>
      <c r="D1164" t="str">
        <f>IF(ROW(D1164)&lt;=Bidding!$D$11,Raw_hydro_bm!E1164,"")</f>
        <v/>
      </c>
      <c r="E1164" t="str">
        <f>IF(ROW(E1164)&lt;=Bidding!$D$11,Raw_hydro_bm!F1164,"")</f>
        <v/>
      </c>
      <c r="F1164" t="str">
        <f>IF(ROW(F1164)&lt;=Bidding!$D$11,Raw_hydro_bm!G1164,"")</f>
        <v/>
      </c>
      <c r="G1164" t="str">
        <f>IF(ROW(G1164)&lt;=Bidding!$D$11,Raw_hydro_bm!H1164,"")</f>
        <v/>
      </c>
      <c r="H1164" t="str">
        <f>IF(ROW(H1164)&lt;=Bidding!$D$11,Raw_hydro_bm!I1164,"")</f>
        <v/>
      </c>
      <c r="I1164" s="16" t="str">
        <f t="shared" si="18"/>
        <v/>
      </c>
    </row>
    <row r="1165" spans="1:9" x14ac:dyDescent="0.2">
      <c r="A1165" t="str">
        <f>IF(ROW(A1165)&lt;=Bidding!$D$11,Raw_hydro_bm!B1165,"")</f>
        <v/>
      </c>
      <c r="B1165" t="str">
        <f>IF(ROW(B1165)&lt;=Bidding!$D$11,Raw_hydro_bm!C1165,"")</f>
        <v/>
      </c>
      <c r="C1165" t="str">
        <f>IF(ROW(C1165)&lt;=Bidding!$D$11,Raw_hydro_bm!D1165,"")</f>
        <v/>
      </c>
      <c r="D1165" t="str">
        <f>IF(ROW(D1165)&lt;=Bidding!$D$11,Raw_hydro_bm!E1165,"")</f>
        <v/>
      </c>
      <c r="E1165" t="str">
        <f>IF(ROW(E1165)&lt;=Bidding!$D$11,Raw_hydro_bm!F1165,"")</f>
        <v/>
      </c>
      <c r="F1165" t="str">
        <f>IF(ROW(F1165)&lt;=Bidding!$D$11,Raw_hydro_bm!G1165,"")</f>
        <v/>
      </c>
      <c r="G1165" t="str">
        <f>IF(ROW(G1165)&lt;=Bidding!$D$11,Raw_hydro_bm!H1165,"")</f>
        <v/>
      </c>
      <c r="H1165" t="str">
        <f>IF(ROW(H1165)&lt;=Bidding!$D$11,Raw_hydro_bm!I1165,"")</f>
        <v/>
      </c>
      <c r="I1165" s="16" t="str">
        <f t="shared" si="18"/>
        <v/>
      </c>
    </row>
    <row r="1166" spans="1:9" x14ac:dyDescent="0.2">
      <c r="A1166" t="str">
        <f>IF(ROW(A1166)&lt;=Bidding!$D$11,Raw_hydro_bm!B1166,"")</f>
        <v/>
      </c>
      <c r="B1166" t="str">
        <f>IF(ROW(B1166)&lt;=Bidding!$D$11,Raw_hydro_bm!C1166,"")</f>
        <v/>
      </c>
      <c r="C1166" t="str">
        <f>IF(ROW(C1166)&lt;=Bidding!$D$11,Raw_hydro_bm!D1166,"")</f>
        <v/>
      </c>
      <c r="D1166" t="str">
        <f>IF(ROW(D1166)&lt;=Bidding!$D$11,Raw_hydro_bm!E1166,"")</f>
        <v/>
      </c>
      <c r="E1166" t="str">
        <f>IF(ROW(E1166)&lt;=Bidding!$D$11,Raw_hydro_bm!F1166,"")</f>
        <v/>
      </c>
      <c r="F1166" t="str">
        <f>IF(ROW(F1166)&lt;=Bidding!$D$11,Raw_hydro_bm!G1166,"")</f>
        <v/>
      </c>
      <c r="G1166" t="str">
        <f>IF(ROW(G1166)&lt;=Bidding!$D$11,Raw_hydro_bm!H1166,"")</f>
        <v/>
      </c>
      <c r="H1166" t="str">
        <f>IF(ROW(H1166)&lt;=Bidding!$D$11,Raw_hydro_bm!I1166,"")</f>
        <v/>
      </c>
      <c r="I1166" s="16" t="str">
        <f t="shared" si="18"/>
        <v/>
      </c>
    </row>
    <row r="1167" spans="1:9" x14ac:dyDescent="0.2">
      <c r="A1167" t="str">
        <f>IF(ROW(A1167)&lt;=Bidding!$D$11,Raw_hydro_bm!B1167,"")</f>
        <v/>
      </c>
      <c r="B1167" t="str">
        <f>IF(ROW(B1167)&lt;=Bidding!$D$11,Raw_hydro_bm!C1167,"")</f>
        <v/>
      </c>
      <c r="C1167" t="str">
        <f>IF(ROW(C1167)&lt;=Bidding!$D$11,Raw_hydro_bm!D1167,"")</f>
        <v/>
      </c>
      <c r="D1167" t="str">
        <f>IF(ROW(D1167)&lt;=Bidding!$D$11,Raw_hydro_bm!E1167,"")</f>
        <v/>
      </c>
      <c r="E1167" t="str">
        <f>IF(ROW(E1167)&lt;=Bidding!$D$11,Raw_hydro_bm!F1167,"")</f>
        <v/>
      </c>
      <c r="F1167" t="str">
        <f>IF(ROW(F1167)&lt;=Bidding!$D$11,Raw_hydro_bm!G1167,"")</f>
        <v/>
      </c>
      <c r="G1167" t="str">
        <f>IF(ROW(G1167)&lt;=Bidding!$D$11,Raw_hydro_bm!H1167,"")</f>
        <v/>
      </c>
      <c r="H1167" t="str">
        <f>IF(ROW(H1167)&lt;=Bidding!$D$11,Raw_hydro_bm!I1167,"")</f>
        <v/>
      </c>
      <c r="I1167" s="16" t="str">
        <f t="shared" si="18"/>
        <v/>
      </c>
    </row>
    <row r="1168" spans="1:9" x14ac:dyDescent="0.2">
      <c r="A1168" t="str">
        <f>IF(ROW(A1168)&lt;=Bidding!$D$11,Raw_hydro_bm!B1168,"")</f>
        <v/>
      </c>
      <c r="B1168" t="str">
        <f>IF(ROW(B1168)&lt;=Bidding!$D$11,Raw_hydro_bm!C1168,"")</f>
        <v/>
      </c>
      <c r="C1168" t="str">
        <f>IF(ROW(C1168)&lt;=Bidding!$D$11,Raw_hydro_bm!D1168,"")</f>
        <v/>
      </c>
      <c r="D1168" t="str">
        <f>IF(ROW(D1168)&lt;=Bidding!$D$11,Raw_hydro_bm!E1168,"")</f>
        <v/>
      </c>
      <c r="E1168" t="str">
        <f>IF(ROW(E1168)&lt;=Bidding!$D$11,Raw_hydro_bm!F1168,"")</f>
        <v/>
      </c>
      <c r="F1168" t="str">
        <f>IF(ROW(F1168)&lt;=Bidding!$D$11,Raw_hydro_bm!G1168,"")</f>
        <v/>
      </c>
      <c r="G1168" t="str">
        <f>IF(ROW(G1168)&lt;=Bidding!$D$11,Raw_hydro_bm!H1168,"")</f>
        <v/>
      </c>
      <c r="H1168" t="str">
        <f>IF(ROW(H1168)&lt;=Bidding!$D$11,Raw_hydro_bm!I1168,"")</f>
        <v/>
      </c>
      <c r="I1168" s="16" t="str">
        <f t="shared" si="18"/>
        <v/>
      </c>
    </row>
    <row r="1169" spans="1:9" x14ac:dyDescent="0.2">
      <c r="A1169" t="str">
        <f>IF(ROW(A1169)&lt;=Bidding!$D$11,Raw_hydro_bm!B1169,"")</f>
        <v/>
      </c>
      <c r="B1169" t="str">
        <f>IF(ROW(B1169)&lt;=Bidding!$D$11,Raw_hydro_bm!C1169,"")</f>
        <v/>
      </c>
      <c r="C1169" t="str">
        <f>IF(ROW(C1169)&lt;=Bidding!$D$11,Raw_hydro_bm!D1169,"")</f>
        <v/>
      </c>
      <c r="D1169" t="str">
        <f>IF(ROW(D1169)&lt;=Bidding!$D$11,Raw_hydro_bm!E1169,"")</f>
        <v/>
      </c>
      <c r="E1169" t="str">
        <f>IF(ROW(E1169)&lt;=Bidding!$D$11,Raw_hydro_bm!F1169,"")</f>
        <v/>
      </c>
      <c r="F1169" t="str">
        <f>IF(ROW(F1169)&lt;=Bidding!$D$11,Raw_hydro_bm!G1169,"")</f>
        <v/>
      </c>
      <c r="G1169" t="str">
        <f>IF(ROW(G1169)&lt;=Bidding!$D$11,Raw_hydro_bm!H1169,"")</f>
        <v/>
      </c>
      <c r="H1169" t="str">
        <f>IF(ROW(H1169)&lt;=Bidding!$D$11,Raw_hydro_bm!I1169,"")</f>
        <v/>
      </c>
      <c r="I1169" s="16" t="str">
        <f t="shared" si="18"/>
        <v/>
      </c>
    </row>
    <row r="1170" spans="1:9" x14ac:dyDescent="0.2">
      <c r="A1170" t="str">
        <f>IF(ROW(A1170)&lt;=Bidding!$D$11,Raw_hydro_bm!B1170,"")</f>
        <v/>
      </c>
      <c r="B1170" t="str">
        <f>IF(ROW(B1170)&lt;=Bidding!$D$11,Raw_hydro_bm!C1170,"")</f>
        <v/>
      </c>
      <c r="C1170" t="str">
        <f>IF(ROW(C1170)&lt;=Bidding!$D$11,Raw_hydro_bm!D1170,"")</f>
        <v/>
      </c>
      <c r="D1170" t="str">
        <f>IF(ROW(D1170)&lt;=Bidding!$D$11,Raw_hydro_bm!E1170,"")</f>
        <v/>
      </c>
      <c r="E1170" t="str">
        <f>IF(ROW(E1170)&lt;=Bidding!$D$11,Raw_hydro_bm!F1170,"")</f>
        <v/>
      </c>
      <c r="F1170" t="str">
        <f>IF(ROW(F1170)&lt;=Bidding!$D$11,Raw_hydro_bm!G1170,"")</f>
        <v/>
      </c>
      <c r="G1170" t="str">
        <f>IF(ROW(G1170)&lt;=Bidding!$D$11,Raw_hydro_bm!H1170,"")</f>
        <v/>
      </c>
      <c r="H1170" t="str">
        <f>IF(ROW(H1170)&lt;=Bidding!$D$11,Raw_hydro_bm!I1170,"")</f>
        <v/>
      </c>
      <c r="I1170" s="16" t="str">
        <f t="shared" si="18"/>
        <v/>
      </c>
    </row>
    <row r="1171" spans="1:9" x14ac:dyDescent="0.2">
      <c r="A1171" t="str">
        <f>IF(ROW(A1171)&lt;=Bidding!$D$11,Raw_hydro_bm!B1171,"")</f>
        <v/>
      </c>
      <c r="B1171" t="str">
        <f>IF(ROW(B1171)&lt;=Bidding!$D$11,Raw_hydro_bm!C1171,"")</f>
        <v/>
      </c>
      <c r="C1171" t="str">
        <f>IF(ROW(C1171)&lt;=Bidding!$D$11,Raw_hydro_bm!D1171,"")</f>
        <v/>
      </c>
      <c r="D1171" t="str">
        <f>IF(ROW(D1171)&lt;=Bidding!$D$11,Raw_hydro_bm!E1171,"")</f>
        <v/>
      </c>
      <c r="E1171" t="str">
        <f>IF(ROW(E1171)&lt;=Bidding!$D$11,Raw_hydro_bm!F1171,"")</f>
        <v/>
      </c>
      <c r="F1171" t="str">
        <f>IF(ROW(F1171)&lt;=Bidding!$D$11,Raw_hydro_bm!G1171,"")</f>
        <v/>
      </c>
      <c r="G1171" t="str">
        <f>IF(ROW(G1171)&lt;=Bidding!$D$11,Raw_hydro_bm!H1171,"")</f>
        <v/>
      </c>
      <c r="H1171" t="str">
        <f>IF(ROW(H1171)&lt;=Bidding!$D$11,Raw_hydro_bm!I1171,"")</f>
        <v/>
      </c>
      <c r="I1171" s="16" t="str">
        <f t="shared" si="18"/>
        <v/>
      </c>
    </row>
    <row r="1172" spans="1:9" x14ac:dyDescent="0.2">
      <c r="A1172" t="str">
        <f>IF(ROW(A1172)&lt;=Bidding!$D$11,Raw_hydro_bm!B1172,"")</f>
        <v/>
      </c>
      <c r="B1172" t="str">
        <f>IF(ROW(B1172)&lt;=Bidding!$D$11,Raw_hydro_bm!C1172,"")</f>
        <v/>
      </c>
      <c r="C1172" t="str">
        <f>IF(ROW(C1172)&lt;=Bidding!$D$11,Raw_hydro_bm!D1172,"")</f>
        <v/>
      </c>
      <c r="D1172" t="str">
        <f>IF(ROW(D1172)&lt;=Bidding!$D$11,Raw_hydro_bm!E1172,"")</f>
        <v/>
      </c>
      <c r="E1172" t="str">
        <f>IF(ROW(E1172)&lt;=Bidding!$D$11,Raw_hydro_bm!F1172,"")</f>
        <v/>
      </c>
      <c r="F1172" t="str">
        <f>IF(ROW(F1172)&lt;=Bidding!$D$11,Raw_hydro_bm!G1172,"")</f>
        <v/>
      </c>
      <c r="G1172" t="str">
        <f>IF(ROW(G1172)&lt;=Bidding!$D$11,Raw_hydro_bm!H1172,"")</f>
        <v/>
      </c>
      <c r="H1172" t="str">
        <f>IF(ROW(H1172)&lt;=Bidding!$D$11,Raw_hydro_bm!I1172,"")</f>
        <v/>
      </c>
      <c r="I1172" s="16" t="str">
        <f t="shared" si="18"/>
        <v/>
      </c>
    </row>
    <row r="1173" spans="1:9" x14ac:dyDescent="0.2">
      <c r="A1173" t="str">
        <f>IF(ROW(A1173)&lt;=Bidding!$D$11,Raw_hydro_bm!B1173,"")</f>
        <v/>
      </c>
      <c r="B1173" t="str">
        <f>IF(ROW(B1173)&lt;=Bidding!$D$11,Raw_hydro_bm!C1173,"")</f>
        <v/>
      </c>
      <c r="C1173" t="str">
        <f>IF(ROW(C1173)&lt;=Bidding!$D$11,Raw_hydro_bm!D1173,"")</f>
        <v/>
      </c>
      <c r="D1173" t="str">
        <f>IF(ROW(D1173)&lt;=Bidding!$D$11,Raw_hydro_bm!E1173,"")</f>
        <v/>
      </c>
      <c r="E1173" t="str">
        <f>IF(ROW(E1173)&lt;=Bidding!$D$11,Raw_hydro_bm!F1173,"")</f>
        <v/>
      </c>
      <c r="F1173" t="str">
        <f>IF(ROW(F1173)&lt;=Bidding!$D$11,Raw_hydro_bm!G1173,"")</f>
        <v/>
      </c>
      <c r="G1173" t="str">
        <f>IF(ROW(G1173)&lt;=Bidding!$D$11,Raw_hydro_bm!H1173,"")</f>
        <v/>
      </c>
      <c r="H1173" t="str">
        <f>IF(ROW(H1173)&lt;=Bidding!$D$11,Raw_hydro_bm!I1173,"")</f>
        <v/>
      </c>
      <c r="I1173" s="16" t="str">
        <f t="shared" si="18"/>
        <v/>
      </c>
    </row>
    <row r="1174" spans="1:9" x14ac:dyDescent="0.2">
      <c r="A1174" t="str">
        <f>IF(ROW(A1174)&lt;=Bidding!$D$11,Raw_hydro_bm!B1174,"")</f>
        <v/>
      </c>
      <c r="B1174" t="str">
        <f>IF(ROW(B1174)&lt;=Bidding!$D$11,Raw_hydro_bm!C1174,"")</f>
        <v/>
      </c>
      <c r="C1174" t="str">
        <f>IF(ROW(C1174)&lt;=Bidding!$D$11,Raw_hydro_bm!D1174,"")</f>
        <v/>
      </c>
      <c r="D1174" t="str">
        <f>IF(ROW(D1174)&lt;=Bidding!$D$11,Raw_hydro_bm!E1174,"")</f>
        <v/>
      </c>
      <c r="E1174" t="str">
        <f>IF(ROW(E1174)&lt;=Bidding!$D$11,Raw_hydro_bm!F1174,"")</f>
        <v/>
      </c>
      <c r="F1174" t="str">
        <f>IF(ROW(F1174)&lt;=Bidding!$D$11,Raw_hydro_bm!G1174,"")</f>
        <v/>
      </c>
      <c r="G1174" t="str">
        <f>IF(ROW(G1174)&lt;=Bidding!$D$11,Raw_hydro_bm!H1174,"")</f>
        <v/>
      </c>
      <c r="H1174" t="str">
        <f>IF(ROW(H1174)&lt;=Bidding!$D$11,Raw_hydro_bm!I1174,"")</f>
        <v/>
      </c>
      <c r="I1174" s="16" t="str">
        <f t="shared" si="18"/>
        <v/>
      </c>
    </row>
    <row r="1175" spans="1:9" x14ac:dyDescent="0.2">
      <c r="A1175" t="str">
        <f>IF(ROW(A1175)&lt;=Bidding!$D$11,Raw_hydro_bm!B1175,"")</f>
        <v/>
      </c>
      <c r="B1175" t="str">
        <f>IF(ROW(B1175)&lt;=Bidding!$D$11,Raw_hydro_bm!C1175,"")</f>
        <v/>
      </c>
      <c r="C1175" t="str">
        <f>IF(ROW(C1175)&lt;=Bidding!$D$11,Raw_hydro_bm!D1175,"")</f>
        <v/>
      </c>
      <c r="D1175" t="str">
        <f>IF(ROW(D1175)&lt;=Bidding!$D$11,Raw_hydro_bm!E1175,"")</f>
        <v/>
      </c>
      <c r="E1175" t="str">
        <f>IF(ROW(E1175)&lt;=Bidding!$D$11,Raw_hydro_bm!F1175,"")</f>
        <v/>
      </c>
      <c r="F1175" t="str">
        <f>IF(ROW(F1175)&lt;=Bidding!$D$11,Raw_hydro_bm!G1175,"")</f>
        <v/>
      </c>
      <c r="G1175" t="str">
        <f>IF(ROW(G1175)&lt;=Bidding!$D$11,Raw_hydro_bm!H1175,"")</f>
        <v/>
      </c>
      <c r="H1175" t="str">
        <f>IF(ROW(H1175)&lt;=Bidding!$D$11,Raw_hydro_bm!I1175,"")</f>
        <v/>
      </c>
      <c r="I1175" s="16" t="str">
        <f t="shared" si="18"/>
        <v/>
      </c>
    </row>
    <row r="1176" spans="1:9" x14ac:dyDescent="0.2">
      <c r="A1176" t="str">
        <f>IF(ROW(A1176)&lt;=Bidding!$D$11,Raw_hydro_bm!B1176,"")</f>
        <v/>
      </c>
      <c r="B1176" t="str">
        <f>IF(ROW(B1176)&lt;=Bidding!$D$11,Raw_hydro_bm!C1176,"")</f>
        <v/>
      </c>
      <c r="C1176" t="str">
        <f>IF(ROW(C1176)&lt;=Bidding!$D$11,Raw_hydro_bm!D1176,"")</f>
        <v/>
      </c>
      <c r="D1176" t="str">
        <f>IF(ROW(D1176)&lt;=Bidding!$D$11,Raw_hydro_bm!E1176,"")</f>
        <v/>
      </c>
      <c r="E1176" t="str">
        <f>IF(ROW(E1176)&lt;=Bidding!$D$11,Raw_hydro_bm!F1176,"")</f>
        <v/>
      </c>
      <c r="F1176" t="str">
        <f>IF(ROW(F1176)&lt;=Bidding!$D$11,Raw_hydro_bm!G1176,"")</f>
        <v/>
      </c>
      <c r="G1176" t="str">
        <f>IF(ROW(G1176)&lt;=Bidding!$D$11,Raw_hydro_bm!H1176,"")</f>
        <v/>
      </c>
      <c r="H1176" t="str">
        <f>IF(ROW(H1176)&lt;=Bidding!$D$11,Raw_hydro_bm!I1176,"")</f>
        <v/>
      </c>
      <c r="I1176" s="16" t="str">
        <f t="shared" si="18"/>
        <v/>
      </c>
    </row>
    <row r="1177" spans="1:9" x14ac:dyDescent="0.2">
      <c r="A1177" t="str">
        <f>IF(ROW(A1177)&lt;=Bidding!$D$11,Raw_hydro_bm!B1177,"")</f>
        <v/>
      </c>
      <c r="B1177" t="str">
        <f>IF(ROW(B1177)&lt;=Bidding!$D$11,Raw_hydro_bm!C1177,"")</f>
        <v/>
      </c>
      <c r="C1177" t="str">
        <f>IF(ROW(C1177)&lt;=Bidding!$D$11,Raw_hydro_bm!D1177,"")</f>
        <v/>
      </c>
      <c r="D1177" t="str">
        <f>IF(ROW(D1177)&lt;=Bidding!$D$11,Raw_hydro_bm!E1177,"")</f>
        <v/>
      </c>
      <c r="E1177" t="str">
        <f>IF(ROW(E1177)&lt;=Bidding!$D$11,Raw_hydro_bm!F1177,"")</f>
        <v/>
      </c>
      <c r="F1177" t="str">
        <f>IF(ROW(F1177)&lt;=Bidding!$D$11,Raw_hydro_bm!G1177,"")</f>
        <v/>
      </c>
      <c r="G1177" t="str">
        <f>IF(ROW(G1177)&lt;=Bidding!$D$11,Raw_hydro_bm!H1177,"")</f>
        <v/>
      </c>
      <c r="H1177" t="str">
        <f>IF(ROW(H1177)&lt;=Bidding!$D$11,Raw_hydro_bm!I1177,"")</f>
        <v/>
      </c>
      <c r="I1177" s="16" t="str">
        <f t="shared" si="18"/>
        <v/>
      </c>
    </row>
    <row r="1178" spans="1:9" x14ac:dyDescent="0.2">
      <c r="A1178" t="str">
        <f>IF(ROW(A1178)&lt;=Bidding!$D$11,Raw_hydro_bm!B1178,"")</f>
        <v/>
      </c>
      <c r="B1178" t="str">
        <f>IF(ROW(B1178)&lt;=Bidding!$D$11,Raw_hydro_bm!C1178,"")</f>
        <v/>
      </c>
      <c r="C1178" t="str">
        <f>IF(ROW(C1178)&lt;=Bidding!$D$11,Raw_hydro_bm!D1178,"")</f>
        <v/>
      </c>
      <c r="D1178" t="str">
        <f>IF(ROW(D1178)&lt;=Bidding!$D$11,Raw_hydro_bm!E1178,"")</f>
        <v/>
      </c>
      <c r="E1178" t="str">
        <f>IF(ROW(E1178)&lt;=Bidding!$D$11,Raw_hydro_bm!F1178,"")</f>
        <v/>
      </c>
      <c r="F1178" t="str">
        <f>IF(ROW(F1178)&lt;=Bidding!$D$11,Raw_hydro_bm!G1178,"")</f>
        <v/>
      </c>
      <c r="G1178" t="str">
        <f>IF(ROW(G1178)&lt;=Bidding!$D$11,Raw_hydro_bm!H1178,"")</f>
        <v/>
      </c>
      <c r="H1178" t="str">
        <f>IF(ROW(H1178)&lt;=Bidding!$D$11,Raw_hydro_bm!I1178,"")</f>
        <v/>
      </c>
      <c r="I1178" s="16" t="str">
        <f t="shared" si="18"/>
        <v/>
      </c>
    </row>
    <row r="1179" spans="1:9" x14ac:dyDescent="0.2">
      <c r="A1179" t="str">
        <f>IF(ROW(A1179)&lt;=Bidding!$D$11,Raw_hydro_bm!B1179,"")</f>
        <v/>
      </c>
      <c r="B1179" t="str">
        <f>IF(ROW(B1179)&lt;=Bidding!$D$11,Raw_hydro_bm!C1179,"")</f>
        <v/>
      </c>
      <c r="C1179" t="str">
        <f>IF(ROW(C1179)&lt;=Bidding!$D$11,Raw_hydro_bm!D1179,"")</f>
        <v/>
      </c>
      <c r="D1179" t="str">
        <f>IF(ROW(D1179)&lt;=Bidding!$D$11,Raw_hydro_bm!E1179,"")</f>
        <v/>
      </c>
      <c r="E1179" t="str">
        <f>IF(ROW(E1179)&lt;=Bidding!$D$11,Raw_hydro_bm!F1179,"")</f>
        <v/>
      </c>
      <c r="F1179" t="str">
        <f>IF(ROW(F1179)&lt;=Bidding!$D$11,Raw_hydro_bm!G1179,"")</f>
        <v/>
      </c>
      <c r="G1179" t="str">
        <f>IF(ROW(G1179)&lt;=Bidding!$D$11,Raw_hydro_bm!H1179,"")</f>
        <v/>
      </c>
      <c r="H1179" t="str">
        <f>IF(ROW(H1179)&lt;=Bidding!$D$11,Raw_hydro_bm!I1179,"")</f>
        <v/>
      </c>
      <c r="I1179" s="16" t="str">
        <f t="shared" si="18"/>
        <v/>
      </c>
    </row>
    <row r="1180" spans="1:9" x14ac:dyDescent="0.2">
      <c r="A1180" t="str">
        <f>IF(ROW(A1180)&lt;=Bidding!$D$11,Raw_hydro_bm!B1180,"")</f>
        <v/>
      </c>
      <c r="B1180" t="str">
        <f>IF(ROW(B1180)&lt;=Bidding!$D$11,Raw_hydro_bm!C1180,"")</f>
        <v/>
      </c>
      <c r="C1180" t="str">
        <f>IF(ROW(C1180)&lt;=Bidding!$D$11,Raw_hydro_bm!D1180,"")</f>
        <v/>
      </c>
      <c r="D1180" t="str">
        <f>IF(ROW(D1180)&lt;=Bidding!$D$11,Raw_hydro_bm!E1180,"")</f>
        <v/>
      </c>
      <c r="E1180" t="str">
        <f>IF(ROW(E1180)&lt;=Bidding!$D$11,Raw_hydro_bm!F1180,"")</f>
        <v/>
      </c>
      <c r="F1180" t="str">
        <f>IF(ROW(F1180)&lt;=Bidding!$D$11,Raw_hydro_bm!G1180,"")</f>
        <v/>
      </c>
      <c r="G1180" t="str">
        <f>IF(ROW(G1180)&lt;=Bidding!$D$11,Raw_hydro_bm!H1180,"")</f>
        <v/>
      </c>
      <c r="H1180" t="str">
        <f>IF(ROW(H1180)&lt;=Bidding!$D$11,Raw_hydro_bm!I1180,"")</f>
        <v/>
      </c>
      <c r="I1180" s="16" t="str">
        <f t="shared" si="18"/>
        <v/>
      </c>
    </row>
    <row r="1181" spans="1:9" x14ac:dyDescent="0.2">
      <c r="A1181" t="str">
        <f>IF(ROW(A1181)&lt;=Bidding!$D$11,Raw_hydro_bm!B1181,"")</f>
        <v/>
      </c>
      <c r="B1181" t="str">
        <f>IF(ROW(B1181)&lt;=Bidding!$D$11,Raw_hydro_bm!C1181,"")</f>
        <v/>
      </c>
      <c r="C1181" t="str">
        <f>IF(ROW(C1181)&lt;=Bidding!$D$11,Raw_hydro_bm!D1181,"")</f>
        <v/>
      </c>
      <c r="D1181" t="str">
        <f>IF(ROW(D1181)&lt;=Bidding!$D$11,Raw_hydro_bm!E1181,"")</f>
        <v/>
      </c>
      <c r="E1181" t="str">
        <f>IF(ROW(E1181)&lt;=Bidding!$D$11,Raw_hydro_bm!F1181,"")</f>
        <v/>
      </c>
      <c r="F1181" t="str">
        <f>IF(ROW(F1181)&lt;=Bidding!$D$11,Raw_hydro_bm!G1181,"")</f>
        <v/>
      </c>
      <c r="G1181" t="str">
        <f>IF(ROW(G1181)&lt;=Bidding!$D$11,Raw_hydro_bm!H1181,"")</f>
        <v/>
      </c>
      <c r="H1181" t="str">
        <f>IF(ROW(H1181)&lt;=Bidding!$D$11,Raw_hydro_bm!I1181,"")</f>
        <v/>
      </c>
      <c r="I1181" s="16" t="str">
        <f t="shared" si="18"/>
        <v/>
      </c>
    </row>
    <row r="1182" spans="1:9" x14ac:dyDescent="0.2">
      <c r="A1182" t="str">
        <f>IF(ROW(A1182)&lt;=Bidding!$D$11,Raw_hydro_bm!B1182,"")</f>
        <v/>
      </c>
      <c r="B1182" t="str">
        <f>IF(ROW(B1182)&lt;=Bidding!$D$11,Raw_hydro_bm!C1182,"")</f>
        <v/>
      </c>
      <c r="C1182" t="str">
        <f>IF(ROW(C1182)&lt;=Bidding!$D$11,Raw_hydro_bm!D1182,"")</f>
        <v/>
      </c>
      <c r="D1182" t="str">
        <f>IF(ROW(D1182)&lt;=Bidding!$D$11,Raw_hydro_bm!E1182,"")</f>
        <v/>
      </c>
      <c r="E1182" t="str">
        <f>IF(ROW(E1182)&lt;=Bidding!$D$11,Raw_hydro_bm!F1182,"")</f>
        <v/>
      </c>
      <c r="F1182" t="str">
        <f>IF(ROW(F1182)&lt;=Bidding!$D$11,Raw_hydro_bm!G1182,"")</f>
        <v/>
      </c>
      <c r="G1182" t="str">
        <f>IF(ROW(G1182)&lt;=Bidding!$D$11,Raw_hydro_bm!H1182,"")</f>
        <v/>
      </c>
      <c r="H1182" t="str">
        <f>IF(ROW(H1182)&lt;=Bidding!$D$11,Raw_hydro_bm!I1182,"")</f>
        <v/>
      </c>
      <c r="I1182" s="16" t="str">
        <f t="shared" si="18"/>
        <v/>
      </c>
    </row>
    <row r="1183" spans="1:9" x14ac:dyDescent="0.2">
      <c r="A1183" t="str">
        <f>IF(ROW(A1183)&lt;=Bidding!$D$11,Raw_hydro_bm!B1183,"")</f>
        <v/>
      </c>
      <c r="B1183" t="str">
        <f>IF(ROW(B1183)&lt;=Bidding!$D$11,Raw_hydro_bm!C1183,"")</f>
        <v/>
      </c>
      <c r="C1183" t="str">
        <f>IF(ROW(C1183)&lt;=Bidding!$D$11,Raw_hydro_bm!D1183,"")</f>
        <v/>
      </c>
      <c r="D1183" t="str">
        <f>IF(ROW(D1183)&lt;=Bidding!$D$11,Raw_hydro_bm!E1183,"")</f>
        <v/>
      </c>
      <c r="E1183" t="str">
        <f>IF(ROW(E1183)&lt;=Bidding!$D$11,Raw_hydro_bm!F1183,"")</f>
        <v/>
      </c>
      <c r="F1183" t="str">
        <f>IF(ROW(F1183)&lt;=Bidding!$D$11,Raw_hydro_bm!G1183,"")</f>
        <v/>
      </c>
      <c r="G1183" t="str">
        <f>IF(ROW(G1183)&lt;=Bidding!$D$11,Raw_hydro_bm!H1183,"")</f>
        <v/>
      </c>
      <c r="H1183" t="str">
        <f>IF(ROW(H1183)&lt;=Bidding!$D$11,Raw_hydro_bm!I1183,"")</f>
        <v/>
      </c>
      <c r="I1183" s="16" t="str">
        <f t="shared" si="18"/>
        <v/>
      </c>
    </row>
    <row r="1184" spans="1:9" x14ac:dyDescent="0.2">
      <c r="A1184" t="str">
        <f>IF(ROW(A1184)&lt;=Bidding!$D$11,Raw_hydro_bm!B1184,"")</f>
        <v/>
      </c>
      <c r="B1184" t="str">
        <f>IF(ROW(B1184)&lt;=Bidding!$D$11,Raw_hydro_bm!C1184,"")</f>
        <v/>
      </c>
      <c r="C1184" t="str">
        <f>IF(ROW(C1184)&lt;=Bidding!$D$11,Raw_hydro_bm!D1184,"")</f>
        <v/>
      </c>
      <c r="D1184" t="str">
        <f>IF(ROW(D1184)&lt;=Bidding!$D$11,Raw_hydro_bm!E1184,"")</f>
        <v/>
      </c>
      <c r="E1184" t="str">
        <f>IF(ROW(E1184)&lt;=Bidding!$D$11,Raw_hydro_bm!F1184,"")</f>
        <v/>
      </c>
      <c r="F1184" t="str">
        <f>IF(ROW(F1184)&lt;=Bidding!$D$11,Raw_hydro_bm!G1184,"")</f>
        <v/>
      </c>
      <c r="G1184" t="str">
        <f>IF(ROW(G1184)&lt;=Bidding!$D$11,Raw_hydro_bm!H1184,"")</f>
        <v/>
      </c>
      <c r="H1184" t="str">
        <f>IF(ROW(H1184)&lt;=Bidding!$D$11,Raw_hydro_bm!I1184,"")</f>
        <v/>
      </c>
      <c r="I1184" s="16" t="str">
        <f t="shared" si="18"/>
        <v/>
      </c>
    </row>
    <row r="1185" spans="1:9" x14ac:dyDescent="0.2">
      <c r="A1185" t="str">
        <f>IF(ROW(A1185)&lt;=Bidding!$D$11,Raw_hydro_bm!B1185,"")</f>
        <v/>
      </c>
      <c r="B1185" t="str">
        <f>IF(ROW(B1185)&lt;=Bidding!$D$11,Raw_hydro_bm!C1185,"")</f>
        <v/>
      </c>
      <c r="C1185" t="str">
        <f>IF(ROW(C1185)&lt;=Bidding!$D$11,Raw_hydro_bm!D1185,"")</f>
        <v/>
      </c>
      <c r="D1185" t="str">
        <f>IF(ROW(D1185)&lt;=Bidding!$D$11,Raw_hydro_bm!E1185,"")</f>
        <v/>
      </c>
      <c r="E1185" t="str">
        <f>IF(ROW(E1185)&lt;=Bidding!$D$11,Raw_hydro_bm!F1185,"")</f>
        <v/>
      </c>
      <c r="F1185" t="str">
        <f>IF(ROW(F1185)&lt;=Bidding!$D$11,Raw_hydro_bm!G1185,"")</f>
        <v/>
      </c>
      <c r="G1185" t="str">
        <f>IF(ROW(G1185)&lt;=Bidding!$D$11,Raw_hydro_bm!H1185,"")</f>
        <v/>
      </c>
      <c r="H1185" t="str">
        <f>IF(ROW(H1185)&lt;=Bidding!$D$11,Raw_hydro_bm!I1185,"")</f>
        <v/>
      </c>
      <c r="I1185" s="16" t="str">
        <f t="shared" si="18"/>
        <v/>
      </c>
    </row>
    <row r="1186" spans="1:9" x14ac:dyDescent="0.2">
      <c r="A1186" t="str">
        <f>IF(ROW(A1186)&lt;=Bidding!$D$11,Raw_hydro_bm!B1186,"")</f>
        <v/>
      </c>
      <c r="B1186" t="str">
        <f>IF(ROW(B1186)&lt;=Bidding!$D$11,Raw_hydro_bm!C1186,"")</f>
        <v/>
      </c>
      <c r="C1186" t="str">
        <f>IF(ROW(C1186)&lt;=Bidding!$D$11,Raw_hydro_bm!D1186,"")</f>
        <v/>
      </c>
      <c r="D1186" t="str">
        <f>IF(ROW(D1186)&lt;=Bidding!$D$11,Raw_hydro_bm!E1186,"")</f>
        <v/>
      </c>
      <c r="E1186" t="str">
        <f>IF(ROW(E1186)&lt;=Bidding!$D$11,Raw_hydro_bm!F1186,"")</f>
        <v/>
      </c>
      <c r="F1186" t="str">
        <f>IF(ROW(F1186)&lt;=Bidding!$D$11,Raw_hydro_bm!G1186,"")</f>
        <v/>
      </c>
      <c r="G1186" t="str">
        <f>IF(ROW(G1186)&lt;=Bidding!$D$11,Raw_hydro_bm!H1186,"")</f>
        <v/>
      </c>
      <c r="H1186" t="str">
        <f>IF(ROW(H1186)&lt;=Bidding!$D$11,Raw_hydro_bm!I1186,"")</f>
        <v/>
      </c>
      <c r="I1186" s="16" t="str">
        <f t="shared" si="18"/>
        <v/>
      </c>
    </row>
    <row r="1187" spans="1:9" x14ac:dyDescent="0.2">
      <c r="A1187" t="str">
        <f>IF(ROW(A1187)&lt;=Bidding!$D$11,Raw_hydro_bm!B1187,"")</f>
        <v/>
      </c>
      <c r="B1187" t="str">
        <f>IF(ROW(B1187)&lt;=Bidding!$D$11,Raw_hydro_bm!C1187,"")</f>
        <v/>
      </c>
      <c r="C1187" t="str">
        <f>IF(ROW(C1187)&lt;=Bidding!$D$11,Raw_hydro_bm!D1187,"")</f>
        <v/>
      </c>
      <c r="D1187" t="str">
        <f>IF(ROW(D1187)&lt;=Bidding!$D$11,Raw_hydro_bm!E1187,"")</f>
        <v/>
      </c>
      <c r="E1187" t="str">
        <f>IF(ROW(E1187)&lt;=Bidding!$D$11,Raw_hydro_bm!F1187,"")</f>
        <v/>
      </c>
      <c r="F1187" t="str">
        <f>IF(ROW(F1187)&lt;=Bidding!$D$11,Raw_hydro_bm!G1187,"")</f>
        <v/>
      </c>
      <c r="G1187" t="str">
        <f>IF(ROW(G1187)&lt;=Bidding!$D$11,Raw_hydro_bm!H1187,"")</f>
        <v/>
      </c>
      <c r="H1187" t="str">
        <f>IF(ROW(H1187)&lt;=Bidding!$D$11,Raw_hydro_bm!I1187,"")</f>
        <v/>
      </c>
      <c r="I1187" s="16" t="str">
        <f t="shared" si="18"/>
        <v/>
      </c>
    </row>
    <row r="1188" spans="1:9" x14ac:dyDescent="0.2">
      <c r="A1188" t="str">
        <f>IF(ROW(A1188)&lt;=Bidding!$D$11,Raw_hydro_bm!B1188,"")</f>
        <v/>
      </c>
      <c r="B1188" t="str">
        <f>IF(ROW(B1188)&lt;=Bidding!$D$11,Raw_hydro_bm!C1188,"")</f>
        <v/>
      </c>
      <c r="C1188" t="str">
        <f>IF(ROW(C1188)&lt;=Bidding!$D$11,Raw_hydro_bm!D1188,"")</f>
        <v/>
      </c>
      <c r="D1188" t="str">
        <f>IF(ROW(D1188)&lt;=Bidding!$D$11,Raw_hydro_bm!E1188,"")</f>
        <v/>
      </c>
      <c r="E1188" t="str">
        <f>IF(ROW(E1188)&lt;=Bidding!$D$11,Raw_hydro_bm!F1188,"")</f>
        <v/>
      </c>
      <c r="F1188" t="str">
        <f>IF(ROW(F1188)&lt;=Bidding!$D$11,Raw_hydro_bm!G1188,"")</f>
        <v/>
      </c>
      <c r="G1188" t="str">
        <f>IF(ROW(G1188)&lt;=Bidding!$D$11,Raw_hydro_bm!H1188,"")</f>
        <v/>
      </c>
      <c r="H1188" t="str">
        <f>IF(ROW(H1188)&lt;=Bidding!$D$11,Raw_hydro_bm!I1188,"")</f>
        <v/>
      </c>
      <c r="I1188" s="16" t="str">
        <f t="shared" si="18"/>
        <v/>
      </c>
    </row>
    <row r="1189" spans="1:9" x14ac:dyDescent="0.2">
      <c r="A1189" t="str">
        <f>IF(ROW(A1189)&lt;=Bidding!$D$11,Raw_hydro_bm!B1189,"")</f>
        <v/>
      </c>
      <c r="B1189" t="str">
        <f>IF(ROW(B1189)&lt;=Bidding!$D$11,Raw_hydro_bm!C1189,"")</f>
        <v/>
      </c>
      <c r="C1189" t="str">
        <f>IF(ROW(C1189)&lt;=Bidding!$D$11,Raw_hydro_bm!D1189,"")</f>
        <v/>
      </c>
      <c r="D1189" t="str">
        <f>IF(ROW(D1189)&lt;=Bidding!$D$11,Raw_hydro_bm!E1189,"")</f>
        <v/>
      </c>
      <c r="E1189" t="str">
        <f>IF(ROW(E1189)&lt;=Bidding!$D$11,Raw_hydro_bm!F1189,"")</f>
        <v/>
      </c>
      <c r="F1189" t="str">
        <f>IF(ROW(F1189)&lt;=Bidding!$D$11,Raw_hydro_bm!G1189,"")</f>
        <v/>
      </c>
      <c r="G1189" t="str">
        <f>IF(ROW(G1189)&lt;=Bidding!$D$11,Raw_hydro_bm!H1189,"")</f>
        <v/>
      </c>
      <c r="H1189" t="str">
        <f>IF(ROW(H1189)&lt;=Bidding!$D$11,Raw_hydro_bm!I1189,"")</f>
        <v/>
      </c>
      <c r="I1189" s="16" t="str">
        <f t="shared" si="18"/>
        <v/>
      </c>
    </row>
    <row r="1190" spans="1:9" x14ac:dyDescent="0.2">
      <c r="A1190" t="str">
        <f>IF(ROW(A1190)&lt;=Bidding!$D$11,Raw_hydro_bm!B1190,"")</f>
        <v/>
      </c>
      <c r="B1190" t="str">
        <f>IF(ROW(B1190)&lt;=Bidding!$D$11,Raw_hydro_bm!C1190,"")</f>
        <v/>
      </c>
      <c r="C1190" t="str">
        <f>IF(ROW(C1190)&lt;=Bidding!$D$11,Raw_hydro_bm!D1190,"")</f>
        <v/>
      </c>
      <c r="D1190" t="str">
        <f>IF(ROW(D1190)&lt;=Bidding!$D$11,Raw_hydro_bm!E1190,"")</f>
        <v/>
      </c>
      <c r="E1190" t="str">
        <f>IF(ROW(E1190)&lt;=Bidding!$D$11,Raw_hydro_bm!F1190,"")</f>
        <v/>
      </c>
      <c r="F1190" t="str">
        <f>IF(ROW(F1190)&lt;=Bidding!$D$11,Raw_hydro_bm!G1190,"")</f>
        <v/>
      </c>
      <c r="G1190" t="str">
        <f>IF(ROW(G1190)&lt;=Bidding!$D$11,Raw_hydro_bm!H1190,"")</f>
        <v/>
      </c>
      <c r="H1190" t="str">
        <f>IF(ROW(H1190)&lt;=Bidding!$D$11,Raw_hydro_bm!I1190,"")</f>
        <v/>
      </c>
      <c r="I1190" s="16" t="str">
        <f t="shared" si="18"/>
        <v/>
      </c>
    </row>
    <row r="1191" spans="1:9" x14ac:dyDescent="0.2">
      <c r="A1191" t="str">
        <f>IF(ROW(A1191)&lt;=Bidding!$D$11,Raw_hydro_bm!B1191,"")</f>
        <v/>
      </c>
      <c r="B1191" t="str">
        <f>IF(ROW(B1191)&lt;=Bidding!$D$11,Raw_hydro_bm!C1191,"")</f>
        <v/>
      </c>
      <c r="C1191" t="str">
        <f>IF(ROW(C1191)&lt;=Bidding!$D$11,Raw_hydro_bm!D1191,"")</f>
        <v/>
      </c>
      <c r="D1191" t="str">
        <f>IF(ROW(D1191)&lt;=Bidding!$D$11,Raw_hydro_bm!E1191,"")</f>
        <v/>
      </c>
      <c r="E1191" t="str">
        <f>IF(ROW(E1191)&lt;=Bidding!$D$11,Raw_hydro_bm!F1191,"")</f>
        <v/>
      </c>
      <c r="F1191" t="str">
        <f>IF(ROW(F1191)&lt;=Bidding!$D$11,Raw_hydro_bm!G1191,"")</f>
        <v/>
      </c>
      <c r="G1191" t="str">
        <f>IF(ROW(G1191)&lt;=Bidding!$D$11,Raw_hydro_bm!H1191,"")</f>
        <v/>
      </c>
      <c r="H1191" t="str">
        <f>IF(ROW(H1191)&lt;=Bidding!$D$11,Raw_hydro_bm!I1191,"")</f>
        <v/>
      </c>
      <c r="I1191" s="16" t="str">
        <f t="shared" si="18"/>
        <v/>
      </c>
    </row>
    <row r="1192" spans="1:9" x14ac:dyDescent="0.2">
      <c r="A1192" t="str">
        <f>IF(ROW(A1192)&lt;=Bidding!$D$11,Raw_hydro_bm!B1192,"")</f>
        <v/>
      </c>
      <c r="B1192" t="str">
        <f>IF(ROW(B1192)&lt;=Bidding!$D$11,Raw_hydro_bm!C1192,"")</f>
        <v/>
      </c>
      <c r="C1192" t="str">
        <f>IF(ROW(C1192)&lt;=Bidding!$D$11,Raw_hydro_bm!D1192,"")</f>
        <v/>
      </c>
      <c r="D1192" t="str">
        <f>IF(ROW(D1192)&lt;=Bidding!$D$11,Raw_hydro_bm!E1192,"")</f>
        <v/>
      </c>
      <c r="E1192" t="str">
        <f>IF(ROW(E1192)&lt;=Bidding!$D$11,Raw_hydro_bm!F1192,"")</f>
        <v/>
      </c>
      <c r="F1192" t="str">
        <f>IF(ROW(F1192)&lt;=Bidding!$D$11,Raw_hydro_bm!G1192,"")</f>
        <v/>
      </c>
      <c r="G1192" t="str">
        <f>IF(ROW(G1192)&lt;=Bidding!$D$11,Raw_hydro_bm!H1192,"")</f>
        <v/>
      </c>
      <c r="H1192" t="str">
        <f>IF(ROW(H1192)&lt;=Bidding!$D$11,Raw_hydro_bm!I1192,"")</f>
        <v/>
      </c>
      <c r="I1192" s="16" t="str">
        <f t="shared" si="18"/>
        <v/>
      </c>
    </row>
    <row r="1193" spans="1:9" x14ac:dyDescent="0.2">
      <c r="A1193" t="str">
        <f>IF(ROW(A1193)&lt;=Bidding!$D$11,Raw_hydro_bm!B1193,"")</f>
        <v/>
      </c>
      <c r="B1193" t="str">
        <f>IF(ROW(B1193)&lt;=Bidding!$D$11,Raw_hydro_bm!C1193,"")</f>
        <v/>
      </c>
      <c r="C1193" t="str">
        <f>IF(ROW(C1193)&lt;=Bidding!$D$11,Raw_hydro_bm!D1193,"")</f>
        <v/>
      </c>
      <c r="D1193" t="str">
        <f>IF(ROW(D1193)&lt;=Bidding!$D$11,Raw_hydro_bm!E1193,"")</f>
        <v/>
      </c>
      <c r="E1193" t="str">
        <f>IF(ROW(E1193)&lt;=Bidding!$D$11,Raw_hydro_bm!F1193,"")</f>
        <v/>
      </c>
      <c r="F1193" t="str">
        <f>IF(ROW(F1193)&lt;=Bidding!$D$11,Raw_hydro_bm!G1193,"")</f>
        <v/>
      </c>
      <c r="G1193" t="str">
        <f>IF(ROW(G1193)&lt;=Bidding!$D$11,Raw_hydro_bm!H1193,"")</f>
        <v/>
      </c>
      <c r="H1193" t="str">
        <f>IF(ROW(H1193)&lt;=Bidding!$D$11,Raw_hydro_bm!I1193,"")</f>
        <v/>
      </c>
      <c r="I1193" s="16" t="str">
        <f t="shared" si="18"/>
        <v/>
      </c>
    </row>
    <row r="1194" spans="1:9" x14ac:dyDescent="0.2">
      <c r="A1194" t="str">
        <f>IF(ROW(A1194)&lt;=Bidding!$D$11,Raw_hydro_bm!B1194,"")</f>
        <v/>
      </c>
      <c r="B1194" t="str">
        <f>IF(ROW(B1194)&lt;=Bidding!$D$11,Raw_hydro_bm!C1194,"")</f>
        <v/>
      </c>
      <c r="C1194" t="str">
        <f>IF(ROW(C1194)&lt;=Bidding!$D$11,Raw_hydro_bm!D1194,"")</f>
        <v/>
      </c>
      <c r="D1194" t="str">
        <f>IF(ROW(D1194)&lt;=Bidding!$D$11,Raw_hydro_bm!E1194,"")</f>
        <v/>
      </c>
      <c r="E1194" t="str">
        <f>IF(ROW(E1194)&lt;=Bidding!$D$11,Raw_hydro_bm!F1194,"")</f>
        <v/>
      </c>
      <c r="F1194" t="str">
        <f>IF(ROW(F1194)&lt;=Bidding!$D$11,Raw_hydro_bm!G1194,"")</f>
        <v/>
      </c>
      <c r="G1194" t="str">
        <f>IF(ROW(G1194)&lt;=Bidding!$D$11,Raw_hydro_bm!H1194,"")</f>
        <v/>
      </c>
      <c r="H1194" t="str">
        <f>IF(ROW(H1194)&lt;=Bidding!$D$11,Raw_hydro_bm!I1194,"")</f>
        <v/>
      </c>
      <c r="I1194" s="16" t="str">
        <f t="shared" si="18"/>
        <v/>
      </c>
    </row>
    <row r="1195" spans="1:9" x14ac:dyDescent="0.2">
      <c r="A1195" t="str">
        <f>IF(ROW(A1195)&lt;=Bidding!$D$11,Raw_hydro_bm!B1195,"")</f>
        <v/>
      </c>
      <c r="B1195" t="str">
        <f>IF(ROW(B1195)&lt;=Bidding!$D$11,Raw_hydro_bm!C1195,"")</f>
        <v/>
      </c>
      <c r="C1195" t="str">
        <f>IF(ROW(C1195)&lt;=Bidding!$D$11,Raw_hydro_bm!D1195,"")</f>
        <v/>
      </c>
      <c r="D1195" t="str">
        <f>IF(ROW(D1195)&lt;=Bidding!$D$11,Raw_hydro_bm!E1195,"")</f>
        <v/>
      </c>
      <c r="E1195" t="str">
        <f>IF(ROW(E1195)&lt;=Bidding!$D$11,Raw_hydro_bm!F1195,"")</f>
        <v/>
      </c>
      <c r="F1195" t="str">
        <f>IF(ROW(F1195)&lt;=Bidding!$D$11,Raw_hydro_bm!G1195,"")</f>
        <v/>
      </c>
      <c r="G1195" t="str">
        <f>IF(ROW(G1195)&lt;=Bidding!$D$11,Raw_hydro_bm!H1195,"")</f>
        <v/>
      </c>
      <c r="H1195" t="str">
        <f>IF(ROW(H1195)&lt;=Bidding!$D$11,Raw_hydro_bm!I1195,"")</f>
        <v/>
      </c>
      <c r="I1195" s="16" t="str">
        <f t="shared" si="18"/>
        <v/>
      </c>
    </row>
    <row r="1196" spans="1:9" x14ac:dyDescent="0.2">
      <c r="A1196" t="str">
        <f>IF(ROW(A1196)&lt;=Bidding!$D$11,Raw_hydro_bm!B1196,"")</f>
        <v/>
      </c>
      <c r="B1196" t="str">
        <f>IF(ROW(B1196)&lt;=Bidding!$D$11,Raw_hydro_bm!C1196,"")</f>
        <v/>
      </c>
      <c r="C1196" t="str">
        <f>IF(ROW(C1196)&lt;=Bidding!$D$11,Raw_hydro_bm!D1196,"")</f>
        <v/>
      </c>
      <c r="D1196" t="str">
        <f>IF(ROW(D1196)&lt;=Bidding!$D$11,Raw_hydro_bm!E1196,"")</f>
        <v/>
      </c>
      <c r="E1196" t="str">
        <f>IF(ROW(E1196)&lt;=Bidding!$D$11,Raw_hydro_bm!F1196,"")</f>
        <v/>
      </c>
      <c r="F1196" t="str">
        <f>IF(ROW(F1196)&lt;=Bidding!$D$11,Raw_hydro_bm!G1196,"")</f>
        <v/>
      </c>
      <c r="G1196" t="str">
        <f>IF(ROW(G1196)&lt;=Bidding!$D$11,Raw_hydro_bm!H1196,"")</f>
        <v/>
      </c>
      <c r="H1196" t="str">
        <f>IF(ROW(H1196)&lt;=Bidding!$D$11,Raw_hydro_bm!I1196,"")</f>
        <v/>
      </c>
      <c r="I1196" s="16" t="str">
        <f t="shared" si="18"/>
        <v/>
      </c>
    </row>
    <row r="1197" spans="1:9" x14ac:dyDescent="0.2">
      <c r="A1197" t="str">
        <f>IF(ROW(A1197)&lt;=Bidding!$D$11,Raw_hydro_bm!B1197,"")</f>
        <v/>
      </c>
      <c r="B1197" t="str">
        <f>IF(ROW(B1197)&lt;=Bidding!$D$11,Raw_hydro_bm!C1197,"")</f>
        <v/>
      </c>
      <c r="C1197" t="str">
        <f>IF(ROW(C1197)&lt;=Bidding!$D$11,Raw_hydro_bm!D1197,"")</f>
        <v/>
      </c>
      <c r="D1197" t="str">
        <f>IF(ROW(D1197)&lt;=Bidding!$D$11,Raw_hydro_bm!E1197,"")</f>
        <v/>
      </c>
      <c r="E1197" t="str">
        <f>IF(ROW(E1197)&lt;=Bidding!$D$11,Raw_hydro_bm!F1197,"")</f>
        <v/>
      </c>
      <c r="F1197" t="str">
        <f>IF(ROW(F1197)&lt;=Bidding!$D$11,Raw_hydro_bm!G1197,"")</f>
        <v/>
      </c>
      <c r="G1197" t="str">
        <f>IF(ROW(G1197)&lt;=Bidding!$D$11,Raw_hydro_bm!H1197,"")</f>
        <v/>
      </c>
      <c r="H1197" t="str">
        <f>IF(ROW(H1197)&lt;=Bidding!$D$11,Raw_hydro_bm!I1197,"")</f>
        <v/>
      </c>
      <c r="I1197" s="16" t="str">
        <f t="shared" si="18"/>
        <v/>
      </c>
    </row>
    <row r="1198" spans="1:9" x14ac:dyDescent="0.2">
      <c r="A1198" t="str">
        <f>IF(ROW(A1198)&lt;=Bidding!$D$11,Raw_hydro_bm!B1198,"")</f>
        <v/>
      </c>
      <c r="B1198" t="str">
        <f>IF(ROW(B1198)&lt;=Bidding!$D$11,Raw_hydro_bm!C1198,"")</f>
        <v/>
      </c>
      <c r="C1198" t="str">
        <f>IF(ROW(C1198)&lt;=Bidding!$D$11,Raw_hydro_bm!D1198,"")</f>
        <v/>
      </c>
      <c r="D1198" t="str">
        <f>IF(ROW(D1198)&lt;=Bidding!$D$11,Raw_hydro_bm!E1198,"")</f>
        <v/>
      </c>
      <c r="E1198" t="str">
        <f>IF(ROW(E1198)&lt;=Bidding!$D$11,Raw_hydro_bm!F1198,"")</f>
        <v/>
      </c>
      <c r="F1198" t="str">
        <f>IF(ROW(F1198)&lt;=Bidding!$D$11,Raw_hydro_bm!G1198,"")</f>
        <v/>
      </c>
      <c r="G1198" t="str">
        <f>IF(ROW(G1198)&lt;=Bidding!$D$11,Raw_hydro_bm!H1198,"")</f>
        <v/>
      </c>
      <c r="H1198" t="str">
        <f>IF(ROW(H1198)&lt;=Bidding!$D$11,Raw_hydro_bm!I1198,"")</f>
        <v/>
      </c>
      <c r="I1198" s="16" t="str">
        <f t="shared" si="18"/>
        <v/>
      </c>
    </row>
    <row r="1199" spans="1:9" x14ac:dyDescent="0.2">
      <c r="A1199" t="str">
        <f>IF(ROW(A1199)&lt;=Bidding!$D$11,Raw_hydro_bm!B1199,"")</f>
        <v/>
      </c>
      <c r="B1199" t="str">
        <f>IF(ROW(B1199)&lt;=Bidding!$D$11,Raw_hydro_bm!C1199,"")</f>
        <v/>
      </c>
      <c r="C1199" t="str">
        <f>IF(ROW(C1199)&lt;=Bidding!$D$11,Raw_hydro_bm!D1199,"")</f>
        <v/>
      </c>
      <c r="D1199" t="str">
        <f>IF(ROW(D1199)&lt;=Bidding!$D$11,Raw_hydro_bm!E1199,"")</f>
        <v/>
      </c>
      <c r="E1199" t="str">
        <f>IF(ROW(E1199)&lt;=Bidding!$D$11,Raw_hydro_bm!F1199,"")</f>
        <v/>
      </c>
      <c r="F1199" t="str">
        <f>IF(ROW(F1199)&lt;=Bidding!$D$11,Raw_hydro_bm!G1199,"")</f>
        <v/>
      </c>
      <c r="G1199" t="str">
        <f>IF(ROW(G1199)&lt;=Bidding!$D$11,Raw_hydro_bm!H1199,"")</f>
        <v/>
      </c>
      <c r="H1199" t="str">
        <f>IF(ROW(H1199)&lt;=Bidding!$D$11,Raw_hydro_bm!I1199,"")</f>
        <v/>
      </c>
      <c r="I1199" s="16" t="str">
        <f t="shared" si="18"/>
        <v/>
      </c>
    </row>
    <row r="1200" spans="1:9" x14ac:dyDescent="0.2">
      <c r="A1200" t="str">
        <f>IF(ROW(A1200)&lt;=Bidding!$D$11,Raw_hydro_bm!B1200,"")</f>
        <v/>
      </c>
      <c r="B1200" t="str">
        <f>IF(ROW(B1200)&lt;=Bidding!$D$11,Raw_hydro_bm!C1200,"")</f>
        <v/>
      </c>
      <c r="C1200" t="str">
        <f>IF(ROW(C1200)&lt;=Bidding!$D$11,Raw_hydro_bm!D1200,"")</f>
        <v/>
      </c>
      <c r="D1200" t="str">
        <f>IF(ROW(D1200)&lt;=Bidding!$D$11,Raw_hydro_bm!E1200,"")</f>
        <v/>
      </c>
      <c r="E1200" t="str">
        <f>IF(ROW(E1200)&lt;=Bidding!$D$11,Raw_hydro_bm!F1200,"")</f>
        <v/>
      </c>
      <c r="F1200" t="str">
        <f>IF(ROW(F1200)&lt;=Bidding!$D$11,Raw_hydro_bm!G1200,"")</f>
        <v/>
      </c>
      <c r="G1200" t="str">
        <f>IF(ROW(G1200)&lt;=Bidding!$D$11,Raw_hydro_bm!H1200,"")</f>
        <v/>
      </c>
      <c r="H1200" t="str">
        <f>IF(ROW(H1200)&lt;=Bidding!$D$11,Raw_hydro_bm!I1200,"")</f>
        <v/>
      </c>
      <c r="I1200" s="16" t="str">
        <f t="shared" si="18"/>
        <v/>
      </c>
    </row>
    <row r="1201" spans="1:9" x14ac:dyDescent="0.2">
      <c r="A1201" t="str">
        <f>IF(ROW(A1201)&lt;=Bidding!$D$11,Raw_hydro_bm!B1201,"")</f>
        <v/>
      </c>
      <c r="B1201" t="str">
        <f>IF(ROW(B1201)&lt;=Bidding!$D$11,Raw_hydro_bm!C1201,"")</f>
        <v/>
      </c>
      <c r="C1201" t="str">
        <f>IF(ROW(C1201)&lt;=Bidding!$D$11,Raw_hydro_bm!D1201,"")</f>
        <v/>
      </c>
      <c r="D1201" t="str">
        <f>IF(ROW(D1201)&lt;=Bidding!$D$11,Raw_hydro_bm!E1201,"")</f>
        <v/>
      </c>
      <c r="E1201" t="str">
        <f>IF(ROW(E1201)&lt;=Bidding!$D$11,Raw_hydro_bm!F1201,"")</f>
        <v/>
      </c>
      <c r="F1201" t="str">
        <f>IF(ROW(F1201)&lt;=Bidding!$D$11,Raw_hydro_bm!G1201,"")</f>
        <v/>
      </c>
      <c r="G1201" t="str">
        <f>IF(ROW(G1201)&lt;=Bidding!$D$11,Raw_hydro_bm!H1201,"")</f>
        <v/>
      </c>
      <c r="H1201" t="str">
        <f>IF(ROW(H1201)&lt;=Bidding!$D$11,Raw_hydro_bm!I1201,"")</f>
        <v/>
      </c>
      <c r="I1201" s="16" t="str">
        <f t="shared" si="18"/>
        <v/>
      </c>
    </row>
    <row r="1202" spans="1:9" x14ac:dyDescent="0.2">
      <c r="A1202" t="str">
        <f>IF(ROW(A1202)&lt;=Bidding!$D$11,Raw_hydro_bm!B1202,"")</f>
        <v/>
      </c>
      <c r="B1202" t="str">
        <f>IF(ROW(B1202)&lt;=Bidding!$D$11,Raw_hydro_bm!C1202,"")</f>
        <v/>
      </c>
      <c r="C1202" t="str">
        <f>IF(ROW(C1202)&lt;=Bidding!$D$11,Raw_hydro_bm!D1202,"")</f>
        <v/>
      </c>
      <c r="D1202" t="str">
        <f>IF(ROW(D1202)&lt;=Bidding!$D$11,Raw_hydro_bm!E1202,"")</f>
        <v/>
      </c>
      <c r="E1202" t="str">
        <f>IF(ROW(E1202)&lt;=Bidding!$D$11,Raw_hydro_bm!F1202,"")</f>
        <v/>
      </c>
      <c r="F1202" t="str">
        <f>IF(ROW(F1202)&lt;=Bidding!$D$11,Raw_hydro_bm!G1202,"")</f>
        <v/>
      </c>
      <c r="G1202" t="str">
        <f>IF(ROW(G1202)&lt;=Bidding!$D$11,Raw_hydro_bm!H1202,"")</f>
        <v/>
      </c>
      <c r="H1202" t="str">
        <f>IF(ROW(H1202)&lt;=Bidding!$D$11,Raw_hydro_bm!I1202,"")</f>
        <v/>
      </c>
      <c r="I1202" s="16" t="str">
        <f t="shared" si="18"/>
        <v/>
      </c>
    </row>
    <row r="1203" spans="1:9" x14ac:dyDescent="0.2">
      <c r="A1203" t="str">
        <f>IF(ROW(A1203)&lt;=Bidding!$D$11,Raw_hydro_bm!B1203,"")</f>
        <v/>
      </c>
      <c r="B1203" t="str">
        <f>IF(ROW(B1203)&lt;=Bidding!$D$11,Raw_hydro_bm!C1203,"")</f>
        <v/>
      </c>
      <c r="C1203" t="str">
        <f>IF(ROW(C1203)&lt;=Bidding!$D$11,Raw_hydro_bm!D1203,"")</f>
        <v/>
      </c>
      <c r="D1203" t="str">
        <f>IF(ROW(D1203)&lt;=Bidding!$D$11,Raw_hydro_bm!E1203,"")</f>
        <v/>
      </c>
      <c r="E1203" t="str">
        <f>IF(ROW(E1203)&lt;=Bidding!$D$11,Raw_hydro_bm!F1203,"")</f>
        <v/>
      </c>
      <c r="F1203" t="str">
        <f>IF(ROW(F1203)&lt;=Bidding!$D$11,Raw_hydro_bm!G1203,"")</f>
        <v/>
      </c>
      <c r="G1203" t="str">
        <f>IF(ROW(G1203)&lt;=Bidding!$D$11,Raw_hydro_bm!H1203,"")</f>
        <v/>
      </c>
      <c r="H1203" t="str">
        <f>IF(ROW(H1203)&lt;=Bidding!$D$11,Raw_hydro_bm!I1203,"")</f>
        <v/>
      </c>
      <c r="I1203" s="16" t="str">
        <f t="shared" si="18"/>
        <v/>
      </c>
    </row>
    <row r="1204" spans="1:9" x14ac:dyDescent="0.2">
      <c r="A1204" t="str">
        <f>IF(ROW(A1204)&lt;=Bidding!$D$11,Raw_hydro_bm!B1204,"")</f>
        <v/>
      </c>
      <c r="B1204" t="str">
        <f>IF(ROW(B1204)&lt;=Bidding!$D$11,Raw_hydro_bm!C1204,"")</f>
        <v/>
      </c>
      <c r="C1204" t="str">
        <f>IF(ROW(C1204)&lt;=Bidding!$D$11,Raw_hydro_bm!D1204,"")</f>
        <v/>
      </c>
      <c r="D1204" t="str">
        <f>IF(ROW(D1204)&lt;=Bidding!$D$11,Raw_hydro_bm!E1204,"")</f>
        <v/>
      </c>
      <c r="E1204" t="str">
        <f>IF(ROW(E1204)&lt;=Bidding!$D$11,Raw_hydro_bm!F1204,"")</f>
        <v/>
      </c>
      <c r="F1204" t="str">
        <f>IF(ROW(F1204)&lt;=Bidding!$D$11,Raw_hydro_bm!G1204,"")</f>
        <v/>
      </c>
      <c r="G1204" t="str">
        <f>IF(ROW(G1204)&lt;=Bidding!$D$11,Raw_hydro_bm!H1204,"")</f>
        <v/>
      </c>
      <c r="H1204" t="str">
        <f>IF(ROW(H1204)&lt;=Bidding!$D$11,Raw_hydro_bm!I1204,"")</f>
        <v/>
      </c>
      <c r="I1204" s="16" t="str">
        <f t="shared" si="18"/>
        <v/>
      </c>
    </row>
    <row r="1205" spans="1:9" x14ac:dyDescent="0.2">
      <c r="A1205" t="str">
        <f>IF(ROW(A1205)&lt;=Bidding!$D$11,Raw_hydro_bm!B1205,"")</f>
        <v/>
      </c>
      <c r="B1205" t="str">
        <f>IF(ROW(B1205)&lt;=Bidding!$D$11,Raw_hydro_bm!C1205,"")</f>
        <v/>
      </c>
      <c r="C1205" t="str">
        <f>IF(ROW(C1205)&lt;=Bidding!$D$11,Raw_hydro_bm!D1205,"")</f>
        <v/>
      </c>
      <c r="D1205" t="str">
        <f>IF(ROW(D1205)&lt;=Bidding!$D$11,Raw_hydro_bm!E1205,"")</f>
        <v/>
      </c>
      <c r="E1205" t="str">
        <f>IF(ROW(E1205)&lt;=Bidding!$D$11,Raw_hydro_bm!F1205,"")</f>
        <v/>
      </c>
      <c r="F1205" t="str">
        <f>IF(ROW(F1205)&lt;=Bidding!$D$11,Raw_hydro_bm!G1205,"")</f>
        <v/>
      </c>
      <c r="G1205" t="str">
        <f>IF(ROW(G1205)&lt;=Bidding!$D$11,Raw_hydro_bm!H1205,"")</f>
        <v/>
      </c>
      <c r="H1205" t="str">
        <f>IF(ROW(H1205)&lt;=Bidding!$D$11,Raw_hydro_bm!I1205,"")</f>
        <v/>
      </c>
      <c r="I1205" s="16" t="str">
        <f t="shared" si="18"/>
        <v/>
      </c>
    </row>
    <row r="1206" spans="1:9" x14ac:dyDescent="0.2">
      <c r="A1206" t="str">
        <f>IF(ROW(A1206)&lt;=Bidding!$D$11,Raw_hydro_bm!B1206,"")</f>
        <v/>
      </c>
      <c r="B1206" t="str">
        <f>IF(ROW(B1206)&lt;=Bidding!$D$11,Raw_hydro_bm!C1206,"")</f>
        <v/>
      </c>
      <c r="C1206" t="str">
        <f>IF(ROW(C1206)&lt;=Bidding!$D$11,Raw_hydro_bm!D1206,"")</f>
        <v/>
      </c>
      <c r="D1206" t="str">
        <f>IF(ROW(D1206)&lt;=Bidding!$D$11,Raw_hydro_bm!E1206,"")</f>
        <v/>
      </c>
      <c r="E1206" t="str">
        <f>IF(ROW(E1206)&lt;=Bidding!$D$11,Raw_hydro_bm!F1206,"")</f>
        <v/>
      </c>
      <c r="F1206" t="str">
        <f>IF(ROW(F1206)&lt;=Bidding!$D$11,Raw_hydro_bm!G1206,"")</f>
        <v/>
      </c>
      <c r="G1206" t="str">
        <f>IF(ROW(G1206)&lt;=Bidding!$D$11,Raw_hydro_bm!H1206,"")</f>
        <v/>
      </c>
      <c r="H1206" t="str">
        <f>IF(ROW(H1206)&lt;=Bidding!$D$11,Raw_hydro_bm!I1206,"")</f>
        <v/>
      </c>
      <c r="I1206" s="16" t="str">
        <f t="shared" si="18"/>
        <v/>
      </c>
    </row>
    <row r="1207" spans="1:9" x14ac:dyDescent="0.2">
      <c r="A1207" t="str">
        <f>IF(ROW(A1207)&lt;=Bidding!$D$11,Raw_hydro_bm!B1207,"")</f>
        <v/>
      </c>
      <c r="B1207" t="str">
        <f>IF(ROW(B1207)&lt;=Bidding!$D$11,Raw_hydro_bm!C1207,"")</f>
        <v/>
      </c>
      <c r="C1207" t="str">
        <f>IF(ROW(C1207)&lt;=Bidding!$D$11,Raw_hydro_bm!D1207,"")</f>
        <v/>
      </c>
      <c r="D1207" t="str">
        <f>IF(ROW(D1207)&lt;=Bidding!$D$11,Raw_hydro_bm!E1207,"")</f>
        <v/>
      </c>
      <c r="E1207" t="str">
        <f>IF(ROW(E1207)&lt;=Bidding!$D$11,Raw_hydro_bm!F1207,"")</f>
        <v/>
      </c>
      <c r="F1207" t="str">
        <f>IF(ROW(F1207)&lt;=Bidding!$D$11,Raw_hydro_bm!G1207,"")</f>
        <v/>
      </c>
      <c r="G1207" t="str">
        <f>IF(ROW(G1207)&lt;=Bidding!$D$11,Raw_hydro_bm!H1207,"")</f>
        <v/>
      </c>
      <c r="H1207" t="str">
        <f>IF(ROW(H1207)&lt;=Bidding!$D$11,Raw_hydro_bm!I1207,"")</f>
        <v/>
      </c>
      <c r="I1207" s="16" t="str">
        <f t="shared" si="18"/>
        <v/>
      </c>
    </row>
    <row r="1208" spans="1:9" x14ac:dyDescent="0.2">
      <c r="A1208" t="str">
        <f>IF(ROW(A1208)&lt;=Bidding!$D$11,Raw_hydro_bm!B1208,"")</f>
        <v/>
      </c>
      <c r="B1208" t="str">
        <f>IF(ROW(B1208)&lt;=Bidding!$D$11,Raw_hydro_bm!C1208,"")</f>
        <v/>
      </c>
      <c r="C1208" t="str">
        <f>IF(ROW(C1208)&lt;=Bidding!$D$11,Raw_hydro_bm!D1208,"")</f>
        <v/>
      </c>
      <c r="D1208" t="str">
        <f>IF(ROW(D1208)&lt;=Bidding!$D$11,Raw_hydro_bm!E1208,"")</f>
        <v/>
      </c>
      <c r="E1208" t="str">
        <f>IF(ROW(E1208)&lt;=Bidding!$D$11,Raw_hydro_bm!F1208,"")</f>
        <v/>
      </c>
      <c r="F1208" t="str">
        <f>IF(ROW(F1208)&lt;=Bidding!$D$11,Raw_hydro_bm!G1208,"")</f>
        <v/>
      </c>
      <c r="G1208" t="str">
        <f>IF(ROW(G1208)&lt;=Bidding!$D$11,Raw_hydro_bm!H1208,"")</f>
        <v/>
      </c>
      <c r="H1208" t="str">
        <f>IF(ROW(H1208)&lt;=Bidding!$D$11,Raw_hydro_bm!I1208,"")</f>
        <v/>
      </c>
      <c r="I1208" s="16" t="str">
        <f t="shared" si="18"/>
        <v/>
      </c>
    </row>
    <row r="1209" spans="1:9" x14ac:dyDescent="0.2">
      <c r="A1209" t="str">
        <f>IF(ROW(A1209)&lt;=Bidding!$D$11,Raw_hydro_bm!B1209,"")</f>
        <v/>
      </c>
      <c r="B1209" t="str">
        <f>IF(ROW(B1209)&lt;=Bidding!$D$11,Raw_hydro_bm!C1209,"")</f>
        <v/>
      </c>
      <c r="C1209" t="str">
        <f>IF(ROW(C1209)&lt;=Bidding!$D$11,Raw_hydro_bm!D1209,"")</f>
        <v/>
      </c>
      <c r="D1209" t="str">
        <f>IF(ROW(D1209)&lt;=Bidding!$D$11,Raw_hydro_bm!E1209,"")</f>
        <v/>
      </c>
      <c r="E1209" t="str">
        <f>IF(ROW(E1209)&lt;=Bidding!$D$11,Raw_hydro_bm!F1209,"")</f>
        <v/>
      </c>
      <c r="F1209" t="str">
        <f>IF(ROW(F1209)&lt;=Bidding!$D$11,Raw_hydro_bm!G1209,"")</f>
        <v/>
      </c>
      <c r="G1209" t="str">
        <f>IF(ROW(G1209)&lt;=Bidding!$D$11,Raw_hydro_bm!H1209,"")</f>
        <v/>
      </c>
      <c r="H1209" t="str">
        <f>IF(ROW(H1209)&lt;=Bidding!$D$11,Raw_hydro_bm!I1209,"")</f>
        <v/>
      </c>
      <c r="I1209" s="16" t="str">
        <f t="shared" si="18"/>
        <v/>
      </c>
    </row>
    <row r="1210" spans="1:9" x14ac:dyDescent="0.2">
      <c r="A1210" t="str">
        <f>IF(ROW(A1210)&lt;=Bidding!$D$11,Raw_hydro_bm!B1210,"")</f>
        <v/>
      </c>
      <c r="B1210" t="str">
        <f>IF(ROW(B1210)&lt;=Bidding!$D$11,Raw_hydro_bm!C1210,"")</f>
        <v/>
      </c>
      <c r="C1210" t="str">
        <f>IF(ROW(C1210)&lt;=Bidding!$D$11,Raw_hydro_bm!D1210,"")</f>
        <v/>
      </c>
      <c r="D1210" t="str">
        <f>IF(ROW(D1210)&lt;=Bidding!$D$11,Raw_hydro_bm!E1210,"")</f>
        <v/>
      </c>
      <c r="E1210" t="str">
        <f>IF(ROW(E1210)&lt;=Bidding!$D$11,Raw_hydro_bm!F1210,"")</f>
        <v/>
      </c>
      <c r="F1210" t="str">
        <f>IF(ROW(F1210)&lt;=Bidding!$D$11,Raw_hydro_bm!G1210,"")</f>
        <v/>
      </c>
      <c r="G1210" t="str">
        <f>IF(ROW(G1210)&lt;=Bidding!$D$11,Raw_hydro_bm!H1210,"")</f>
        <v/>
      </c>
      <c r="H1210" t="str">
        <f>IF(ROW(H1210)&lt;=Bidding!$D$11,Raw_hydro_bm!I1210,"")</f>
        <v/>
      </c>
      <c r="I1210" s="16" t="str">
        <f t="shared" si="18"/>
        <v/>
      </c>
    </row>
    <row r="1211" spans="1:9" x14ac:dyDescent="0.2">
      <c r="A1211" t="str">
        <f>IF(ROW(A1211)&lt;=Bidding!$D$11,Raw_hydro_bm!B1211,"")</f>
        <v/>
      </c>
      <c r="B1211" t="str">
        <f>IF(ROW(B1211)&lt;=Bidding!$D$11,Raw_hydro_bm!C1211,"")</f>
        <v/>
      </c>
      <c r="C1211" t="str">
        <f>IF(ROW(C1211)&lt;=Bidding!$D$11,Raw_hydro_bm!D1211,"")</f>
        <v/>
      </c>
      <c r="D1211" t="str">
        <f>IF(ROW(D1211)&lt;=Bidding!$D$11,Raw_hydro_bm!E1211,"")</f>
        <v/>
      </c>
      <c r="E1211" t="str">
        <f>IF(ROW(E1211)&lt;=Bidding!$D$11,Raw_hydro_bm!F1211,"")</f>
        <v/>
      </c>
      <c r="F1211" t="str">
        <f>IF(ROW(F1211)&lt;=Bidding!$D$11,Raw_hydro_bm!G1211,"")</f>
        <v/>
      </c>
      <c r="G1211" t="str">
        <f>IF(ROW(G1211)&lt;=Bidding!$D$11,Raw_hydro_bm!H1211,"")</f>
        <v/>
      </c>
      <c r="H1211" t="str">
        <f>IF(ROW(H1211)&lt;=Bidding!$D$11,Raw_hydro_bm!I1211,"")</f>
        <v/>
      </c>
      <c r="I1211" s="16" t="str">
        <f t="shared" si="18"/>
        <v/>
      </c>
    </row>
    <row r="1212" spans="1:9" x14ac:dyDescent="0.2">
      <c r="A1212" t="str">
        <f>IF(ROW(A1212)&lt;=Bidding!$D$11,Raw_hydro_bm!B1212,"")</f>
        <v/>
      </c>
      <c r="B1212" t="str">
        <f>IF(ROW(B1212)&lt;=Bidding!$D$11,Raw_hydro_bm!C1212,"")</f>
        <v/>
      </c>
      <c r="C1212" t="str">
        <f>IF(ROW(C1212)&lt;=Bidding!$D$11,Raw_hydro_bm!D1212,"")</f>
        <v/>
      </c>
      <c r="D1212" t="str">
        <f>IF(ROW(D1212)&lt;=Bidding!$D$11,Raw_hydro_bm!E1212,"")</f>
        <v/>
      </c>
      <c r="E1212" t="str">
        <f>IF(ROW(E1212)&lt;=Bidding!$D$11,Raw_hydro_bm!F1212,"")</f>
        <v/>
      </c>
      <c r="F1212" t="str">
        <f>IF(ROW(F1212)&lt;=Bidding!$D$11,Raw_hydro_bm!G1212,"")</f>
        <v/>
      </c>
      <c r="G1212" t="str">
        <f>IF(ROW(G1212)&lt;=Bidding!$D$11,Raw_hydro_bm!H1212,"")</f>
        <v/>
      </c>
      <c r="H1212" t="str">
        <f>IF(ROW(H1212)&lt;=Bidding!$D$11,Raw_hydro_bm!I1212,"")</f>
        <v/>
      </c>
      <c r="I1212" s="16" t="str">
        <f t="shared" si="18"/>
        <v/>
      </c>
    </row>
    <row r="1213" spans="1:9" x14ac:dyDescent="0.2">
      <c r="A1213" t="str">
        <f>IF(ROW(A1213)&lt;=Bidding!$D$11,Raw_hydro_bm!B1213,"")</f>
        <v/>
      </c>
      <c r="B1213" t="str">
        <f>IF(ROW(B1213)&lt;=Bidding!$D$11,Raw_hydro_bm!C1213,"")</f>
        <v/>
      </c>
      <c r="C1213" t="str">
        <f>IF(ROW(C1213)&lt;=Bidding!$D$11,Raw_hydro_bm!D1213,"")</f>
        <v/>
      </c>
      <c r="D1213" t="str">
        <f>IF(ROW(D1213)&lt;=Bidding!$D$11,Raw_hydro_bm!E1213,"")</f>
        <v/>
      </c>
      <c r="E1213" t="str">
        <f>IF(ROW(E1213)&lt;=Bidding!$D$11,Raw_hydro_bm!F1213,"")</f>
        <v/>
      </c>
      <c r="F1213" t="str">
        <f>IF(ROW(F1213)&lt;=Bidding!$D$11,Raw_hydro_bm!G1213,"")</f>
        <v/>
      </c>
      <c r="G1213" t="str">
        <f>IF(ROW(G1213)&lt;=Bidding!$D$11,Raw_hydro_bm!H1213,"")</f>
        <v/>
      </c>
      <c r="H1213" t="str">
        <f>IF(ROW(H1213)&lt;=Bidding!$D$11,Raw_hydro_bm!I1213,"")</f>
        <v/>
      </c>
      <c r="I1213" s="16" t="str">
        <f t="shared" si="18"/>
        <v/>
      </c>
    </row>
    <row r="1214" spans="1:9" x14ac:dyDescent="0.2">
      <c r="A1214" t="str">
        <f>IF(ROW(A1214)&lt;=Bidding!$D$11,Raw_hydro_bm!B1214,"")</f>
        <v/>
      </c>
      <c r="B1214" t="str">
        <f>IF(ROW(B1214)&lt;=Bidding!$D$11,Raw_hydro_bm!C1214,"")</f>
        <v/>
      </c>
      <c r="C1214" t="str">
        <f>IF(ROW(C1214)&lt;=Bidding!$D$11,Raw_hydro_bm!D1214,"")</f>
        <v/>
      </c>
      <c r="D1214" t="str">
        <f>IF(ROW(D1214)&lt;=Bidding!$D$11,Raw_hydro_bm!E1214,"")</f>
        <v/>
      </c>
      <c r="E1214" t="str">
        <f>IF(ROW(E1214)&lt;=Bidding!$D$11,Raw_hydro_bm!F1214,"")</f>
        <v/>
      </c>
      <c r="F1214" t="str">
        <f>IF(ROW(F1214)&lt;=Bidding!$D$11,Raw_hydro_bm!G1214,"")</f>
        <v/>
      </c>
      <c r="G1214" t="str">
        <f>IF(ROW(G1214)&lt;=Bidding!$D$11,Raw_hydro_bm!H1214,"")</f>
        <v/>
      </c>
      <c r="H1214" t="str">
        <f>IF(ROW(H1214)&lt;=Bidding!$D$11,Raw_hydro_bm!I1214,"")</f>
        <v/>
      </c>
      <c r="I1214" s="16" t="str">
        <f t="shared" si="18"/>
        <v/>
      </c>
    </row>
    <row r="1215" spans="1:9" x14ac:dyDescent="0.2">
      <c r="A1215" t="str">
        <f>IF(ROW(A1215)&lt;=Bidding!$D$11,Raw_hydro_bm!B1215,"")</f>
        <v/>
      </c>
      <c r="B1215" t="str">
        <f>IF(ROW(B1215)&lt;=Bidding!$D$11,Raw_hydro_bm!C1215,"")</f>
        <v/>
      </c>
      <c r="C1215" t="str">
        <f>IF(ROW(C1215)&lt;=Bidding!$D$11,Raw_hydro_bm!D1215,"")</f>
        <v/>
      </c>
      <c r="D1215" t="str">
        <f>IF(ROW(D1215)&lt;=Bidding!$D$11,Raw_hydro_bm!E1215,"")</f>
        <v/>
      </c>
      <c r="E1215" t="str">
        <f>IF(ROW(E1215)&lt;=Bidding!$D$11,Raw_hydro_bm!F1215,"")</f>
        <v/>
      </c>
      <c r="F1215" t="str">
        <f>IF(ROW(F1215)&lt;=Bidding!$D$11,Raw_hydro_bm!G1215,"")</f>
        <v/>
      </c>
      <c r="G1215" t="str">
        <f>IF(ROW(G1215)&lt;=Bidding!$D$11,Raw_hydro_bm!H1215,"")</f>
        <v/>
      </c>
      <c r="H1215" t="str">
        <f>IF(ROW(H1215)&lt;=Bidding!$D$11,Raw_hydro_bm!I1215,"")</f>
        <v/>
      </c>
      <c r="I1215" s="16" t="str">
        <f t="shared" si="18"/>
        <v/>
      </c>
    </row>
    <row r="1216" spans="1:9" x14ac:dyDescent="0.2">
      <c r="A1216" t="str">
        <f>IF(ROW(A1216)&lt;=Bidding!$D$11,Raw_hydro_bm!B1216,"")</f>
        <v/>
      </c>
      <c r="B1216" t="str">
        <f>IF(ROW(B1216)&lt;=Bidding!$D$11,Raw_hydro_bm!C1216,"")</f>
        <v/>
      </c>
      <c r="C1216" t="str">
        <f>IF(ROW(C1216)&lt;=Bidding!$D$11,Raw_hydro_bm!D1216,"")</f>
        <v/>
      </c>
      <c r="D1216" t="str">
        <f>IF(ROW(D1216)&lt;=Bidding!$D$11,Raw_hydro_bm!E1216,"")</f>
        <v/>
      </c>
      <c r="E1216" t="str">
        <f>IF(ROW(E1216)&lt;=Bidding!$D$11,Raw_hydro_bm!F1216,"")</f>
        <v/>
      </c>
      <c r="F1216" t="str">
        <f>IF(ROW(F1216)&lt;=Bidding!$D$11,Raw_hydro_bm!G1216,"")</f>
        <v/>
      </c>
      <c r="G1216" t="str">
        <f>IF(ROW(G1216)&lt;=Bidding!$D$11,Raw_hydro_bm!H1216,"")</f>
        <v/>
      </c>
      <c r="H1216" t="str">
        <f>IF(ROW(H1216)&lt;=Bidding!$D$11,Raw_hydro_bm!I1216,"")</f>
        <v/>
      </c>
      <c r="I1216" s="16" t="str">
        <f t="shared" si="18"/>
        <v/>
      </c>
    </row>
    <row r="1217" spans="1:9" x14ac:dyDescent="0.2">
      <c r="A1217" t="str">
        <f>IF(ROW(A1217)&lt;=Bidding!$D$11,Raw_hydro_bm!B1217,"")</f>
        <v/>
      </c>
      <c r="B1217" t="str">
        <f>IF(ROW(B1217)&lt;=Bidding!$D$11,Raw_hydro_bm!C1217,"")</f>
        <v/>
      </c>
      <c r="C1217" t="str">
        <f>IF(ROW(C1217)&lt;=Bidding!$D$11,Raw_hydro_bm!D1217,"")</f>
        <v/>
      </c>
      <c r="D1217" t="str">
        <f>IF(ROW(D1217)&lt;=Bidding!$D$11,Raw_hydro_bm!E1217,"")</f>
        <v/>
      </c>
      <c r="E1217" t="str">
        <f>IF(ROW(E1217)&lt;=Bidding!$D$11,Raw_hydro_bm!F1217,"")</f>
        <v/>
      </c>
      <c r="F1217" t="str">
        <f>IF(ROW(F1217)&lt;=Bidding!$D$11,Raw_hydro_bm!G1217,"")</f>
        <v/>
      </c>
      <c r="G1217" t="str">
        <f>IF(ROW(G1217)&lt;=Bidding!$D$11,Raw_hydro_bm!H1217,"")</f>
        <v/>
      </c>
      <c r="H1217" t="str">
        <f>IF(ROW(H1217)&lt;=Bidding!$D$11,Raw_hydro_bm!I1217,"")</f>
        <v/>
      </c>
      <c r="I1217" s="16" t="str">
        <f t="shared" si="18"/>
        <v/>
      </c>
    </row>
    <row r="1218" spans="1:9" x14ac:dyDescent="0.2">
      <c r="A1218" t="str">
        <f>IF(ROW(A1218)&lt;=Bidding!$D$11,Raw_hydro_bm!B1218,"")</f>
        <v/>
      </c>
      <c r="B1218" t="str">
        <f>IF(ROW(B1218)&lt;=Bidding!$D$11,Raw_hydro_bm!C1218,"")</f>
        <v/>
      </c>
      <c r="C1218" t="str">
        <f>IF(ROW(C1218)&lt;=Bidding!$D$11,Raw_hydro_bm!D1218,"")</f>
        <v/>
      </c>
      <c r="D1218" t="str">
        <f>IF(ROW(D1218)&lt;=Bidding!$D$11,Raw_hydro_bm!E1218,"")</f>
        <v/>
      </c>
      <c r="E1218" t="str">
        <f>IF(ROW(E1218)&lt;=Bidding!$D$11,Raw_hydro_bm!F1218,"")</f>
        <v/>
      </c>
      <c r="F1218" t="str">
        <f>IF(ROW(F1218)&lt;=Bidding!$D$11,Raw_hydro_bm!G1218,"")</f>
        <v/>
      </c>
      <c r="G1218" t="str">
        <f>IF(ROW(G1218)&lt;=Bidding!$D$11,Raw_hydro_bm!H1218,"")</f>
        <v/>
      </c>
      <c r="H1218" t="str">
        <f>IF(ROW(H1218)&lt;=Bidding!$D$11,Raw_hydro_bm!I1218,"")</f>
        <v/>
      </c>
      <c r="I1218" s="16" t="str">
        <f t="shared" ref="I1218:I1281" si="19">IF(IFERROR(FIND("e",H1218),-1)&lt;0,IFERROR(_xlfn.NUMBERVALUE(LEFT(H1218,FIND(".",H1218)-1))+_xlfn.NUMBERVALUE("0,"&amp;RIGHT(H1218,LEN(H1218)-FIND(".",H1218))),""),0)</f>
        <v/>
      </c>
    </row>
    <row r="1219" spans="1:9" x14ac:dyDescent="0.2">
      <c r="A1219" t="str">
        <f>IF(ROW(A1219)&lt;=Bidding!$D$11,Raw_hydro_bm!B1219,"")</f>
        <v/>
      </c>
      <c r="B1219" t="str">
        <f>IF(ROW(B1219)&lt;=Bidding!$D$11,Raw_hydro_bm!C1219,"")</f>
        <v/>
      </c>
      <c r="C1219" t="str">
        <f>IF(ROW(C1219)&lt;=Bidding!$D$11,Raw_hydro_bm!D1219,"")</f>
        <v/>
      </c>
      <c r="D1219" t="str">
        <f>IF(ROW(D1219)&lt;=Bidding!$D$11,Raw_hydro_bm!E1219,"")</f>
        <v/>
      </c>
      <c r="E1219" t="str">
        <f>IF(ROW(E1219)&lt;=Bidding!$D$11,Raw_hydro_bm!F1219,"")</f>
        <v/>
      </c>
      <c r="F1219" t="str">
        <f>IF(ROW(F1219)&lt;=Bidding!$D$11,Raw_hydro_bm!G1219,"")</f>
        <v/>
      </c>
      <c r="G1219" t="str">
        <f>IF(ROW(G1219)&lt;=Bidding!$D$11,Raw_hydro_bm!H1219,"")</f>
        <v/>
      </c>
      <c r="H1219" t="str">
        <f>IF(ROW(H1219)&lt;=Bidding!$D$11,Raw_hydro_bm!I1219,"")</f>
        <v/>
      </c>
      <c r="I1219" s="16" t="str">
        <f t="shared" si="19"/>
        <v/>
      </c>
    </row>
    <row r="1220" spans="1:9" x14ac:dyDescent="0.2">
      <c r="A1220" t="str">
        <f>IF(ROW(A1220)&lt;=Bidding!$D$11,Raw_hydro_bm!B1220,"")</f>
        <v/>
      </c>
      <c r="B1220" t="str">
        <f>IF(ROW(B1220)&lt;=Bidding!$D$11,Raw_hydro_bm!C1220,"")</f>
        <v/>
      </c>
      <c r="C1220" t="str">
        <f>IF(ROW(C1220)&lt;=Bidding!$D$11,Raw_hydro_bm!D1220,"")</f>
        <v/>
      </c>
      <c r="D1220" t="str">
        <f>IF(ROW(D1220)&lt;=Bidding!$D$11,Raw_hydro_bm!E1220,"")</f>
        <v/>
      </c>
      <c r="E1220" t="str">
        <f>IF(ROW(E1220)&lt;=Bidding!$D$11,Raw_hydro_bm!F1220,"")</f>
        <v/>
      </c>
      <c r="F1220" t="str">
        <f>IF(ROW(F1220)&lt;=Bidding!$D$11,Raw_hydro_bm!G1220,"")</f>
        <v/>
      </c>
      <c r="G1220" t="str">
        <f>IF(ROW(G1220)&lt;=Bidding!$D$11,Raw_hydro_bm!H1220,"")</f>
        <v/>
      </c>
      <c r="H1220" t="str">
        <f>IF(ROW(H1220)&lt;=Bidding!$D$11,Raw_hydro_bm!I1220,"")</f>
        <v/>
      </c>
      <c r="I1220" s="16" t="str">
        <f t="shared" si="19"/>
        <v/>
      </c>
    </row>
    <row r="1221" spans="1:9" x14ac:dyDescent="0.2">
      <c r="A1221" t="str">
        <f>IF(ROW(A1221)&lt;=Bidding!$D$11,Raw_hydro_bm!B1221,"")</f>
        <v/>
      </c>
      <c r="B1221" t="str">
        <f>IF(ROW(B1221)&lt;=Bidding!$D$11,Raw_hydro_bm!C1221,"")</f>
        <v/>
      </c>
      <c r="C1221" t="str">
        <f>IF(ROW(C1221)&lt;=Bidding!$D$11,Raw_hydro_bm!D1221,"")</f>
        <v/>
      </c>
      <c r="D1221" t="str">
        <f>IF(ROW(D1221)&lt;=Bidding!$D$11,Raw_hydro_bm!E1221,"")</f>
        <v/>
      </c>
      <c r="E1221" t="str">
        <f>IF(ROW(E1221)&lt;=Bidding!$D$11,Raw_hydro_bm!F1221,"")</f>
        <v/>
      </c>
      <c r="F1221" t="str">
        <f>IF(ROW(F1221)&lt;=Bidding!$D$11,Raw_hydro_bm!G1221,"")</f>
        <v/>
      </c>
      <c r="G1221" t="str">
        <f>IF(ROW(G1221)&lt;=Bidding!$D$11,Raw_hydro_bm!H1221,"")</f>
        <v/>
      </c>
      <c r="H1221" t="str">
        <f>IF(ROW(H1221)&lt;=Bidding!$D$11,Raw_hydro_bm!I1221,"")</f>
        <v/>
      </c>
      <c r="I1221" s="16" t="str">
        <f t="shared" si="19"/>
        <v/>
      </c>
    </row>
    <row r="1222" spans="1:9" x14ac:dyDescent="0.2">
      <c r="A1222" t="str">
        <f>IF(ROW(A1222)&lt;=Bidding!$D$11,Raw_hydro_bm!B1222,"")</f>
        <v/>
      </c>
      <c r="B1222" t="str">
        <f>IF(ROW(B1222)&lt;=Bidding!$D$11,Raw_hydro_bm!C1222,"")</f>
        <v/>
      </c>
      <c r="C1222" t="str">
        <f>IF(ROW(C1222)&lt;=Bidding!$D$11,Raw_hydro_bm!D1222,"")</f>
        <v/>
      </c>
      <c r="D1222" t="str">
        <f>IF(ROW(D1222)&lt;=Bidding!$D$11,Raw_hydro_bm!E1222,"")</f>
        <v/>
      </c>
      <c r="E1222" t="str">
        <f>IF(ROW(E1222)&lt;=Bidding!$D$11,Raw_hydro_bm!F1222,"")</f>
        <v/>
      </c>
      <c r="F1222" t="str">
        <f>IF(ROW(F1222)&lt;=Bidding!$D$11,Raw_hydro_bm!G1222,"")</f>
        <v/>
      </c>
      <c r="G1222" t="str">
        <f>IF(ROW(G1222)&lt;=Bidding!$D$11,Raw_hydro_bm!H1222,"")</f>
        <v/>
      </c>
      <c r="H1222" t="str">
        <f>IF(ROW(H1222)&lt;=Bidding!$D$11,Raw_hydro_bm!I1222,"")</f>
        <v/>
      </c>
      <c r="I1222" s="16" t="str">
        <f t="shared" si="19"/>
        <v/>
      </c>
    </row>
    <row r="1223" spans="1:9" x14ac:dyDescent="0.2">
      <c r="A1223" t="str">
        <f>IF(ROW(A1223)&lt;=Bidding!$D$11,Raw_hydro_bm!B1223,"")</f>
        <v/>
      </c>
      <c r="B1223" t="str">
        <f>IF(ROW(B1223)&lt;=Bidding!$D$11,Raw_hydro_bm!C1223,"")</f>
        <v/>
      </c>
      <c r="C1223" t="str">
        <f>IF(ROW(C1223)&lt;=Bidding!$D$11,Raw_hydro_bm!D1223,"")</f>
        <v/>
      </c>
      <c r="D1223" t="str">
        <f>IF(ROW(D1223)&lt;=Bidding!$D$11,Raw_hydro_bm!E1223,"")</f>
        <v/>
      </c>
      <c r="E1223" t="str">
        <f>IF(ROW(E1223)&lt;=Bidding!$D$11,Raw_hydro_bm!F1223,"")</f>
        <v/>
      </c>
      <c r="F1223" t="str">
        <f>IF(ROW(F1223)&lt;=Bidding!$D$11,Raw_hydro_bm!G1223,"")</f>
        <v/>
      </c>
      <c r="G1223" t="str">
        <f>IF(ROW(G1223)&lt;=Bidding!$D$11,Raw_hydro_bm!H1223,"")</f>
        <v/>
      </c>
      <c r="H1223" t="str">
        <f>IF(ROW(H1223)&lt;=Bidding!$D$11,Raw_hydro_bm!I1223,"")</f>
        <v/>
      </c>
      <c r="I1223" s="16" t="str">
        <f t="shared" si="19"/>
        <v/>
      </c>
    </row>
    <row r="1224" spans="1:9" x14ac:dyDescent="0.2">
      <c r="A1224" t="str">
        <f>IF(ROW(A1224)&lt;=Bidding!$D$11,Raw_hydro_bm!B1224,"")</f>
        <v/>
      </c>
      <c r="B1224" t="str">
        <f>IF(ROW(B1224)&lt;=Bidding!$D$11,Raw_hydro_bm!C1224,"")</f>
        <v/>
      </c>
      <c r="C1224" t="str">
        <f>IF(ROW(C1224)&lt;=Bidding!$D$11,Raw_hydro_bm!D1224,"")</f>
        <v/>
      </c>
      <c r="D1224" t="str">
        <f>IF(ROW(D1224)&lt;=Bidding!$D$11,Raw_hydro_bm!E1224,"")</f>
        <v/>
      </c>
      <c r="E1224" t="str">
        <f>IF(ROW(E1224)&lt;=Bidding!$D$11,Raw_hydro_bm!F1224,"")</f>
        <v/>
      </c>
      <c r="F1224" t="str">
        <f>IF(ROW(F1224)&lt;=Bidding!$D$11,Raw_hydro_bm!G1224,"")</f>
        <v/>
      </c>
      <c r="G1224" t="str">
        <f>IF(ROW(G1224)&lt;=Bidding!$D$11,Raw_hydro_bm!H1224,"")</f>
        <v/>
      </c>
      <c r="H1224" t="str">
        <f>IF(ROW(H1224)&lt;=Bidding!$D$11,Raw_hydro_bm!I1224,"")</f>
        <v/>
      </c>
      <c r="I1224" s="16" t="str">
        <f t="shared" si="19"/>
        <v/>
      </c>
    </row>
    <row r="1225" spans="1:9" x14ac:dyDescent="0.2">
      <c r="A1225" t="str">
        <f>IF(ROW(A1225)&lt;=Bidding!$D$11,Raw_hydro_bm!B1225,"")</f>
        <v/>
      </c>
      <c r="B1225" t="str">
        <f>IF(ROW(B1225)&lt;=Bidding!$D$11,Raw_hydro_bm!C1225,"")</f>
        <v/>
      </c>
      <c r="C1225" t="str">
        <f>IF(ROW(C1225)&lt;=Bidding!$D$11,Raw_hydro_bm!D1225,"")</f>
        <v/>
      </c>
      <c r="D1225" t="str">
        <f>IF(ROW(D1225)&lt;=Bidding!$D$11,Raw_hydro_bm!E1225,"")</f>
        <v/>
      </c>
      <c r="E1225" t="str">
        <f>IF(ROW(E1225)&lt;=Bidding!$D$11,Raw_hydro_bm!F1225,"")</f>
        <v/>
      </c>
      <c r="F1225" t="str">
        <f>IF(ROW(F1225)&lt;=Bidding!$D$11,Raw_hydro_bm!G1225,"")</f>
        <v/>
      </c>
      <c r="G1225" t="str">
        <f>IF(ROW(G1225)&lt;=Bidding!$D$11,Raw_hydro_bm!H1225,"")</f>
        <v/>
      </c>
      <c r="H1225" t="str">
        <f>IF(ROW(H1225)&lt;=Bidding!$D$11,Raw_hydro_bm!I1225,"")</f>
        <v/>
      </c>
      <c r="I1225" s="16" t="str">
        <f t="shared" si="19"/>
        <v/>
      </c>
    </row>
    <row r="1226" spans="1:9" x14ac:dyDescent="0.2">
      <c r="A1226" t="str">
        <f>IF(ROW(A1226)&lt;=Bidding!$D$11,Raw_hydro_bm!B1226,"")</f>
        <v/>
      </c>
      <c r="B1226" t="str">
        <f>IF(ROW(B1226)&lt;=Bidding!$D$11,Raw_hydro_bm!C1226,"")</f>
        <v/>
      </c>
      <c r="C1226" t="str">
        <f>IF(ROW(C1226)&lt;=Bidding!$D$11,Raw_hydro_bm!D1226,"")</f>
        <v/>
      </c>
      <c r="D1226" t="str">
        <f>IF(ROW(D1226)&lt;=Bidding!$D$11,Raw_hydro_bm!E1226,"")</f>
        <v/>
      </c>
      <c r="E1226" t="str">
        <f>IF(ROW(E1226)&lt;=Bidding!$D$11,Raw_hydro_bm!F1226,"")</f>
        <v/>
      </c>
      <c r="F1226" t="str">
        <f>IF(ROW(F1226)&lt;=Bidding!$D$11,Raw_hydro_bm!G1226,"")</f>
        <v/>
      </c>
      <c r="G1226" t="str">
        <f>IF(ROW(G1226)&lt;=Bidding!$D$11,Raw_hydro_bm!H1226,"")</f>
        <v/>
      </c>
      <c r="H1226" t="str">
        <f>IF(ROW(H1226)&lt;=Bidding!$D$11,Raw_hydro_bm!I1226,"")</f>
        <v/>
      </c>
      <c r="I1226" s="16" t="str">
        <f t="shared" si="19"/>
        <v/>
      </c>
    </row>
    <row r="1227" spans="1:9" x14ac:dyDescent="0.2">
      <c r="A1227" t="str">
        <f>IF(ROW(A1227)&lt;=Bidding!$D$11,Raw_hydro_bm!B1227,"")</f>
        <v/>
      </c>
      <c r="B1227" t="str">
        <f>IF(ROW(B1227)&lt;=Bidding!$D$11,Raw_hydro_bm!C1227,"")</f>
        <v/>
      </c>
      <c r="C1227" t="str">
        <f>IF(ROW(C1227)&lt;=Bidding!$D$11,Raw_hydro_bm!D1227,"")</f>
        <v/>
      </c>
      <c r="D1227" t="str">
        <f>IF(ROW(D1227)&lt;=Bidding!$D$11,Raw_hydro_bm!E1227,"")</f>
        <v/>
      </c>
      <c r="E1227" t="str">
        <f>IF(ROW(E1227)&lt;=Bidding!$D$11,Raw_hydro_bm!F1227,"")</f>
        <v/>
      </c>
      <c r="F1227" t="str">
        <f>IF(ROW(F1227)&lt;=Bidding!$D$11,Raw_hydro_bm!G1227,"")</f>
        <v/>
      </c>
      <c r="G1227" t="str">
        <f>IF(ROW(G1227)&lt;=Bidding!$D$11,Raw_hydro_bm!H1227,"")</f>
        <v/>
      </c>
      <c r="H1227" t="str">
        <f>IF(ROW(H1227)&lt;=Bidding!$D$11,Raw_hydro_bm!I1227,"")</f>
        <v/>
      </c>
      <c r="I1227" s="16" t="str">
        <f t="shared" si="19"/>
        <v/>
      </c>
    </row>
    <row r="1228" spans="1:9" x14ac:dyDescent="0.2">
      <c r="A1228" t="str">
        <f>IF(ROW(A1228)&lt;=Bidding!$D$11,Raw_hydro_bm!B1228,"")</f>
        <v/>
      </c>
      <c r="B1228" t="str">
        <f>IF(ROW(B1228)&lt;=Bidding!$D$11,Raw_hydro_bm!C1228,"")</f>
        <v/>
      </c>
      <c r="C1228" t="str">
        <f>IF(ROW(C1228)&lt;=Bidding!$D$11,Raw_hydro_bm!D1228,"")</f>
        <v/>
      </c>
      <c r="D1228" t="str">
        <f>IF(ROW(D1228)&lt;=Bidding!$D$11,Raw_hydro_bm!E1228,"")</f>
        <v/>
      </c>
      <c r="E1228" t="str">
        <f>IF(ROW(E1228)&lt;=Bidding!$D$11,Raw_hydro_bm!F1228,"")</f>
        <v/>
      </c>
      <c r="F1228" t="str">
        <f>IF(ROW(F1228)&lt;=Bidding!$D$11,Raw_hydro_bm!G1228,"")</f>
        <v/>
      </c>
      <c r="G1228" t="str">
        <f>IF(ROW(G1228)&lt;=Bidding!$D$11,Raw_hydro_bm!H1228,"")</f>
        <v/>
      </c>
      <c r="H1228" t="str">
        <f>IF(ROW(H1228)&lt;=Bidding!$D$11,Raw_hydro_bm!I1228,"")</f>
        <v/>
      </c>
      <c r="I1228" s="16" t="str">
        <f t="shared" si="19"/>
        <v/>
      </c>
    </row>
    <row r="1229" spans="1:9" x14ac:dyDescent="0.2">
      <c r="A1229" t="str">
        <f>IF(ROW(A1229)&lt;=Bidding!$D$11,Raw_hydro_bm!B1229,"")</f>
        <v/>
      </c>
      <c r="B1229" t="str">
        <f>IF(ROW(B1229)&lt;=Bidding!$D$11,Raw_hydro_bm!C1229,"")</f>
        <v/>
      </c>
      <c r="C1229" t="str">
        <f>IF(ROW(C1229)&lt;=Bidding!$D$11,Raw_hydro_bm!D1229,"")</f>
        <v/>
      </c>
      <c r="D1229" t="str">
        <f>IF(ROW(D1229)&lt;=Bidding!$D$11,Raw_hydro_bm!E1229,"")</f>
        <v/>
      </c>
      <c r="E1229" t="str">
        <f>IF(ROW(E1229)&lt;=Bidding!$D$11,Raw_hydro_bm!F1229,"")</f>
        <v/>
      </c>
      <c r="F1229" t="str">
        <f>IF(ROW(F1229)&lt;=Bidding!$D$11,Raw_hydro_bm!G1229,"")</f>
        <v/>
      </c>
      <c r="G1229" t="str">
        <f>IF(ROW(G1229)&lt;=Bidding!$D$11,Raw_hydro_bm!H1229,"")</f>
        <v/>
      </c>
      <c r="H1229" t="str">
        <f>IF(ROW(H1229)&lt;=Bidding!$D$11,Raw_hydro_bm!I1229,"")</f>
        <v/>
      </c>
      <c r="I1229" s="16" t="str">
        <f t="shared" si="19"/>
        <v/>
      </c>
    </row>
    <row r="1230" spans="1:9" x14ac:dyDescent="0.2">
      <c r="A1230" t="str">
        <f>IF(ROW(A1230)&lt;=Bidding!$D$11,Raw_hydro_bm!B1230,"")</f>
        <v/>
      </c>
      <c r="B1230" t="str">
        <f>IF(ROW(B1230)&lt;=Bidding!$D$11,Raw_hydro_bm!C1230,"")</f>
        <v/>
      </c>
      <c r="C1230" t="str">
        <f>IF(ROW(C1230)&lt;=Bidding!$D$11,Raw_hydro_bm!D1230,"")</f>
        <v/>
      </c>
      <c r="D1230" t="str">
        <f>IF(ROW(D1230)&lt;=Bidding!$D$11,Raw_hydro_bm!E1230,"")</f>
        <v/>
      </c>
      <c r="E1230" t="str">
        <f>IF(ROW(E1230)&lt;=Bidding!$D$11,Raw_hydro_bm!F1230,"")</f>
        <v/>
      </c>
      <c r="F1230" t="str">
        <f>IF(ROW(F1230)&lt;=Bidding!$D$11,Raw_hydro_bm!G1230,"")</f>
        <v/>
      </c>
      <c r="G1230" t="str">
        <f>IF(ROW(G1230)&lt;=Bidding!$D$11,Raw_hydro_bm!H1230,"")</f>
        <v/>
      </c>
      <c r="H1230" t="str">
        <f>IF(ROW(H1230)&lt;=Bidding!$D$11,Raw_hydro_bm!I1230,"")</f>
        <v/>
      </c>
      <c r="I1230" s="16" t="str">
        <f t="shared" si="19"/>
        <v/>
      </c>
    </row>
    <row r="1231" spans="1:9" x14ac:dyDescent="0.2">
      <c r="A1231" t="str">
        <f>IF(ROW(A1231)&lt;=Bidding!$D$11,Raw_hydro_bm!B1231,"")</f>
        <v/>
      </c>
      <c r="B1231" t="str">
        <f>IF(ROW(B1231)&lt;=Bidding!$D$11,Raw_hydro_bm!C1231,"")</f>
        <v/>
      </c>
      <c r="C1231" t="str">
        <f>IF(ROW(C1231)&lt;=Bidding!$D$11,Raw_hydro_bm!D1231,"")</f>
        <v/>
      </c>
      <c r="D1231" t="str">
        <f>IF(ROW(D1231)&lt;=Bidding!$D$11,Raw_hydro_bm!E1231,"")</f>
        <v/>
      </c>
      <c r="E1231" t="str">
        <f>IF(ROW(E1231)&lt;=Bidding!$D$11,Raw_hydro_bm!F1231,"")</f>
        <v/>
      </c>
      <c r="F1231" t="str">
        <f>IF(ROW(F1231)&lt;=Bidding!$D$11,Raw_hydro_bm!G1231,"")</f>
        <v/>
      </c>
      <c r="G1231" t="str">
        <f>IF(ROW(G1231)&lt;=Bidding!$D$11,Raw_hydro_bm!H1231,"")</f>
        <v/>
      </c>
      <c r="H1231" t="str">
        <f>IF(ROW(H1231)&lt;=Bidding!$D$11,Raw_hydro_bm!I1231,"")</f>
        <v/>
      </c>
      <c r="I1231" s="16" t="str">
        <f t="shared" si="19"/>
        <v/>
      </c>
    </row>
    <row r="1232" spans="1:9" x14ac:dyDescent="0.2">
      <c r="A1232" t="str">
        <f>IF(ROW(A1232)&lt;=Bidding!$D$11,Raw_hydro_bm!B1232,"")</f>
        <v/>
      </c>
      <c r="B1232" t="str">
        <f>IF(ROW(B1232)&lt;=Bidding!$D$11,Raw_hydro_bm!C1232,"")</f>
        <v/>
      </c>
      <c r="C1232" t="str">
        <f>IF(ROW(C1232)&lt;=Bidding!$D$11,Raw_hydro_bm!D1232,"")</f>
        <v/>
      </c>
      <c r="D1232" t="str">
        <f>IF(ROW(D1232)&lt;=Bidding!$D$11,Raw_hydro_bm!E1232,"")</f>
        <v/>
      </c>
      <c r="E1232" t="str">
        <f>IF(ROW(E1232)&lt;=Bidding!$D$11,Raw_hydro_bm!F1232,"")</f>
        <v/>
      </c>
      <c r="F1232" t="str">
        <f>IF(ROW(F1232)&lt;=Bidding!$D$11,Raw_hydro_bm!G1232,"")</f>
        <v/>
      </c>
      <c r="G1232" t="str">
        <f>IF(ROW(G1232)&lt;=Bidding!$D$11,Raw_hydro_bm!H1232,"")</f>
        <v/>
      </c>
      <c r="H1232" t="str">
        <f>IF(ROW(H1232)&lt;=Bidding!$D$11,Raw_hydro_bm!I1232,"")</f>
        <v/>
      </c>
      <c r="I1232" s="16" t="str">
        <f t="shared" si="19"/>
        <v/>
      </c>
    </row>
    <row r="1233" spans="1:9" x14ac:dyDescent="0.2">
      <c r="A1233" t="str">
        <f>IF(ROW(A1233)&lt;=Bidding!$D$11,Raw_hydro_bm!B1233,"")</f>
        <v/>
      </c>
      <c r="B1233" t="str">
        <f>IF(ROW(B1233)&lt;=Bidding!$D$11,Raw_hydro_bm!C1233,"")</f>
        <v/>
      </c>
      <c r="C1233" t="str">
        <f>IF(ROW(C1233)&lt;=Bidding!$D$11,Raw_hydro_bm!D1233,"")</f>
        <v/>
      </c>
      <c r="D1233" t="str">
        <f>IF(ROW(D1233)&lt;=Bidding!$D$11,Raw_hydro_bm!E1233,"")</f>
        <v/>
      </c>
      <c r="E1233" t="str">
        <f>IF(ROW(E1233)&lt;=Bidding!$D$11,Raw_hydro_bm!F1233,"")</f>
        <v/>
      </c>
      <c r="F1233" t="str">
        <f>IF(ROW(F1233)&lt;=Bidding!$D$11,Raw_hydro_bm!G1233,"")</f>
        <v/>
      </c>
      <c r="G1233" t="str">
        <f>IF(ROW(G1233)&lt;=Bidding!$D$11,Raw_hydro_bm!H1233,"")</f>
        <v/>
      </c>
      <c r="H1233" t="str">
        <f>IF(ROW(H1233)&lt;=Bidding!$D$11,Raw_hydro_bm!I1233,"")</f>
        <v/>
      </c>
      <c r="I1233" s="16" t="str">
        <f t="shared" si="19"/>
        <v/>
      </c>
    </row>
    <row r="1234" spans="1:9" x14ac:dyDescent="0.2">
      <c r="A1234" t="str">
        <f>IF(ROW(A1234)&lt;=Bidding!$D$11,Raw_hydro_bm!B1234,"")</f>
        <v/>
      </c>
      <c r="B1234" t="str">
        <f>IF(ROW(B1234)&lt;=Bidding!$D$11,Raw_hydro_bm!C1234,"")</f>
        <v/>
      </c>
      <c r="C1234" t="str">
        <f>IF(ROW(C1234)&lt;=Bidding!$D$11,Raw_hydro_bm!D1234,"")</f>
        <v/>
      </c>
      <c r="D1234" t="str">
        <f>IF(ROW(D1234)&lt;=Bidding!$D$11,Raw_hydro_bm!E1234,"")</f>
        <v/>
      </c>
      <c r="E1234" t="str">
        <f>IF(ROW(E1234)&lt;=Bidding!$D$11,Raw_hydro_bm!F1234,"")</f>
        <v/>
      </c>
      <c r="F1234" t="str">
        <f>IF(ROW(F1234)&lt;=Bidding!$D$11,Raw_hydro_bm!G1234,"")</f>
        <v/>
      </c>
      <c r="G1234" t="str">
        <f>IF(ROW(G1234)&lt;=Bidding!$D$11,Raw_hydro_bm!H1234,"")</f>
        <v/>
      </c>
      <c r="H1234" t="str">
        <f>IF(ROW(H1234)&lt;=Bidding!$D$11,Raw_hydro_bm!I1234,"")</f>
        <v/>
      </c>
      <c r="I1234" s="16" t="str">
        <f t="shared" si="19"/>
        <v/>
      </c>
    </row>
    <row r="1235" spans="1:9" x14ac:dyDescent="0.2">
      <c r="A1235" t="str">
        <f>IF(ROW(A1235)&lt;=Bidding!$D$11,Raw_hydro_bm!B1235,"")</f>
        <v/>
      </c>
      <c r="B1235" t="str">
        <f>IF(ROW(B1235)&lt;=Bidding!$D$11,Raw_hydro_bm!C1235,"")</f>
        <v/>
      </c>
      <c r="C1235" t="str">
        <f>IF(ROW(C1235)&lt;=Bidding!$D$11,Raw_hydro_bm!D1235,"")</f>
        <v/>
      </c>
      <c r="D1235" t="str">
        <f>IF(ROW(D1235)&lt;=Bidding!$D$11,Raw_hydro_bm!E1235,"")</f>
        <v/>
      </c>
      <c r="E1235" t="str">
        <f>IF(ROW(E1235)&lt;=Bidding!$D$11,Raw_hydro_bm!F1235,"")</f>
        <v/>
      </c>
      <c r="F1235" t="str">
        <f>IF(ROW(F1235)&lt;=Bidding!$D$11,Raw_hydro_bm!G1235,"")</f>
        <v/>
      </c>
      <c r="G1235" t="str">
        <f>IF(ROW(G1235)&lt;=Bidding!$D$11,Raw_hydro_bm!H1235,"")</f>
        <v/>
      </c>
      <c r="H1235" t="str">
        <f>IF(ROW(H1235)&lt;=Bidding!$D$11,Raw_hydro_bm!I1235,"")</f>
        <v/>
      </c>
      <c r="I1235" s="16" t="str">
        <f t="shared" si="19"/>
        <v/>
      </c>
    </row>
    <row r="1236" spans="1:9" x14ac:dyDescent="0.2">
      <c r="A1236" t="str">
        <f>IF(ROW(A1236)&lt;=Bidding!$D$11,Raw_hydro_bm!B1236,"")</f>
        <v/>
      </c>
      <c r="B1236" t="str">
        <f>IF(ROW(B1236)&lt;=Bidding!$D$11,Raw_hydro_bm!C1236,"")</f>
        <v/>
      </c>
      <c r="C1236" t="str">
        <f>IF(ROW(C1236)&lt;=Bidding!$D$11,Raw_hydro_bm!D1236,"")</f>
        <v/>
      </c>
      <c r="D1236" t="str">
        <f>IF(ROW(D1236)&lt;=Bidding!$D$11,Raw_hydro_bm!E1236,"")</f>
        <v/>
      </c>
      <c r="E1236" t="str">
        <f>IF(ROW(E1236)&lt;=Bidding!$D$11,Raw_hydro_bm!F1236,"")</f>
        <v/>
      </c>
      <c r="F1236" t="str">
        <f>IF(ROW(F1236)&lt;=Bidding!$D$11,Raw_hydro_bm!G1236,"")</f>
        <v/>
      </c>
      <c r="G1236" t="str">
        <f>IF(ROW(G1236)&lt;=Bidding!$D$11,Raw_hydro_bm!H1236,"")</f>
        <v/>
      </c>
      <c r="H1236" t="str">
        <f>IF(ROW(H1236)&lt;=Bidding!$D$11,Raw_hydro_bm!I1236,"")</f>
        <v/>
      </c>
      <c r="I1236" s="16" t="str">
        <f t="shared" si="19"/>
        <v/>
      </c>
    </row>
    <row r="1237" spans="1:9" x14ac:dyDescent="0.2">
      <c r="A1237" t="str">
        <f>IF(ROW(A1237)&lt;=Bidding!$D$11,Raw_hydro_bm!B1237,"")</f>
        <v/>
      </c>
      <c r="B1237" t="str">
        <f>IF(ROW(B1237)&lt;=Bidding!$D$11,Raw_hydro_bm!C1237,"")</f>
        <v/>
      </c>
      <c r="C1237" t="str">
        <f>IF(ROW(C1237)&lt;=Bidding!$D$11,Raw_hydro_bm!D1237,"")</f>
        <v/>
      </c>
      <c r="D1237" t="str">
        <f>IF(ROW(D1237)&lt;=Bidding!$D$11,Raw_hydro_bm!E1237,"")</f>
        <v/>
      </c>
      <c r="E1237" t="str">
        <f>IF(ROW(E1237)&lt;=Bidding!$D$11,Raw_hydro_bm!F1237,"")</f>
        <v/>
      </c>
      <c r="F1237" t="str">
        <f>IF(ROW(F1237)&lt;=Bidding!$D$11,Raw_hydro_bm!G1237,"")</f>
        <v/>
      </c>
      <c r="G1237" t="str">
        <f>IF(ROW(G1237)&lt;=Bidding!$D$11,Raw_hydro_bm!H1237,"")</f>
        <v/>
      </c>
      <c r="H1237" t="str">
        <f>IF(ROW(H1237)&lt;=Bidding!$D$11,Raw_hydro_bm!I1237,"")</f>
        <v/>
      </c>
      <c r="I1237" s="16" t="str">
        <f t="shared" si="19"/>
        <v/>
      </c>
    </row>
    <row r="1238" spans="1:9" x14ac:dyDescent="0.2">
      <c r="A1238" t="str">
        <f>IF(ROW(A1238)&lt;=Bidding!$D$11,Raw_hydro_bm!B1238,"")</f>
        <v/>
      </c>
      <c r="B1238" t="str">
        <f>IF(ROW(B1238)&lt;=Bidding!$D$11,Raw_hydro_bm!C1238,"")</f>
        <v/>
      </c>
      <c r="C1238" t="str">
        <f>IF(ROW(C1238)&lt;=Bidding!$D$11,Raw_hydro_bm!D1238,"")</f>
        <v/>
      </c>
      <c r="D1238" t="str">
        <f>IF(ROW(D1238)&lt;=Bidding!$D$11,Raw_hydro_bm!E1238,"")</f>
        <v/>
      </c>
      <c r="E1238" t="str">
        <f>IF(ROW(E1238)&lt;=Bidding!$D$11,Raw_hydro_bm!F1238,"")</f>
        <v/>
      </c>
      <c r="F1238" t="str">
        <f>IF(ROW(F1238)&lt;=Bidding!$D$11,Raw_hydro_bm!G1238,"")</f>
        <v/>
      </c>
      <c r="G1238" t="str">
        <f>IF(ROW(G1238)&lt;=Bidding!$D$11,Raw_hydro_bm!H1238,"")</f>
        <v/>
      </c>
      <c r="H1238" t="str">
        <f>IF(ROW(H1238)&lt;=Bidding!$D$11,Raw_hydro_bm!I1238,"")</f>
        <v/>
      </c>
      <c r="I1238" s="16" t="str">
        <f t="shared" si="19"/>
        <v/>
      </c>
    </row>
    <row r="1239" spans="1:9" x14ac:dyDescent="0.2">
      <c r="A1239" t="str">
        <f>IF(ROW(A1239)&lt;=Bidding!$D$11,Raw_hydro_bm!B1239,"")</f>
        <v/>
      </c>
      <c r="B1239" t="str">
        <f>IF(ROW(B1239)&lt;=Bidding!$D$11,Raw_hydro_bm!C1239,"")</f>
        <v/>
      </c>
      <c r="C1239" t="str">
        <f>IF(ROW(C1239)&lt;=Bidding!$D$11,Raw_hydro_bm!D1239,"")</f>
        <v/>
      </c>
      <c r="D1239" t="str">
        <f>IF(ROW(D1239)&lt;=Bidding!$D$11,Raw_hydro_bm!E1239,"")</f>
        <v/>
      </c>
      <c r="E1239" t="str">
        <f>IF(ROW(E1239)&lt;=Bidding!$D$11,Raw_hydro_bm!F1239,"")</f>
        <v/>
      </c>
      <c r="F1239" t="str">
        <f>IF(ROW(F1239)&lt;=Bidding!$D$11,Raw_hydro_bm!G1239,"")</f>
        <v/>
      </c>
      <c r="G1239" t="str">
        <f>IF(ROW(G1239)&lt;=Bidding!$D$11,Raw_hydro_bm!H1239,"")</f>
        <v/>
      </c>
      <c r="H1239" t="str">
        <f>IF(ROW(H1239)&lt;=Bidding!$D$11,Raw_hydro_bm!I1239,"")</f>
        <v/>
      </c>
      <c r="I1239" s="16" t="str">
        <f t="shared" si="19"/>
        <v/>
      </c>
    </row>
    <row r="1240" spans="1:9" x14ac:dyDescent="0.2">
      <c r="A1240" t="str">
        <f>IF(ROW(A1240)&lt;=Bidding!$D$11,Raw_hydro_bm!B1240,"")</f>
        <v/>
      </c>
      <c r="B1240" t="str">
        <f>IF(ROW(B1240)&lt;=Bidding!$D$11,Raw_hydro_bm!C1240,"")</f>
        <v/>
      </c>
      <c r="C1240" t="str">
        <f>IF(ROW(C1240)&lt;=Bidding!$D$11,Raw_hydro_bm!D1240,"")</f>
        <v/>
      </c>
      <c r="D1240" t="str">
        <f>IF(ROW(D1240)&lt;=Bidding!$D$11,Raw_hydro_bm!E1240,"")</f>
        <v/>
      </c>
      <c r="E1240" t="str">
        <f>IF(ROW(E1240)&lt;=Bidding!$D$11,Raw_hydro_bm!F1240,"")</f>
        <v/>
      </c>
      <c r="F1240" t="str">
        <f>IF(ROW(F1240)&lt;=Bidding!$D$11,Raw_hydro_bm!G1240,"")</f>
        <v/>
      </c>
      <c r="G1240" t="str">
        <f>IF(ROW(G1240)&lt;=Bidding!$D$11,Raw_hydro_bm!H1240,"")</f>
        <v/>
      </c>
      <c r="H1240" t="str">
        <f>IF(ROW(H1240)&lt;=Bidding!$D$11,Raw_hydro_bm!I1240,"")</f>
        <v/>
      </c>
      <c r="I1240" s="16" t="str">
        <f t="shared" si="19"/>
        <v/>
      </c>
    </row>
    <row r="1241" spans="1:9" x14ac:dyDescent="0.2">
      <c r="A1241" t="str">
        <f>IF(ROW(A1241)&lt;=Bidding!$D$11,Raw_hydro_bm!B1241,"")</f>
        <v/>
      </c>
      <c r="B1241" t="str">
        <f>IF(ROW(B1241)&lt;=Bidding!$D$11,Raw_hydro_bm!C1241,"")</f>
        <v/>
      </c>
      <c r="C1241" t="str">
        <f>IF(ROW(C1241)&lt;=Bidding!$D$11,Raw_hydro_bm!D1241,"")</f>
        <v/>
      </c>
      <c r="D1241" t="str">
        <f>IF(ROW(D1241)&lt;=Bidding!$D$11,Raw_hydro_bm!E1241,"")</f>
        <v/>
      </c>
      <c r="E1241" t="str">
        <f>IF(ROW(E1241)&lt;=Bidding!$D$11,Raw_hydro_bm!F1241,"")</f>
        <v/>
      </c>
      <c r="F1241" t="str">
        <f>IF(ROW(F1241)&lt;=Bidding!$D$11,Raw_hydro_bm!G1241,"")</f>
        <v/>
      </c>
      <c r="G1241" t="str">
        <f>IF(ROW(G1241)&lt;=Bidding!$D$11,Raw_hydro_bm!H1241,"")</f>
        <v/>
      </c>
      <c r="H1241" t="str">
        <f>IF(ROW(H1241)&lt;=Bidding!$D$11,Raw_hydro_bm!I1241,"")</f>
        <v/>
      </c>
      <c r="I1241" s="16" t="str">
        <f t="shared" si="19"/>
        <v/>
      </c>
    </row>
    <row r="1242" spans="1:9" x14ac:dyDescent="0.2">
      <c r="A1242" t="str">
        <f>IF(ROW(A1242)&lt;=Bidding!$D$11,Raw_hydro_bm!B1242,"")</f>
        <v/>
      </c>
      <c r="B1242" t="str">
        <f>IF(ROW(B1242)&lt;=Bidding!$D$11,Raw_hydro_bm!C1242,"")</f>
        <v/>
      </c>
      <c r="C1242" t="str">
        <f>IF(ROW(C1242)&lt;=Bidding!$D$11,Raw_hydro_bm!D1242,"")</f>
        <v/>
      </c>
      <c r="D1242" t="str">
        <f>IF(ROW(D1242)&lt;=Bidding!$D$11,Raw_hydro_bm!E1242,"")</f>
        <v/>
      </c>
      <c r="E1242" t="str">
        <f>IF(ROW(E1242)&lt;=Bidding!$D$11,Raw_hydro_bm!F1242,"")</f>
        <v/>
      </c>
      <c r="F1242" t="str">
        <f>IF(ROW(F1242)&lt;=Bidding!$D$11,Raw_hydro_bm!G1242,"")</f>
        <v/>
      </c>
      <c r="G1242" t="str">
        <f>IF(ROW(G1242)&lt;=Bidding!$D$11,Raw_hydro_bm!H1242,"")</f>
        <v/>
      </c>
      <c r="H1242" t="str">
        <f>IF(ROW(H1242)&lt;=Bidding!$D$11,Raw_hydro_bm!I1242,"")</f>
        <v/>
      </c>
      <c r="I1242" s="16" t="str">
        <f t="shared" si="19"/>
        <v/>
      </c>
    </row>
    <row r="1243" spans="1:9" x14ac:dyDescent="0.2">
      <c r="A1243" t="str">
        <f>IF(ROW(A1243)&lt;=Bidding!$D$11,Raw_hydro_bm!B1243,"")</f>
        <v/>
      </c>
      <c r="B1243" t="str">
        <f>IF(ROW(B1243)&lt;=Bidding!$D$11,Raw_hydro_bm!C1243,"")</f>
        <v/>
      </c>
      <c r="C1243" t="str">
        <f>IF(ROW(C1243)&lt;=Bidding!$D$11,Raw_hydro_bm!D1243,"")</f>
        <v/>
      </c>
      <c r="D1243" t="str">
        <f>IF(ROW(D1243)&lt;=Bidding!$D$11,Raw_hydro_bm!E1243,"")</f>
        <v/>
      </c>
      <c r="E1243" t="str">
        <f>IF(ROW(E1243)&lt;=Bidding!$D$11,Raw_hydro_bm!F1243,"")</f>
        <v/>
      </c>
      <c r="F1243" t="str">
        <f>IF(ROW(F1243)&lt;=Bidding!$D$11,Raw_hydro_bm!G1243,"")</f>
        <v/>
      </c>
      <c r="G1243" t="str">
        <f>IF(ROW(G1243)&lt;=Bidding!$D$11,Raw_hydro_bm!H1243,"")</f>
        <v/>
      </c>
      <c r="H1243" t="str">
        <f>IF(ROW(H1243)&lt;=Bidding!$D$11,Raw_hydro_bm!I1243,"")</f>
        <v/>
      </c>
      <c r="I1243" s="16" t="str">
        <f t="shared" si="19"/>
        <v/>
      </c>
    </row>
    <row r="1244" spans="1:9" x14ac:dyDescent="0.2">
      <c r="A1244" t="str">
        <f>IF(ROW(A1244)&lt;=Bidding!$D$11,Raw_hydro_bm!B1244,"")</f>
        <v/>
      </c>
      <c r="B1244" t="str">
        <f>IF(ROW(B1244)&lt;=Bidding!$D$11,Raw_hydro_bm!C1244,"")</f>
        <v/>
      </c>
      <c r="C1244" t="str">
        <f>IF(ROW(C1244)&lt;=Bidding!$D$11,Raw_hydro_bm!D1244,"")</f>
        <v/>
      </c>
      <c r="D1244" t="str">
        <f>IF(ROW(D1244)&lt;=Bidding!$D$11,Raw_hydro_bm!E1244,"")</f>
        <v/>
      </c>
      <c r="E1244" t="str">
        <f>IF(ROW(E1244)&lt;=Bidding!$D$11,Raw_hydro_bm!F1244,"")</f>
        <v/>
      </c>
      <c r="F1244" t="str">
        <f>IF(ROW(F1244)&lt;=Bidding!$D$11,Raw_hydro_bm!G1244,"")</f>
        <v/>
      </c>
      <c r="G1244" t="str">
        <f>IF(ROW(G1244)&lt;=Bidding!$D$11,Raw_hydro_bm!H1244,"")</f>
        <v/>
      </c>
      <c r="H1244" t="str">
        <f>IF(ROW(H1244)&lt;=Bidding!$D$11,Raw_hydro_bm!I1244,"")</f>
        <v/>
      </c>
      <c r="I1244" s="16" t="str">
        <f t="shared" si="19"/>
        <v/>
      </c>
    </row>
    <row r="1245" spans="1:9" x14ac:dyDescent="0.2">
      <c r="A1245" t="str">
        <f>IF(ROW(A1245)&lt;=Bidding!$D$11,Raw_hydro_bm!B1245,"")</f>
        <v/>
      </c>
      <c r="B1245" t="str">
        <f>IF(ROW(B1245)&lt;=Bidding!$D$11,Raw_hydro_bm!C1245,"")</f>
        <v/>
      </c>
      <c r="C1245" t="str">
        <f>IF(ROW(C1245)&lt;=Bidding!$D$11,Raw_hydro_bm!D1245,"")</f>
        <v/>
      </c>
      <c r="D1245" t="str">
        <f>IF(ROW(D1245)&lt;=Bidding!$D$11,Raw_hydro_bm!E1245,"")</f>
        <v/>
      </c>
      <c r="E1245" t="str">
        <f>IF(ROW(E1245)&lt;=Bidding!$D$11,Raw_hydro_bm!F1245,"")</f>
        <v/>
      </c>
      <c r="F1245" t="str">
        <f>IF(ROW(F1245)&lt;=Bidding!$D$11,Raw_hydro_bm!G1245,"")</f>
        <v/>
      </c>
      <c r="G1245" t="str">
        <f>IF(ROW(G1245)&lt;=Bidding!$D$11,Raw_hydro_bm!H1245,"")</f>
        <v/>
      </c>
      <c r="H1245" t="str">
        <f>IF(ROW(H1245)&lt;=Bidding!$D$11,Raw_hydro_bm!I1245,"")</f>
        <v/>
      </c>
      <c r="I1245" s="16" t="str">
        <f t="shared" si="19"/>
        <v/>
      </c>
    </row>
    <row r="1246" spans="1:9" x14ac:dyDescent="0.2">
      <c r="A1246" t="str">
        <f>IF(ROW(A1246)&lt;=Bidding!$D$11,Raw_hydro_bm!B1246,"")</f>
        <v/>
      </c>
      <c r="B1246" t="str">
        <f>IF(ROW(B1246)&lt;=Bidding!$D$11,Raw_hydro_bm!C1246,"")</f>
        <v/>
      </c>
      <c r="C1246" t="str">
        <f>IF(ROW(C1246)&lt;=Bidding!$D$11,Raw_hydro_bm!D1246,"")</f>
        <v/>
      </c>
      <c r="D1246" t="str">
        <f>IF(ROW(D1246)&lt;=Bidding!$D$11,Raw_hydro_bm!E1246,"")</f>
        <v/>
      </c>
      <c r="E1246" t="str">
        <f>IF(ROW(E1246)&lt;=Bidding!$D$11,Raw_hydro_bm!F1246,"")</f>
        <v/>
      </c>
      <c r="F1246" t="str">
        <f>IF(ROW(F1246)&lt;=Bidding!$D$11,Raw_hydro_bm!G1246,"")</f>
        <v/>
      </c>
      <c r="G1246" t="str">
        <f>IF(ROW(G1246)&lt;=Bidding!$D$11,Raw_hydro_bm!H1246,"")</f>
        <v/>
      </c>
      <c r="H1246" t="str">
        <f>IF(ROW(H1246)&lt;=Bidding!$D$11,Raw_hydro_bm!I1246,"")</f>
        <v/>
      </c>
      <c r="I1246" s="16" t="str">
        <f t="shared" si="19"/>
        <v/>
      </c>
    </row>
    <row r="1247" spans="1:9" x14ac:dyDescent="0.2">
      <c r="A1247" t="str">
        <f>IF(ROW(A1247)&lt;=Bidding!$D$11,Raw_hydro_bm!B1247,"")</f>
        <v/>
      </c>
      <c r="B1247" t="str">
        <f>IF(ROW(B1247)&lt;=Bidding!$D$11,Raw_hydro_bm!C1247,"")</f>
        <v/>
      </c>
      <c r="C1247" t="str">
        <f>IF(ROW(C1247)&lt;=Bidding!$D$11,Raw_hydro_bm!D1247,"")</f>
        <v/>
      </c>
      <c r="D1247" t="str">
        <f>IF(ROW(D1247)&lt;=Bidding!$D$11,Raw_hydro_bm!E1247,"")</f>
        <v/>
      </c>
      <c r="E1247" t="str">
        <f>IF(ROW(E1247)&lt;=Bidding!$D$11,Raw_hydro_bm!F1247,"")</f>
        <v/>
      </c>
      <c r="F1247" t="str">
        <f>IF(ROW(F1247)&lt;=Bidding!$D$11,Raw_hydro_bm!G1247,"")</f>
        <v/>
      </c>
      <c r="G1247" t="str">
        <f>IF(ROW(G1247)&lt;=Bidding!$D$11,Raw_hydro_bm!H1247,"")</f>
        <v/>
      </c>
      <c r="H1247" t="str">
        <f>IF(ROW(H1247)&lt;=Bidding!$D$11,Raw_hydro_bm!I1247,"")</f>
        <v/>
      </c>
      <c r="I1247" s="16" t="str">
        <f t="shared" si="19"/>
        <v/>
      </c>
    </row>
    <row r="1248" spans="1:9" x14ac:dyDescent="0.2">
      <c r="A1248" t="str">
        <f>IF(ROW(A1248)&lt;=Bidding!$D$11,Raw_hydro_bm!B1248,"")</f>
        <v/>
      </c>
      <c r="B1248" t="str">
        <f>IF(ROW(B1248)&lt;=Bidding!$D$11,Raw_hydro_bm!C1248,"")</f>
        <v/>
      </c>
      <c r="C1248" t="str">
        <f>IF(ROW(C1248)&lt;=Bidding!$D$11,Raw_hydro_bm!D1248,"")</f>
        <v/>
      </c>
      <c r="D1248" t="str">
        <f>IF(ROW(D1248)&lt;=Bidding!$D$11,Raw_hydro_bm!E1248,"")</f>
        <v/>
      </c>
      <c r="E1248" t="str">
        <f>IF(ROW(E1248)&lt;=Bidding!$D$11,Raw_hydro_bm!F1248,"")</f>
        <v/>
      </c>
      <c r="F1248" t="str">
        <f>IF(ROW(F1248)&lt;=Bidding!$D$11,Raw_hydro_bm!G1248,"")</f>
        <v/>
      </c>
      <c r="G1248" t="str">
        <f>IF(ROW(G1248)&lt;=Bidding!$D$11,Raw_hydro_bm!H1248,"")</f>
        <v/>
      </c>
      <c r="H1248" t="str">
        <f>IF(ROW(H1248)&lt;=Bidding!$D$11,Raw_hydro_bm!I1248,"")</f>
        <v/>
      </c>
      <c r="I1248" s="16" t="str">
        <f t="shared" si="19"/>
        <v/>
      </c>
    </row>
    <row r="1249" spans="1:9" x14ac:dyDescent="0.2">
      <c r="A1249" t="str">
        <f>IF(ROW(A1249)&lt;=Bidding!$D$11,Raw_hydro_bm!B1249,"")</f>
        <v/>
      </c>
      <c r="B1249" t="str">
        <f>IF(ROW(B1249)&lt;=Bidding!$D$11,Raw_hydro_bm!C1249,"")</f>
        <v/>
      </c>
      <c r="C1249" t="str">
        <f>IF(ROW(C1249)&lt;=Bidding!$D$11,Raw_hydro_bm!D1249,"")</f>
        <v/>
      </c>
      <c r="D1249" t="str">
        <f>IF(ROW(D1249)&lt;=Bidding!$D$11,Raw_hydro_bm!E1249,"")</f>
        <v/>
      </c>
      <c r="E1249" t="str">
        <f>IF(ROW(E1249)&lt;=Bidding!$D$11,Raw_hydro_bm!F1249,"")</f>
        <v/>
      </c>
      <c r="F1249" t="str">
        <f>IF(ROW(F1249)&lt;=Bidding!$D$11,Raw_hydro_bm!G1249,"")</f>
        <v/>
      </c>
      <c r="G1249" t="str">
        <f>IF(ROW(G1249)&lt;=Bidding!$D$11,Raw_hydro_bm!H1249,"")</f>
        <v/>
      </c>
      <c r="H1249" t="str">
        <f>IF(ROW(H1249)&lt;=Bidding!$D$11,Raw_hydro_bm!I1249,"")</f>
        <v/>
      </c>
      <c r="I1249" s="16" t="str">
        <f t="shared" si="19"/>
        <v/>
      </c>
    </row>
    <row r="1250" spans="1:9" x14ac:dyDescent="0.2">
      <c r="A1250" t="str">
        <f>IF(ROW(A1250)&lt;=Bidding!$D$11,Raw_hydro_bm!B1250,"")</f>
        <v/>
      </c>
      <c r="B1250" t="str">
        <f>IF(ROW(B1250)&lt;=Bidding!$D$11,Raw_hydro_bm!C1250,"")</f>
        <v/>
      </c>
      <c r="C1250" t="str">
        <f>IF(ROW(C1250)&lt;=Bidding!$D$11,Raw_hydro_bm!D1250,"")</f>
        <v/>
      </c>
      <c r="D1250" t="str">
        <f>IF(ROW(D1250)&lt;=Bidding!$D$11,Raw_hydro_bm!E1250,"")</f>
        <v/>
      </c>
      <c r="E1250" t="str">
        <f>IF(ROW(E1250)&lt;=Bidding!$D$11,Raw_hydro_bm!F1250,"")</f>
        <v/>
      </c>
      <c r="F1250" t="str">
        <f>IF(ROW(F1250)&lt;=Bidding!$D$11,Raw_hydro_bm!G1250,"")</f>
        <v/>
      </c>
      <c r="G1250" t="str">
        <f>IF(ROW(G1250)&lt;=Bidding!$D$11,Raw_hydro_bm!H1250,"")</f>
        <v/>
      </c>
      <c r="H1250" t="str">
        <f>IF(ROW(H1250)&lt;=Bidding!$D$11,Raw_hydro_bm!I1250,"")</f>
        <v/>
      </c>
      <c r="I1250" s="16" t="str">
        <f t="shared" si="19"/>
        <v/>
      </c>
    </row>
    <row r="1251" spans="1:9" x14ac:dyDescent="0.2">
      <c r="A1251" t="str">
        <f>IF(ROW(A1251)&lt;=Bidding!$D$11,Raw_hydro_bm!B1251,"")</f>
        <v/>
      </c>
      <c r="B1251" t="str">
        <f>IF(ROW(B1251)&lt;=Bidding!$D$11,Raw_hydro_bm!C1251,"")</f>
        <v/>
      </c>
      <c r="C1251" t="str">
        <f>IF(ROW(C1251)&lt;=Bidding!$D$11,Raw_hydro_bm!D1251,"")</f>
        <v/>
      </c>
      <c r="D1251" t="str">
        <f>IF(ROW(D1251)&lt;=Bidding!$D$11,Raw_hydro_bm!E1251,"")</f>
        <v/>
      </c>
      <c r="E1251" t="str">
        <f>IF(ROW(E1251)&lt;=Bidding!$D$11,Raw_hydro_bm!F1251,"")</f>
        <v/>
      </c>
      <c r="F1251" t="str">
        <f>IF(ROW(F1251)&lt;=Bidding!$D$11,Raw_hydro_bm!G1251,"")</f>
        <v/>
      </c>
      <c r="G1251" t="str">
        <f>IF(ROW(G1251)&lt;=Bidding!$D$11,Raw_hydro_bm!H1251,"")</f>
        <v/>
      </c>
      <c r="H1251" t="str">
        <f>IF(ROW(H1251)&lt;=Bidding!$D$11,Raw_hydro_bm!I1251,"")</f>
        <v/>
      </c>
      <c r="I1251" s="16" t="str">
        <f t="shared" si="19"/>
        <v/>
      </c>
    </row>
    <row r="1252" spans="1:9" x14ac:dyDescent="0.2">
      <c r="A1252" t="str">
        <f>IF(ROW(A1252)&lt;=Bidding!$D$11,Raw_hydro_bm!B1252,"")</f>
        <v/>
      </c>
      <c r="B1252" t="str">
        <f>IF(ROW(B1252)&lt;=Bidding!$D$11,Raw_hydro_bm!C1252,"")</f>
        <v/>
      </c>
      <c r="C1252" t="str">
        <f>IF(ROW(C1252)&lt;=Bidding!$D$11,Raw_hydro_bm!D1252,"")</f>
        <v/>
      </c>
      <c r="D1252" t="str">
        <f>IF(ROW(D1252)&lt;=Bidding!$D$11,Raw_hydro_bm!E1252,"")</f>
        <v/>
      </c>
      <c r="E1252" t="str">
        <f>IF(ROW(E1252)&lt;=Bidding!$D$11,Raw_hydro_bm!F1252,"")</f>
        <v/>
      </c>
      <c r="F1252" t="str">
        <f>IF(ROW(F1252)&lt;=Bidding!$D$11,Raw_hydro_bm!G1252,"")</f>
        <v/>
      </c>
      <c r="G1252" t="str">
        <f>IF(ROW(G1252)&lt;=Bidding!$D$11,Raw_hydro_bm!H1252,"")</f>
        <v/>
      </c>
      <c r="H1252" t="str">
        <f>IF(ROW(H1252)&lt;=Bidding!$D$11,Raw_hydro_bm!I1252,"")</f>
        <v/>
      </c>
      <c r="I1252" s="16" t="str">
        <f t="shared" si="19"/>
        <v/>
      </c>
    </row>
    <row r="1253" spans="1:9" x14ac:dyDescent="0.2">
      <c r="A1253" t="str">
        <f>IF(ROW(A1253)&lt;=Bidding!$D$11,Raw_hydro_bm!B1253,"")</f>
        <v/>
      </c>
      <c r="B1253" t="str">
        <f>IF(ROW(B1253)&lt;=Bidding!$D$11,Raw_hydro_bm!C1253,"")</f>
        <v/>
      </c>
      <c r="C1253" t="str">
        <f>IF(ROW(C1253)&lt;=Bidding!$D$11,Raw_hydro_bm!D1253,"")</f>
        <v/>
      </c>
      <c r="D1253" t="str">
        <f>IF(ROW(D1253)&lt;=Bidding!$D$11,Raw_hydro_bm!E1253,"")</f>
        <v/>
      </c>
      <c r="E1253" t="str">
        <f>IF(ROW(E1253)&lt;=Bidding!$D$11,Raw_hydro_bm!F1253,"")</f>
        <v/>
      </c>
      <c r="F1253" t="str">
        <f>IF(ROW(F1253)&lt;=Bidding!$D$11,Raw_hydro_bm!G1253,"")</f>
        <v/>
      </c>
      <c r="G1253" t="str">
        <f>IF(ROW(G1253)&lt;=Bidding!$D$11,Raw_hydro_bm!H1253,"")</f>
        <v/>
      </c>
      <c r="H1253" t="str">
        <f>IF(ROW(H1253)&lt;=Bidding!$D$11,Raw_hydro_bm!I1253,"")</f>
        <v/>
      </c>
      <c r="I1253" s="16" t="str">
        <f t="shared" si="19"/>
        <v/>
      </c>
    </row>
    <row r="1254" spans="1:9" x14ac:dyDescent="0.2">
      <c r="A1254" t="str">
        <f>IF(ROW(A1254)&lt;=Bidding!$D$11,Raw_hydro_bm!B1254,"")</f>
        <v/>
      </c>
      <c r="B1254" t="str">
        <f>IF(ROW(B1254)&lt;=Bidding!$D$11,Raw_hydro_bm!C1254,"")</f>
        <v/>
      </c>
      <c r="C1254" t="str">
        <f>IF(ROW(C1254)&lt;=Bidding!$D$11,Raw_hydro_bm!D1254,"")</f>
        <v/>
      </c>
      <c r="D1254" t="str">
        <f>IF(ROW(D1254)&lt;=Bidding!$D$11,Raw_hydro_bm!E1254,"")</f>
        <v/>
      </c>
      <c r="E1254" t="str">
        <f>IF(ROW(E1254)&lt;=Bidding!$D$11,Raw_hydro_bm!F1254,"")</f>
        <v/>
      </c>
      <c r="F1254" t="str">
        <f>IF(ROW(F1254)&lt;=Bidding!$D$11,Raw_hydro_bm!G1254,"")</f>
        <v/>
      </c>
      <c r="G1254" t="str">
        <f>IF(ROW(G1254)&lt;=Bidding!$D$11,Raw_hydro_bm!H1254,"")</f>
        <v/>
      </c>
      <c r="H1254" t="str">
        <f>IF(ROW(H1254)&lt;=Bidding!$D$11,Raw_hydro_bm!I1254,"")</f>
        <v/>
      </c>
      <c r="I1254" s="16" t="str">
        <f t="shared" si="19"/>
        <v/>
      </c>
    </row>
    <row r="1255" spans="1:9" x14ac:dyDescent="0.2">
      <c r="A1255" t="str">
        <f>IF(ROW(A1255)&lt;=Bidding!$D$11,Raw_hydro_bm!B1255,"")</f>
        <v/>
      </c>
      <c r="B1255" t="str">
        <f>IF(ROW(B1255)&lt;=Bidding!$D$11,Raw_hydro_bm!C1255,"")</f>
        <v/>
      </c>
      <c r="C1255" t="str">
        <f>IF(ROW(C1255)&lt;=Bidding!$D$11,Raw_hydro_bm!D1255,"")</f>
        <v/>
      </c>
      <c r="D1255" t="str">
        <f>IF(ROW(D1255)&lt;=Bidding!$D$11,Raw_hydro_bm!E1255,"")</f>
        <v/>
      </c>
      <c r="E1255" t="str">
        <f>IF(ROW(E1255)&lt;=Bidding!$D$11,Raw_hydro_bm!F1255,"")</f>
        <v/>
      </c>
      <c r="F1255" t="str">
        <f>IF(ROW(F1255)&lt;=Bidding!$D$11,Raw_hydro_bm!G1255,"")</f>
        <v/>
      </c>
      <c r="G1255" t="str">
        <f>IF(ROW(G1255)&lt;=Bidding!$D$11,Raw_hydro_bm!H1255,"")</f>
        <v/>
      </c>
      <c r="H1255" t="str">
        <f>IF(ROW(H1255)&lt;=Bidding!$D$11,Raw_hydro_bm!I1255,"")</f>
        <v/>
      </c>
      <c r="I1255" s="16" t="str">
        <f t="shared" si="19"/>
        <v/>
      </c>
    </row>
    <row r="1256" spans="1:9" x14ac:dyDescent="0.2">
      <c r="A1256" t="str">
        <f>IF(ROW(A1256)&lt;=Bidding!$D$11,Raw_hydro_bm!B1256,"")</f>
        <v/>
      </c>
      <c r="B1256" t="str">
        <f>IF(ROW(B1256)&lt;=Bidding!$D$11,Raw_hydro_bm!C1256,"")</f>
        <v/>
      </c>
      <c r="C1256" t="str">
        <f>IF(ROW(C1256)&lt;=Bidding!$D$11,Raw_hydro_bm!D1256,"")</f>
        <v/>
      </c>
      <c r="D1256" t="str">
        <f>IF(ROW(D1256)&lt;=Bidding!$D$11,Raw_hydro_bm!E1256,"")</f>
        <v/>
      </c>
      <c r="E1256" t="str">
        <f>IF(ROW(E1256)&lt;=Bidding!$D$11,Raw_hydro_bm!F1256,"")</f>
        <v/>
      </c>
      <c r="F1256" t="str">
        <f>IF(ROW(F1256)&lt;=Bidding!$D$11,Raw_hydro_bm!G1256,"")</f>
        <v/>
      </c>
      <c r="G1256" t="str">
        <f>IF(ROW(G1256)&lt;=Bidding!$D$11,Raw_hydro_bm!H1256,"")</f>
        <v/>
      </c>
      <c r="H1256" t="str">
        <f>IF(ROW(H1256)&lt;=Bidding!$D$11,Raw_hydro_bm!I1256,"")</f>
        <v/>
      </c>
      <c r="I1256" s="16" t="str">
        <f t="shared" si="19"/>
        <v/>
      </c>
    </row>
    <row r="1257" spans="1:9" x14ac:dyDescent="0.2">
      <c r="A1257" t="str">
        <f>IF(ROW(A1257)&lt;=Bidding!$D$11,Raw_hydro_bm!B1257,"")</f>
        <v/>
      </c>
      <c r="B1257" t="str">
        <f>IF(ROW(B1257)&lt;=Bidding!$D$11,Raw_hydro_bm!C1257,"")</f>
        <v/>
      </c>
      <c r="C1257" t="str">
        <f>IF(ROW(C1257)&lt;=Bidding!$D$11,Raw_hydro_bm!D1257,"")</f>
        <v/>
      </c>
      <c r="D1257" t="str">
        <f>IF(ROW(D1257)&lt;=Bidding!$D$11,Raw_hydro_bm!E1257,"")</f>
        <v/>
      </c>
      <c r="E1257" t="str">
        <f>IF(ROW(E1257)&lt;=Bidding!$D$11,Raw_hydro_bm!F1257,"")</f>
        <v/>
      </c>
      <c r="F1257" t="str">
        <f>IF(ROW(F1257)&lt;=Bidding!$D$11,Raw_hydro_bm!G1257,"")</f>
        <v/>
      </c>
      <c r="G1257" t="str">
        <f>IF(ROW(G1257)&lt;=Bidding!$D$11,Raw_hydro_bm!H1257,"")</f>
        <v/>
      </c>
      <c r="H1257" t="str">
        <f>IF(ROW(H1257)&lt;=Bidding!$D$11,Raw_hydro_bm!I1257,"")</f>
        <v/>
      </c>
      <c r="I1257" s="16" t="str">
        <f t="shared" si="19"/>
        <v/>
      </c>
    </row>
    <row r="1258" spans="1:9" x14ac:dyDescent="0.2">
      <c r="A1258" t="str">
        <f>IF(ROW(A1258)&lt;=Bidding!$D$11,Raw_hydro_bm!B1258,"")</f>
        <v/>
      </c>
      <c r="B1258" t="str">
        <f>IF(ROW(B1258)&lt;=Bidding!$D$11,Raw_hydro_bm!C1258,"")</f>
        <v/>
      </c>
      <c r="C1258" t="str">
        <f>IF(ROW(C1258)&lt;=Bidding!$D$11,Raw_hydro_bm!D1258,"")</f>
        <v/>
      </c>
      <c r="D1258" t="str">
        <f>IF(ROW(D1258)&lt;=Bidding!$D$11,Raw_hydro_bm!E1258,"")</f>
        <v/>
      </c>
      <c r="E1258" t="str">
        <f>IF(ROW(E1258)&lt;=Bidding!$D$11,Raw_hydro_bm!F1258,"")</f>
        <v/>
      </c>
      <c r="F1258" t="str">
        <f>IF(ROW(F1258)&lt;=Bidding!$D$11,Raw_hydro_bm!G1258,"")</f>
        <v/>
      </c>
      <c r="G1258" t="str">
        <f>IF(ROW(G1258)&lt;=Bidding!$D$11,Raw_hydro_bm!H1258,"")</f>
        <v/>
      </c>
      <c r="H1258" t="str">
        <f>IF(ROW(H1258)&lt;=Bidding!$D$11,Raw_hydro_bm!I1258,"")</f>
        <v/>
      </c>
      <c r="I1258" s="16" t="str">
        <f t="shared" si="19"/>
        <v/>
      </c>
    </row>
    <row r="1259" spans="1:9" x14ac:dyDescent="0.2">
      <c r="A1259" t="str">
        <f>IF(ROW(A1259)&lt;=Bidding!$D$11,Raw_hydro_bm!B1259,"")</f>
        <v/>
      </c>
      <c r="B1259" t="str">
        <f>IF(ROW(B1259)&lt;=Bidding!$D$11,Raw_hydro_bm!C1259,"")</f>
        <v/>
      </c>
      <c r="C1259" t="str">
        <f>IF(ROW(C1259)&lt;=Bidding!$D$11,Raw_hydro_bm!D1259,"")</f>
        <v/>
      </c>
      <c r="D1259" t="str">
        <f>IF(ROW(D1259)&lt;=Bidding!$D$11,Raw_hydro_bm!E1259,"")</f>
        <v/>
      </c>
      <c r="E1259" t="str">
        <f>IF(ROW(E1259)&lt;=Bidding!$D$11,Raw_hydro_bm!F1259,"")</f>
        <v/>
      </c>
      <c r="F1259" t="str">
        <f>IF(ROW(F1259)&lt;=Bidding!$D$11,Raw_hydro_bm!G1259,"")</f>
        <v/>
      </c>
      <c r="G1259" t="str">
        <f>IF(ROW(G1259)&lt;=Bidding!$D$11,Raw_hydro_bm!H1259,"")</f>
        <v/>
      </c>
      <c r="H1259" t="str">
        <f>IF(ROW(H1259)&lt;=Bidding!$D$11,Raw_hydro_bm!I1259,"")</f>
        <v/>
      </c>
      <c r="I1259" s="16" t="str">
        <f t="shared" si="19"/>
        <v/>
      </c>
    </row>
    <row r="1260" spans="1:9" x14ac:dyDescent="0.2">
      <c r="A1260" t="str">
        <f>IF(ROW(A1260)&lt;=Bidding!$D$11,Raw_hydro_bm!B1260,"")</f>
        <v/>
      </c>
      <c r="B1260" t="str">
        <f>IF(ROW(B1260)&lt;=Bidding!$D$11,Raw_hydro_bm!C1260,"")</f>
        <v/>
      </c>
      <c r="C1260" t="str">
        <f>IF(ROW(C1260)&lt;=Bidding!$D$11,Raw_hydro_bm!D1260,"")</f>
        <v/>
      </c>
      <c r="D1260" t="str">
        <f>IF(ROW(D1260)&lt;=Bidding!$D$11,Raw_hydro_bm!E1260,"")</f>
        <v/>
      </c>
      <c r="E1260" t="str">
        <f>IF(ROW(E1260)&lt;=Bidding!$D$11,Raw_hydro_bm!F1260,"")</f>
        <v/>
      </c>
      <c r="F1260" t="str">
        <f>IF(ROW(F1260)&lt;=Bidding!$D$11,Raw_hydro_bm!G1260,"")</f>
        <v/>
      </c>
      <c r="G1260" t="str">
        <f>IF(ROW(G1260)&lt;=Bidding!$D$11,Raw_hydro_bm!H1260,"")</f>
        <v/>
      </c>
      <c r="H1260" t="str">
        <f>IF(ROW(H1260)&lt;=Bidding!$D$11,Raw_hydro_bm!I1260,"")</f>
        <v/>
      </c>
      <c r="I1260" s="16" t="str">
        <f t="shared" si="19"/>
        <v/>
      </c>
    </row>
    <row r="1261" spans="1:9" x14ac:dyDescent="0.2">
      <c r="A1261" t="str">
        <f>IF(ROW(A1261)&lt;=Bidding!$D$11,Raw_hydro_bm!B1261,"")</f>
        <v/>
      </c>
      <c r="B1261" t="str">
        <f>IF(ROW(B1261)&lt;=Bidding!$D$11,Raw_hydro_bm!C1261,"")</f>
        <v/>
      </c>
      <c r="C1261" t="str">
        <f>IF(ROW(C1261)&lt;=Bidding!$D$11,Raw_hydro_bm!D1261,"")</f>
        <v/>
      </c>
      <c r="D1261" t="str">
        <f>IF(ROW(D1261)&lt;=Bidding!$D$11,Raw_hydro_bm!E1261,"")</f>
        <v/>
      </c>
      <c r="E1261" t="str">
        <f>IF(ROW(E1261)&lt;=Bidding!$D$11,Raw_hydro_bm!F1261,"")</f>
        <v/>
      </c>
      <c r="F1261" t="str">
        <f>IF(ROW(F1261)&lt;=Bidding!$D$11,Raw_hydro_bm!G1261,"")</f>
        <v/>
      </c>
      <c r="G1261" t="str">
        <f>IF(ROW(G1261)&lt;=Bidding!$D$11,Raw_hydro_bm!H1261,"")</f>
        <v/>
      </c>
      <c r="H1261" t="str">
        <f>IF(ROW(H1261)&lt;=Bidding!$D$11,Raw_hydro_bm!I1261,"")</f>
        <v/>
      </c>
      <c r="I1261" s="16" t="str">
        <f t="shared" si="19"/>
        <v/>
      </c>
    </row>
    <row r="1262" spans="1:9" x14ac:dyDescent="0.2">
      <c r="A1262" t="str">
        <f>IF(ROW(A1262)&lt;=Bidding!$D$11,Raw_hydro_bm!B1262,"")</f>
        <v/>
      </c>
      <c r="B1262" t="str">
        <f>IF(ROW(B1262)&lt;=Bidding!$D$11,Raw_hydro_bm!C1262,"")</f>
        <v/>
      </c>
      <c r="C1262" t="str">
        <f>IF(ROW(C1262)&lt;=Bidding!$D$11,Raw_hydro_bm!D1262,"")</f>
        <v/>
      </c>
      <c r="D1262" t="str">
        <f>IF(ROW(D1262)&lt;=Bidding!$D$11,Raw_hydro_bm!E1262,"")</f>
        <v/>
      </c>
      <c r="E1262" t="str">
        <f>IF(ROW(E1262)&lt;=Bidding!$D$11,Raw_hydro_bm!F1262,"")</f>
        <v/>
      </c>
      <c r="F1262" t="str">
        <f>IF(ROW(F1262)&lt;=Bidding!$D$11,Raw_hydro_bm!G1262,"")</f>
        <v/>
      </c>
      <c r="G1262" t="str">
        <f>IF(ROW(G1262)&lt;=Bidding!$D$11,Raw_hydro_bm!H1262,"")</f>
        <v/>
      </c>
      <c r="H1262" t="str">
        <f>IF(ROW(H1262)&lt;=Bidding!$D$11,Raw_hydro_bm!I1262,"")</f>
        <v/>
      </c>
      <c r="I1262" s="16" t="str">
        <f t="shared" si="19"/>
        <v/>
      </c>
    </row>
    <row r="1263" spans="1:9" x14ac:dyDescent="0.2">
      <c r="A1263" t="str">
        <f>IF(ROW(A1263)&lt;=Bidding!$D$11,Raw_hydro_bm!B1263,"")</f>
        <v/>
      </c>
      <c r="B1263" t="str">
        <f>IF(ROW(B1263)&lt;=Bidding!$D$11,Raw_hydro_bm!C1263,"")</f>
        <v/>
      </c>
      <c r="C1263" t="str">
        <f>IF(ROW(C1263)&lt;=Bidding!$D$11,Raw_hydro_bm!D1263,"")</f>
        <v/>
      </c>
      <c r="D1263" t="str">
        <f>IF(ROW(D1263)&lt;=Bidding!$D$11,Raw_hydro_bm!E1263,"")</f>
        <v/>
      </c>
      <c r="E1263" t="str">
        <f>IF(ROW(E1263)&lt;=Bidding!$D$11,Raw_hydro_bm!F1263,"")</f>
        <v/>
      </c>
      <c r="F1263" t="str">
        <f>IF(ROW(F1263)&lt;=Bidding!$D$11,Raw_hydro_bm!G1263,"")</f>
        <v/>
      </c>
      <c r="G1263" t="str">
        <f>IF(ROW(G1263)&lt;=Bidding!$D$11,Raw_hydro_bm!H1263,"")</f>
        <v/>
      </c>
      <c r="H1263" t="str">
        <f>IF(ROW(H1263)&lt;=Bidding!$D$11,Raw_hydro_bm!I1263,"")</f>
        <v/>
      </c>
      <c r="I1263" s="16" t="str">
        <f t="shared" si="19"/>
        <v/>
      </c>
    </row>
    <row r="1264" spans="1:9" x14ac:dyDescent="0.2">
      <c r="A1264" t="str">
        <f>IF(ROW(A1264)&lt;=Bidding!$D$11,Raw_hydro_bm!B1264,"")</f>
        <v/>
      </c>
      <c r="B1264" t="str">
        <f>IF(ROW(B1264)&lt;=Bidding!$D$11,Raw_hydro_bm!C1264,"")</f>
        <v/>
      </c>
      <c r="C1264" t="str">
        <f>IF(ROW(C1264)&lt;=Bidding!$D$11,Raw_hydro_bm!D1264,"")</f>
        <v/>
      </c>
      <c r="D1264" t="str">
        <f>IF(ROW(D1264)&lt;=Bidding!$D$11,Raw_hydro_bm!E1264,"")</f>
        <v/>
      </c>
      <c r="E1264" t="str">
        <f>IF(ROW(E1264)&lt;=Bidding!$D$11,Raw_hydro_bm!F1264,"")</f>
        <v/>
      </c>
      <c r="F1264" t="str">
        <f>IF(ROW(F1264)&lt;=Bidding!$D$11,Raw_hydro_bm!G1264,"")</f>
        <v/>
      </c>
      <c r="G1264" t="str">
        <f>IF(ROW(G1264)&lt;=Bidding!$D$11,Raw_hydro_bm!H1264,"")</f>
        <v/>
      </c>
      <c r="H1264" t="str">
        <f>IF(ROW(H1264)&lt;=Bidding!$D$11,Raw_hydro_bm!I1264,"")</f>
        <v/>
      </c>
      <c r="I1264" s="16" t="str">
        <f t="shared" si="19"/>
        <v/>
      </c>
    </row>
    <row r="1265" spans="1:9" x14ac:dyDescent="0.2">
      <c r="A1265" t="str">
        <f>IF(ROW(A1265)&lt;=Bidding!$D$11,Raw_hydro_bm!B1265,"")</f>
        <v/>
      </c>
      <c r="B1265" t="str">
        <f>IF(ROW(B1265)&lt;=Bidding!$D$11,Raw_hydro_bm!C1265,"")</f>
        <v/>
      </c>
      <c r="C1265" t="str">
        <f>IF(ROW(C1265)&lt;=Bidding!$D$11,Raw_hydro_bm!D1265,"")</f>
        <v/>
      </c>
      <c r="D1265" t="str">
        <f>IF(ROW(D1265)&lt;=Bidding!$D$11,Raw_hydro_bm!E1265,"")</f>
        <v/>
      </c>
      <c r="E1265" t="str">
        <f>IF(ROW(E1265)&lt;=Bidding!$D$11,Raw_hydro_bm!F1265,"")</f>
        <v/>
      </c>
      <c r="F1265" t="str">
        <f>IF(ROW(F1265)&lt;=Bidding!$D$11,Raw_hydro_bm!G1265,"")</f>
        <v/>
      </c>
      <c r="G1265" t="str">
        <f>IF(ROW(G1265)&lt;=Bidding!$D$11,Raw_hydro_bm!H1265,"")</f>
        <v/>
      </c>
      <c r="H1265" t="str">
        <f>IF(ROW(H1265)&lt;=Bidding!$D$11,Raw_hydro_bm!I1265,"")</f>
        <v/>
      </c>
      <c r="I1265" s="16" t="str">
        <f t="shared" si="19"/>
        <v/>
      </c>
    </row>
    <row r="1266" spans="1:9" x14ac:dyDescent="0.2">
      <c r="A1266" t="str">
        <f>IF(ROW(A1266)&lt;=Bidding!$D$11,Raw_hydro_bm!B1266,"")</f>
        <v/>
      </c>
      <c r="B1266" t="str">
        <f>IF(ROW(B1266)&lt;=Bidding!$D$11,Raw_hydro_bm!C1266,"")</f>
        <v/>
      </c>
      <c r="C1266" t="str">
        <f>IF(ROW(C1266)&lt;=Bidding!$D$11,Raw_hydro_bm!D1266,"")</f>
        <v/>
      </c>
      <c r="D1266" t="str">
        <f>IF(ROW(D1266)&lt;=Bidding!$D$11,Raw_hydro_bm!E1266,"")</f>
        <v/>
      </c>
      <c r="E1266" t="str">
        <f>IF(ROW(E1266)&lt;=Bidding!$D$11,Raw_hydro_bm!F1266,"")</f>
        <v/>
      </c>
      <c r="F1266" t="str">
        <f>IF(ROW(F1266)&lt;=Bidding!$D$11,Raw_hydro_bm!G1266,"")</f>
        <v/>
      </c>
      <c r="G1266" t="str">
        <f>IF(ROW(G1266)&lt;=Bidding!$D$11,Raw_hydro_bm!H1266,"")</f>
        <v/>
      </c>
      <c r="H1266" t="str">
        <f>IF(ROW(H1266)&lt;=Bidding!$D$11,Raw_hydro_bm!I1266,"")</f>
        <v/>
      </c>
      <c r="I1266" s="16" t="str">
        <f t="shared" si="19"/>
        <v/>
      </c>
    </row>
    <row r="1267" spans="1:9" x14ac:dyDescent="0.2">
      <c r="A1267" t="str">
        <f>IF(ROW(A1267)&lt;=Bidding!$D$11,Raw_hydro_bm!B1267,"")</f>
        <v/>
      </c>
      <c r="B1267" t="str">
        <f>IF(ROW(B1267)&lt;=Bidding!$D$11,Raw_hydro_bm!C1267,"")</f>
        <v/>
      </c>
      <c r="C1267" t="str">
        <f>IF(ROW(C1267)&lt;=Bidding!$D$11,Raw_hydro_bm!D1267,"")</f>
        <v/>
      </c>
      <c r="D1267" t="str">
        <f>IF(ROW(D1267)&lt;=Bidding!$D$11,Raw_hydro_bm!E1267,"")</f>
        <v/>
      </c>
      <c r="E1267" t="str">
        <f>IF(ROW(E1267)&lt;=Bidding!$D$11,Raw_hydro_bm!F1267,"")</f>
        <v/>
      </c>
      <c r="F1267" t="str">
        <f>IF(ROW(F1267)&lt;=Bidding!$D$11,Raw_hydro_bm!G1267,"")</f>
        <v/>
      </c>
      <c r="G1267" t="str">
        <f>IF(ROW(G1267)&lt;=Bidding!$D$11,Raw_hydro_bm!H1267,"")</f>
        <v/>
      </c>
      <c r="H1267" t="str">
        <f>IF(ROW(H1267)&lt;=Bidding!$D$11,Raw_hydro_bm!I1267,"")</f>
        <v/>
      </c>
      <c r="I1267" s="16" t="str">
        <f t="shared" si="19"/>
        <v/>
      </c>
    </row>
    <row r="1268" spans="1:9" x14ac:dyDescent="0.2">
      <c r="A1268" t="str">
        <f>IF(ROW(A1268)&lt;=Bidding!$D$11,Raw_hydro_bm!B1268,"")</f>
        <v/>
      </c>
      <c r="B1268" t="str">
        <f>IF(ROW(B1268)&lt;=Bidding!$D$11,Raw_hydro_bm!C1268,"")</f>
        <v/>
      </c>
      <c r="C1268" t="str">
        <f>IF(ROW(C1268)&lt;=Bidding!$D$11,Raw_hydro_bm!D1268,"")</f>
        <v/>
      </c>
      <c r="D1268" t="str">
        <f>IF(ROW(D1268)&lt;=Bidding!$D$11,Raw_hydro_bm!E1268,"")</f>
        <v/>
      </c>
      <c r="E1268" t="str">
        <f>IF(ROW(E1268)&lt;=Bidding!$D$11,Raw_hydro_bm!F1268,"")</f>
        <v/>
      </c>
      <c r="F1268" t="str">
        <f>IF(ROW(F1268)&lt;=Bidding!$D$11,Raw_hydro_bm!G1268,"")</f>
        <v/>
      </c>
      <c r="G1268" t="str">
        <f>IF(ROW(G1268)&lt;=Bidding!$D$11,Raw_hydro_bm!H1268,"")</f>
        <v/>
      </c>
      <c r="H1268" t="str">
        <f>IF(ROW(H1268)&lt;=Bidding!$D$11,Raw_hydro_bm!I1268,"")</f>
        <v/>
      </c>
      <c r="I1268" s="16" t="str">
        <f t="shared" si="19"/>
        <v/>
      </c>
    </row>
    <row r="1269" spans="1:9" x14ac:dyDescent="0.2">
      <c r="A1269" t="str">
        <f>IF(ROW(A1269)&lt;=Bidding!$D$11,Raw_hydro_bm!B1269,"")</f>
        <v/>
      </c>
      <c r="B1269" t="str">
        <f>IF(ROW(B1269)&lt;=Bidding!$D$11,Raw_hydro_bm!C1269,"")</f>
        <v/>
      </c>
      <c r="C1269" t="str">
        <f>IF(ROW(C1269)&lt;=Bidding!$D$11,Raw_hydro_bm!D1269,"")</f>
        <v/>
      </c>
      <c r="D1269" t="str">
        <f>IF(ROW(D1269)&lt;=Bidding!$D$11,Raw_hydro_bm!E1269,"")</f>
        <v/>
      </c>
      <c r="E1269" t="str">
        <f>IF(ROW(E1269)&lt;=Bidding!$D$11,Raw_hydro_bm!F1269,"")</f>
        <v/>
      </c>
      <c r="F1269" t="str">
        <f>IF(ROW(F1269)&lt;=Bidding!$D$11,Raw_hydro_bm!G1269,"")</f>
        <v/>
      </c>
      <c r="G1269" t="str">
        <f>IF(ROW(G1269)&lt;=Bidding!$D$11,Raw_hydro_bm!H1269,"")</f>
        <v/>
      </c>
      <c r="H1269" t="str">
        <f>IF(ROW(H1269)&lt;=Bidding!$D$11,Raw_hydro_bm!I1269,"")</f>
        <v/>
      </c>
      <c r="I1269" s="16" t="str">
        <f t="shared" si="19"/>
        <v/>
      </c>
    </row>
    <row r="1270" spans="1:9" x14ac:dyDescent="0.2">
      <c r="A1270" t="str">
        <f>IF(ROW(A1270)&lt;=Bidding!$D$11,Raw_hydro_bm!B1270,"")</f>
        <v/>
      </c>
      <c r="B1270" t="str">
        <f>IF(ROW(B1270)&lt;=Bidding!$D$11,Raw_hydro_bm!C1270,"")</f>
        <v/>
      </c>
      <c r="C1270" t="str">
        <f>IF(ROW(C1270)&lt;=Bidding!$D$11,Raw_hydro_bm!D1270,"")</f>
        <v/>
      </c>
      <c r="D1270" t="str">
        <f>IF(ROW(D1270)&lt;=Bidding!$D$11,Raw_hydro_bm!E1270,"")</f>
        <v/>
      </c>
      <c r="E1270" t="str">
        <f>IF(ROW(E1270)&lt;=Bidding!$D$11,Raw_hydro_bm!F1270,"")</f>
        <v/>
      </c>
      <c r="F1270" t="str">
        <f>IF(ROW(F1270)&lt;=Bidding!$D$11,Raw_hydro_bm!G1270,"")</f>
        <v/>
      </c>
      <c r="G1270" t="str">
        <f>IF(ROW(G1270)&lt;=Bidding!$D$11,Raw_hydro_bm!H1270,"")</f>
        <v/>
      </c>
      <c r="H1270" t="str">
        <f>IF(ROW(H1270)&lt;=Bidding!$D$11,Raw_hydro_bm!I1270,"")</f>
        <v/>
      </c>
      <c r="I1270" s="16" t="str">
        <f t="shared" si="19"/>
        <v/>
      </c>
    </row>
    <row r="1271" spans="1:9" x14ac:dyDescent="0.2">
      <c r="A1271" t="str">
        <f>IF(ROW(A1271)&lt;=Bidding!$D$11,Raw_hydro_bm!B1271,"")</f>
        <v/>
      </c>
      <c r="B1271" t="str">
        <f>IF(ROW(B1271)&lt;=Bidding!$D$11,Raw_hydro_bm!C1271,"")</f>
        <v/>
      </c>
      <c r="C1271" t="str">
        <f>IF(ROW(C1271)&lt;=Bidding!$D$11,Raw_hydro_bm!D1271,"")</f>
        <v/>
      </c>
      <c r="D1271" t="str">
        <f>IF(ROW(D1271)&lt;=Bidding!$D$11,Raw_hydro_bm!E1271,"")</f>
        <v/>
      </c>
      <c r="E1271" t="str">
        <f>IF(ROW(E1271)&lt;=Bidding!$D$11,Raw_hydro_bm!F1271,"")</f>
        <v/>
      </c>
      <c r="F1271" t="str">
        <f>IF(ROW(F1271)&lt;=Bidding!$D$11,Raw_hydro_bm!G1271,"")</f>
        <v/>
      </c>
      <c r="G1271" t="str">
        <f>IF(ROW(G1271)&lt;=Bidding!$D$11,Raw_hydro_bm!H1271,"")</f>
        <v/>
      </c>
      <c r="H1271" t="str">
        <f>IF(ROW(H1271)&lt;=Bidding!$D$11,Raw_hydro_bm!I1271,"")</f>
        <v/>
      </c>
      <c r="I1271" s="16" t="str">
        <f t="shared" si="19"/>
        <v/>
      </c>
    </row>
    <row r="1272" spans="1:9" x14ac:dyDescent="0.2">
      <c r="A1272" t="str">
        <f>IF(ROW(A1272)&lt;=Bidding!$D$11,Raw_hydro_bm!B1272,"")</f>
        <v/>
      </c>
      <c r="B1272" t="str">
        <f>IF(ROW(B1272)&lt;=Bidding!$D$11,Raw_hydro_bm!C1272,"")</f>
        <v/>
      </c>
      <c r="C1272" t="str">
        <f>IF(ROW(C1272)&lt;=Bidding!$D$11,Raw_hydro_bm!D1272,"")</f>
        <v/>
      </c>
      <c r="D1272" t="str">
        <f>IF(ROW(D1272)&lt;=Bidding!$D$11,Raw_hydro_bm!E1272,"")</f>
        <v/>
      </c>
      <c r="E1272" t="str">
        <f>IF(ROW(E1272)&lt;=Bidding!$D$11,Raw_hydro_bm!F1272,"")</f>
        <v/>
      </c>
      <c r="F1272" t="str">
        <f>IF(ROW(F1272)&lt;=Bidding!$D$11,Raw_hydro_bm!G1272,"")</f>
        <v/>
      </c>
      <c r="G1272" t="str">
        <f>IF(ROW(G1272)&lt;=Bidding!$D$11,Raw_hydro_bm!H1272,"")</f>
        <v/>
      </c>
      <c r="H1272" t="str">
        <f>IF(ROW(H1272)&lt;=Bidding!$D$11,Raw_hydro_bm!I1272,"")</f>
        <v/>
      </c>
      <c r="I1272" s="16" t="str">
        <f t="shared" si="19"/>
        <v/>
      </c>
    </row>
    <row r="1273" spans="1:9" x14ac:dyDescent="0.2">
      <c r="A1273" t="str">
        <f>IF(ROW(A1273)&lt;=Bidding!$D$11,Raw_hydro_bm!B1273,"")</f>
        <v/>
      </c>
      <c r="B1273" t="str">
        <f>IF(ROW(B1273)&lt;=Bidding!$D$11,Raw_hydro_bm!C1273,"")</f>
        <v/>
      </c>
      <c r="C1273" t="str">
        <f>IF(ROW(C1273)&lt;=Bidding!$D$11,Raw_hydro_bm!D1273,"")</f>
        <v/>
      </c>
      <c r="D1273" t="str">
        <f>IF(ROW(D1273)&lt;=Bidding!$D$11,Raw_hydro_bm!E1273,"")</f>
        <v/>
      </c>
      <c r="E1273" t="str">
        <f>IF(ROW(E1273)&lt;=Bidding!$D$11,Raw_hydro_bm!F1273,"")</f>
        <v/>
      </c>
      <c r="F1273" t="str">
        <f>IF(ROW(F1273)&lt;=Bidding!$D$11,Raw_hydro_bm!G1273,"")</f>
        <v/>
      </c>
      <c r="G1273" t="str">
        <f>IF(ROW(G1273)&lt;=Bidding!$D$11,Raw_hydro_bm!H1273,"")</f>
        <v/>
      </c>
      <c r="H1273" t="str">
        <f>IF(ROW(H1273)&lt;=Bidding!$D$11,Raw_hydro_bm!I1273,"")</f>
        <v/>
      </c>
      <c r="I1273" s="16" t="str">
        <f t="shared" si="19"/>
        <v/>
      </c>
    </row>
    <row r="1274" spans="1:9" x14ac:dyDescent="0.2">
      <c r="A1274" t="str">
        <f>IF(ROW(A1274)&lt;=Bidding!$D$11,Raw_hydro_bm!B1274,"")</f>
        <v/>
      </c>
      <c r="B1274" t="str">
        <f>IF(ROW(B1274)&lt;=Bidding!$D$11,Raw_hydro_bm!C1274,"")</f>
        <v/>
      </c>
      <c r="C1274" t="str">
        <f>IF(ROW(C1274)&lt;=Bidding!$D$11,Raw_hydro_bm!D1274,"")</f>
        <v/>
      </c>
      <c r="D1274" t="str">
        <f>IF(ROW(D1274)&lt;=Bidding!$D$11,Raw_hydro_bm!E1274,"")</f>
        <v/>
      </c>
      <c r="E1274" t="str">
        <f>IF(ROW(E1274)&lt;=Bidding!$D$11,Raw_hydro_bm!F1274,"")</f>
        <v/>
      </c>
      <c r="F1274" t="str">
        <f>IF(ROW(F1274)&lt;=Bidding!$D$11,Raw_hydro_bm!G1274,"")</f>
        <v/>
      </c>
      <c r="G1274" t="str">
        <f>IF(ROW(G1274)&lt;=Bidding!$D$11,Raw_hydro_bm!H1274,"")</f>
        <v/>
      </c>
      <c r="H1274" t="str">
        <f>IF(ROW(H1274)&lt;=Bidding!$D$11,Raw_hydro_bm!I1274,"")</f>
        <v/>
      </c>
      <c r="I1274" s="16" t="str">
        <f t="shared" si="19"/>
        <v/>
      </c>
    </row>
    <row r="1275" spans="1:9" x14ac:dyDescent="0.2">
      <c r="A1275" t="str">
        <f>IF(ROW(A1275)&lt;=Bidding!$D$11,Raw_hydro_bm!B1275,"")</f>
        <v/>
      </c>
      <c r="B1275" t="str">
        <f>IF(ROW(B1275)&lt;=Bidding!$D$11,Raw_hydro_bm!C1275,"")</f>
        <v/>
      </c>
      <c r="C1275" t="str">
        <f>IF(ROW(C1275)&lt;=Bidding!$D$11,Raw_hydro_bm!D1275,"")</f>
        <v/>
      </c>
      <c r="D1275" t="str">
        <f>IF(ROW(D1275)&lt;=Bidding!$D$11,Raw_hydro_bm!E1275,"")</f>
        <v/>
      </c>
      <c r="E1275" t="str">
        <f>IF(ROW(E1275)&lt;=Bidding!$D$11,Raw_hydro_bm!F1275,"")</f>
        <v/>
      </c>
      <c r="F1275" t="str">
        <f>IF(ROW(F1275)&lt;=Bidding!$D$11,Raw_hydro_bm!G1275,"")</f>
        <v/>
      </c>
      <c r="G1275" t="str">
        <f>IF(ROW(G1275)&lt;=Bidding!$D$11,Raw_hydro_bm!H1275,"")</f>
        <v/>
      </c>
      <c r="H1275" t="str">
        <f>IF(ROW(H1275)&lt;=Bidding!$D$11,Raw_hydro_bm!I1275,"")</f>
        <v/>
      </c>
      <c r="I1275" s="16" t="str">
        <f t="shared" si="19"/>
        <v/>
      </c>
    </row>
    <row r="1276" spans="1:9" x14ac:dyDescent="0.2">
      <c r="A1276" t="str">
        <f>IF(ROW(A1276)&lt;=Bidding!$D$11,Raw_hydro_bm!B1276,"")</f>
        <v/>
      </c>
      <c r="B1276" t="str">
        <f>IF(ROW(B1276)&lt;=Bidding!$D$11,Raw_hydro_bm!C1276,"")</f>
        <v/>
      </c>
      <c r="C1276" t="str">
        <f>IF(ROW(C1276)&lt;=Bidding!$D$11,Raw_hydro_bm!D1276,"")</f>
        <v/>
      </c>
      <c r="D1276" t="str">
        <f>IF(ROW(D1276)&lt;=Bidding!$D$11,Raw_hydro_bm!E1276,"")</f>
        <v/>
      </c>
      <c r="E1276" t="str">
        <f>IF(ROW(E1276)&lt;=Bidding!$D$11,Raw_hydro_bm!F1276,"")</f>
        <v/>
      </c>
      <c r="F1276" t="str">
        <f>IF(ROW(F1276)&lt;=Bidding!$D$11,Raw_hydro_bm!G1276,"")</f>
        <v/>
      </c>
      <c r="G1276" t="str">
        <f>IF(ROW(G1276)&lt;=Bidding!$D$11,Raw_hydro_bm!H1276,"")</f>
        <v/>
      </c>
      <c r="H1276" t="str">
        <f>IF(ROW(H1276)&lt;=Bidding!$D$11,Raw_hydro_bm!I1276,"")</f>
        <v/>
      </c>
      <c r="I1276" s="16" t="str">
        <f t="shared" si="19"/>
        <v/>
      </c>
    </row>
    <row r="1277" spans="1:9" x14ac:dyDescent="0.2">
      <c r="A1277" t="str">
        <f>IF(ROW(A1277)&lt;=Bidding!$D$11,Raw_hydro_bm!B1277,"")</f>
        <v/>
      </c>
      <c r="B1277" t="str">
        <f>IF(ROW(B1277)&lt;=Bidding!$D$11,Raw_hydro_bm!C1277,"")</f>
        <v/>
      </c>
      <c r="C1277" t="str">
        <f>IF(ROW(C1277)&lt;=Bidding!$D$11,Raw_hydro_bm!D1277,"")</f>
        <v/>
      </c>
      <c r="D1277" t="str">
        <f>IF(ROW(D1277)&lt;=Bidding!$D$11,Raw_hydro_bm!E1277,"")</f>
        <v/>
      </c>
      <c r="E1277" t="str">
        <f>IF(ROW(E1277)&lt;=Bidding!$D$11,Raw_hydro_bm!F1277,"")</f>
        <v/>
      </c>
      <c r="F1277" t="str">
        <f>IF(ROW(F1277)&lt;=Bidding!$D$11,Raw_hydro_bm!G1277,"")</f>
        <v/>
      </c>
      <c r="G1277" t="str">
        <f>IF(ROW(G1277)&lt;=Bidding!$D$11,Raw_hydro_bm!H1277,"")</f>
        <v/>
      </c>
      <c r="H1277" t="str">
        <f>IF(ROW(H1277)&lt;=Bidding!$D$11,Raw_hydro_bm!I1277,"")</f>
        <v/>
      </c>
      <c r="I1277" s="16" t="str">
        <f t="shared" si="19"/>
        <v/>
      </c>
    </row>
    <row r="1278" spans="1:9" x14ac:dyDescent="0.2">
      <c r="A1278" t="str">
        <f>IF(ROW(A1278)&lt;=Bidding!$D$11,Raw_hydro_bm!B1278,"")</f>
        <v/>
      </c>
      <c r="B1278" t="str">
        <f>IF(ROW(B1278)&lt;=Bidding!$D$11,Raw_hydro_bm!C1278,"")</f>
        <v/>
      </c>
      <c r="C1278" t="str">
        <f>IF(ROW(C1278)&lt;=Bidding!$D$11,Raw_hydro_bm!D1278,"")</f>
        <v/>
      </c>
      <c r="D1278" t="str">
        <f>IF(ROW(D1278)&lt;=Bidding!$D$11,Raw_hydro_bm!E1278,"")</f>
        <v/>
      </c>
      <c r="E1278" t="str">
        <f>IF(ROW(E1278)&lt;=Bidding!$D$11,Raw_hydro_bm!F1278,"")</f>
        <v/>
      </c>
      <c r="F1278" t="str">
        <f>IF(ROW(F1278)&lt;=Bidding!$D$11,Raw_hydro_bm!G1278,"")</f>
        <v/>
      </c>
      <c r="G1278" t="str">
        <f>IF(ROW(G1278)&lt;=Bidding!$D$11,Raw_hydro_bm!H1278,"")</f>
        <v/>
      </c>
      <c r="H1278" t="str">
        <f>IF(ROW(H1278)&lt;=Bidding!$D$11,Raw_hydro_bm!I1278,"")</f>
        <v/>
      </c>
      <c r="I1278" s="16" t="str">
        <f t="shared" si="19"/>
        <v/>
      </c>
    </row>
    <row r="1279" spans="1:9" x14ac:dyDescent="0.2">
      <c r="A1279" t="str">
        <f>IF(ROW(A1279)&lt;=Bidding!$D$11,Raw_hydro_bm!B1279,"")</f>
        <v/>
      </c>
      <c r="B1279" t="str">
        <f>IF(ROW(B1279)&lt;=Bidding!$D$11,Raw_hydro_bm!C1279,"")</f>
        <v/>
      </c>
      <c r="C1279" t="str">
        <f>IF(ROW(C1279)&lt;=Bidding!$D$11,Raw_hydro_bm!D1279,"")</f>
        <v/>
      </c>
      <c r="D1279" t="str">
        <f>IF(ROW(D1279)&lt;=Bidding!$D$11,Raw_hydro_bm!E1279,"")</f>
        <v/>
      </c>
      <c r="E1279" t="str">
        <f>IF(ROW(E1279)&lt;=Bidding!$D$11,Raw_hydro_bm!F1279,"")</f>
        <v/>
      </c>
      <c r="F1279" t="str">
        <f>IF(ROW(F1279)&lt;=Bidding!$D$11,Raw_hydro_bm!G1279,"")</f>
        <v/>
      </c>
      <c r="G1279" t="str">
        <f>IF(ROW(G1279)&lt;=Bidding!$D$11,Raw_hydro_bm!H1279,"")</f>
        <v/>
      </c>
      <c r="H1279" t="str">
        <f>IF(ROW(H1279)&lt;=Bidding!$D$11,Raw_hydro_bm!I1279,"")</f>
        <v/>
      </c>
      <c r="I1279" s="16" t="str">
        <f t="shared" si="19"/>
        <v/>
      </c>
    </row>
    <row r="1280" spans="1:9" x14ac:dyDescent="0.2">
      <c r="A1280" t="str">
        <f>IF(ROW(A1280)&lt;=Bidding!$D$11,Raw_hydro_bm!B1280,"")</f>
        <v/>
      </c>
      <c r="B1280" t="str">
        <f>IF(ROW(B1280)&lt;=Bidding!$D$11,Raw_hydro_bm!C1280,"")</f>
        <v/>
      </c>
      <c r="C1280" t="str">
        <f>IF(ROW(C1280)&lt;=Bidding!$D$11,Raw_hydro_bm!D1280,"")</f>
        <v/>
      </c>
      <c r="D1280" t="str">
        <f>IF(ROW(D1280)&lt;=Bidding!$D$11,Raw_hydro_bm!E1280,"")</f>
        <v/>
      </c>
      <c r="E1280" t="str">
        <f>IF(ROW(E1280)&lt;=Bidding!$D$11,Raw_hydro_bm!F1280,"")</f>
        <v/>
      </c>
      <c r="F1280" t="str">
        <f>IF(ROW(F1280)&lt;=Bidding!$D$11,Raw_hydro_bm!G1280,"")</f>
        <v/>
      </c>
      <c r="G1280" t="str">
        <f>IF(ROW(G1280)&lt;=Bidding!$D$11,Raw_hydro_bm!H1280,"")</f>
        <v/>
      </c>
      <c r="H1280" t="str">
        <f>IF(ROW(H1280)&lt;=Bidding!$D$11,Raw_hydro_bm!I1280,"")</f>
        <v/>
      </c>
      <c r="I1280" s="16" t="str">
        <f t="shared" si="19"/>
        <v/>
      </c>
    </row>
    <row r="1281" spans="1:9" x14ac:dyDescent="0.2">
      <c r="A1281" t="str">
        <f>IF(ROW(A1281)&lt;=Bidding!$D$11,Raw_hydro_bm!B1281,"")</f>
        <v/>
      </c>
      <c r="B1281" t="str">
        <f>IF(ROW(B1281)&lt;=Bidding!$D$11,Raw_hydro_bm!C1281,"")</f>
        <v/>
      </c>
      <c r="C1281" t="str">
        <f>IF(ROW(C1281)&lt;=Bidding!$D$11,Raw_hydro_bm!D1281,"")</f>
        <v/>
      </c>
      <c r="D1281" t="str">
        <f>IF(ROW(D1281)&lt;=Bidding!$D$11,Raw_hydro_bm!E1281,"")</f>
        <v/>
      </c>
      <c r="E1281" t="str">
        <f>IF(ROW(E1281)&lt;=Bidding!$D$11,Raw_hydro_bm!F1281,"")</f>
        <v/>
      </c>
      <c r="F1281" t="str">
        <f>IF(ROW(F1281)&lt;=Bidding!$D$11,Raw_hydro_bm!G1281,"")</f>
        <v/>
      </c>
      <c r="G1281" t="str">
        <f>IF(ROW(G1281)&lt;=Bidding!$D$11,Raw_hydro_bm!H1281,"")</f>
        <v/>
      </c>
      <c r="H1281" t="str">
        <f>IF(ROW(H1281)&lt;=Bidding!$D$11,Raw_hydro_bm!I1281,"")</f>
        <v/>
      </c>
      <c r="I1281" s="16" t="str">
        <f t="shared" si="19"/>
        <v/>
      </c>
    </row>
    <row r="1282" spans="1:9" x14ac:dyDescent="0.2">
      <c r="A1282" t="str">
        <f>IF(ROW(A1282)&lt;=Bidding!$D$11,Raw_hydro_bm!B1282,"")</f>
        <v/>
      </c>
      <c r="B1282" t="str">
        <f>IF(ROW(B1282)&lt;=Bidding!$D$11,Raw_hydro_bm!C1282,"")</f>
        <v/>
      </c>
      <c r="C1282" t="str">
        <f>IF(ROW(C1282)&lt;=Bidding!$D$11,Raw_hydro_bm!D1282,"")</f>
        <v/>
      </c>
      <c r="D1282" t="str">
        <f>IF(ROW(D1282)&lt;=Bidding!$D$11,Raw_hydro_bm!E1282,"")</f>
        <v/>
      </c>
      <c r="E1282" t="str">
        <f>IF(ROW(E1282)&lt;=Bidding!$D$11,Raw_hydro_bm!F1282,"")</f>
        <v/>
      </c>
      <c r="F1282" t="str">
        <f>IF(ROW(F1282)&lt;=Bidding!$D$11,Raw_hydro_bm!G1282,"")</f>
        <v/>
      </c>
      <c r="G1282" t="str">
        <f>IF(ROW(G1282)&lt;=Bidding!$D$11,Raw_hydro_bm!H1282,"")</f>
        <v/>
      </c>
      <c r="H1282" t="str">
        <f>IF(ROW(H1282)&lt;=Bidding!$D$11,Raw_hydro_bm!I1282,"")</f>
        <v/>
      </c>
      <c r="I1282" s="16" t="str">
        <f t="shared" ref="I1282:I1345" si="20">IF(IFERROR(FIND("e",H1282),-1)&lt;0,IFERROR(_xlfn.NUMBERVALUE(LEFT(H1282,FIND(".",H1282)-1))+_xlfn.NUMBERVALUE("0,"&amp;RIGHT(H1282,LEN(H1282)-FIND(".",H1282))),""),0)</f>
        <v/>
      </c>
    </row>
    <row r="1283" spans="1:9" x14ac:dyDescent="0.2">
      <c r="A1283" t="str">
        <f>IF(ROW(A1283)&lt;=Bidding!$D$11,Raw_hydro_bm!B1283,"")</f>
        <v/>
      </c>
      <c r="B1283" t="str">
        <f>IF(ROW(B1283)&lt;=Bidding!$D$11,Raw_hydro_bm!C1283,"")</f>
        <v/>
      </c>
      <c r="C1283" t="str">
        <f>IF(ROW(C1283)&lt;=Bidding!$D$11,Raw_hydro_bm!D1283,"")</f>
        <v/>
      </c>
      <c r="D1283" t="str">
        <f>IF(ROW(D1283)&lt;=Bidding!$D$11,Raw_hydro_bm!E1283,"")</f>
        <v/>
      </c>
      <c r="E1283" t="str">
        <f>IF(ROW(E1283)&lt;=Bidding!$D$11,Raw_hydro_bm!F1283,"")</f>
        <v/>
      </c>
      <c r="F1283" t="str">
        <f>IF(ROW(F1283)&lt;=Bidding!$D$11,Raw_hydro_bm!G1283,"")</f>
        <v/>
      </c>
      <c r="G1283" t="str">
        <f>IF(ROW(G1283)&lt;=Bidding!$D$11,Raw_hydro_bm!H1283,"")</f>
        <v/>
      </c>
      <c r="H1283" t="str">
        <f>IF(ROW(H1283)&lt;=Bidding!$D$11,Raw_hydro_bm!I1283,"")</f>
        <v/>
      </c>
      <c r="I1283" s="16" t="str">
        <f t="shared" si="20"/>
        <v/>
      </c>
    </row>
    <row r="1284" spans="1:9" x14ac:dyDescent="0.2">
      <c r="A1284" t="str">
        <f>IF(ROW(A1284)&lt;=Bidding!$D$11,Raw_hydro_bm!B1284,"")</f>
        <v/>
      </c>
      <c r="B1284" t="str">
        <f>IF(ROW(B1284)&lt;=Bidding!$D$11,Raw_hydro_bm!C1284,"")</f>
        <v/>
      </c>
      <c r="C1284" t="str">
        <f>IF(ROW(C1284)&lt;=Bidding!$D$11,Raw_hydro_bm!D1284,"")</f>
        <v/>
      </c>
      <c r="D1284" t="str">
        <f>IF(ROW(D1284)&lt;=Bidding!$D$11,Raw_hydro_bm!E1284,"")</f>
        <v/>
      </c>
      <c r="E1284" t="str">
        <f>IF(ROW(E1284)&lt;=Bidding!$D$11,Raw_hydro_bm!F1284,"")</f>
        <v/>
      </c>
      <c r="F1284" t="str">
        <f>IF(ROW(F1284)&lt;=Bidding!$D$11,Raw_hydro_bm!G1284,"")</f>
        <v/>
      </c>
      <c r="G1284" t="str">
        <f>IF(ROW(G1284)&lt;=Bidding!$D$11,Raw_hydro_bm!H1284,"")</f>
        <v/>
      </c>
      <c r="H1284" t="str">
        <f>IF(ROW(H1284)&lt;=Bidding!$D$11,Raw_hydro_bm!I1284,"")</f>
        <v/>
      </c>
      <c r="I1284" s="16" t="str">
        <f t="shared" si="20"/>
        <v/>
      </c>
    </row>
    <row r="1285" spans="1:9" x14ac:dyDescent="0.2">
      <c r="A1285" t="str">
        <f>IF(ROW(A1285)&lt;=Bidding!$D$11,Raw_hydro_bm!B1285,"")</f>
        <v/>
      </c>
      <c r="B1285" t="str">
        <f>IF(ROW(B1285)&lt;=Bidding!$D$11,Raw_hydro_bm!C1285,"")</f>
        <v/>
      </c>
      <c r="C1285" t="str">
        <f>IF(ROW(C1285)&lt;=Bidding!$D$11,Raw_hydro_bm!D1285,"")</f>
        <v/>
      </c>
      <c r="D1285" t="str">
        <f>IF(ROW(D1285)&lt;=Bidding!$D$11,Raw_hydro_bm!E1285,"")</f>
        <v/>
      </c>
      <c r="E1285" t="str">
        <f>IF(ROW(E1285)&lt;=Bidding!$D$11,Raw_hydro_bm!F1285,"")</f>
        <v/>
      </c>
      <c r="F1285" t="str">
        <f>IF(ROW(F1285)&lt;=Bidding!$D$11,Raw_hydro_bm!G1285,"")</f>
        <v/>
      </c>
      <c r="G1285" t="str">
        <f>IF(ROW(G1285)&lt;=Bidding!$D$11,Raw_hydro_bm!H1285,"")</f>
        <v/>
      </c>
      <c r="H1285" t="str">
        <f>IF(ROW(H1285)&lt;=Bidding!$D$11,Raw_hydro_bm!I1285,"")</f>
        <v/>
      </c>
      <c r="I1285" s="16" t="str">
        <f t="shared" si="20"/>
        <v/>
      </c>
    </row>
    <row r="1286" spans="1:9" x14ac:dyDescent="0.2">
      <c r="A1286" t="str">
        <f>IF(ROW(A1286)&lt;=Bidding!$D$11,Raw_hydro_bm!B1286,"")</f>
        <v/>
      </c>
      <c r="B1286" t="str">
        <f>IF(ROW(B1286)&lt;=Bidding!$D$11,Raw_hydro_bm!C1286,"")</f>
        <v/>
      </c>
      <c r="C1286" t="str">
        <f>IF(ROW(C1286)&lt;=Bidding!$D$11,Raw_hydro_bm!D1286,"")</f>
        <v/>
      </c>
      <c r="D1286" t="str">
        <f>IF(ROW(D1286)&lt;=Bidding!$D$11,Raw_hydro_bm!E1286,"")</f>
        <v/>
      </c>
      <c r="E1286" t="str">
        <f>IF(ROW(E1286)&lt;=Bidding!$D$11,Raw_hydro_bm!F1286,"")</f>
        <v/>
      </c>
      <c r="F1286" t="str">
        <f>IF(ROW(F1286)&lt;=Bidding!$D$11,Raw_hydro_bm!G1286,"")</f>
        <v/>
      </c>
      <c r="G1286" t="str">
        <f>IF(ROW(G1286)&lt;=Bidding!$D$11,Raw_hydro_bm!H1286,"")</f>
        <v/>
      </c>
      <c r="H1286" t="str">
        <f>IF(ROW(H1286)&lt;=Bidding!$D$11,Raw_hydro_bm!I1286,"")</f>
        <v/>
      </c>
      <c r="I1286" s="16" t="str">
        <f t="shared" si="20"/>
        <v/>
      </c>
    </row>
    <row r="1287" spans="1:9" x14ac:dyDescent="0.2">
      <c r="A1287" t="str">
        <f>IF(ROW(A1287)&lt;=Bidding!$D$11,Raw_hydro_bm!B1287,"")</f>
        <v/>
      </c>
      <c r="B1287" t="str">
        <f>IF(ROW(B1287)&lt;=Bidding!$D$11,Raw_hydro_bm!C1287,"")</f>
        <v/>
      </c>
      <c r="C1287" t="str">
        <f>IF(ROW(C1287)&lt;=Bidding!$D$11,Raw_hydro_bm!D1287,"")</f>
        <v/>
      </c>
      <c r="D1287" t="str">
        <f>IF(ROW(D1287)&lt;=Bidding!$D$11,Raw_hydro_bm!E1287,"")</f>
        <v/>
      </c>
      <c r="E1287" t="str">
        <f>IF(ROW(E1287)&lt;=Bidding!$D$11,Raw_hydro_bm!F1287,"")</f>
        <v/>
      </c>
      <c r="F1287" t="str">
        <f>IF(ROW(F1287)&lt;=Bidding!$D$11,Raw_hydro_bm!G1287,"")</f>
        <v/>
      </c>
      <c r="G1287" t="str">
        <f>IF(ROW(G1287)&lt;=Bidding!$D$11,Raw_hydro_bm!H1287,"")</f>
        <v/>
      </c>
      <c r="H1287" t="str">
        <f>IF(ROW(H1287)&lt;=Bidding!$D$11,Raw_hydro_bm!I1287,"")</f>
        <v/>
      </c>
      <c r="I1287" s="16" t="str">
        <f t="shared" si="20"/>
        <v/>
      </c>
    </row>
    <row r="1288" spans="1:9" x14ac:dyDescent="0.2">
      <c r="A1288" t="str">
        <f>IF(ROW(A1288)&lt;=Bidding!$D$11,Raw_hydro_bm!B1288,"")</f>
        <v/>
      </c>
      <c r="B1288" t="str">
        <f>IF(ROW(B1288)&lt;=Bidding!$D$11,Raw_hydro_bm!C1288,"")</f>
        <v/>
      </c>
      <c r="C1288" t="str">
        <f>IF(ROW(C1288)&lt;=Bidding!$D$11,Raw_hydro_bm!D1288,"")</f>
        <v/>
      </c>
      <c r="D1288" t="str">
        <f>IF(ROW(D1288)&lt;=Bidding!$D$11,Raw_hydro_bm!E1288,"")</f>
        <v/>
      </c>
      <c r="E1288" t="str">
        <f>IF(ROW(E1288)&lt;=Bidding!$D$11,Raw_hydro_bm!F1288,"")</f>
        <v/>
      </c>
      <c r="F1288" t="str">
        <f>IF(ROW(F1288)&lt;=Bidding!$D$11,Raw_hydro_bm!G1288,"")</f>
        <v/>
      </c>
      <c r="G1288" t="str">
        <f>IF(ROW(G1288)&lt;=Bidding!$D$11,Raw_hydro_bm!H1288,"")</f>
        <v/>
      </c>
      <c r="H1288" t="str">
        <f>IF(ROW(H1288)&lt;=Bidding!$D$11,Raw_hydro_bm!I1288,"")</f>
        <v/>
      </c>
      <c r="I1288" s="16" t="str">
        <f t="shared" si="20"/>
        <v/>
      </c>
    </row>
    <row r="1289" spans="1:9" x14ac:dyDescent="0.2">
      <c r="A1289" t="str">
        <f>IF(ROW(A1289)&lt;=Bidding!$D$11,Raw_hydro_bm!B1289,"")</f>
        <v/>
      </c>
      <c r="B1289" t="str">
        <f>IF(ROW(B1289)&lt;=Bidding!$D$11,Raw_hydro_bm!C1289,"")</f>
        <v/>
      </c>
      <c r="C1289" t="str">
        <f>IF(ROW(C1289)&lt;=Bidding!$D$11,Raw_hydro_bm!D1289,"")</f>
        <v/>
      </c>
      <c r="D1289" t="str">
        <f>IF(ROW(D1289)&lt;=Bidding!$D$11,Raw_hydro_bm!E1289,"")</f>
        <v/>
      </c>
      <c r="E1289" t="str">
        <f>IF(ROW(E1289)&lt;=Bidding!$D$11,Raw_hydro_bm!F1289,"")</f>
        <v/>
      </c>
      <c r="F1289" t="str">
        <f>IF(ROW(F1289)&lt;=Bidding!$D$11,Raw_hydro_bm!G1289,"")</f>
        <v/>
      </c>
      <c r="G1289" t="str">
        <f>IF(ROW(G1289)&lt;=Bidding!$D$11,Raw_hydro_bm!H1289,"")</f>
        <v/>
      </c>
      <c r="H1289" t="str">
        <f>IF(ROW(H1289)&lt;=Bidding!$D$11,Raw_hydro_bm!I1289,"")</f>
        <v/>
      </c>
      <c r="I1289" s="16" t="str">
        <f t="shared" si="20"/>
        <v/>
      </c>
    </row>
    <row r="1290" spans="1:9" x14ac:dyDescent="0.2">
      <c r="A1290" t="str">
        <f>IF(ROW(A1290)&lt;=Bidding!$D$11,Raw_hydro_bm!B1290,"")</f>
        <v/>
      </c>
      <c r="B1290" t="str">
        <f>IF(ROW(B1290)&lt;=Bidding!$D$11,Raw_hydro_bm!C1290,"")</f>
        <v/>
      </c>
      <c r="C1290" t="str">
        <f>IF(ROW(C1290)&lt;=Bidding!$D$11,Raw_hydro_bm!D1290,"")</f>
        <v/>
      </c>
      <c r="D1290" t="str">
        <f>IF(ROW(D1290)&lt;=Bidding!$D$11,Raw_hydro_bm!E1290,"")</f>
        <v/>
      </c>
      <c r="E1290" t="str">
        <f>IF(ROW(E1290)&lt;=Bidding!$D$11,Raw_hydro_bm!F1290,"")</f>
        <v/>
      </c>
      <c r="F1290" t="str">
        <f>IF(ROW(F1290)&lt;=Bidding!$D$11,Raw_hydro_bm!G1290,"")</f>
        <v/>
      </c>
      <c r="G1290" t="str">
        <f>IF(ROW(G1290)&lt;=Bidding!$D$11,Raw_hydro_bm!H1290,"")</f>
        <v/>
      </c>
      <c r="H1290" t="str">
        <f>IF(ROW(H1290)&lt;=Bidding!$D$11,Raw_hydro_bm!I1290,"")</f>
        <v/>
      </c>
      <c r="I1290" s="16" t="str">
        <f t="shared" si="20"/>
        <v/>
      </c>
    </row>
    <row r="1291" spans="1:9" x14ac:dyDescent="0.2">
      <c r="A1291" t="str">
        <f>IF(ROW(A1291)&lt;=Bidding!$D$11,Raw_hydro_bm!B1291,"")</f>
        <v/>
      </c>
      <c r="B1291" t="str">
        <f>IF(ROW(B1291)&lt;=Bidding!$D$11,Raw_hydro_bm!C1291,"")</f>
        <v/>
      </c>
      <c r="C1291" t="str">
        <f>IF(ROW(C1291)&lt;=Bidding!$D$11,Raw_hydro_bm!D1291,"")</f>
        <v/>
      </c>
      <c r="D1291" t="str">
        <f>IF(ROW(D1291)&lt;=Bidding!$D$11,Raw_hydro_bm!E1291,"")</f>
        <v/>
      </c>
      <c r="E1291" t="str">
        <f>IF(ROW(E1291)&lt;=Bidding!$D$11,Raw_hydro_bm!F1291,"")</f>
        <v/>
      </c>
      <c r="F1291" t="str">
        <f>IF(ROW(F1291)&lt;=Bidding!$D$11,Raw_hydro_bm!G1291,"")</f>
        <v/>
      </c>
      <c r="G1291" t="str">
        <f>IF(ROW(G1291)&lt;=Bidding!$D$11,Raw_hydro_bm!H1291,"")</f>
        <v/>
      </c>
      <c r="H1291" t="str">
        <f>IF(ROW(H1291)&lt;=Bidding!$D$11,Raw_hydro_bm!I1291,"")</f>
        <v/>
      </c>
      <c r="I1291" s="16" t="str">
        <f t="shared" si="20"/>
        <v/>
      </c>
    </row>
    <row r="1292" spans="1:9" x14ac:dyDescent="0.2">
      <c r="A1292" t="str">
        <f>IF(ROW(A1292)&lt;=Bidding!$D$11,Raw_hydro_bm!B1292,"")</f>
        <v/>
      </c>
      <c r="B1292" t="str">
        <f>IF(ROW(B1292)&lt;=Bidding!$D$11,Raw_hydro_bm!C1292,"")</f>
        <v/>
      </c>
      <c r="C1292" t="str">
        <f>IF(ROW(C1292)&lt;=Bidding!$D$11,Raw_hydro_bm!D1292,"")</f>
        <v/>
      </c>
      <c r="D1292" t="str">
        <f>IF(ROW(D1292)&lt;=Bidding!$D$11,Raw_hydro_bm!E1292,"")</f>
        <v/>
      </c>
      <c r="E1292" t="str">
        <f>IF(ROW(E1292)&lt;=Bidding!$D$11,Raw_hydro_bm!F1292,"")</f>
        <v/>
      </c>
      <c r="F1292" t="str">
        <f>IF(ROW(F1292)&lt;=Bidding!$D$11,Raw_hydro_bm!G1292,"")</f>
        <v/>
      </c>
      <c r="G1292" t="str">
        <f>IF(ROW(G1292)&lt;=Bidding!$D$11,Raw_hydro_bm!H1292,"")</f>
        <v/>
      </c>
      <c r="H1292" t="str">
        <f>IF(ROW(H1292)&lt;=Bidding!$D$11,Raw_hydro_bm!I1292,"")</f>
        <v/>
      </c>
      <c r="I1292" s="16" t="str">
        <f t="shared" si="20"/>
        <v/>
      </c>
    </row>
    <row r="1293" spans="1:9" x14ac:dyDescent="0.2">
      <c r="A1293" t="str">
        <f>IF(ROW(A1293)&lt;=Bidding!$D$11,Raw_hydro_bm!B1293,"")</f>
        <v/>
      </c>
      <c r="B1293" t="str">
        <f>IF(ROW(B1293)&lt;=Bidding!$D$11,Raw_hydro_bm!C1293,"")</f>
        <v/>
      </c>
      <c r="C1293" t="str">
        <f>IF(ROW(C1293)&lt;=Bidding!$D$11,Raw_hydro_bm!D1293,"")</f>
        <v/>
      </c>
      <c r="D1293" t="str">
        <f>IF(ROW(D1293)&lt;=Bidding!$D$11,Raw_hydro_bm!E1293,"")</f>
        <v/>
      </c>
      <c r="E1293" t="str">
        <f>IF(ROW(E1293)&lt;=Bidding!$D$11,Raw_hydro_bm!F1293,"")</f>
        <v/>
      </c>
      <c r="F1293" t="str">
        <f>IF(ROW(F1293)&lt;=Bidding!$D$11,Raw_hydro_bm!G1293,"")</f>
        <v/>
      </c>
      <c r="G1293" t="str">
        <f>IF(ROW(G1293)&lt;=Bidding!$D$11,Raw_hydro_bm!H1293,"")</f>
        <v/>
      </c>
      <c r="H1293" t="str">
        <f>IF(ROW(H1293)&lt;=Bidding!$D$11,Raw_hydro_bm!I1293,"")</f>
        <v/>
      </c>
      <c r="I1293" s="16" t="str">
        <f t="shared" si="20"/>
        <v/>
      </c>
    </row>
    <row r="1294" spans="1:9" x14ac:dyDescent="0.2">
      <c r="A1294" t="str">
        <f>IF(ROW(A1294)&lt;=Bidding!$D$11,Raw_hydro_bm!B1294,"")</f>
        <v/>
      </c>
      <c r="B1294" t="str">
        <f>IF(ROW(B1294)&lt;=Bidding!$D$11,Raw_hydro_bm!C1294,"")</f>
        <v/>
      </c>
      <c r="C1294" t="str">
        <f>IF(ROW(C1294)&lt;=Bidding!$D$11,Raw_hydro_bm!D1294,"")</f>
        <v/>
      </c>
      <c r="D1294" t="str">
        <f>IF(ROW(D1294)&lt;=Bidding!$D$11,Raw_hydro_bm!E1294,"")</f>
        <v/>
      </c>
      <c r="E1294" t="str">
        <f>IF(ROW(E1294)&lt;=Bidding!$D$11,Raw_hydro_bm!F1294,"")</f>
        <v/>
      </c>
      <c r="F1294" t="str">
        <f>IF(ROW(F1294)&lt;=Bidding!$D$11,Raw_hydro_bm!G1294,"")</f>
        <v/>
      </c>
      <c r="G1294" t="str">
        <f>IF(ROW(G1294)&lt;=Bidding!$D$11,Raw_hydro_bm!H1294,"")</f>
        <v/>
      </c>
      <c r="H1294" t="str">
        <f>IF(ROW(H1294)&lt;=Bidding!$D$11,Raw_hydro_bm!I1294,"")</f>
        <v/>
      </c>
      <c r="I1294" s="16" t="str">
        <f t="shared" si="20"/>
        <v/>
      </c>
    </row>
    <row r="1295" spans="1:9" x14ac:dyDescent="0.2">
      <c r="A1295" t="str">
        <f>IF(ROW(A1295)&lt;=Bidding!$D$11,Raw_hydro_bm!B1295,"")</f>
        <v/>
      </c>
      <c r="B1295" t="str">
        <f>IF(ROW(B1295)&lt;=Bidding!$D$11,Raw_hydro_bm!C1295,"")</f>
        <v/>
      </c>
      <c r="C1295" t="str">
        <f>IF(ROW(C1295)&lt;=Bidding!$D$11,Raw_hydro_bm!D1295,"")</f>
        <v/>
      </c>
      <c r="D1295" t="str">
        <f>IF(ROW(D1295)&lt;=Bidding!$D$11,Raw_hydro_bm!E1295,"")</f>
        <v/>
      </c>
      <c r="E1295" t="str">
        <f>IF(ROW(E1295)&lt;=Bidding!$D$11,Raw_hydro_bm!F1295,"")</f>
        <v/>
      </c>
      <c r="F1295" t="str">
        <f>IF(ROW(F1295)&lt;=Bidding!$D$11,Raw_hydro_bm!G1295,"")</f>
        <v/>
      </c>
      <c r="G1295" t="str">
        <f>IF(ROW(G1295)&lt;=Bidding!$D$11,Raw_hydro_bm!H1295,"")</f>
        <v/>
      </c>
      <c r="H1295" t="str">
        <f>IF(ROW(H1295)&lt;=Bidding!$D$11,Raw_hydro_bm!I1295,"")</f>
        <v/>
      </c>
      <c r="I1295" s="16" t="str">
        <f t="shared" si="20"/>
        <v/>
      </c>
    </row>
    <row r="1296" spans="1:9" x14ac:dyDescent="0.2">
      <c r="A1296" t="str">
        <f>IF(ROW(A1296)&lt;=Bidding!$D$11,Raw_hydro_bm!B1296,"")</f>
        <v/>
      </c>
      <c r="B1296" t="str">
        <f>IF(ROW(B1296)&lt;=Bidding!$D$11,Raw_hydro_bm!C1296,"")</f>
        <v/>
      </c>
      <c r="C1296" t="str">
        <f>IF(ROW(C1296)&lt;=Bidding!$D$11,Raw_hydro_bm!D1296,"")</f>
        <v/>
      </c>
      <c r="D1296" t="str">
        <f>IF(ROW(D1296)&lt;=Bidding!$D$11,Raw_hydro_bm!E1296,"")</f>
        <v/>
      </c>
      <c r="E1296" t="str">
        <f>IF(ROW(E1296)&lt;=Bidding!$D$11,Raw_hydro_bm!F1296,"")</f>
        <v/>
      </c>
      <c r="F1296" t="str">
        <f>IF(ROW(F1296)&lt;=Bidding!$D$11,Raw_hydro_bm!G1296,"")</f>
        <v/>
      </c>
      <c r="G1296" t="str">
        <f>IF(ROW(G1296)&lt;=Bidding!$D$11,Raw_hydro_bm!H1296,"")</f>
        <v/>
      </c>
      <c r="H1296" t="str">
        <f>IF(ROW(H1296)&lt;=Bidding!$D$11,Raw_hydro_bm!I1296,"")</f>
        <v/>
      </c>
      <c r="I1296" s="16" t="str">
        <f t="shared" si="20"/>
        <v/>
      </c>
    </row>
    <row r="1297" spans="1:9" x14ac:dyDescent="0.2">
      <c r="A1297" t="str">
        <f>IF(ROW(A1297)&lt;=Bidding!$D$11,Raw_hydro_bm!B1297,"")</f>
        <v/>
      </c>
      <c r="B1297" t="str">
        <f>IF(ROW(B1297)&lt;=Bidding!$D$11,Raw_hydro_bm!C1297,"")</f>
        <v/>
      </c>
      <c r="C1297" t="str">
        <f>IF(ROW(C1297)&lt;=Bidding!$D$11,Raw_hydro_bm!D1297,"")</f>
        <v/>
      </c>
      <c r="D1297" t="str">
        <f>IF(ROW(D1297)&lt;=Bidding!$D$11,Raw_hydro_bm!E1297,"")</f>
        <v/>
      </c>
      <c r="E1297" t="str">
        <f>IF(ROW(E1297)&lt;=Bidding!$D$11,Raw_hydro_bm!F1297,"")</f>
        <v/>
      </c>
      <c r="F1297" t="str">
        <f>IF(ROW(F1297)&lt;=Bidding!$D$11,Raw_hydro_bm!G1297,"")</f>
        <v/>
      </c>
      <c r="G1297" t="str">
        <f>IF(ROW(G1297)&lt;=Bidding!$D$11,Raw_hydro_bm!H1297,"")</f>
        <v/>
      </c>
      <c r="H1297" t="str">
        <f>IF(ROW(H1297)&lt;=Bidding!$D$11,Raw_hydro_bm!I1297,"")</f>
        <v/>
      </c>
      <c r="I1297" s="16" t="str">
        <f t="shared" si="20"/>
        <v/>
      </c>
    </row>
    <row r="1298" spans="1:9" x14ac:dyDescent="0.2">
      <c r="A1298" t="str">
        <f>IF(ROW(A1298)&lt;=Bidding!$D$11,Raw_hydro_bm!B1298,"")</f>
        <v/>
      </c>
      <c r="B1298" t="str">
        <f>IF(ROW(B1298)&lt;=Bidding!$D$11,Raw_hydro_bm!C1298,"")</f>
        <v/>
      </c>
      <c r="C1298" t="str">
        <f>IF(ROW(C1298)&lt;=Bidding!$D$11,Raw_hydro_bm!D1298,"")</f>
        <v/>
      </c>
      <c r="D1298" t="str">
        <f>IF(ROW(D1298)&lt;=Bidding!$D$11,Raw_hydro_bm!E1298,"")</f>
        <v/>
      </c>
      <c r="E1298" t="str">
        <f>IF(ROW(E1298)&lt;=Bidding!$D$11,Raw_hydro_bm!F1298,"")</f>
        <v/>
      </c>
      <c r="F1298" t="str">
        <f>IF(ROW(F1298)&lt;=Bidding!$D$11,Raw_hydro_bm!G1298,"")</f>
        <v/>
      </c>
      <c r="G1298" t="str">
        <f>IF(ROW(G1298)&lt;=Bidding!$D$11,Raw_hydro_bm!H1298,"")</f>
        <v/>
      </c>
      <c r="H1298" t="str">
        <f>IF(ROW(H1298)&lt;=Bidding!$D$11,Raw_hydro_bm!I1298,"")</f>
        <v/>
      </c>
      <c r="I1298" s="16" t="str">
        <f t="shared" si="20"/>
        <v/>
      </c>
    </row>
    <row r="1299" spans="1:9" x14ac:dyDescent="0.2">
      <c r="A1299" t="str">
        <f>IF(ROW(A1299)&lt;=Bidding!$D$11,Raw_hydro_bm!B1299,"")</f>
        <v/>
      </c>
      <c r="B1299" t="str">
        <f>IF(ROW(B1299)&lt;=Bidding!$D$11,Raw_hydro_bm!C1299,"")</f>
        <v/>
      </c>
      <c r="C1299" t="str">
        <f>IF(ROW(C1299)&lt;=Bidding!$D$11,Raw_hydro_bm!D1299,"")</f>
        <v/>
      </c>
      <c r="D1299" t="str">
        <f>IF(ROW(D1299)&lt;=Bidding!$D$11,Raw_hydro_bm!E1299,"")</f>
        <v/>
      </c>
      <c r="E1299" t="str">
        <f>IF(ROW(E1299)&lt;=Bidding!$D$11,Raw_hydro_bm!F1299,"")</f>
        <v/>
      </c>
      <c r="F1299" t="str">
        <f>IF(ROW(F1299)&lt;=Bidding!$D$11,Raw_hydro_bm!G1299,"")</f>
        <v/>
      </c>
      <c r="G1299" t="str">
        <f>IF(ROW(G1299)&lt;=Bidding!$D$11,Raw_hydro_bm!H1299,"")</f>
        <v/>
      </c>
      <c r="H1299" t="str">
        <f>IF(ROW(H1299)&lt;=Bidding!$D$11,Raw_hydro_bm!I1299,"")</f>
        <v/>
      </c>
      <c r="I1299" s="16" t="str">
        <f t="shared" si="20"/>
        <v/>
      </c>
    </row>
    <row r="1300" spans="1:9" x14ac:dyDescent="0.2">
      <c r="A1300" t="str">
        <f>IF(ROW(A1300)&lt;=Bidding!$D$11,Raw_hydro_bm!B1300,"")</f>
        <v/>
      </c>
      <c r="B1300" t="str">
        <f>IF(ROW(B1300)&lt;=Bidding!$D$11,Raw_hydro_bm!C1300,"")</f>
        <v/>
      </c>
      <c r="C1300" t="str">
        <f>IF(ROW(C1300)&lt;=Bidding!$D$11,Raw_hydro_bm!D1300,"")</f>
        <v/>
      </c>
      <c r="D1300" t="str">
        <f>IF(ROW(D1300)&lt;=Bidding!$D$11,Raw_hydro_bm!E1300,"")</f>
        <v/>
      </c>
      <c r="E1300" t="str">
        <f>IF(ROW(E1300)&lt;=Bidding!$D$11,Raw_hydro_bm!F1300,"")</f>
        <v/>
      </c>
      <c r="F1300" t="str">
        <f>IF(ROW(F1300)&lt;=Bidding!$D$11,Raw_hydro_bm!G1300,"")</f>
        <v/>
      </c>
      <c r="G1300" t="str">
        <f>IF(ROW(G1300)&lt;=Bidding!$D$11,Raw_hydro_bm!H1300,"")</f>
        <v/>
      </c>
      <c r="H1300" t="str">
        <f>IF(ROW(H1300)&lt;=Bidding!$D$11,Raw_hydro_bm!I1300,"")</f>
        <v/>
      </c>
      <c r="I1300" s="16" t="str">
        <f t="shared" si="20"/>
        <v/>
      </c>
    </row>
    <row r="1301" spans="1:9" x14ac:dyDescent="0.2">
      <c r="A1301" t="str">
        <f>IF(ROW(A1301)&lt;=Bidding!$D$11,Raw_hydro_bm!B1301,"")</f>
        <v/>
      </c>
      <c r="B1301" t="str">
        <f>IF(ROW(B1301)&lt;=Bidding!$D$11,Raw_hydro_bm!C1301,"")</f>
        <v/>
      </c>
      <c r="C1301" t="str">
        <f>IF(ROW(C1301)&lt;=Bidding!$D$11,Raw_hydro_bm!D1301,"")</f>
        <v/>
      </c>
      <c r="D1301" t="str">
        <f>IF(ROW(D1301)&lt;=Bidding!$D$11,Raw_hydro_bm!E1301,"")</f>
        <v/>
      </c>
      <c r="E1301" t="str">
        <f>IF(ROW(E1301)&lt;=Bidding!$D$11,Raw_hydro_bm!F1301,"")</f>
        <v/>
      </c>
      <c r="F1301" t="str">
        <f>IF(ROW(F1301)&lt;=Bidding!$D$11,Raw_hydro_bm!G1301,"")</f>
        <v/>
      </c>
      <c r="G1301" t="str">
        <f>IF(ROW(G1301)&lt;=Bidding!$D$11,Raw_hydro_bm!H1301,"")</f>
        <v/>
      </c>
      <c r="H1301" t="str">
        <f>IF(ROW(H1301)&lt;=Bidding!$D$11,Raw_hydro_bm!I1301,"")</f>
        <v/>
      </c>
      <c r="I1301" s="16" t="str">
        <f t="shared" si="20"/>
        <v/>
      </c>
    </row>
    <row r="1302" spans="1:9" x14ac:dyDescent="0.2">
      <c r="A1302" t="str">
        <f>IF(ROW(A1302)&lt;=Bidding!$D$11,Raw_hydro_bm!B1302,"")</f>
        <v/>
      </c>
      <c r="B1302" t="str">
        <f>IF(ROW(B1302)&lt;=Bidding!$D$11,Raw_hydro_bm!C1302,"")</f>
        <v/>
      </c>
      <c r="C1302" t="str">
        <f>IF(ROW(C1302)&lt;=Bidding!$D$11,Raw_hydro_bm!D1302,"")</f>
        <v/>
      </c>
      <c r="D1302" t="str">
        <f>IF(ROW(D1302)&lt;=Bidding!$D$11,Raw_hydro_bm!E1302,"")</f>
        <v/>
      </c>
      <c r="E1302" t="str">
        <f>IF(ROW(E1302)&lt;=Bidding!$D$11,Raw_hydro_bm!F1302,"")</f>
        <v/>
      </c>
      <c r="F1302" t="str">
        <f>IF(ROW(F1302)&lt;=Bidding!$D$11,Raw_hydro_bm!G1302,"")</f>
        <v/>
      </c>
      <c r="G1302" t="str">
        <f>IF(ROW(G1302)&lt;=Bidding!$D$11,Raw_hydro_bm!H1302,"")</f>
        <v/>
      </c>
      <c r="H1302" t="str">
        <f>IF(ROW(H1302)&lt;=Bidding!$D$11,Raw_hydro_bm!I1302,"")</f>
        <v/>
      </c>
      <c r="I1302" s="16" t="str">
        <f t="shared" si="20"/>
        <v/>
      </c>
    </row>
    <row r="1303" spans="1:9" x14ac:dyDescent="0.2">
      <c r="A1303" t="str">
        <f>IF(ROW(A1303)&lt;=Bidding!$D$11,Raw_hydro_bm!B1303,"")</f>
        <v/>
      </c>
      <c r="B1303" t="str">
        <f>IF(ROW(B1303)&lt;=Bidding!$D$11,Raw_hydro_bm!C1303,"")</f>
        <v/>
      </c>
      <c r="C1303" t="str">
        <f>IF(ROW(C1303)&lt;=Bidding!$D$11,Raw_hydro_bm!D1303,"")</f>
        <v/>
      </c>
      <c r="D1303" t="str">
        <f>IF(ROW(D1303)&lt;=Bidding!$D$11,Raw_hydro_bm!E1303,"")</f>
        <v/>
      </c>
      <c r="E1303" t="str">
        <f>IF(ROW(E1303)&lt;=Bidding!$D$11,Raw_hydro_bm!F1303,"")</f>
        <v/>
      </c>
      <c r="F1303" t="str">
        <f>IF(ROW(F1303)&lt;=Bidding!$D$11,Raw_hydro_bm!G1303,"")</f>
        <v/>
      </c>
      <c r="G1303" t="str">
        <f>IF(ROW(G1303)&lt;=Bidding!$D$11,Raw_hydro_bm!H1303,"")</f>
        <v/>
      </c>
      <c r="H1303" t="str">
        <f>IF(ROW(H1303)&lt;=Bidding!$D$11,Raw_hydro_bm!I1303,"")</f>
        <v/>
      </c>
      <c r="I1303" s="16" t="str">
        <f t="shared" si="20"/>
        <v/>
      </c>
    </row>
    <row r="1304" spans="1:9" x14ac:dyDescent="0.2">
      <c r="A1304" t="str">
        <f>IF(ROW(A1304)&lt;=Bidding!$D$11,Raw_hydro_bm!B1304,"")</f>
        <v/>
      </c>
      <c r="B1304" t="str">
        <f>IF(ROW(B1304)&lt;=Bidding!$D$11,Raw_hydro_bm!C1304,"")</f>
        <v/>
      </c>
      <c r="C1304" t="str">
        <f>IF(ROW(C1304)&lt;=Bidding!$D$11,Raw_hydro_bm!D1304,"")</f>
        <v/>
      </c>
      <c r="D1304" t="str">
        <f>IF(ROW(D1304)&lt;=Bidding!$D$11,Raw_hydro_bm!E1304,"")</f>
        <v/>
      </c>
      <c r="E1304" t="str">
        <f>IF(ROW(E1304)&lt;=Bidding!$D$11,Raw_hydro_bm!F1304,"")</f>
        <v/>
      </c>
      <c r="F1304" t="str">
        <f>IF(ROW(F1304)&lt;=Bidding!$D$11,Raw_hydro_bm!G1304,"")</f>
        <v/>
      </c>
      <c r="G1304" t="str">
        <f>IF(ROW(G1304)&lt;=Bidding!$D$11,Raw_hydro_bm!H1304,"")</f>
        <v/>
      </c>
      <c r="H1304" t="str">
        <f>IF(ROW(H1304)&lt;=Bidding!$D$11,Raw_hydro_bm!I1304,"")</f>
        <v/>
      </c>
      <c r="I1304" s="16" t="str">
        <f t="shared" si="20"/>
        <v/>
      </c>
    </row>
    <row r="1305" spans="1:9" x14ac:dyDescent="0.2">
      <c r="A1305" t="str">
        <f>IF(ROW(A1305)&lt;=Bidding!$D$11,Raw_hydro_bm!B1305,"")</f>
        <v/>
      </c>
      <c r="B1305" t="str">
        <f>IF(ROW(B1305)&lt;=Bidding!$D$11,Raw_hydro_bm!C1305,"")</f>
        <v/>
      </c>
      <c r="C1305" t="str">
        <f>IF(ROW(C1305)&lt;=Bidding!$D$11,Raw_hydro_bm!D1305,"")</f>
        <v/>
      </c>
      <c r="D1305" t="str">
        <f>IF(ROW(D1305)&lt;=Bidding!$D$11,Raw_hydro_bm!E1305,"")</f>
        <v/>
      </c>
      <c r="E1305" t="str">
        <f>IF(ROW(E1305)&lt;=Bidding!$D$11,Raw_hydro_bm!F1305,"")</f>
        <v/>
      </c>
      <c r="F1305" t="str">
        <f>IF(ROW(F1305)&lt;=Bidding!$D$11,Raw_hydro_bm!G1305,"")</f>
        <v/>
      </c>
      <c r="G1305" t="str">
        <f>IF(ROW(G1305)&lt;=Bidding!$D$11,Raw_hydro_bm!H1305,"")</f>
        <v/>
      </c>
      <c r="H1305" t="str">
        <f>IF(ROW(H1305)&lt;=Bidding!$D$11,Raw_hydro_bm!I1305,"")</f>
        <v/>
      </c>
      <c r="I1305" s="16" t="str">
        <f t="shared" si="20"/>
        <v/>
      </c>
    </row>
    <row r="1306" spans="1:9" x14ac:dyDescent="0.2">
      <c r="A1306" t="str">
        <f>IF(ROW(A1306)&lt;=Bidding!$D$11,Raw_hydro_bm!B1306,"")</f>
        <v/>
      </c>
      <c r="B1306" t="str">
        <f>IF(ROW(B1306)&lt;=Bidding!$D$11,Raw_hydro_bm!C1306,"")</f>
        <v/>
      </c>
      <c r="C1306" t="str">
        <f>IF(ROW(C1306)&lt;=Bidding!$D$11,Raw_hydro_bm!D1306,"")</f>
        <v/>
      </c>
      <c r="D1306" t="str">
        <f>IF(ROW(D1306)&lt;=Bidding!$D$11,Raw_hydro_bm!E1306,"")</f>
        <v/>
      </c>
      <c r="E1306" t="str">
        <f>IF(ROW(E1306)&lt;=Bidding!$D$11,Raw_hydro_bm!F1306,"")</f>
        <v/>
      </c>
      <c r="F1306" t="str">
        <f>IF(ROW(F1306)&lt;=Bidding!$D$11,Raw_hydro_bm!G1306,"")</f>
        <v/>
      </c>
      <c r="G1306" t="str">
        <f>IF(ROW(G1306)&lt;=Bidding!$D$11,Raw_hydro_bm!H1306,"")</f>
        <v/>
      </c>
      <c r="H1306" t="str">
        <f>IF(ROW(H1306)&lt;=Bidding!$D$11,Raw_hydro_bm!I1306,"")</f>
        <v/>
      </c>
      <c r="I1306" s="16" t="str">
        <f t="shared" si="20"/>
        <v/>
      </c>
    </row>
    <row r="1307" spans="1:9" x14ac:dyDescent="0.2">
      <c r="A1307" t="str">
        <f>IF(ROW(A1307)&lt;=Bidding!$D$11,Raw_hydro_bm!B1307,"")</f>
        <v/>
      </c>
      <c r="B1307" t="str">
        <f>IF(ROW(B1307)&lt;=Bidding!$D$11,Raw_hydro_bm!C1307,"")</f>
        <v/>
      </c>
      <c r="C1307" t="str">
        <f>IF(ROW(C1307)&lt;=Bidding!$D$11,Raw_hydro_bm!D1307,"")</f>
        <v/>
      </c>
      <c r="D1307" t="str">
        <f>IF(ROW(D1307)&lt;=Bidding!$D$11,Raw_hydro_bm!E1307,"")</f>
        <v/>
      </c>
      <c r="E1307" t="str">
        <f>IF(ROW(E1307)&lt;=Bidding!$D$11,Raw_hydro_bm!F1307,"")</f>
        <v/>
      </c>
      <c r="F1307" t="str">
        <f>IF(ROW(F1307)&lt;=Bidding!$D$11,Raw_hydro_bm!G1307,"")</f>
        <v/>
      </c>
      <c r="G1307" t="str">
        <f>IF(ROW(G1307)&lt;=Bidding!$D$11,Raw_hydro_bm!H1307,"")</f>
        <v/>
      </c>
      <c r="H1307" t="str">
        <f>IF(ROW(H1307)&lt;=Bidding!$D$11,Raw_hydro_bm!I1307,"")</f>
        <v/>
      </c>
      <c r="I1307" s="16" t="str">
        <f t="shared" si="20"/>
        <v/>
      </c>
    </row>
    <row r="1308" spans="1:9" x14ac:dyDescent="0.2">
      <c r="A1308" t="str">
        <f>IF(ROW(A1308)&lt;=Bidding!$D$11,Raw_hydro_bm!B1308,"")</f>
        <v/>
      </c>
      <c r="B1308" t="str">
        <f>IF(ROW(B1308)&lt;=Bidding!$D$11,Raw_hydro_bm!C1308,"")</f>
        <v/>
      </c>
      <c r="C1308" t="str">
        <f>IF(ROW(C1308)&lt;=Bidding!$D$11,Raw_hydro_bm!D1308,"")</f>
        <v/>
      </c>
      <c r="D1308" t="str">
        <f>IF(ROW(D1308)&lt;=Bidding!$D$11,Raw_hydro_bm!E1308,"")</f>
        <v/>
      </c>
      <c r="E1308" t="str">
        <f>IF(ROW(E1308)&lt;=Bidding!$D$11,Raw_hydro_bm!F1308,"")</f>
        <v/>
      </c>
      <c r="F1308" t="str">
        <f>IF(ROW(F1308)&lt;=Bidding!$D$11,Raw_hydro_bm!G1308,"")</f>
        <v/>
      </c>
      <c r="G1308" t="str">
        <f>IF(ROW(G1308)&lt;=Bidding!$D$11,Raw_hydro_bm!H1308,"")</f>
        <v/>
      </c>
      <c r="H1308" t="str">
        <f>IF(ROW(H1308)&lt;=Bidding!$D$11,Raw_hydro_bm!I1308,"")</f>
        <v/>
      </c>
      <c r="I1308" s="16" t="str">
        <f t="shared" si="20"/>
        <v/>
      </c>
    </row>
    <row r="1309" spans="1:9" x14ac:dyDescent="0.2">
      <c r="A1309" t="str">
        <f>IF(ROW(A1309)&lt;=Bidding!$D$11,Raw_hydro_bm!B1309,"")</f>
        <v/>
      </c>
      <c r="B1309" t="str">
        <f>IF(ROW(B1309)&lt;=Bidding!$D$11,Raw_hydro_bm!C1309,"")</f>
        <v/>
      </c>
      <c r="C1309" t="str">
        <f>IF(ROW(C1309)&lt;=Bidding!$D$11,Raw_hydro_bm!D1309,"")</f>
        <v/>
      </c>
      <c r="D1309" t="str">
        <f>IF(ROW(D1309)&lt;=Bidding!$D$11,Raw_hydro_bm!E1309,"")</f>
        <v/>
      </c>
      <c r="E1309" t="str">
        <f>IF(ROW(E1309)&lt;=Bidding!$D$11,Raw_hydro_bm!F1309,"")</f>
        <v/>
      </c>
      <c r="F1309" t="str">
        <f>IF(ROW(F1309)&lt;=Bidding!$D$11,Raw_hydro_bm!G1309,"")</f>
        <v/>
      </c>
      <c r="G1309" t="str">
        <f>IF(ROW(G1309)&lt;=Bidding!$D$11,Raw_hydro_bm!H1309,"")</f>
        <v/>
      </c>
      <c r="H1309" t="str">
        <f>IF(ROW(H1309)&lt;=Bidding!$D$11,Raw_hydro_bm!I1309,"")</f>
        <v/>
      </c>
      <c r="I1309" s="16" t="str">
        <f t="shared" si="20"/>
        <v/>
      </c>
    </row>
    <row r="1310" spans="1:9" x14ac:dyDescent="0.2">
      <c r="A1310" t="str">
        <f>IF(ROW(A1310)&lt;=Bidding!$D$11,Raw_hydro_bm!B1310,"")</f>
        <v/>
      </c>
      <c r="B1310" t="str">
        <f>IF(ROW(B1310)&lt;=Bidding!$D$11,Raw_hydro_bm!C1310,"")</f>
        <v/>
      </c>
      <c r="C1310" t="str">
        <f>IF(ROW(C1310)&lt;=Bidding!$D$11,Raw_hydro_bm!D1310,"")</f>
        <v/>
      </c>
      <c r="D1310" t="str">
        <f>IF(ROW(D1310)&lt;=Bidding!$D$11,Raw_hydro_bm!E1310,"")</f>
        <v/>
      </c>
      <c r="E1310" t="str">
        <f>IF(ROW(E1310)&lt;=Bidding!$D$11,Raw_hydro_bm!F1310,"")</f>
        <v/>
      </c>
      <c r="F1310" t="str">
        <f>IF(ROW(F1310)&lt;=Bidding!$D$11,Raw_hydro_bm!G1310,"")</f>
        <v/>
      </c>
      <c r="G1310" t="str">
        <f>IF(ROW(G1310)&lt;=Bidding!$D$11,Raw_hydro_bm!H1310,"")</f>
        <v/>
      </c>
      <c r="H1310" t="str">
        <f>IF(ROW(H1310)&lt;=Bidding!$D$11,Raw_hydro_bm!I1310,"")</f>
        <v/>
      </c>
      <c r="I1310" s="16" t="str">
        <f t="shared" si="20"/>
        <v/>
      </c>
    </row>
    <row r="1311" spans="1:9" x14ac:dyDescent="0.2">
      <c r="A1311" t="str">
        <f>IF(ROW(A1311)&lt;=Bidding!$D$11,Raw_hydro_bm!B1311,"")</f>
        <v/>
      </c>
      <c r="B1311" t="str">
        <f>IF(ROW(B1311)&lt;=Bidding!$D$11,Raw_hydro_bm!C1311,"")</f>
        <v/>
      </c>
      <c r="C1311" t="str">
        <f>IF(ROW(C1311)&lt;=Bidding!$D$11,Raw_hydro_bm!D1311,"")</f>
        <v/>
      </c>
      <c r="D1311" t="str">
        <f>IF(ROW(D1311)&lt;=Bidding!$D$11,Raw_hydro_bm!E1311,"")</f>
        <v/>
      </c>
      <c r="E1311" t="str">
        <f>IF(ROW(E1311)&lt;=Bidding!$D$11,Raw_hydro_bm!F1311,"")</f>
        <v/>
      </c>
      <c r="F1311" t="str">
        <f>IF(ROW(F1311)&lt;=Bidding!$D$11,Raw_hydro_bm!G1311,"")</f>
        <v/>
      </c>
      <c r="G1311" t="str">
        <f>IF(ROW(G1311)&lt;=Bidding!$D$11,Raw_hydro_bm!H1311,"")</f>
        <v/>
      </c>
      <c r="H1311" t="str">
        <f>IF(ROW(H1311)&lt;=Bidding!$D$11,Raw_hydro_bm!I1311,"")</f>
        <v/>
      </c>
      <c r="I1311" s="16" t="str">
        <f t="shared" si="20"/>
        <v/>
      </c>
    </row>
    <row r="1312" spans="1:9" x14ac:dyDescent="0.2">
      <c r="A1312" t="str">
        <f>IF(ROW(A1312)&lt;=Bidding!$D$11,Raw_hydro_bm!B1312,"")</f>
        <v/>
      </c>
      <c r="B1312" t="str">
        <f>IF(ROW(B1312)&lt;=Bidding!$D$11,Raw_hydro_bm!C1312,"")</f>
        <v/>
      </c>
      <c r="C1312" t="str">
        <f>IF(ROW(C1312)&lt;=Bidding!$D$11,Raw_hydro_bm!D1312,"")</f>
        <v/>
      </c>
      <c r="D1312" t="str">
        <f>IF(ROW(D1312)&lt;=Bidding!$D$11,Raw_hydro_bm!E1312,"")</f>
        <v/>
      </c>
      <c r="E1312" t="str">
        <f>IF(ROW(E1312)&lt;=Bidding!$D$11,Raw_hydro_bm!F1312,"")</f>
        <v/>
      </c>
      <c r="F1312" t="str">
        <f>IF(ROW(F1312)&lt;=Bidding!$D$11,Raw_hydro_bm!G1312,"")</f>
        <v/>
      </c>
      <c r="G1312" t="str">
        <f>IF(ROW(G1312)&lt;=Bidding!$D$11,Raw_hydro_bm!H1312,"")</f>
        <v/>
      </c>
      <c r="H1312" t="str">
        <f>IF(ROW(H1312)&lt;=Bidding!$D$11,Raw_hydro_bm!I1312,"")</f>
        <v/>
      </c>
      <c r="I1312" s="16" t="str">
        <f t="shared" si="20"/>
        <v/>
      </c>
    </row>
    <row r="1313" spans="1:9" x14ac:dyDescent="0.2">
      <c r="A1313" t="str">
        <f>IF(ROW(A1313)&lt;=Bidding!$D$11,Raw_hydro_bm!B1313,"")</f>
        <v/>
      </c>
      <c r="B1313" t="str">
        <f>IF(ROW(B1313)&lt;=Bidding!$D$11,Raw_hydro_bm!C1313,"")</f>
        <v/>
      </c>
      <c r="C1313" t="str">
        <f>IF(ROW(C1313)&lt;=Bidding!$D$11,Raw_hydro_bm!D1313,"")</f>
        <v/>
      </c>
      <c r="D1313" t="str">
        <f>IF(ROW(D1313)&lt;=Bidding!$D$11,Raw_hydro_bm!E1313,"")</f>
        <v/>
      </c>
      <c r="E1313" t="str">
        <f>IF(ROW(E1313)&lt;=Bidding!$D$11,Raw_hydro_bm!F1313,"")</f>
        <v/>
      </c>
      <c r="F1313" t="str">
        <f>IF(ROW(F1313)&lt;=Bidding!$D$11,Raw_hydro_bm!G1313,"")</f>
        <v/>
      </c>
      <c r="G1313" t="str">
        <f>IF(ROW(G1313)&lt;=Bidding!$D$11,Raw_hydro_bm!H1313,"")</f>
        <v/>
      </c>
      <c r="H1313" t="str">
        <f>IF(ROW(H1313)&lt;=Bidding!$D$11,Raw_hydro_bm!I1313,"")</f>
        <v/>
      </c>
      <c r="I1313" s="16" t="str">
        <f t="shared" si="20"/>
        <v/>
      </c>
    </row>
    <row r="1314" spans="1:9" x14ac:dyDescent="0.2">
      <c r="A1314" t="str">
        <f>IF(ROW(A1314)&lt;=Bidding!$D$11,Raw_hydro_bm!B1314,"")</f>
        <v/>
      </c>
      <c r="B1314" t="str">
        <f>IF(ROW(B1314)&lt;=Bidding!$D$11,Raw_hydro_bm!C1314,"")</f>
        <v/>
      </c>
      <c r="C1314" t="str">
        <f>IF(ROW(C1314)&lt;=Bidding!$D$11,Raw_hydro_bm!D1314,"")</f>
        <v/>
      </c>
      <c r="D1314" t="str">
        <f>IF(ROW(D1314)&lt;=Bidding!$D$11,Raw_hydro_bm!E1314,"")</f>
        <v/>
      </c>
      <c r="E1314" t="str">
        <f>IF(ROW(E1314)&lt;=Bidding!$D$11,Raw_hydro_bm!F1314,"")</f>
        <v/>
      </c>
      <c r="F1314" t="str">
        <f>IF(ROW(F1314)&lt;=Bidding!$D$11,Raw_hydro_bm!G1314,"")</f>
        <v/>
      </c>
      <c r="G1314" t="str">
        <f>IF(ROW(G1314)&lt;=Bidding!$D$11,Raw_hydro_bm!H1314,"")</f>
        <v/>
      </c>
      <c r="H1314" t="str">
        <f>IF(ROW(H1314)&lt;=Bidding!$D$11,Raw_hydro_bm!I1314,"")</f>
        <v/>
      </c>
      <c r="I1314" s="16" t="str">
        <f t="shared" si="20"/>
        <v/>
      </c>
    </row>
    <row r="1315" spans="1:9" x14ac:dyDescent="0.2">
      <c r="A1315" t="str">
        <f>IF(ROW(A1315)&lt;=Bidding!$D$11,Raw_hydro_bm!B1315,"")</f>
        <v/>
      </c>
      <c r="B1315" t="str">
        <f>IF(ROW(B1315)&lt;=Bidding!$D$11,Raw_hydro_bm!C1315,"")</f>
        <v/>
      </c>
      <c r="C1315" t="str">
        <f>IF(ROW(C1315)&lt;=Bidding!$D$11,Raw_hydro_bm!D1315,"")</f>
        <v/>
      </c>
      <c r="D1315" t="str">
        <f>IF(ROW(D1315)&lt;=Bidding!$D$11,Raw_hydro_bm!E1315,"")</f>
        <v/>
      </c>
      <c r="E1315" t="str">
        <f>IF(ROW(E1315)&lt;=Bidding!$D$11,Raw_hydro_bm!F1315,"")</f>
        <v/>
      </c>
      <c r="F1315" t="str">
        <f>IF(ROW(F1315)&lt;=Bidding!$D$11,Raw_hydro_bm!G1315,"")</f>
        <v/>
      </c>
      <c r="G1315" t="str">
        <f>IF(ROW(G1315)&lt;=Bidding!$D$11,Raw_hydro_bm!H1315,"")</f>
        <v/>
      </c>
      <c r="H1315" t="str">
        <f>IF(ROW(H1315)&lt;=Bidding!$D$11,Raw_hydro_bm!I1315,"")</f>
        <v/>
      </c>
      <c r="I1315" s="16" t="str">
        <f t="shared" si="20"/>
        <v/>
      </c>
    </row>
    <row r="1316" spans="1:9" x14ac:dyDescent="0.2">
      <c r="A1316" t="str">
        <f>IF(ROW(A1316)&lt;=Bidding!$D$11,Raw_hydro_bm!B1316,"")</f>
        <v/>
      </c>
      <c r="B1316" t="str">
        <f>IF(ROW(B1316)&lt;=Bidding!$D$11,Raw_hydro_bm!C1316,"")</f>
        <v/>
      </c>
      <c r="C1316" t="str">
        <f>IF(ROW(C1316)&lt;=Bidding!$D$11,Raw_hydro_bm!D1316,"")</f>
        <v/>
      </c>
      <c r="D1316" t="str">
        <f>IF(ROW(D1316)&lt;=Bidding!$D$11,Raw_hydro_bm!E1316,"")</f>
        <v/>
      </c>
      <c r="E1316" t="str">
        <f>IF(ROW(E1316)&lt;=Bidding!$D$11,Raw_hydro_bm!F1316,"")</f>
        <v/>
      </c>
      <c r="F1316" t="str">
        <f>IF(ROW(F1316)&lt;=Bidding!$D$11,Raw_hydro_bm!G1316,"")</f>
        <v/>
      </c>
      <c r="G1316" t="str">
        <f>IF(ROW(G1316)&lt;=Bidding!$D$11,Raw_hydro_bm!H1316,"")</f>
        <v/>
      </c>
      <c r="H1316" t="str">
        <f>IF(ROW(H1316)&lt;=Bidding!$D$11,Raw_hydro_bm!I1316,"")</f>
        <v/>
      </c>
      <c r="I1316" s="16" t="str">
        <f t="shared" si="20"/>
        <v/>
      </c>
    </row>
    <row r="1317" spans="1:9" x14ac:dyDescent="0.2">
      <c r="A1317" t="str">
        <f>IF(ROW(A1317)&lt;=Bidding!$D$11,Raw_hydro_bm!B1317,"")</f>
        <v/>
      </c>
      <c r="B1317" t="str">
        <f>IF(ROW(B1317)&lt;=Bidding!$D$11,Raw_hydro_bm!C1317,"")</f>
        <v/>
      </c>
      <c r="C1317" t="str">
        <f>IF(ROW(C1317)&lt;=Bidding!$D$11,Raw_hydro_bm!D1317,"")</f>
        <v/>
      </c>
      <c r="D1317" t="str">
        <f>IF(ROW(D1317)&lt;=Bidding!$D$11,Raw_hydro_bm!E1317,"")</f>
        <v/>
      </c>
      <c r="E1317" t="str">
        <f>IF(ROW(E1317)&lt;=Bidding!$D$11,Raw_hydro_bm!F1317,"")</f>
        <v/>
      </c>
      <c r="F1317" t="str">
        <f>IF(ROW(F1317)&lt;=Bidding!$D$11,Raw_hydro_bm!G1317,"")</f>
        <v/>
      </c>
      <c r="G1317" t="str">
        <f>IF(ROW(G1317)&lt;=Bidding!$D$11,Raw_hydro_bm!H1317,"")</f>
        <v/>
      </c>
      <c r="H1317" t="str">
        <f>IF(ROW(H1317)&lt;=Bidding!$D$11,Raw_hydro_bm!I1317,"")</f>
        <v/>
      </c>
      <c r="I1317" s="16" t="str">
        <f t="shared" si="20"/>
        <v/>
      </c>
    </row>
    <row r="1318" spans="1:9" x14ac:dyDescent="0.2">
      <c r="A1318" t="str">
        <f>IF(ROW(A1318)&lt;=Bidding!$D$11,Raw_hydro_bm!B1318,"")</f>
        <v/>
      </c>
      <c r="B1318" t="str">
        <f>IF(ROW(B1318)&lt;=Bidding!$D$11,Raw_hydro_bm!C1318,"")</f>
        <v/>
      </c>
      <c r="C1318" t="str">
        <f>IF(ROW(C1318)&lt;=Bidding!$D$11,Raw_hydro_bm!D1318,"")</f>
        <v/>
      </c>
      <c r="D1318" t="str">
        <f>IF(ROW(D1318)&lt;=Bidding!$D$11,Raw_hydro_bm!E1318,"")</f>
        <v/>
      </c>
      <c r="E1318" t="str">
        <f>IF(ROW(E1318)&lt;=Bidding!$D$11,Raw_hydro_bm!F1318,"")</f>
        <v/>
      </c>
      <c r="F1318" t="str">
        <f>IF(ROW(F1318)&lt;=Bidding!$D$11,Raw_hydro_bm!G1318,"")</f>
        <v/>
      </c>
      <c r="G1318" t="str">
        <f>IF(ROW(G1318)&lt;=Bidding!$D$11,Raw_hydro_bm!H1318,"")</f>
        <v/>
      </c>
      <c r="H1318" t="str">
        <f>IF(ROW(H1318)&lt;=Bidding!$D$11,Raw_hydro_bm!I1318,"")</f>
        <v/>
      </c>
      <c r="I1318" s="16" t="str">
        <f t="shared" si="20"/>
        <v/>
      </c>
    </row>
    <row r="1319" spans="1:9" x14ac:dyDescent="0.2">
      <c r="A1319" t="str">
        <f>IF(ROW(A1319)&lt;=Bidding!$D$11,Raw_hydro_bm!B1319,"")</f>
        <v/>
      </c>
      <c r="B1319" t="str">
        <f>IF(ROW(B1319)&lt;=Bidding!$D$11,Raw_hydro_bm!C1319,"")</f>
        <v/>
      </c>
      <c r="C1319" t="str">
        <f>IF(ROW(C1319)&lt;=Bidding!$D$11,Raw_hydro_bm!D1319,"")</f>
        <v/>
      </c>
      <c r="D1319" t="str">
        <f>IF(ROW(D1319)&lt;=Bidding!$D$11,Raw_hydro_bm!E1319,"")</f>
        <v/>
      </c>
      <c r="E1319" t="str">
        <f>IF(ROW(E1319)&lt;=Bidding!$D$11,Raw_hydro_bm!F1319,"")</f>
        <v/>
      </c>
      <c r="F1319" t="str">
        <f>IF(ROW(F1319)&lt;=Bidding!$D$11,Raw_hydro_bm!G1319,"")</f>
        <v/>
      </c>
      <c r="G1319" t="str">
        <f>IF(ROW(G1319)&lt;=Bidding!$D$11,Raw_hydro_bm!H1319,"")</f>
        <v/>
      </c>
      <c r="H1319" t="str">
        <f>IF(ROW(H1319)&lt;=Bidding!$D$11,Raw_hydro_bm!I1319,"")</f>
        <v/>
      </c>
      <c r="I1319" s="16" t="str">
        <f t="shared" si="20"/>
        <v/>
      </c>
    </row>
    <row r="1320" spans="1:9" x14ac:dyDescent="0.2">
      <c r="A1320" t="str">
        <f>IF(ROW(A1320)&lt;=Bidding!$D$11,Raw_hydro_bm!B1320,"")</f>
        <v/>
      </c>
      <c r="B1320" t="str">
        <f>IF(ROW(B1320)&lt;=Bidding!$D$11,Raw_hydro_bm!C1320,"")</f>
        <v/>
      </c>
      <c r="C1320" t="str">
        <f>IF(ROW(C1320)&lt;=Bidding!$D$11,Raw_hydro_bm!D1320,"")</f>
        <v/>
      </c>
      <c r="D1320" t="str">
        <f>IF(ROW(D1320)&lt;=Bidding!$D$11,Raw_hydro_bm!E1320,"")</f>
        <v/>
      </c>
      <c r="E1320" t="str">
        <f>IF(ROW(E1320)&lt;=Bidding!$D$11,Raw_hydro_bm!F1320,"")</f>
        <v/>
      </c>
      <c r="F1320" t="str">
        <f>IF(ROW(F1320)&lt;=Bidding!$D$11,Raw_hydro_bm!G1320,"")</f>
        <v/>
      </c>
      <c r="G1320" t="str">
        <f>IF(ROW(G1320)&lt;=Bidding!$D$11,Raw_hydro_bm!H1320,"")</f>
        <v/>
      </c>
      <c r="H1320" t="str">
        <f>IF(ROW(H1320)&lt;=Bidding!$D$11,Raw_hydro_bm!I1320,"")</f>
        <v/>
      </c>
      <c r="I1320" s="16" t="str">
        <f t="shared" si="20"/>
        <v/>
      </c>
    </row>
    <row r="1321" spans="1:9" x14ac:dyDescent="0.2">
      <c r="A1321" t="str">
        <f>IF(ROW(A1321)&lt;=Bidding!$D$11,Raw_hydro_bm!B1321,"")</f>
        <v/>
      </c>
      <c r="B1321" t="str">
        <f>IF(ROW(B1321)&lt;=Bidding!$D$11,Raw_hydro_bm!C1321,"")</f>
        <v/>
      </c>
      <c r="C1321" t="str">
        <f>IF(ROW(C1321)&lt;=Bidding!$D$11,Raw_hydro_bm!D1321,"")</f>
        <v/>
      </c>
      <c r="D1321" t="str">
        <f>IF(ROW(D1321)&lt;=Bidding!$D$11,Raw_hydro_bm!E1321,"")</f>
        <v/>
      </c>
      <c r="E1321" t="str">
        <f>IF(ROW(E1321)&lt;=Bidding!$D$11,Raw_hydro_bm!F1321,"")</f>
        <v/>
      </c>
      <c r="F1321" t="str">
        <f>IF(ROW(F1321)&lt;=Bidding!$D$11,Raw_hydro_bm!G1321,"")</f>
        <v/>
      </c>
      <c r="G1321" t="str">
        <f>IF(ROW(G1321)&lt;=Bidding!$D$11,Raw_hydro_bm!H1321,"")</f>
        <v/>
      </c>
      <c r="H1321" t="str">
        <f>IF(ROW(H1321)&lt;=Bidding!$D$11,Raw_hydro_bm!I1321,"")</f>
        <v/>
      </c>
      <c r="I1321" s="16" t="str">
        <f t="shared" si="20"/>
        <v/>
      </c>
    </row>
    <row r="1322" spans="1:9" x14ac:dyDescent="0.2">
      <c r="A1322" t="str">
        <f>IF(ROW(A1322)&lt;=Bidding!$D$11,Raw_hydro_bm!B1322,"")</f>
        <v/>
      </c>
      <c r="B1322" t="str">
        <f>IF(ROW(B1322)&lt;=Bidding!$D$11,Raw_hydro_bm!C1322,"")</f>
        <v/>
      </c>
      <c r="C1322" t="str">
        <f>IF(ROW(C1322)&lt;=Bidding!$D$11,Raw_hydro_bm!D1322,"")</f>
        <v/>
      </c>
      <c r="D1322" t="str">
        <f>IF(ROW(D1322)&lt;=Bidding!$D$11,Raw_hydro_bm!E1322,"")</f>
        <v/>
      </c>
      <c r="E1322" t="str">
        <f>IF(ROW(E1322)&lt;=Bidding!$D$11,Raw_hydro_bm!F1322,"")</f>
        <v/>
      </c>
      <c r="F1322" t="str">
        <f>IF(ROW(F1322)&lt;=Bidding!$D$11,Raw_hydro_bm!G1322,"")</f>
        <v/>
      </c>
      <c r="G1322" t="str">
        <f>IF(ROW(G1322)&lt;=Bidding!$D$11,Raw_hydro_bm!H1322,"")</f>
        <v/>
      </c>
      <c r="H1322" t="str">
        <f>IF(ROW(H1322)&lt;=Bidding!$D$11,Raw_hydro_bm!I1322,"")</f>
        <v/>
      </c>
      <c r="I1322" s="16" t="str">
        <f t="shared" si="20"/>
        <v/>
      </c>
    </row>
    <row r="1323" spans="1:9" x14ac:dyDescent="0.2">
      <c r="A1323" t="str">
        <f>IF(ROW(A1323)&lt;=Bidding!$D$11,Raw_hydro_bm!B1323,"")</f>
        <v/>
      </c>
      <c r="B1323" t="str">
        <f>IF(ROW(B1323)&lt;=Bidding!$D$11,Raw_hydro_bm!C1323,"")</f>
        <v/>
      </c>
      <c r="C1323" t="str">
        <f>IF(ROW(C1323)&lt;=Bidding!$D$11,Raw_hydro_bm!D1323,"")</f>
        <v/>
      </c>
      <c r="D1323" t="str">
        <f>IF(ROW(D1323)&lt;=Bidding!$D$11,Raw_hydro_bm!E1323,"")</f>
        <v/>
      </c>
      <c r="E1323" t="str">
        <f>IF(ROW(E1323)&lt;=Bidding!$D$11,Raw_hydro_bm!F1323,"")</f>
        <v/>
      </c>
      <c r="F1323" t="str">
        <f>IF(ROW(F1323)&lt;=Bidding!$D$11,Raw_hydro_bm!G1323,"")</f>
        <v/>
      </c>
      <c r="G1323" t="str">
        <f>IF(ROW(G1323)&lt;=Bidding!$D$11,Raw_hydro_bm!H1323,"")</f>
        <v/>
      </c>
      <c r="H1323" t="str">
        <f>IF(ROW(H1323)&lt;=Bidding!$D$11,Raw_hydro_bm!I1323,"")</f>
        <v/>
      </c>
      <c r="I1323" s="16" t="str">
        <f t="shared" si="20"/>
        <v/>
      </c>
    </row>
    <row r="1324" spans="1:9" x14ac:dyDescent="0.2">
      <c r="A1324" t="str">
        <f>IF(ROW(A1324)&lt;=Bidding!$D$11,Raw_hydro_bm!B1324,"")</f>
        <v/>
      </c>
      <c r="B1324" t="str">
        <f>IF(ROW(B1324)&lt;=Bidding!$D$11,Raw_hydro_bm!C1324,"")</f>
        <v/>
      </c>
      <c r="C1324" t="str">
        <f>IF(ROW(C1324)&lt;=Bidding!$D$11,Raw_hydro_bm!D1324,"")</f>
        <v/>
      </c>
      <c r="D1324" t="str">
        <f>IF(ROW(D1324)&lt;=Bidding!$D$11,Raw_hydro_bm!E1324,"")</f>
        <v/>
      </c>
      <c r="E1324" t="str">
        <f>IF(ROW(E1324)&lt;=Bidding!$D$11,Raw_hydro_bm!F1324,"")</f>
        <v/>
      </c>
      <c r="F1324" t="str">
        <f>IF(ROW(F1324)&lt;=Bidding!$D$11,Raw_hydro_bm!G1324,"")</f>
        <v/>
      </c>
      <c r="G1324" t="str">
        <f>IF(ROW(G1324)&lt;=Bidding!$D$11,Raw_hydro_bm!H1324,"")</f>
        <v/>
      </c>
      <c r="H1324" t="str">
        <f>IF(ROW(H1324)&lt;=Bidding!$D$11,Raw_hydro_bm!I1324,"")</f>
        <v/>
      </c>
      <c r="I1324" s="16" t="str">
        <f t="shared" si="20"/>
        <v/>
      </c>
    </row>
    <row r="1325" spans="1:9" x14ac:dyDescent="0.2">
      <c r="A1325" t="str">
        <f>IF(ROW(A1325)&lt;=Bidding!$D$11,Raw_hydro_bm!B1325,"")</f>
        <v/>
      </c>
      <c r="B1325" t="str">
        <f>IF(ROW(B1325)&lt;=Bidding!$D$11,Raw_hydro_bm!C1325,"")</f>
        <v/>
      </c>
      <c r="C1325" t="str">
        <f>IF(ROW(C1325)&lt;=Bidding!$D$11,Raw_hydro_bm!D1325,"")</f>
        <v/>
      </c>
      <c r="D1325" t="str">
        <f>IF(ROW(D1325)&lt;=Bidding!$D$11,Raw_hydro_bm!E1325,"")</f>
        <v/>
      </c>
      <c r="E1325" t="str">
        <f>IF(ROW(E1325)&lt;=Bidding!$D$11,Raw_hydro_bm!F1325,"")</f>
        <v/>
      </c>
      <c r="F1325" t="str">
        <f>IF(ROW(F1325)&lt;=Bidding!$D$11,Raw_hydro_bm!G1325,"")</f>
        <v/>
      </c>
      <c r="G1325" t="str">
        <f>IF(ROW(G1325)&lt;=Bidding!$D$11,Raw_hydro_bm!H1325,"")</f>
        <v/>
      </c>
      <c r="H1325" t="str">
        <f>IF(ROW(H1325)&lt;=Bidding!$D$11,Raw_hydro_bm!I1325,"")</f>
        <v/>
      </c>
      <c r="I1325" s="16" t="str">
        <f t="shared" si="20"/>
        <v/>
      </c>
    </row>
    <row r="1326" spans="1:9" x14ac:dyDescent="0.2">
      <c r="A1326" t="str">
        <f>IF(ROW(A1326)&lt;=Bidding!$D$11,Raw_hydro_bm!B1326,"")</f>
        <v/>
      </c>
      <c r="B1326" t="str">
        <f>IF(ROW(B1326)&lt;=Bidding!$D$11,Raw_hydro_bm!C1326,"")</f>
        <v/>
      </c>
      <c r="C1326" t="str">
        <f>IF(ROW(C1326)&lt;=Bidding!$D$11,Raw_hydro_bm!D1326,"")</f>
        <v/>
      </c>
      <c r="D1326" t="str">
        <f>IF(ROW(D1326)&lt;=Bidding!$D$11,Raw_hydro_bm!E1326,"")</f>
        <v/>
      </c>
      <c r="E1326" t="str">
        <f>IF(ROW(E1326)&lt;=Bidding!$D$11,Raw_hydro_bm!F1326,"")</f>
        <v/>
      </c>
      <c r="F1326" t="str">
        <f>IF(ROW(F1326)&lt;=Bidding!$D$11,Raw_hydro_bm!G1326,"")</f>
        <v/>
      </c>
      <c r="G1326" t="str">
        <f>IF(ROW(G1326)&lt;=Bidding!$D$11,Raw_hydro_bm!H1326,"")</f>
        <v/>
      </c>
      <c r="H1326" t="str">
        <f>IF(ROW(H1326)&lt;=Bidding!$D$11,Raw_hydro_bm!I1326,"")</f>
        <v/>
      </c>
      <c r="I1326" s="16" t="str">
        <f t="shared" si="20"/>
        <v/>
      </c>
    </row>
    <row r="1327" spans="1:9" x14ac:dyDescent="0.2">
      <c r="A1327" t="str">
        <f>IF(ROW(A1327)&lt;=Bidding!$D$11,Raw_hydro_bm!B1327,"")</f>
        <v/>
      </c>
      <c r="B1327" t="str">
        <f>IF(ROW(B1327)&lt;=Bidding!$D$11,Raw_hydro_bm!C1327,"")</f>
        <v/>
      </c>
      <c r="C1327" t="str">
        <f>IF(ROW(C1327)&lt;=Bidding!$D$11,Raw_hydro_bm!D1327,"")</f>
        <v/>
      </c>
      <c r="D1327" t="str">
        <f>IF(ROW(D1327)&lt;=Bidding!$D$11,Raw_hydro_bm!E1327,"")</f>
        <v/>
      </c>
      <c r="E1327" t="str">
        <f>IF(ROW(E1327)&lt;=Bidding!$D$11,Raw_hydro_bm!F1327,"")</f>
        <v/>
      </c>
      <c r="F1327" t="str">
        <f>IF(ROW(F1327)&lt;=Bidding!$D$11,Raw_hydro_bm!G1327,"")</f>
        <v/>
      </c>
      <c r="G1327" t="str">
        <f>IF(ROW(G1327)&lt;=Bidding!$D$11,Raw_hydro_bm!H1327,"")</f>
        <v/>
      </c>
      <c r="H1327" t="str">
        <f>IF(ROW(H1327)&lt;=Bidding!$D$11,Raw_hydro_bm!I1327,"")</f>
        <v/>
      </c>
      <c r="I1327" s="16" t="str">
        <f t="shared" si="20"/>
        <v/>
      </c>
    </row>
    <row r="1328" spans="1:9" x14ac:dyDescent="0.2">
      <c r="A1328" t="str">
        <f>IF(ROW(A1328)&lt;=Bidding!$D$11,Raw_hydro_bm!B1328,"")</f>
        <v/>
      </c>
      <c r="B1328" t="str">
        <f>IF(ROW(B1328)&lt;=Bidding!$D$11,Raw_hydro_bm!C1328,"")</f>
        <v/>
      </c>
      <c r="C1328" t="str">
        <f>IF(ROW(C1328)&lt;=Bidding!$D$11,Raw_hydro_bm!D1328,"")</f>
        <v/>
      </c>
      <c r="D1328" t="str">
        <f>IF(ROW(D1328)&lt;=Bidding!$D$11,Raw_hydro_bm!E1328,"")</f>
        <v/>
      </c>
      <c r="E1328" t="str">
        <f>IF(ROW(E1328)&lt;=Bidding!$D$11,Raw_hydro_bm!F1328,"")</f>
        <v/>
      </c>
      <c r="F1328" t="str">
        <f>IF(ROW(F1328)&lt;=Bidding!$D$11,Raw_hydro_bm!G1328,"")</f>
        <v/>
      </c>
      <c r="G1328" t="str">
        <f>IF(ROW(G1328)&lt;=Bidding!$D$11,Raw_hydro_bm!H1328,"")</f>
        <v/>
      </c>
      <c r="H1328" t="str">
        <f>IF(ROW(H1328)&lt;=Bidding!$D$11,Raw_hydro_bm!I1328,"")</f>
        <v/>
      </c>
      <c r="I1328" s="16" t="str">
        <f t="shared" si="20"/>
        <v/>
      </c>
    </row>
    <row r="1329" spans="1:9" x14ac:dyDescent="0.2">
      <c r="A1329" t="str">
        <f>IF(ROW(A1329)&lt;=Bidding!$D$11,Raw_hydro_bm!B1329,"")</f>
        <v/>
      </c>
      <c r="B1329" t="str">
        <f>IF(ROW(B1329)&lt;=Bidding!$D$11,Raw_hydro_bm!C1329,"")</f>
        <v/>
      </c>
      <c r="C1329" t="str">
        <f>IF(ROW(C1329)&lt;=Bidding!$D$11,Raw_hydro_bm!D1329,"")</f>
        <v/>
      </c>
      <c r="D1329" t="str">
        <f>IF(ROW(D1329)&lt;=Bidding!$D$11,Raw_hydro_bm!E1329,"")</f>
        <v/>
      </c>
      <c r="E1329" t="str">
        <f>IF(ROW(E1329)&lt;=Bidding!$D$11,Raw_hydro_bm!F1329,"")</f>
        <v/>
      </c>
      <c r="F1329" t="str">
        <f>IF(ROW(F1329)&lt;=Bidding!$D$11,Raw_hydro_bm!G1329,"")</f>
        <v/>
      </c>
      <c r="G1329" t="str">
        <f>IF(ROW(G1329)&lt;=Bidding!$D$11,Raw_hydro_bm!H1329,"")</f>
        <v/>
      </c>
      <c r="H1329" t="str">
        <f>IF(ROW(H1329)&lt;=Bidding!$D$11,Raw_hydro_bm!I1329,"")</f>
        <v/>
      </c>
      <c r="I1329" s="16" t="str">
        <f t="shared" si="20"/>
        <v/>
      </c>
    </row>
    <row r="1330" spans="1:9" x14ac:dyDescent="0.2">
      <c r="A1330" t="str">
        <f>IF(ROW(A1330)&lt;=Bidding!$D$11,Raw_hydro_bm!B1330,"")</f>
        <v/>
      </c>
      <c r="B1330" t="str">
        <f>IF(ROW(B1330)&lt;=Bidding!$D$11,Raw_hydro_bm!C1330,"")</f>
        <v/>
      </c>
      <c r="C1330" t="str">
        <f>IF(ROW(C1330)&lt;=Bidding!$D$11,Raw_hydro_bm!D1330,"")</f>
        <v/>
      </c>
      <c r="D1330" t="str">
        <f>IF(ROW(D1330)&lt;=Bidding!$D$11,Raw_hydro_bm!E1330,"")</f>
        <v/>
      </c>
      <c r="E1330" t="str">
        <f>IF(ROW(E1330)&lt;=Bidding!$D$11,Raw_hydro_bm!F1330,"")</f>
        <v/>
      </c>
      <c r="F1330" t="str">
        <f>IF(ROW(F1330)&lt;=Bidding!$D$11,Raw_hydro_bm!G1330,"")</f>
        <v/>
      </c>
      <c r="G1330" t="str">
        <f>IF(ROW(G1330)&lt;=Bidding!$D$11,Raw_hydro_bm!H1330,"")</f>
        <v/>
      </c>
      <c r="H1330" t="str">
        <f>IF(ROW(H1330)&lt;=Bidding!$D$11,Raw_hydro_bm!I1330,"")</f>
        <v/>
      </c>
      <c r="I1330" s="16" t="str">
        <f t="shared" si="20"/>
        <v/>
      </c>
    </row>
    <row r="1331" spans="1:9" x14ac:dyDescent="0.2">
      <c r="A1331" t="str">
        <f>IF(ROW(A1331)&lt;=Bidding!$D$11,Raw_hydro_bm!B1331,"")</f>
        <v/>
      </c>
      <c r="B1331" t="str">
        <f>IF(ROW(B1331)&lt;=Bidding!$D$11,Raw_hydro_bm!C1331,"")</f>
        <v/>
      </c>
      <c r="C1331" t="str">
        <f>IF(ROW(C1331)&lt;=Bidding!$D$11,Raw_hydro_bm!D1331,"")</f>
        <v/>
      </c>
      <c r="D1331" t="str">
        <f>IF(ROW(D1331)&lt;=Bidding!$D$11,Raw_hydro_bm!E1331,"")</f>
        <v/>
      </c>
      <c r="E1331" t="str">
        <f>IF(ROW(E1331)&lt;=Bidding!$D$11,Raw_hydro_bm!F1331,"")</f>
        <v/>
      </c>
      <c r="F1331" t="str">
        <f>IF(ROW(F1331)&lt;=Bidding!$D$11,Raw_hydro_bm!G1331,"")</f>
        <v/>
      </c>
      <c r="G1331" t="str">
        <f>IF(ROW(G1331)&lt;=Bidding!$D$11,Raw_hydro_bm!H1331,"")</f>
        <v/>
      </c>
      <c r="H1331" t="str">
        <f>IF(ROW(H1331)&lt;=Bidding!$D$11,Raw_hydro_bm!I1331,"")</f>
        <v/>
      </c>
      <c r="I1331" s="16" t="str">
        <f t="shared" si="20"/>
        <v/>
      </c>
    </row>
    <row r="1332" spans="1:9" x14ac:dyDescent="0.2">
      <c r="A1332" t="str">
        <f>IF(ROW(A1332)&lt;=Bidding!$D$11,Raw_hydro_bm!B1332,"")</f>
        <v/>
      </c>
      <c r="B1332" t="str">
        <f>IF(ROW(B1332)&lt;=Bidding!$D$11,Raw_hydro_bm!C1332,"")</f>
        <v/>
      </c>
      <c r="C1332" t="str">
        <f>IF(ROW(C1332)&lt;=Bidding!$D$11,Raw_hydro_bm!D1332,"")</f>
        <v/>
      </c>
      <c r="D1332" t="str">
        <f>IF(ROW(D1332)&lt;=Bidding!$D$11,Raw_hydro_bm!E1332,"")</f>
        <v/>
      </c>
      <c r="E1332" t="str">
        <f>IF(ROW(E1332)&lt;=Bidding!$D$11,Raw_hydro_bm!F1332,"")</f>
        <v/>
      </c>
      <c r="F1332" t="str">
        <f>IF(ROW(F1332)&lt;=Bidding!$D$11,Raw_hydro_bm!G1332,"")</f>
        <v/>
      </c>
      <c r="G1332" t="str">
        <f>IF(ROW(G1332)&lt;=Bidding!$D$11,Raw_hydro_bm!H1332,"")</f>
        <v/>
      </c>
      <c r="H1332" t="str">
        <f>IF(ROW(H1332)&lt;=Bidding!$D$11,Raw_hydro_bm!I1332,"")</f>
        <v/>
      </c>
      <c r="I1332" s="16" t="str">
        <f t="shared" si="20"/>
        <v/>
      </c>
    </row>
    <row r="1333" spans="1:9" x14ac:dyDescent="0.2">
      <c r="A1333" t="str">
        <f>IF(ROW(A1333)&lt;=Bidding!$D$11,Raw_hydro_bm!B1333,"")</f>
        <v/>
      </c>
      <c r="B1333" t="str">
        <f>IF(ROW(B1333)&lt;=Bidding!$D$11,Raw_hydro_bm!C1333,"")</f>
        <v/>
      </c>
      <c r="C1333" t="str">
        <f>IF(ROW(C1333)&lt;=Bidding!$D$11,Raw_hydro_bm!D1333,"")</f>
        <v/>
      </c>
      <c r="D1333" t="str">
        <f>IF(ROW(D1333)&lt;=Bidding!$D$11,Raw_hydro_bm!E1333,"")</f>
        <v/>
      </c>
      <c r="E1333" t="str">
        <f>IF(ROW(E1333)&lt;=Bidding!$D$11,Raw_hydro_bm!F1333,"")</f>
        <v/>
      </c>
      <c r="F1333" t="str">
        <f>IF(ROW(F1333)&lt;=Bidding!$D$11,Raw_hydro_bm!G1333,"")</f>
        <v/>
      </c>
      <c r="G1333" t="str">
        <f>IF(ROW(G1333)&lt;=Bidding!$D$11,Raw_hydro_bm!H1333,"")</f>
        <v/>
      </c>
      <c r="H1333" t="str">
        <f>IF(ROW(H1333)&lt;=Bidding!$D$11,Raw_hydro_bm!I1333,"")</f>
        <v/>
      </c>
      <c r="I1333" s="16" t="str">
        <f t="shared" si="20"/>
        <v/>
      </c>
    </row>
    <row r="1334" spans="1:9" x14ac:dyDescent="0.2">
      <c r="A1334" t="str">
        <f>IF(ROW(A1334)&lt;=Bidding!$D$11,Raw_hydro_bm!B1334,"")</f>
        <v/>
      </c>
      <c r="B1334" t="str">
        <f>IF(ROW(B1334)&lt;=Bidding!$D$11,Raw_hydro_bm!C1334,"")</f>
        <v/>
      </c>
      <c r="C1334" t="str">
        <f>IF(ROW(C1334)&lt;=Bidding!$D$11,Raw_hydro_bm!D1334,"")</f>
        <v/>
      </c>
      <c r="D1334" t="str">
        <f>IF(ROW(D1334)&lt;=Bidding!$D$11,Raw_hydro_bm!E1334,"")</f>
        <v/>
      </c>
      <c r="E1334" t="str">
        <f>IF(ROW(E1334)&lt;=Bidding!$D$11,Raw_hydro_bm!F1334,"")</f>
        <v/>
      </c>
      <c r="F1334" t="str">
        <f>IF(ROW(F1334)&lt;=Bidding!$D$11,Raw_hydro_bm!G1334,"")</f>
        <v/>
      </c>
      <c r="G1334" t="str">
        <f>IF(ROW(G1334)&lt;=Bidding!$D$11,Raw_hydro_bm!H1334,"")</f>
        <v/>
      </c>
      <c r="H1334" t="str">
        <f>IF(ROW(H1334)&lt;=Bidding!$D$11,Raw_hydro_bm!I1334,"")</f>
        <v/>
      </c>
      <c r="I1334" s="16" t="str">
        <f t="shared" si="20"/>
        <v/>
      </c>
    </row>
    <row r="1335" spans="1:9" x14ac:dyDescent="0.2">
      <c r="A1335" t="str">
        <f>IF(ROW(A1335)&lt;=Bidding!$D$11,Raw_hydro_bm!B1335,"")</f>
        <v/>
      </c>
      <c r="B1335" t="str">
        <f>IF(ROW(B1335)&lt;=Bidding!$D$11,Raw_hydro_bm!C1335,"")</f>
        <v/>
      </c>
      <c r="C1335" t="str">
        <f>IF(ROW(C1335)&lt;=Bidding!$D$11,Raw_hydro_bm!D1335,"")</f>
        <v/>
      </c>
      <c r="D1335" t="str">
        <f>IF(ROW(D1335)&lt;=Bidding!$D$11,Raw_hydro_bm!E1335,"")</f>
        <v/>
      </c>
      <c r="E1335" t="str">
        <f>IF(ROW(E1335)&lt;=Bidding!$D$11,Raw_hydro_bm!F1335,"")</f>
        <v/>
      </c>
      <c r="F1335" t="str">
        <f>IF(ROW(F1335)&lt;=Bidding!$D$11,Raw_hydro_bm!G1335,"")</f>
        <v/>
      </c>
      <c r="G1335" t="str">
        <f>IF(ROW(G1335)&lt;=Bidding!$D$11,Raw_hydro_bm!H1335,"")</f>
        <v/>
      </c>
      <c r="H1335" t="str">
        <f>IF(ROW(H1335)&lt;=Bidding!$D$11,Raw_hydro_bm!I1335,"")</f>
        <v/>
      </c>
      <c r="I1335" s="16" t="str">
        <f t="shared" si="20"/>
        <v/>
      </c>
    </row>
    <row r="1336" spans="1:9" x14ac:dyDescent="0.2">
      <c r="A1336" t="str">
        <f>IF(ROW(A1336)&lt;=Bidding!$D$11,Raw_hydro_bm!B1336,"")</f>
        <v/>
      </c>
      <c r="B1336" t="str">
        <f>IF(ROW(B1336)&lt;=Bidding!$D$11,Raw_hydro_bm!C1336,"")</f>
        <v/>
      </c>
      <c r="C1336" t="str">
        <f>IF(ROW(C1336)&lt;=Bidding!$D$11,Raw_hydro_bm!D1336,"")</f>
        <v/>
      </c>
      <c r="D1336" t="str">
        <f>IF(ROW(D1336)&lt;=Bidding!$D$11,Raw_hydro_bm!E1336,"")</f>
        <v/>
      </c>
      <c r="E1336" t="str">
        <f>IF(ROW(E1336)&lt;=Bidding!$D$11,Raw_hydro_bm!F1336,"")</f>
        <v/>
      </c>
      <c r="F1336" t="str">
        <f>IF(ROW(F1336)&lt;=Bidding!$D$11,Raw_hydro_bm!G1336,"")</f>
        <v/>
      </c>
      <c r="G1336" t="str">
        <f>IF(ROW(G1336)&lt;=Bidding!$D$11,Raw_hydro_bm!H1336,"")</f>
        <v/>
      </c>
      <c r="H1336" t="str">
        <f>IF(ROW(H1336)&lt;=Bidding!$D$11,Raw_hydro_bm!I1336,"")</f>
        <v/>
      </c>
      <c r="I1336" s="16" t="str">
        <f t="shared" si="20"/>
        <v/>
      </c>
    </row>
    <row r="1337" spans="1:9" x14ac:dyDescent="0.2">
      <c r="A1337" t="str">
        <f>IF(ROW(A1337)&lt;=Bidding!$D$11,Raw_hydro_bm!B1337,"")</f>
        <v/>
      </c>
      <c r="B1337" t="str">
        <f>IF(ROW(B1337)&lt;=Bidding!$D$11,Raw_hydro_bm!C1337,"")</f>
        <v/>
      </c>
      <c r="C1337" t="str">
        <f>IF(ROW(C1337)&lt;=Bidding!$D$11,Raw_hydro_bm!D1337,"")</f>
        <v/>
      </c>
      <c r="D1337" t="str">
        <f>IF(ROW(D1337)&lt;=Bidding!$D$11,Raw_hydro_bm!E1337,"")</f>
        <v/>
      </c>
      <c r="E1337" t="str">
        <f>IF(ROW(E1337)&lt;=Bidding!$D$11,Raw_hydro_bm!F1337,"")</f>
        <v/>
      </c>
      <c r="F1337" t="str">
        <f>IF(ROW(F1337)&lt;=Bidding!$D$11,Raw_hydro_bm!G1337,"")</f>
        <v/>
      </c>
      <c r="G1337" t="str">
        <f>IF(ROW(G1337)&lt;=Bidding!$D$11,Raw_hydro_bm!H1337,"")</f>
        <v/>
      </c>
      <c r="H1337" t="str">
        <f>IF(ROW(H1337)&lt;=Bidding!$D$11,Raw_hydro_bm!I1337,"")</f>
        <v/>
      </c>
      <c r="I1337" s="16" t="str">
        <f t="shared" si="20"/>
        <v/>
      </c>
    </row>
    <row r="1338" spans="1:9" x14ac:dyDescent="0.2">
      <c r="A1338" t="str">
        <f>IF(ROW(A1338)&lt;=Bidding!$D$11,Raw_hydro_bm!B1338,"")</f>
        <v/>
      </c>
      <c r="B1338" t="str">
        <f>IF(ROW(B1338)&lt;=Bidding!$D$11,Raw_hydro_bm!C1338,"")</f>
        <v/>
      </c>
      <c r="C1338" t="str">
        <f>IF(ROW(C1338)&lt;=Bidding!$D$11,Raw_hydro_bm!D1338,"")</f>
        <v/>
      </c>
      <c r="D1338" t="str">
        <f>IF(ROW(D1338)&lt;=Bidding!$D$11,Raw_hydro_bm!E1338,"")</f>
        <v/>
      </c>
      <c r="E1338" t="str">
        <f>IF(ROW(E1338)&lt;=Bidding!$D$11,Raw_hydro_bm!F1338,"")</f>
        <v/>
      </c>
      <c r="F1338" t="str">
        <f>IF(ROW(F1338)&lt;=Bidding!$D$11,Raw_hydro_bm!G1338,"")</f>
        <v/>
      </c>
      <c r="G1338" t="str">
        <f>IF(ROW(G1338)&lt;=Bidding!$D$11,Raw_hydro_bm!H1338,"")</f>
        <v/>
      </c>
      <c r="H1338" t="str">
        <f>IF(ROW(H1338)&lt;=Bidding!$D$11,Raw_hydro_bm!I1338,"")</f>
        <v/>
      </c>
      <c r="I1338" s="16" t="str">
        <f t="shared" si="20"/>
        <v/>
      </c>
    </row>
    <row r="1339" spans="1:9" x14ac:dyDescent="0.2">
      <c r="A1339" t="str">
        <f>IF(ROW(A1339)&lt;=Bidding!$D$11,Raw_hydro_bm!B1339,"")</f>
        <v/>
      </c>
      <c r="B1339" t="str">
        <f>IF(ROW(B1339)&lt;=Bidding!$D$11,Raw_hydro_bm!C1339,"")</f>
        <v/>
      </c>
      <c r="C1339" t="str">
        <f>IF(ROW(C1339)&lt;=Bidding!$D$11,Raw_hydro_bm!D1339,"")</f>
        <v/>
      </c>
      <c r="D1339" t="str">
        <f>IF(ROW(D1339)&lt;=Bidding!$D$11,Raw_hydro_bm!E1339,"")</f>
        <v/>
      </c>
      <c r="E1339" t="str">
        <f>IF(ROW(E1339)&lt;=Bidding!$D$11,Raw_hydro_bm!F1339,"")</f>
        <v/>
      </c>
      <c r="F1339" t="str">
        <f>IF(ROW(F1339)&lt;=Bidding!$D$11,Raw_hydro_bm!G1339,"")</f>
        <v/>
      </c>
      <c r="G1339" t="str">
        <f>IF(ROW(G1339)&lt;=Bidding!$D$11,Raw_hydro_bm!H1339,"")</f>
        <v/>
      </c>
      <c r="H1339" t="str">
        <f>IF(ROW(H1339)&lt;=Bidding!$D$11,Raw_hydro_bm!I1339,"")</f>
        <v/>
      </c>
      <c r="I1339" s="16" t="str">
        <f t="shared" si="20"/>
        <v/>
      </c>
    </row>
    <row r="1340" spans="1:9" x14ac:dyDescent="0.2">
      <c r="A1340" t="str">
        <f>IF(ROW(A1340)&lt;=Bidding!$D$11,Raw_hydro_bm!B1340,"")</f>
        <v/>
      </c>
      <c r="B1340" t="str">
        <f>IF(ROW(B1340)&lt;=Bidding!$D$11,Raw_hydro_bm!C1340,"")</f>
        <v/>
      </c>
      <c r="C1340" t="str">
        <f>IF(ROW(C1340)&lt;=Bidding!$D$11,Raw_hydro_bm!D1340,"")</f>
        <v/>
      </c>
      <c r="D1340" t="str">
        <f>IF(ROW(D1340)&lt;=Bidding!$D$11,Raw_hydro_bm!E1340,"")</f>
        <v/>
      </c>
      <c r="E1340" t="str">
        <f>IF(ROW(E1340)&lt;=Bidding!$D$11,Raw_hydro_bm!F1340,"")</f>
        <v/>
      </c>
      <c r="F1340" t="str">
        <f>IF(ROW(F1340)&lt;=Bidding!$D$11,Raw_hydro_bm!G1340,"")</f>
        <v/>
      </c>
      <c r="G1340" t="str">
        <f>IF(ROW(G1340)&lt;=Bidding!$D$11,Raw_hydro_bm!H1340,"")</f>
        <v/>
      </c>
      <c r="H1340" t="str">
        <f>IF(ROW(H1340)&lt;=Bidding!$D$11,Raw_hydro_bm!I1340,"")</f>
        <v/>
      </c>
      <c r="I1340" s="16" t="str">
        <f t="shared" si="20"/>
        <v/>
      </c>
    </row>
    <row r="1341" spans="1:9" x14ac:dyDescent="0.2">
      <c r="A1341" t="str">
        <f>IF(ROW(A1341)&lt;=Bidding!$D$11,Raw_hydro_bm!B1341,"")</f>
        <v/>
      </c>
      <c r="B1341" t="str">
        <f>IF(ROW(B1341)&lt;=Bidding!$D$11,Raw_hydro_bm!C1341,"")</f>
        <v/>
      </c>
      <c r="C1341" t="str">
        <f>IF(ROW(C1341)&lt;=Bidding!$D$11,Raw_hydro_bm!D1341,"")</f>
        <v/>
      </c>
      <c r="D1341" t="str">
        <f>IF(ROW(D1341)&lt;=Bidding!$D$11,Raw_hydro_bm!E1341,"")</f>
        <v/>
      </c>
      <c r="E1341" t="str">
        <f>IF(ROW(E1341)&lt;=Bidding!$D$11,Raw_hydro_bm!F1341,"")</f>
        <v/>
      </c>
      <c r="F1341" t="str">
        <f>IF(ROW(F1341)&lt;=Bidding!$D$11,Raw_hydro_bm!G1341,"")</f>
        <v/>
      </c>
      <c r="G1341" t="str">
        <f>IF(ROW(G1341)&lt;=Bidding!$D$11,Raw_hydro_bm!H1341,"")</f>
        <v/>
      </c>
      <c r="H1341" t="str">
        <f>IF(ROW(H1341)&lt;=Bidding!$D$11,Raw_hydro_bm!I1341,"")</f>
        <v/>
      </c>
      <c r="I1341" s="16" t="str">
        <f t="shared" si="20"/>
        <v/>
      </c>
    </row>
    <row r="1342" spans="1:9" x14ac:dyDescent="0.2">
      <c r="A1342" t="str">
        <f>IF(ROW(A1342)&lt;=Bidding!$D$11,Raw_hydro_bm!B1342,"")</f>
        <v/>
      </c>
      <c r="B1342" t="str">
        <f>IF(ROW(B1342)&lt;=Bidding!$D$11,Raw_hydro_bm!C1342,"")</f>
        <v/>
      </c>
      <c r="C1342" t="str">
        <f>IF(ROW(C1342)&lt;=Bidding!$D$11,Raw_hydro_bm!D1342,"")</f>
        <v/>
      </c>
      <c r="D1342" t="str">
        <f>IF(ROW(D1342)&lt;=Bidding!$D$11,Raw_hydro_bm!E1342,"")</f>
        <v/>
      </c>
      <c r="E1342" t="str">
        <f>IF(ROW(E1342)&lt;=Bidding!$D$11,Raw_hydro_bm!F1342,"")</f>
        <v/>
      </c>
      <c r="F1342" t="str">
        <f>IF(ROW(F1342)&lt;=Bidding!$D$11,Raw_hydro_bm!G1342,"")</f>
        <v/>
      </c>
      <c r="G1342" t="str">
        <f>IF(ROW(G1342)&lt;=Bidding!$D$11,Raw_hydro_bm!H1342,"")</f>
        <v/>
      </c>
      <c r="H1342" t="str">
        <f>IF(ROW(H1342)&lt;=Bidding!$D$11,Raw_hydro_bm!I1342,"")</f>
        <v/>
      </c>
      <c r="I1342" s="16" t="str">
        <f t="shared" si="20"/>
        <v/>
      </c>
    </row>
    <row r="1343" spans="1:9" x14ac:dyDescent="0.2">
      <c r="A1343" t="str">
        <f>IF(ROW(A1343)&lt;=Bidding!$D$11,Raw_hydro_bm!B1343,"")</f>
        <v/>
      </c>
      <c r="B1343" t="str">
        <f>IF(ROW(B1343)&lt;=Bidding!$D$11,Raw_hydro_bm!C1343,"")</f>
        <v/>
      </c>
      <c r="C1343" t="str">
        <f>IF(ROW(C1343)&lt;=Bidding!$D$11,Raw_hydro_bm!D1343,"")</f>
        <v/>
      </c>
      <c r="D1343" t="str">
        <f>IF(ROW(D1343)&lt;=Bidding!$D$11,Raw_hydro_bm!E1343,"")</f>
        <v/>
      </c>
      <c r="E1343" t="str">
        <f>IF(ROW(E1343)&lt;=Bidding!$D$11,Raw_hydro_bm!F1343,"")</f>
        <v/>
      </c>
      <c r="F1343" t="str">
        <f>IF(ROW(F1343)&lt;=Bidding!$D$11,Raw_hydro_bm!G1343,"")</f>
        <v/>
      </c>
      <c r="G1343" t="str">
        <f>IF(ROW(G1343)&lt;=Bidding!$D$11,Raw_hydro_bm!H1343,"")</f>
        <v/>
      </c>
      <c r="H1343" t="str">
        <f>IF(ROW(H1343)&lt;=Bidding!$D$11,Raw_hydro_bm!I1343,"")</f>
        <v/>
      </c>
      <c r="I1343" s="16" t="str">
        <f t="shared" si="20"/>
        <v/>
      </c>
    </row>
    <row r="1344" spans="1:9" x14ac:dyDescent="0.2">
      <c r="A1344" t="str">
        <f>IF(ROW(A1344)&lt;=Bidding!$D$11,Raw_hydro_bm!B1344,"")</f>
        <v/>
      </c>
      <c r="B1344" t="str">
        <f>IF(ROW(B1344)&lt;=Bidding!$D$11,Raw_hydro_bm!C1344,"")</f>
        <v/>
      </c>
      <c r="C1344" t="str">
        <f>IF(ROW(C1344)&lt;=Bidding!$D$11,Raw_hydro_bm!D1344,"")</f>
        <v/>
      </c>
      <c r="D1344" t="str">
        <f>IF(ROW(D1344)&lt;=Bidding!$D$11,Raw_hydro_bm!E1344,"")</f>
        <v/>
      </c>
      <c r="E1344" t="str">
        <f>IF(ROW(E1344)&lt;=Bidding!$D$11,Raw_hydro_bm!F1344,"")</f>
        <v/>
      </c>
      <c r="F1344" t="str">
        <f>IF(ROW(F1344)&lt;=Bidding!$D$11,Raw_hydro_bm!G1344,"")</f>
        <v/>
      </c>
      <c r="G1344" t="str">
        <f>IF(ROW(G1344)&lt;=Bidding!$D$11,Raw_hydro_bm!H1344,"")</f>
        <v/>
      </c>
      <c r="H1344" t="str">
        <f>IF(ROW(H1344)&lt;=Bidding!$D$11,Raw_hydro_bm!I1344,"")</f>
        <v/>
      </c>
      <c r="I1344" s="16" t="str">
        <f t="shared" si="20"/>
        <v/>
      </c>
    </row>
    <row r="1345" spans="1:9" x14ac:dyDescent="0.2">
      <c r="A1345" t="str">
        <f>IF(ROW(A1345)&lt;=Bidding!$D$11,Raw_hydro_bm!B1345,"")</f>
        <v/>
      </c>
      <c r="B1345" t="str">
        <f>IF(ROW(B1345)&lt;=Bidding!$D$11,Raw_hydro_bm!C1345,"")</f>
        <v/>
      </c>
      <c r="C1345" t="str">
        <f>IF(ROW(C1345)&lt;=Bidding!$D$11,Raw_hydro_bm!D1345,"")</f>
        <v/>
      </c>
      <c r="D1345" t="str">
        <f>IF(ROW(D1345)&lt;=Bidding!$D$11,Raw_hydro_bm!E1345,"")</f>
        <v/>
      </c>
      <c r="E1345" t="str">
        <f>IF(ROW(E1345)&lt;=Bidding!$D$11,Raw_hydro_bm!F1345,"")</f>
        <v/>
      </c>
      <c r="F1345" t="str">
        <f>IF(ROW(F1345)&lt;=Bidding!$D$11,Raw_hydro_bm!G1345,"")</f>
        <v/>
      </c>
      <c r="G1345" t="str">
        <f>IF(ROW(G1345)&lt;=Bidding!$D$11,Raw_hydro_bm!H1345,"")</f>
        <v/>
      </c>
      <c r="H1345" t="str">
        <f>IF(ROW(H1345)&lt;=Bidding!$D$11,Raw_hydro_bm!I1345,"")</f>
        <v/>
      </c>
      <c r="I1345" s="16" t="str">
        <f t="shared" si="20"/>
        <v/>
      </c>
    </row>
    <row r="1346" spans="1:9" x14ac:dyDescent="0.2">
      <c r="A1346" t="str">
        <f>IF(ROW(A1346)&lt;=Bidding!$D$11,Raw_hydro_bm!B1346,"")</f>
        <v/>
      </c>
      <c r="B1346" t="str">
        <f>IF(ROW(B1346)&lt;=Bidding!$D$11,Raw_hydro_bm!C1346,"")</f>
        <v/>
      </c>
      <c r="C1346" t="str">
        <f>IF(ROW(C1346)&lt;=Bidding!$D$11,Raw_hydro_bm!D1346,"")</f>
        <v/>
      </c>
      <c r="D1346" t="str">
        <f>IF(ROW(D1346)&lt;=Bidding!$D$11,Raw_hydro_bm!E1346,"")</f>
        <v/>
      </c>
      <c r="E1346" t="str">
        <f>IF(ROW(E1346)&lt;=Bidding!$D$11,Raw_hydro_bm!F1346,"")</f>
        <v/>
      </c>
      <c r="F1346" t="str">
        <f>IF(ROW(F1346)&lt;=Bidding!$D$11,Raw_hydro_bm!G1346,"")</f>
        <v/>
      </c>
      <c r="G1346" t="str">
        <f>IF(ROW(G1346)&lt;=Bidding!$D$11,Raw_hydro_bm!H1346,"")</f>
        <v/>
      </c>
      <c r="H1346" t="str">
        <f>IF(ROW(H1346)&lt;=Bidding!$D$11,Raw_hydro_bm!I1346,"")</f>
        <v/>
      </c>
      <c r="I1346" s="16" t="str">
        <f t="shared" ref="I1346:I1409" si="21">IF(IFERROR(FIND("e",H1346),-1)&lt;0,IFERROR(_xlfn.NUMBERVALUE(LEFT(H1346,FIND(".",H1346)-1))+_xlfn.NUMBERVALUE("0,"&amp;RIGHT(H1346,LEN(H1346)-FIND(".",H1346))),""),0)</f>
        <v/>
      </c>
    </row>
    <row r="1347" spans="1:9" x14ac:dyDescent="0.2">
      <c r="A1347" t="str">
        <f>IF(ROW(A1347)&lt;=Bidding!$D$11,Raw_hydro_bm!B1347,"")</f>
        <v/>
      </c>
      <c r="B1347" t="str">
        <f>IF(ROW(B1347)&lt;=Bidding!$D$11,Raw_hydro_bm!C1347,"")</f>
        <v/>
      </c>
      <c r="C1347" t="str">
        <f>IF(ROW(C1347)&lt;=Bidding!$D$11,Raw_hydro_bm!D1347,"")</f>
        <v/>
      </c>
      <c r="D1347" t="str">
        <f>IF(ROW(D1347)&lt;=Bidding!$D$11,Raw_hydro_bm!E1347,"")</f>
        <v/>
      </c>
      <c r="E1347" t="str">
        <f>IF(ROW(E1347)&lt;=Bidding!$D$11,Raw_hydro_bm!F1347,"")</f>
        <v/>
      </c>
      <c r="F1347" t="str">
        <f>IF(ROW(F1347)&lt;=Bidding!$D$11,Raw_hydro_bm!G1347,"")</f>
        <v/>
      </c>
      <c r="G1347" t="str">
        <f>IF(ROW(G1347)&lt;=Bidding!$D$11,Raw_hydro_bm!H1347,"")</f>
        <v/>
      </c>
      <c r="H1347" t="str">
        <f>IF(ROW(H1347)&lt;=Bidding!$D$11,Raw_hydro_bm!I1347,"")</f>
        <v/>
      </c>
      <c r="I1347" s="16" t="str">
        <f t="shared" si="21"/>
        <v/>
      </c>
    </row>
    <row r="1348" spans="1:9" x14ac:dyDescent="0.2">
      <c r="A1348" t="str">
        <f>IF(ROW(A1348)&lt;=Bidding!$D$11,Raw_hydro_bm!B1348,"")</f>
        <v/>
      </c>
      <c r="B1348" t="str">
        <f>IF(ROW(B1348)&lt;=Bidding!$D$11,Raw_hydro_bm!C1348,"")</f>
        <v/>
      </c>
      <c r="C1348" t="str">
        <f>IF(ROW(C1348)&lt;=Bidding!$D$11,Raw_hydro_bm!D1348,"")</f>
        <v/>
      </c>
      <c r="D1348" t="str">
        <f>IF(ROW(D1348)&lt;=Bidding!$D$11,Raw_hydro_bm!E1348,"")</f>
        <v/>
      </c>
      <c r="E1348" t="str">
        <f>IF(ROW(E1348)&lt;=Bidding!$D$11,Raw_hydro_bm!F1348,"")</f>
        <v/>
      </c>
      <c r="F1348" t="str">
        <f>IF(ROW(F1348)&lt;=Bidding!$D$11,Raw_hydro_bm!G1348,"")</f>
        <v/>
      </c>
      <c r="G1348" t="str">
        <f>IF(ROW(G1348)&lt;=Bidding!$D$11,Raw_hydro_bm!H1348,"")</f>
        <v/>
      </c>
      <c r="H1348" t="str">
        <f>IF(ROW(H1348)&lt;=Bidding!$D$11,Raw_hydro_bm!I1348,"")</f>
        <v/>
      </c>
      <c r="I1348" s="16" t="str">
        <f t="shared" si="21"/>
        <v/>
      </c>
    </row>
    <row r="1349" spans="1:9" x14ac:dyDescent="0.2">
      <c r="A1349" t="str">
        <f>IF(ROW(A1349)&lt;=Bidding!$D$11,Raw_hydro_bm!B1349,"")</f>
        <v/>
      </c>
      <c r="B1349" t="str">
        <f>IF(ROW(B1349)&lt;=Bidding!$D$11,Raw_hydro_bm!C1349,"")</f>
        <v/>
      </c>
      <c r="C1349" t="str">
        <f>IF(ROW(C1349)&lt;=Bidding!$D$11,Raw_hydro_bm!D1349,"")</f>
        <v/>
      </c>
      <c r="D1349" t="str">
        <f>IF(ROW(D1349)&lt;=Bidding!$D$11,Raw_hydro_bm!E1349,"")</f>
        <v/>
      </c>
      <c r="E1349" t="str">
        <f>IF(ROW(E1349)&lt;=Bidding!$D$11,Raw_hydro_bm!F1349,"")</f>
        <v/>
      </c>
      <c r="F1349" t="str">
        <f>IF(ROW(F1349)&lt;=Bidding!$D$11,Raw_hydro_bm!G1349,"")</f>
        <v/>
      </c>
      <c r="G1349" t="str">
        <f>IF(ROW(G1349)&lt;=Bidding!$D$11,Raw_hydro_bm!H1349,"")</f>
        <v/>
      </c>
      <c r="H1349" t="str">
        <f>IF(ROW(H1349)&lt;=Bidding!$D$11,Raw_hydro_bm!I1349,"")</f>
        <v/>
      </c>
      <c r="I1349" s="16" t="str">
        <f t="shared" si="21"/>
        <v/>
      </c>
    </row>
    <row r="1350" spans="1:9" x14ac:dyDescent="0.2">
      <c r="A1350" t="str">
        <f>IF(ROW(A1350)&lt;=Bidding!$D$11,Raw_hydro_bm!B1350,"")</f>
        <v/>
      </c>
      <c r="B1350" t="str">
        <f>IF(ROW(B1350)&lt;=Bidding!$D$11,Raw_hydro_bm!C1350,"")</f>
        <v/>
      </c>
      <c r="C1350" t="str">
        <f>IF(ROW(C1350)&lt;=Bidding!$D$11,Raw_hydro_bm!D1350,"")</f>
        <v/>
      </c>
      <c r="D1350" t="str">
        <f>IF(ROW(D1350)&lt;=Bidding!$D$11,Raw_hydro_bm!E1350,"")</f>
        <v/>
      </c>
      <c r="E1350" t="str">
        <f>IF(ROW(E1350)&lt;=Bidding!$D$11,Raw_hydro_bm!F1350,"")</f>
        <v/>
      </c>
      <c r="F1350" t="str">
        <f>IF(ROW(F1350)&lt;=Bidding!$D$11,Raw_hydro_bm!G1350,"")</f>
        <v/>
      </c>
      <c r="G1350" t="str">
        <f>IF(ROW(G1350)&lt;=Bidding!$D$11,Raw_hydro_bm!H1350,"")</f>
        <v/>
      </c>
      <c r="H1350" t="str">
        <f>IF(ROW(H1350)&lt;=Bidding!$D$11,Raw_hydro_bm!I1350,"")</f>
        <v/>
      </c>
      <c r="I1350" s="16" t="str">
        <f t="shared" si="21"/>
        <v/>
      </c>
    </row>
    <row r="1351" spans="1:9" x14ac:dyDescent="0.2">
      <c r="A1351" t="str">
        <f>IF(ROW(A1351)&lt;=Bidding!$D$11,Raw_hydro_bm!B1351,"")</f>
        <v/>
      </c>
      <c r="B1351" t="str">
        <f>IF(ROW(B1351)&lt;=Bidding!$D$11,Raw_hydro_bm!C1351,"")</f>
        <v/>
      </c>
      <c r="C1351" t="str">
        <f>IF(ROW(C1351)&lt;=Bidding!$D$11,Raw_hydro_bm!D1351,"")</f>
        <v/>
      </c>
      <c r="D1351" t="str">
        <f>IF(ROW(D1351)&lt;=Bidding!$D$11,Raw_hydro_bm!E1351,"")</f>
        <v/>
      </c>
      <c r="E1351" t="str">
        <f>IF(ROW(E1351)&lt;=Bidding!$D$11,Raw_hydro_bm!F1351,"")</f>
        <v/>
      </c>
      <c r="F1351" t="str">
        <f>IF(ROW(F1351)&lt;=Bidding!$D$11,Raw_hydro_bm!G1351,"")</f>
        <v/>
      </c>
      <c r="G1351" t="str">
        <f>IF(ROW(G1351)&lt;=Bidding!$D$11,Raw_hydro_bm!H1351,"")</f>
        <v/>
      </c>
      <c r="H1351" t="str">
        <f>IF(ROW(H1351)&lt;=Bidding!$D$11,Raw_hydro_bm!I1351,"")</f>
        <v/>
      </c>
      <c r="I1351" s="16" t="str">
        <f t="shared" si="21"/>
        <v/>
      </c>
    </row>
    <row r="1352" spans="1:9" x14ac:dyDescent="0.2">
      <c r="A1352" t="str">
        <f>IF(ROW(A1352)&lt;=Bidding!$D$11,Raw_hydro_bm!B1352,"")</f>
        <v/>
      </c>
      <c r="B1352" t="str">
        <f>IF(ROW(B1352)&lt;=Bidding!$D$11,Raw_hydro_bm!C1352,"")</f>
        <v/>
      </c>
      <c r="C1352" t="str">
        <f>IF(ROW(C1352)&lt;=Bidding!$D$11,Raw_hydro_bm!D1352,"")</f>
        <v/>
      </c>
      <c r="D1352" t="str">
        <f>IF(ROW(D1352)&lt;=Bidding!$D$11,Raw_hydro_bm!E1352,"")</f>
        <v/>
      </c>
      <c r="E1352" t="str">
        <f>IF(ROW(E1352)&lt;=Bidding!$D$11,Raw_hydro_bm!F1352,"")</f>
        <v/>
      </c>
      <c r="F1352" t="str">
        <f>IF(ROW(F1352)&lt;=Bidding!$D$11,Raw_hydro_bm!G1352,"")</f>
        <v/>
      </c>
      <c r="G1352" t="str">
        <f>IF(ROW(G1352)&lt;=Bidding!$D$11,Raw_hydro_bm!H1352,"")</f>
        <v/>
      </c>
      <c r="H1352" t="str">
        <f>IF(ROW(H1352)&lt;=Bidding!$D$11,Raw_hydro_bm!I1352,"")</f>
        <v/>
      </c>
      <c r="I1352" s="16" t="str">
        <f t="shared" si="21"/>
        <v/>
      </c>
    </row>
    <row r="1353" spans="1:9" x14ac:dyDescent="0.2">
      <c r="A1353" t="str">
        <f>IF(ROW(A1353)&lt;=Bidding!$D$11,Raw_hydro_bm!B1353,"")</f>
        <v/>
      </c>
      <c r="B1353" t="str">
        <f>IF(ROW(B1353)&lt;=Bidding!$D$11,Raw_hydro_bm!C1353,"")</f>
        <v/>
      </c>
      <c r="C1353" t="str">
        <f>IF(ROW(C1353)&lt;=Bidding!$D$11,Raw_hydro_bm!D1353,"")</f>
        <v/>
      </c>
      <c r="D1353" t="str">
        <f>IF(ROW(D1353)&lt;=Bidding!$D$11,Raw_hydro_bm!E1353,"")</f>
        <v/>
      </c>
      <c r="E1353" t="str">
        <f>IF(ROW(E1353)&lt;=Bidding!$D$11,Raw_hydro_bm!F1353,"")</f>
        <v/>
      </c>
      <c r="F1353" t="str">
        <f>IF(ROW(F1353)&lt;=Bidding!$D$11,Raw_hydro_bm!G1353,"")</f>
        <v/>
      </c>
      <c r="G1353" t="str">
        <f>IF(ROW(G1353)&lt;=Bidding!$D$11,Raw_hydro_bm!H1353,"")</f>
        <v/>
      </c>
      <c r="H1353" t="str">
        <f>IF(ROW(H1353)&lt;=Bidding!$D$11,Raw_hydro_bm!I1353,"")</f>
        <v/>
      </c>
      <c r="I1353" s="16" t="str">
        <f t="shared" si="21"/>
        <v/>
      </c>
    </row>
    <row r="1354" spans="1:9" x14ac:dyDescent="0.2">
      <c r="A1354" t="str">
        <f>IF(ROW(A1354)&lt;=Bidding!$D$11,Raw_hydro_bm!B1354,"")</f>
        <v/>
      </c>
      <c r="B1354" t="str">
        <f>IF(ROW(B1354)&lt;=Bidding!$D$11,Raw_hydro_bm!C1354,"")</f>
        <v/>
      </c>
      <c r="C1354" t="str">
        <f>IF(ROW(C1354)&lt;=Bidding!$D$11,Raw_hydro_bm!D1354,"")</f>
        <v/>
      </c>
      <c r="D1354" t="str">
        <f>IF(ROW(D1354)&lt;=Bidding!$D$11,Raw_hydro_bm!E1354,"")</f>
        <v/>
      </c>
      <c r="E1354" t="str">
        <f>IF(ROW(E1354)&lt;=Bidding!$D$11,Raw_hydro_bm!F1354,"")</f>
        <v/>
      </c>
      <c r="F1354" t="str">
        <f>IF(ROW(F1354)&lt;=Bidding!$D$11,Raw_hydro_bm!G1354,"")</f>
        <v/>
      </c>
      <c r="G1354" t="str">
        <f>IF(ROW(G1354)&lt;=Bidding!$D$11,Raw_hydro_bm!H1354,"")</f>
        <v/>
      </c>
      <c r="H1354" t="str">
        <f>IF(ROW(H1354)&lt;=Bidding!$D$11,Raw_hydro_bm!I1354,"")</f>
        <v/>
      </c>
      <c r="I1354" s="16" t="str">
        <f t="shared" si="21"/>
        <v/>
      </c>
    </row>
    <row r="1355" spans="1:9" x14ac:dyDescent="0.2">
      <c r="A1355" t="str">
        <f>IF(ROW(A1355)&lt;=Bidding!$D$11,Raw_hydro_bm!B1355,"")</f>
        <v/>
      </c>
      <c r="B1355" t="str">
        <f>IF(ROW(B1355)&lt;=Bidding!$D$11,Raw_hydro_bm!C1355,"")</f>
        <v/>
      </c>
      <c r="C1355" t="str">
        <f>IF(ROW(C1355)&lt;=Bidding!$D$11,Raw_hydro_bm!D1355,"")</f>
        <v/>
      </c>
      <c r="D1355" t="str">
        <f>IF(ROW(D1355)&lt;=Bidding!$D$11,Raw_hydro_bm!E1355,"")</f>
        <v/>
      </c>
      <c r="E1355" t="str">
        <f>IF(ROW(E1355)&lt;=Bidding!$D$11,Raw_hydro_bm!F1355,"")</f>
        <v/>
      </c>
      <c r="F1355" t="str">
        <f>IF(ROW(F1355)&lt;=Bidding!$D$11,Raw_hydro_bm!G1355,"")</f>
        <v/>
      </c>
      <c r="G1355" t="str">
        <f>IF(ROW(G1355)&lt;=Bidding!$D$11,Raw_hydro_bm!H1355,"")</f>
        <v/>
      </c>
      <c r="H1355" t="str">
        <f>IF(ROW(H1355)&lt;=Bidding!$D$11,Raw_hydro_bm!I1355,"")</f>
        <v/>
      </c>
      <c r="I1355" s="16" t="str">
        <f t="shared" si="21"/>
        <v/>
      </c>
    </row>
    <row r="1356" spans="1:9" x14ac:dyDescent="0.2">
      <c r="A1356" t="str">
        <f>IF(ROW(A1356)&lt;=Bidding!$D$11,Raw_hydro_bm!B1356,"")</f>
        <v/>
      </c>
      <c r="B1356" t="str">
        <f>IF(ROW(B1356)&lt;=Bidding!$D$11,Raw_hydro_bm!C1356,"")</f>
        <v/>
      </c>
      <c r="C1356" t="str">
        <f>IF(ROW(C1356)&lt;=Bidding!$D$11,Raw_hydro_bm!D1356,"")</f>
        <v/>
      </c>
      <c r="D1356" t="str">
        <f>IF(ROW(D1356)&lt;=Bidding!$D$11,Raw_hydro_bm!E1356,"")</f>
        <v/>
      </c>
      <c r="E1356" t="str">
        <f>IF(ROW(E1356)&lt;=Bidding!$D$11,Raw_hydro_bm!F1356,"")</f>
        <v/>
      </c>
      <c r="F1356" t="str">
        <f>IF(ROW(F1356)&lt;=Bidding!$D$11,Raw_hydro_bm!G1356,"")</f>
        <v/>
      </c>
      <c r="G1356" t="str">
        <f>IF(ROW(G1356)&lt;=Bidding!$D$11,Raw_hydro_bm!H1356,"")</f>
        <v/>
      </c>
      <c r="H1356" t="str">
        <f>IF(ROW(H1356)&lt;=Bidding!$D$11,Raw_hydro_bm!I1356,"")</f>
        <v/>
      </c>
      <c r="I1356" s="16" t="str">
        <f t="shared" si="21"/>
        <v/>
      </c>
    </row>
    <row r="1357" spans="1:9" x14ac:dyDescent="0.2">
      <c r="A1357" t="str">
        <f>IF(ROW(A1357)&lt;=Bidding!$D$11,Raw_hydro_bm!B1357,"")</f>
        <v/>
      </c>
      <c r="B1357" t="str">
        <f>IF(ROW(B1357)&lt;=Bidding!$D$11,Raw_hydro_bm!C1357,"")</f>
        <v/>
      </c>
      <c r="C1357" t="str">
        <f>IF(ROW(C1357)&lt;=Bidding!$D$11,Raw_hydro_bm!D1357,"")</f>
        <v/>
      </c>
      <c r="D1357" t="str">
        <f>IF(ROW(D1357)&lt;=Bidding!$D$11,Raw_hydro_bm!E1357,"")</f>
        <v/>
      </c>
      <c r="E1357" t="str">
        <f>IF(ROW(E1357)&lt;=Bidding!$D$11,Raw_hydro_bm!F1357,"")</f>
        <v/>
      </c>
      <c r="F1357" t="str">
        <f>IF(ROW(F1357)&lt;=Bidding!$D$11,Raw_hydro_bm!G1357,"")</f>
        <v/>
      </c>
      <c r="G1357" t="str">
        <f>IF(ROW(G1357)&lt;=Bidding!$D$11,Raw_hydro_bm!H1357,"")</f>
        <v/>
      </c>
      <c r="H1357" t="str">
        <f>IF(ROW(H1357)&lt;=Bidding!$D$11,Raw_hydro_bm!I1357,"")</f>
        <v/>
      </c>
      <c r="I1357" s="16" t="str">
        <f t="shared" si="21"/>
        <v/>
      </c>
    </row>
    <row r="1358" spans="1:9" x14ac:dyDescent="0.2">
      <c r="A1358" t="str">
        <f>IF(ROW(A1358)&lt;=Bidding!$D$11,Raw_hydro_bm!B1358,"")</f>
        <v/>
      </c>
      <c r="B1358" t="str">
        <f>IF(ROW(B1358)&lt;=Bidding!$D$11,Raw_hydro_bm!C1358,"")</f>
        <v/>
      </c>
      <c r="C1358" t="str">
        <f>IF(ROW(C1358)&lt;=Bidding!$D$11,Raw_hydro_bm!D1358,"")</f>
        <v/>
      </c>
      <c r="D1358" t="str">
        <f>IF(ROW(D1358)&lt;=Bidding!$D$11,Raw_hydro_bm!E1358,"")</f>
        <v/>
      </c>
      <c r="E1358" t="str">
        <f>IF(ROW(E1358)&lt;=Bidding!$D$11,Raw_hydro_bm!F1358,"")</f>
        <v/>
      </c>
      <c r="F1358" t="str">
        <f>IF(ROW(F1358)&lt;=Bidding!$D$11,Raw_hydro_bm!G1358,"")</f>
        <v/>
      </c>
      <c r="G1358" t="str">
        <f>IF(ROW(G1358)&lt;=Bidding!$D$11,Raw_hydro_bm!H1358,"")</f>
        <v/>
      </c>
      <c r="H1358" t="str">
        <f>IF(ROW(H1358)&lt;=Bidding!$D$11,Raw_hydro_bm!I1358,"")</f>
        <v/>
      </c>
      <c r="I1358" s="16" t="str">
        <f t="shared" si="21"/>
        <v/>
      </c>
    </row>
    <row r="1359" spans="1:9" x14ac:dyDescent="0.2">
      <c r="A1359" t="str">
        <f>IF(ROW(A1359)&lt;=Bidding!$D$11,Raw_hydro_bm!B1359,"")</f>
        <v/>
      </c>
      <c r="B1359" t="str">
        <f>IF(ROW(B1359)&lt;=Bidding!$D$11,Raw_hydro_bm!C1359,"")</f>
        <v/>
      </c>
      <c r="C1359" t="str">
        <f>IF(ROW(C1359)&lt;=Bidding!$D$11,Raw_hydro_bm!D1359,"")</f>
        <v/>
      </c>
      <c r="D1359" t="str">
        <f>IF(ROW(D1359)&lt;=Bidding!$D$11,Raw_hydro_bm!E1359,"")</f>
        <v/>
      </c>
      <c r="E1359" t="str">
        <f>IF(ROW(E1359)&lt;=Bidding!$D$11,Raw_hydro_bm!F1359,"")</f>
        <v/>
      </c>
      <c r="F1359" t="str">
        <f>IF(ROW(F1359)&lt;=Bidding!$D$11,Raw_hydro_bm!G1359,"")</f>
        <v/>
      </c>
      <c r="G1359" t="str">
        <f>IF(ROW(G1359)&lt;=Bidding!$D$11,Raw_hydro_bm!H1359,"")</f>
        <v/>
      </c>
      <c r="H1359" t="str">
        <f>IF(ROW(H1359)&lt;=Bidding!$D$11,Raw_hydro_bm!I1359,"")</f>
        <v/>
      </c>
      <c r="I1359" s="16" t="str">
        <f t="shared" si="21"/>
        <v/>
      </c>
    </row>
    <row r="1360" spans="1:9" x14ac:dyDescent="0.2">
      <c r="A1360" t="str">
        <f>IF(ROW(A1360)&lt;=Bidding!$D$11,Raw_hydro_bm!B1360,"")</f>
        <v/>
      </c>
      <c r="B1360" t="str">
        <f>IF(ROW(B1360)&lt;=Bidding!$D$11,Raw_hydro_bm!C1360,"")</f>
        <v/>
      </c>
      <c r="C1360" t="str">
        <f>IF(ROW(C1360)&lt;=Bidding!$D$11,Raw_hydro_bm!D1360,"")</f>
        <v/>
      </c>
      <c r="D1360" t="str">
        <f>IF(ROW(D1360)&lt;=Bidding!$D$11,Raw_hydro_bm!E1360,"")</f>
        <v/>
      </c>
      <c r="E1360" t="str">
        <f>IF(ROW(E1360)&lt;=Bidding!$D$11,Raw_hydro_bm!F1360,"")</f>
        <v/>
      </c>
      <c r="F1360" t="str">
        <f>IF(ROW(F1360)&lt;=Bidding!$D$11,Raw_hydro_bm!G1360,"")</f>
        <v/>
      </c>
      <c r="G1360" t="str">
        <f>IF(ROW(G1360)&lt;=Bidding!$D$11,Raw_hydro_bm!H1360,"")</f>
        <v/>
      </c>
      <c r="H1360" t="str">
        <f>IF(ROW(H1360)&lt;=Bidding!$D$11,Raw_hydro_bm!I1360,"")</f>
        <v/>
      </c>
      <c r="I1360" s="16" t="str">
        <f t="shared" si="21"/>
        <v/>
      </c>
    </row>
    <row r="1361" spans="1:9" x14ac:dyDescent="0.2">
      <c r="A1361" t="str">
        <f>IF(ROW(A1361)&lt;=Bidding!$D$11,Raw_hydro_bm!B1361,"")</f>
        <v/>
      </c>
      <c r="B1361" t="str">
        <f>IF(ROW(B1361)&lt;=Bidding!$D$11,Raw_hydro_bm!C1361,"")</f>
        <v/>
      </c>
      <c r="C1361" t="str">
        <f>IF(ROW(C1361)&lt;=Bidding!$D$11,Raw_hydro_bm!D1361,"")</f>
        <v/>
      </c>
      <c r="D1361" t="str">
        <f>IF(ROW(D1361)&lt;=Bidding!$D$11,Raw_hydro_bm!E1361,"")</f>
        <v/>
      </c>
      <c r="E1361" t="str">
        <f>IF(ROW(E1361)&lt;=Bidding!$D$11,Raw_hydro_bm!F1361,"")</f>
        <v/>
      </c>
      <c r="F1361" t="str">
        <f>IF(ROW(F1361)&lt;=Bidding!$D$11,Raw_hydro_bm!G1361,"")</f>
        <v/>
      </c>
      <c r="G1361" t="str">
        <f>IF(ROW(G1361)&lt;=Bidding!$D$11,Raw_hydro_bm!H1361,"")</f>
        <v/>
      </c>
      <c r="H1361" t="str">
        <f>IF(ROW(H1361)&lt;=Bidding!$D$11,Raw_hydro_bm!I1361,"")</f>
        <v/>
      </c>
      <c r="I1361" s="16" t="str">
        <f t="shared" si="21"/>
        <v/>
      </c>
    </row>
    <row r="1362" spans="1:9" x14ac:dyDescent="0.2">
      <c r="A1362" t="str">
        <f>IF(ROW(A1362)&lt;=Bidding!$D$11,Raw_hydro_bm!B1362,"")</f>
        <v/>
      </c>
      <c r="B1362" t="str">
        <f>IF(ROW(B1362)&lt;=Bidding!$D$11,Raw_hydro_bm!C1362,"")</f>
        <v/>
      </c>
      <c r="C1362" t="str">
        <f>IF(ROW(C1362)&lt;=Bidding!$D$11,Raw_hydro_bm!D1362,"")</f>
        <v/>
      </c>
      <c r="D1362" t="str">
        <f>IF(ROW(D1362)&lt;=Bidding!$D$11,Raw_hydro_bm!E1362,"")</f>
        <v/>
      </c>
      <c r="E1362" t="str">
        <f>IF(ROW(E1362)&lt;=Bidding!$D$11,Raw_hydro_bm!F1362,"")</f>
        <v/>
      </c>
      <c r="F1362" t="str">
        <f>IF(ROW(F1362)&lt;=Bidding!$D$11,Raw_hydro_bm!G1362,"")</f>
        <v/>
      </c>
      <c r="G1362" t="str">
        <f>IF(ROW(G1362)&lt;=Bidding!$D$11,Raw_hydro_bm!H1362,"")</f>
        <v/>
      </c>
      <c r="H1362" t="str">
        <f>IF(ROW(H1362)&lt;=Bidding!$D$11,Raw_hydro_bm!I1362,"")</f>
        <v/>
      </c>
      <c r="I1362" s="16" t="str">
        <f t="shared" si="21"/>
        <v/>
      </c>
    </row>
    <row r="1363" spans="1:9" x14ac:dyDescent="0.2">
      <c r="A1363" t="str">
        <f>IF(ROW(A1363)&lt;=Bidding!$D$11,Raw_hydro_bm!B1363,"")</f>
        <v/>
      </c>
      <c r="B1363" t="str">
        <f>IF(ROW(B1363)&lt;=Bidding!$D$11,Raw_hydro_bm!C1363,"")</f>
        <v/>
      </c>
      <c r="C1363" t="str">
        <f>IF(ROW(C1363)&lt;=Bidding!$D$11,Raw_hydro_bm!D1363,"")</f>
        <v/>
      </c>
      <c r="D1363" t="str">
        <f>IF(ROW(D1363)&lt;=Bidding!$D$11,Raw_hydro_bm!E1363,"")</f>
        <v/>
      </c>
      <c r="E1363" t="str">
        <f>IF(ROW(E1363)&lt;=Bidding!$D$11,Raw_hydro_bm!F1363,"")</f>
        <v/>
      </c>
      <c r="F1363" t="str">
        <f>IF(ROW(F1363)&lt;=Bidding!$D$11,Raw_hydro_bm!G1363,"")</f>
        <v/>
      </c>
      <c r="G1363" t="str">
        <f>IF(ROW(G1363)&lt;=Bidding!$D$11,Raw_hydro_bm!H1363,"")</f>
        <v/>
      </c>
      <c r="H1363" t="str">
        <f>IF(ROW(H1363)&lt;=Bidding!$D$11,Raw_hydro_bm!I1363,"")</f>
        <v/>
      </c>
      <c r="I1363" s="16" t="str">
        <f t="shared" si="21"/>
        <v/>
      </c>
    </row>
    <row r="1364" spans="1:9" x14ac:dyDescent="0.2">
      <c r="A1364" t="str">
        <f>IF(ROW(A1364)&lt;=Bidding!$D$11,Raw_hydro_bm!B1364,"")</f>
        <v/>
      </c>
      <c r="B1364" t="str">
        <f>IF(ROW(B1364)&lt;=Bidding!$D$11,Raw_hydro_bm!C1364,"")</f>
        <v/>
      </c>
      <c r="C1364" t="str">
        <f>IF(ROW(C1364)&lt;=Bidding!$D$11,Raw_hydro_bm!D1364,"")</f>
        <v/>
      </c>
      <c r="D1364" t="str">
        <f>IF(ROW(D1364)&lt;=Bidding!$D$11,Raw_hydro_bm!E1364,"")</f>
        <v/>
      </c>
      <c r="E1364" t="str">
        <f>IF(ROW(E1364)&lt;=Bidding!$D$11,Raw_hydro_bm!F1364,"")</f>
        <v/>
      </c>
      <c r="F1364" t="str">
        <f>IF(ROW(F1364)&lt;=Bidding!$D$11,Raw_hydro_bm!G1364,"")</f>
        <v/>
      </c>
      <c r="G1364" t="str">
        <f>IF(ROW(G1364)&lt;=Bidding!$D$11,Raw_hydro_bm!H1364,"")</f>
        <v/>
      </c>
      <c r="H1364" t="str">
        <f>IF(ROW(H1364)&lt;=Bidding!$D$11,Raw_hydro_bm!I1364,"")</f>
        <v/>
      </c>
      <c r="I1364" s="16" t="str">
        <f t="shared" si="21"/>
        <v/>
      </c>
    </row>
    <row r="1365" spans="1:9" x14ac:dyDescent="0.2">
      <c r="A1365" t="str">
        <f>IF(ROW(A1365)&lt;=Bidding!$D$11,Raw_hydro_bm!B1365,"")</f>
        <v/>
      </c>
      <c r="B1365" t="str">
        <f>IF(ROW(B1365)&lt;=Bidding!$D$11,Raw_hydro_bm!C1365,"")</f>
        <v/>
      </c>
      <c r="C1365" t="str">
        <f>IF(ROW(C1365)&lt;=Bidding!$D$11,Raw_hydro_bm!D1365,"")</f>
        <v/>
      </c>
      <c r="D1365" t="str">
        <f>IF(ROW(D1365)&lt;=Bidding!$D$11,Raw_hydro_bm!E1365,"")</f>
        <v/>
      </c>
      <c r="E1365" t="str">
        <f>IF(ROW(E1365)&lt;=Bidding!$D$11,Raw_hydro_bm!F1365,"")</f>
        <v/>
      </c>
      <c r="F1365" t="str">
        <f>IF(ROW(F1365)&lt;=Bidding!$D$11,Raw_hydro_bm!G1365,"")</f>
        <v/>
      </c>
      <c r="G1365" t="str">
        <f>IF(ROW(G1365)&lt;=Bidding!$D$11,Raw_hydro_bm!H1365,"")</f>
        <v/>
      </c>
      <c r="H1365" t="str">
        <f>IF(ROW(H1365)&lt;=Bidding!$D$11,Raw_hydro_bm!I1365,"")</f>
        <v/>
      </c>
      <c r="I1365" s="16" t="str">
        <f t="shared" si="21"/>
        <v/>
      </c>
    </row>
    <row r="1366" spans="1:9" x14ac:dyDescent="0.2">
      <c r="A1366" t="str">
        <f>IF(ROW(A1366)&lt;=Bidding!$D$11,Raw_hydro_bm!B1366,"")</f>
        <v/>
      </c>
      <c r="B1366" t="str">
        <f>IF(ROW(B1366)&lt;=Bidding!$D$11,Raw_hydro_bm!C1366,"")</f>
        <v/>
      </c>
      <c r="C1366" t="str">
        <f>IF(ROW(C1366)&lt;=Bidding!$D$11,Raw_hydro_bm!D1366,"")</f>
        <v/>
      </c>
      <c r="D1366" t="str">
        <f>IF(ROW(D1366)&lt;=Bidding!$D$11,Raw_hydro_bm!E1366,"")</f>
        <v/>
      </c>
      <c r="E1366" t="str">
        <f>IF(ROW(E1366)&lt;=Bidding!$D$11,Raw_hydro_bm!F1366,"")</f>
        <v/>
      </c>
      <c r="F1366" t="str">
        <f>IF(ROW(F1366)&lt;=Bidding!$D$11,Raw_hydro_bm!G1366,"")</f>
        <v/>
      </c>
      <c r="G1366" t="str">
        <f>IF(ROW(G1366)&lt;=Bidding!$D$11,Raw_hydro_bm!H1366,"")</f>
        <v/>
      </c>
      <c r="H1366" t="str">
        <f>IF(ROW(H1366)&lt;=Bidding!$D$11,Raw_hydro_bm!I1366,"")</f>
        <v/>
      </c>
      <c r="I1366" s="16" t="str">
        <f t="shared" si="21"/>
        <v/>
      </c>
    </row>
    <row r="1367" spans="1:9" x14ac:dyDescent="0.2">
      <c r="A1367" t="str">
        <f>IF(ROW(A1367)&lt;=Bidding!$D$11,Raw_hydro_bm!B1367,"")</f>
        <v/>
      </c>
      <c r="B1367" t="str">
        <f>IF(ROW(B1367)&lt;=Bidding!$D$11,Raw_hydro_bm!C1367,"")</f>
        <v/>
      </c>
      <c r="C1367" t="str">
        <f>IF(ROW(C1367)&lt;=Bidding!$D$11,Raw_hydro_bm!D1367,"")</f>
        <v/>
      </c>
      <c r="D1367" t="str">
        <f>IF(ROW(D1367)&lt;=Bidding!$D$11,Raw_hydro_bm!E1367,"")</f>
        <v/>
      </c>
      <c r="E1367" t="str">
        <f>IF(ROW(E1367)&lt;=Bidding!$D$11,Raw_hydro_bm!F1367,"")</f>
        <v/>
      </c>
      <c r="F1367" t="str">
        <f>IF(ROW(F1367)&lt;=Bidding!$D$11,Raw_hydro_bm!G1367,"")</f>
        <v/>
      </c>
      <c r="G1367" t="str">
        <f>IF(ROW(G1367)&lt;=Bidding!$D$11,Raw_hydro_bm!H1367,"")</f>
        <v/>
      </c>
      <c r="H1367" t="str">
        <f>IF(ROW(H1367)&lt;=Bidding!$D$11,Raw_hydro_bm!I1367,"")</f>
        <v/>
      </c>
      <c r="I1367" s="16" t="str">
        <f t="shared" si="21"/>
        <v/>
      </c>
    </row>
    <row r="1368" spans="1:9" x14ac:dyDescent="0.2">
      <c r="A1368" t="str">
        <f>IF(ROW(A1368)&lt;=Bidding!$D$11,Raw_hydro_bm!B1368,"")</f>
        <v/>
      </c>
      <c r="B1368" t="str">
        <f>IF(ROW(B1368)&lt;=Bidding!$D$11,Raw_hydro_bm!C1368,"")</f>
        <v/>
      </c>
      <c r="C1368" t="str">
        <f>IF(ROW(C1368)&lt;=Bidding!$D$11,Raw_hydro_bm!D1368,"")</f>
        <v/>
      </c>
      <c r="D1368" t="str">
        <f>IF(ROW(D1368)&lt;=Bidding!$D$11,Raw_hydro_bm!E1368,"")</f>
        <v/>
      </c>
      <c r="E1368" t="str">
        <f>IF(ROW(E1368)&lt;=Bidding!$D$11,Raw_hydro_bm!F1368,"")</f>
        <v/>
      </c>
      <c r="F1368" t="str">
        <f>IF(ROW(F1368)&lt;=Bidding!$D$11,Raw_hydro_bm!G1368,"")</f>
        <v/>
      </c>
      <c r="G1368" t="str">
        <f>IF(ROW(G1368)&lt;=Bidding!$D$11,Raw_hydro_bm!H1368,"")</f>
        <v/>
      </c>
      <c r="H1368" t="str">
        <f>IF(ROW(H1368)&lt;=Bidding!$D$11,Raw_hydro_bm!I1368,"")</f>
        <v/>
      </c>
      <c r="I1368" s="16" t="str">
        <f t="shared" si="21"/>
        <v/>
      </c>
    </row>
    <row r="1369" spans="1:9" x14ac:dyDescent="0.2">
      <c r="A1369" t="str">
        <f>IF(ROW(A1369)&lt;=Bidding!$D$11,Raw_hydro_bm!B1369,"")</f>
        <v/>
      </c>
      <c r="B1369" t="str">
        <f>IF(ROW(B1369)&lt;=Bidding!$D$11,Raw_hydro_bm!C1369,"")</f>
        <v/>
      </c>
      <c r="C1369" t="str">
        <f>IF(ROW(C1369)&lt;=Bidding!$D$11,Raw_hydro_bm!D1369,"")</f>
        <v/>
      </c>
      <c r="D1369" t="str">
        <f>IF(ROW(D1369)&lt;=Bidding!$D$11,Raw_hydro_bm!E1369,"")</f>
        <v/>
      </c>
      <c r="E1369" t="str">
        <f>IF(ROW(E1369)&lt;=Bidding!$D$11,Raw_hydro_bm!F1369,"")</f>
        <v/>
      </c>
      <c r="F1369" t="str">
        <f>IF(ROW(F1369)&lt;=Bidding!$D$11,Raw_hydro_bm!G1369,"")</f>
        <v/>
      </c>
      <c r="G1369" t="str">
        <f>IF(ROW(G1369)&lt;=Bidding!$D$11,Raw_hydro_bm!H1369,"")</f>
        <v/>
      </c>
      <c r="H1369" t="str">
        <f>IF(ROW(H1369)&lt;=Bidding!$D$11,Raw_hydro_bm!I1369,"")</f>
        <v/>
      </c>
      <c r="I1369" s="16" t="str">
        <f t="shared" si="21"/>
        <v/>
      </c>
    </row>
    <row r="1370" spans="1:9" x14ac:dyDescent="0.2">
      <c r="A1370" t="str">
        <f>IF(ROW(A1370)&lt;=Bidding!$D$11,Raw_hydro_bm!B1370,"")</f>
        <v/>
      </c>
      <c r="B1370" t="str">
        <f>IF(ROW(B1370)&lt;=Bidding!$D$11,Raw_hydro_bm!C1370,"")</f>
        <v/>
      </c>
      <c r="C1370" t="str">
        <f>IF(ROW(C1370)&lt;=Bidding!$D$11,Raw_hydro_bm!D1370,"")</f>
        <v/>
      </c>
      <c r="D1370" t="str">
        <f>IF(ROW(D1370)&lt;=Bidding!$D$11,Raw_hydro_bm!E1370,"")</f>
        <v/>
      </c>
      <c r="E1370" t="str">
        <f>IF(ROW(E1370)&lt;=Bidding!$D$11,Raw_hydro_bm!F1370,"")</f>
        <v/>
      </c>
      <c r="F1370" t="str">
        <f>IF(ROW(F1370)&lt;=Bidding!$D$11,Raw_hydro_bm!G1370,"")</f>
        <v/>
      </c>
      <c r="G1370" t="str">
        <f>IF(ROW(G1370)&lt;=Bidding!$D$11,Raw_hydro_bm!H1370,"")</f>
        <v/>
      </c>
      <c r="H1370" t="str">
        <f>IF(ROW(H1370)&lt;=Bidding!$D$11,Raw_hydro_bm!I1370,"")</f>
        <v/>
      </c>
      <c r="I1370" s="16" t="str">
        <f t="shared" si="21"/>
        <v/>
      </c>
    </row>
    <row r="1371" spans="1:9" x14ac:dyDescent="0.2">
      <c r="A1371" t="str">
        <f>IF(ROW(A1371)&lt;=Bidding!$D$11,Raw_hydro_bm!B1371,"")</f>
        <v/>
      </c>
      <c r="B1371" t="str">
        <f>IF(ROW(B1371)&lt;=Bidding!$D$11,Raw_hydro_bm!C1371,"")</f>
        <v/>
      </c>
      <c r="C1371" t="str">
        <f>IF(ROW(C1371)&lt;=Bidding!$D$11,Raw_hydro_bm!D1371,"")</f>
        <v/>
      </c>
      <c r="D1371" t="str">
        <f>IF(ROW(D1371)&lt;=Bidding!$D$11,Raw_hydro_bm!E1371,"")</f>
        <v/>
      </c>
      <c r="E1371" t="str">
        <f>IF(ROW(E1371)&lt;=Bidding!$D$11,Raw_hydro_bm!F1371,"")</f>
        <v/>
      </c>
      <c r="F1371" t="str">
        <f>IF(ROW(F1371)&lt;=Bidding!$D$11,Raw_hydro_bm!G1371,"")</f>
        <v/>
      </c>
      <c r="G1371" t="str">
        <f>IF(ROW(G1371)&lt;=Bidding!$D$11,Raw_hydro_bm!H1371,"")</f>
        <v/>
      </c>
      <c r="H1371" t="str">
        <f>IF(ROW(H1371)&lt;=Bidding!$D$11,Raw_hydro_bm!I1371,"")</f>
        <v/>
      </c>
      <c r="I1371" s="16" t="str">
        <f t="shared" si="21"/>
        <v/>
      </c>
    </row>
    <row r="1372" spans="1:9" x14ac:dyDescent="0.2">
      <c r="A1372" t="str">
        <f>IF(ROW(A1372)&lt;=Bidding!$D$11,Raw_hydro_bm!B1372,"")</f>
        <v/>
      </c>
      <c r="B1372" t="str">
        <f>IF(ROW(B1372)&lt;=Bidding!$D$11,Raw_hydro_bm!C1372,"")</f>
        <v/>
      </c>
      <c r="C1372" t="str">
        <f>IF(ROW(C1372)&lt;=Bidding!$D$11,Raw_hydro_bm!D1372,"")</f>
        <v/>
      </c>
      <c r="D1372" t="str">
        <f>IF(ROW(D1372)&lt;=Bidding!$D$11,Raw_hydro_bm!E1372,"")</f>
        <v/>
      </c>
      <c r="E1372" t="str">
        <f>IF(ROW(E1372)&lt;=Bidding!$D$11,Raw_hydro_bm!F1372,"")</f>
        <v/>
      </c>
      <c r="F1372" t="str">
        <f>IF(ROW(F1372)&lt;=Bidding!$D$11,Raw_hydro_bm!G1372,"")</f>
        <v/>
      </c>
      <c r="G1372" t="str">
        <f>IF(ROW(G1372)&lt;=Bidding!$D$11,Raw_hydro_bm!H1372,"")</f>
        <v/>
      </c>
      <c r="H1372" t="str">
        <f>IF(ROW(H1372)&lt;=Bidding!$D$11,Raw_hydro_bm!I1372,"")</f>
        <v/>
      </c>
      <c r="I1372" s="16" t="str">
        <f t="shared" si="21"/>
        <v/>
      </c>
    </row>
    <row r="1373" spans="1:9" x14ac:dyDescent="0.2">
      <c r="A1373" t="str">
        <f>IF(ROW(A1373)&lt;=Bidding!$D$11,Raw_hydro_bm!B1373,"")</f>
        <v/>
      </c>
      <c r="B1373" t="str">
        <f>IF(ROW(B1373)&lt;=Bidding!$D$11,Raw_hydro_bm!C1373,"")</f>
        <v/>
      </c>
      <c r="C1373" t="str">
        <f>IF(ROW(C1373)&lt;=Bidding!$D$11,Raw_hydro_bm!D1373,"")</f>
        <v/>
      </c>
      <c r="D1373" t="str">
        <f>IF(ROW(D1373)&lt;=Bidding!$D$11,Raw_hydro_bm!E1373,"")</f>
        <v/>
      </c>
      <c r="E1373" t="str">
        <f>IF(ROW(E1373)&lt;=Bidding!$D$11,Raw_hydro_bm!F1373,"")</f>
        <v/>
      </c>
      <c r="F1373" t="str">
        <f>IF(ROW(F1373)&lt;=Bidding!$D$11,Raw_hydro_bm!G1373,"")</f>
        <v/>
      </c>
      <c r="G1373" t="str">
        <f>IF(ROW(G1373)&lt;=Bidding!$D$11,Raw_hydro_bm!H1373,"")</f>
        <v/>
      </c>
      <c r="H1373" t="str">
        <f>IF(ROW(H1373)&lt;=Bidding!$D$11,Raw_hydro_bm!I1373,"")</f>
        <v/>
      </c>
      <c r="I1373" s="16" t="str">
        <f t="shared" si="21"/>
        <v/>
      </c>
    </row>
    <row r="1374" spans="1:9" x14ac:dyDescent="0.2">
      <c r="A1374" t="str">
        <f>IF(ROW(A1374)&lt;=Bidding!$D$11,Raw_hydro_bm!B1374,"")</f>
        <v/>
      </c>
      <c r="B1374" t="str">
        <f>IF(ROW(B1374)&lt;=Bidding!$D$11,Raw_hydro_bm!C1374,"")</f>
        <v/>
      </c>
      <c r="C1374" t="str">
        <f>IF(ROW(C1374)&lt;=Bidding!$D$11,Raw_hydro_bm!D1374,"")</f>
        <v/>
      </c>
      <c r="D1374" t="str">
        <f>IF(ROW(D1374)&lt;=Bidding!$D$11,Raw_hydro_bm!E1374,"")</f>
        <v/>
      </c>
      <c r="E1374" t="str">
        <f>IF(ROW(E1374)&lt;=Bidding!$D$11,Raw_hydro_bm!F1374,"")</f>
        <v/>
      </c>
      <c r="F1374" t="str">
        <f>IF(ROW(F1374)&lt;=Bidding!$D$11,Raw_hydro_bm!G1374,"")</f>
        <v/>
      </c>
      <c r="G1374" t="str">
        <f>IF(ROW(G1374)&lt;=Bidding!$D$11,Raw_hydro_bm!H1374,"")</f>
        <v/>
      </c>
      <c r="H1374" t="str">
        <f>IF(ROW(H1374)&lt;=Bidding!$D$11,Raw_hydro_bm!I1374,"")</f>
        <v/>
      </c>
      <c r="I1374" s="16" t="str">
        <f t="shared" si="21"/>
        <v/>
      </c>
    </row>
    <row r="1375" spans="1:9" x14ac:dyDescent="0.2">
      <c r="A1375" t="str">
        <f>IF(ROW(A1375)&lt;=Bidding!$D$11,Raw_hydro_bm!B1375,"")</f>
        <v/>
      </c>
      <c r="B1375" t="str">
        <f>IF(ROW(B1375)&lt;=Bidding!$D$11,Raw_hydro_bm!C1375,"")</f>
        <v/>
      </c>
      <c r="C1375" t="str">
        <f>IF(ROW(C1375)&lt;=Bidding!$D$11,Raw_hydro_bm!D1375,"")</f>
        <v/>
      </c>
      <c r="D1375" t="str">
        <f>IF(ROW(D1375)&lt;=Bidding!$D$11,Raw_hydro_bm!E1375,"")</f>
        <v/>
      </c>
      <c r="E1375" t="str">
        <f>IF(ROW(E1375)&lt;=Bidding!$D$11,Raw_hydro_bm!F1375,"")</f>
        <v/>
      </c>
      <c r="F1375" t="str">
        <f>IF(ROW(F1375)&lt;=Bidding!$D$11,Raw_hydro_bm!G1375,"")</f>
        <v/>
      </c>
      <c r="G1375" t="str">
        <f>IF(ROW(G1375)&lt;=Bidding!$D$11,Raw_hydro_bm!H1375,"")</f>
        <v/>
      </c>
      <c r="H1375" t="str">
        <f>IF(ROW(H1375)&lt;=Bidding!$D$11,Raw_hydro_bm!I1375,"")</f>
        <v/>
      </c>
      <c r="I1375" s="16" t="str">
        <f t="shared" si="21"/>
        <v/>
      </c>
    </row>
    <row r="1376" spans="1:9" x14ac:dyDescent="0.2">
      <c r="A1376" t="str">
        <f>IF(ROW(A1376)&lt;=Bidding!$D$11,Raw_hydro_bm!B1376,"")</f>
        <v/>
      </c>
      <c r="B1376" t="str">
        <f>IF(ROW(B1376)&lt;=Bidding!$D$11,Raw_hydro_bm!C1376,"")</f>
        <v/>
      </c>
      <c r="C1376" t="str">
        <f>IF(ROW(C1376)&lt;=Bidding!$D$11,Raw_hydro_bm!D1376,"")</f>
        <v/>
      </c>
      <c r="D1376" t="str">
        <f>IF(ROW(D1376)&lt;=Bidding!$D$11,Raw_hydro_bm!E1376,"")</f>
        <v/>
      </c>
      <c r="E1376" t="str">
        <f>IF(ROW(E1376)&lt;=Bidding!$D$11,Raw_hydro_bm!F1376,"")</f>
        <v/>
      </c>
      <c r="F1376" t="str">
        <f>IF(ROW(F1376)&lt;=Bidding!$D$11,Raw_hydro_bm!G1376,"")</f>
        <v/>
      </c>
      <c r="G1376" t="str">
        <f>IF(ROW(G1376)&lt;=Bidding!$D$11,Raw_hydro_bm!H1376,"")</f>
        <v/>
      </c>
      <c r="H1376" t="str">
        <f>IF(ROW(H1376)&lt;=Bidding!$D$11,Raw_hydro_bm!I1376,"")</f>
        <v/>
      </c>
      <c r="I1376" s="16" t="str">
        <f t="shared" si="21"/>
        <v/>
      </c>
    </row>
    <row r="1377" spans="1:9" x14ac:dyDescent="0.2">
      <c r="A1377" t="str">
        <f>IF(ROW(A1377)&lt;=Bidding!$D$11,Raw_hydro_bm!B1377,"")</f>
        <v/>
      </c>
      <c r="B1377" t="str">
        <f>IF(ROW(B1377)&lt;=Bidding!$D$11,Raw_hydro_bm!C1377,"")</f>
        <v/>
      </c>
      <c r="C1377" t="str">
        <f>IF(ROW(C1377)&lt;=Bidding!$D$11,Raw_hydro_bm!D1377,"")</f>
        <v/>
      </c>
      <c r="D1377" t="str">
        <f>IF(ROW(D1377)&lt;=Bidding!$D$11,Raw_hydro_bm!E1377,"")</f>
        <v/>
      </c>
      <c r="E1377" t="str">
        <f>IF(ROW(E1377)&lt;=Bidding!$D$11,Raw_hydro_bm!F1377,"")</f>
        <v/>
      </c>
      <c r="F1377" t="str">
        <f>IF(ROW(F1377)&lt;=Bidding!$D$11,Raw_hydro_bm!G1377,"")</f>
        <v/>
      </c>
      <c r="G1377" t="str">
        <f>IF(ROW(G1377)&lt;=Bidding!$D$11,Raw_hydro_bm!H1377,"")</f>
        <v/>
      </c>
      <c r="H1377" t="str">
        <f>IF(ROW(H1377)&lt;=Bidding!$D$11,Raw_hydro_bm!I1377,"")</f>
        <v/>
      </c>
      <c r="I1377" s="16" t="str">
        <f t="shared" si="21"/>
        <v/>
      </c>
    </row>
    <row r="1378" spans="1:9" x14ac:dyDescent="0.2">
      <c r="A1378" t="str">
        <f>IF(ROW(A1378)&lt;=Bidding!$D$11,Raw_hydro_bm!B1378,"")</f>
        <v/>
      </c>
      <c r="B1378" t="str">
        <f>IF(ROW(B1378)&lt;=Bidding!$D$11,Raw_hydro_bm!C1378,"")</f>
        <v/>
      </c>
      <c r="C1378" t="str">
        <f>IF(ROW(C1378)&lt;=Bidding!$D$11,Raw_hydro_bm!D1378,"")</f>
        <v/>
      </c>
      <c r="D1378" t="str">
        <f>IF(ROW(D1378)&lt;=Bidding!$D$11,Raw_hydro_bm!E1378,"")</f>
        <v/>
      </c>
      <c r="E1378" t="str">
        <f>IF(ROW(E1378)&lt;=Bidding!$D$11,Raw_hydro_bm!F1378,"")</f>
        <v/>
      </c>
      <c r="F1378" t="str">
        <f>IF(ROW(F1378)&lt;=Bidding!$D$11,Raw_hydro_bm!G1378,"")</f>
        <v/>
      </c>
      <c r="G1378" t="str">
        <f>IF(ROW(G1378)&lt;=Bidding!$D$11,Raw_hydro_bm!H1378,"")</f>
        <v/>
      </c>
      <c r="H1378" t="str">
        <f>IF(ROW(H1378)&lt;=Bidding!$D$11,Raw_hydro_bm!I1378,"")</f>
        <v/>
      </c>
      <c r="I1378" s="16" t="str">
        <f t="shared" si="21"/>
        <v/>
      </c>
    </row>
    <row r="1379" spans="1:9" x14ac:dyDescent="0.2">
      <c r="A1379" t="str">
        <f>IF(ROW(A1379)&lt;=Bidding!$D$11,Raw_hydro_bm!B1379,"")</f>
        <v/>
      </c>
      <c r="B1379" t="str">
        <f>IF(ROW(B1379)&lt;=Bidding!$D$11,Raw_hydro_bm!C1379,"")</f>
        <v/>
      </c>
      <c r="C1379" t="str">
        <f>IF(ROW(C1379)&lt;=Bidding!$D$11,Raw_hydro_bm!D1379,"")</f>
        <v/>
      </c>
      <c r="D1379" t="str">
        <f>IF(ROW(D1379)&lt;=Bidding!$D$11,Raw_hydro_bm!E1379,"")</f>
        <v/>
      </c>
      <c r="E1379" t="str">
        <f>IF(ROW(E1379)&lt;=Bidding!$D$11,Raw_hydro_bm!F1379,"")</f>
        <v/>
      </c>
      <c r="F1379" t="str">
        <f>IF(ROW(F1379)&lt;=Bidding!$D$11,Raw_hydro_bm!G1379,"")</f>
        <v/>
      </c>
      <c r="G1379" t="str">
        <f>IF(ROW(G1379)&lt;=Bidding!$D$11,Raw_hydro_bm!H1379,"")</f>
        <v/>
      </c>
      <c r="H1379" t="str">
        <f>IF(ROW(H1379)&lt;=Bidding!$D$11,Raw_hydro_bm!I1379,"")</f>
        <v/>
      </c>
      <c r="I1379" s="16" t="str">
        <f t="shared" si="21"/>
        <v/>
      </c>
    </row>
    <row r="1380" spans="1:9" x14ac:dyDescent="0.2">
      <c r="A1380" t="str">
        <f>IF(ROW(A1380)&lt;=Bidding!$D$11,Raw_hydro_bm!B1380,"")</f>
        <v/>
      </c>
      <c r="B1380" t="str">
        <f>IF(ROW(B1380)&lt;=Bidding!$D$11,Raw_hydro_bm!C1380,"")</f>
        <v/>
      </c>
      <c r="C1380" t="str">
        <f>IF(ROW(C1380)&lt;=Bidding!$D$11,Raw_hydro_bm!D1380,"")</f>
        <v/>
      </c>
      <c r="D1380" t="str">
        <f>IF(ROW(D1380)&lt;=Bidding!$D$11,Raw_hydro_bm!E1380,"")</f>
        <v/>
      </c>
      <c r="E1380" t="str">
        <f>IF(ROW(E1380)&lt;=Bidding!$D$11,Raw_hydro_bm!F1380,"")</f>
        <v/>
      </c>
      <c r="F1380" t="str">
        <f>IF(ROW(F1380)&lt;=Bidding!$D$11,Raw_hydro_bm!G1380,"")</f>
        <v/>
      </c>
      <c r="G1380" t="str">
        <f>IF(ROW(G1380)&lt;=Bidding!$D$11,Raw_hydro_bm!H1380,"")</f>
        <v/>
      </c>
      <c r="H1380" t="str">
        <f>IF(ROW(H1380)&lt;=Bidding!$D$11,Raw_hydro_bm!I1380,"")</f>
        <v/>
      </c>
      <c r="I1380" s="16" t="str">
        <f t="shared" si="21"/>
        <v/>
      </c>
    </row>
    <row r="1381" spans="1:9" x14ac:dyDescent="0.2">
      <c r="A1381" t="str">
        <f>IF(ROW(A1381)&lt;=Bidding!$D$11,Raw_hydro_bm!B1381,"")</f>
        <v/>
      </c>
      <c r="B1381" t="str">
        <f>IF(ROW(B1381)&lt;=Bidding!$D$11,Raw_hydro_bm!C1381,"")</f>
        <v/>
      </c>
      <c r="C1381" t="str">
        <f>IF(ROW(C1381)&lt;=Bidding!$D$11,Raw_hydro_bm!D1381,"")</f>
        <v/>
      </c>
      <c r="D1381" t="str">
        <f>IF(ROW(D1381)&lt;=Bidding!$D$11,Raw_hydro_bm!E1381,"")</f>
        <v/>
      </c>
      <c r="E1381" t="str">
        <f>IF(ROW(E1381)&lt;=Bidding!$D$11,Raw_hydro_bm!F1381,"")</f>
        <v/>
      </c>
      <c r="F1381" t="str">
        <f>IF(ROW(F1381)&lt;=Bidding!$D$11,Raw_hydro_bm!G1381,"")</f>
        <v/>
      </c>
      <c r="G1381" t="str">
        <f>IF(ROW(G1381)&lt;=Bidding!$D$11,Raw_hydro_bm!H1381,"")</f>
        <v/>
      </c>
      <c r="H1381" t="str">
        <f>IF(ROW(H1381)&lt;=Bidding!$D$11,Raw_hydro_bm!I1381,"")</f>
        <v/>
      </c>
      <c r="I1381" s="16" t="str">
        <f t="shared" si="21"/>
        <v/>
      </c>
    </row>
    <row r="1382" spans="1:9" x14ac:dyDescent="0.2">
      <c r="A1382" t="str">
        <f>IF(ROW(A1382)&lt;=Bidding!$D$11,Raw_hydro_bm!B1382,"")</f>
        <v/>
      </c>
      <c r="B1382" t="str">
        <f>IF(ROW(B1382)&lt;=Bidding!$D$11,Raw_hydro_bm!C1382,"")</f>
        <v/>
      </c>
      <c r="C1382" t="str">
        <f>IF(ROW(C1382)&lt;=Bidding!$D$11,Raw_hydro_bm!D1382,"")</f>
        <v/>
      </c>
      <c r="D1382" t="str">
        <f>IF(ROW(D1382)&lt;=Bidding!$D$11,Raw_hydro_bm!E1382,"")</f>
        <v/>
      </c>
      <c r="E1382" t="str">
        <f>IF(ROW(E1382)&lt;=Bidding!$D$11,Raw_hydro_bm!F1382,"")</f>
        <v/>
      </c>
      <c r="F1382" t="str">
        <f>IF(ROW(F1382)&lt;=Bidding!$D$11,Raw_hydro_bm!G1382,"")</f>
        <v/>
      </c>
      <c r="G1382" t="str">
        <f>IF(ROW(G1382)&lt;=Bidding!$D$11,Raw_hydro_bm!H1382,"")</f>
        <v/>
      </c>
      <c r="H1382" t="str">
        <f>IF(ROW(H1382)&lt;=Bidding!$D$11,Raw_hydro_bm!I1382,"")</f>
        <v/>
      </c>
      <c r="I1382" s="16" t="str">
        <f t="shared" si="21"/>
        <v/>
      </c>
    </row>
    <row r="1383" spans="1:9" x14ac:dyDescent="0.2">
      <c r="A1383" t="str">
        <f>IF(ROW(A1383)&lt;=Bidding!$D$11,Raw_hydro_bm!B1383,"")</f>
        <v/>
      </c>
      <c r="B1383" t="str">
        <f>IF(ROW(B1383)&lt;=Bidding!$D$11,Raw_hydro_bm!C1383,"")</f>
        <v/>
      </c>
      <c r="C1383" t="str">
        <f>IF(ROW(C1383)&lt;=Bidding!$D$11,Raw_hydro_bm!D1383,"")</f>
        <v/>
      </c>
      <c r="D1383" t="str">
        <f>IF(ROW(D1383)&lt;=Bidding!$D$11,Raw_hydro_bm!E1383,"")</f>
        <v/>
      </c>
      <c r="E1383" t="str">
        <f>IF(ROW(E1383)&lt;=Bidding!$D$11,Raw_hydro_bm!F1383,"")</f>
        <v/>
      </c>
      <c r="F1383" t="str">
        <f>IF(ROW(F1383)&lt;=Bidding!$D$11,Raw_hydro_bm!G1383,"")</f>
        <v/>
      </c>
      <c r="G1383" t="str">
        <f>IF(ROW(G1383)&lt;=Bidding!$D$11,Raw_hydro_bm!H1383,"")</f>
        <v/>
      </c>
      <c r="H1383" t="str">
        <f>IF(ROW(H1383)&lt;=Bidding!$D$11,Raw_hydro_bm!I1383,"")</f>
        <v/>
      </c>
      <c r="I1383" s="16" t="str">
        <f t="shared" si="21"/>
        <v/>
      </c>
    </row>
    <row r="1384" spans="1:9" x14ac:dyDescent="0.2">
      <c r="A1384" t="str">
        <f>IF(ROW(A1384)&lt;=Bidding!$D$11,Raw_hydro_bm!B1384,"")</f>
        <v/>
      </c>
      <c r="B1384" t="str">
        <f>IF(ROW(B1384)&lt;=Bidding!$D$11,Raw_hydro_bm!C1384,"")</f>
        <v/>
      </c>
      <c r="C1384" t="str">
        <f>IF(ROW(C1384)&lt;=Bidding!$D$11,Raw_hydro_bm!D1384,"")</f>
        <v/>
      </c>
      <c r="D1384" t="str">
        <f>IF(ROW(D1384)&lt;=Bidding!$D$11,Raw_hydro_bm!E1384,"")</f>
        <v/>
      </c>
      <c r="E1384" t="str">
        <f>IF(ROW(E1384)&lt;=Bidding!$D$11,Raw_hydro_bm!F1384,"")</f>
        <v/>
      </c>
      <c r="F1384" t="str">
        <f>IF(ROW(F1384)&lt;=Bidding!$D$11,Raw_hydro_bm!G1384,"")</f>
        <v/>
      </c>
      <c r="G1384" t="str">
        <f>IF(ROW(G1384)&lt;=Bidding!$D$11,Raw_hydro_bm!H1384,"")</f>
        <v/>
      </c>
      <c r="H1384" t="str">
        <f>IF(ROW(H1384)&lt;=Bidding!$D$11,Raw_hydro_bm!I1384,"")</f>
        <v/>
      </c>
      <c r="I1384" s="16" t="str">
        <f t="shared" si="21"/>
        <v/>
      </c>
    </row>
    <row r="1385" spans="1:9" x14ac:dyDescent="0.2">
      <c r="A1385" t="str">
        <f>IF(ROW(A1385)&lt;=Bidding!$D$11,Raw_hydro_bm!B1385,"")</f>
        <v/>
      </c>
      <c r="B1385" t="str">
        <f>IF(ROW(B1385)&lt;=Bidding!$D$11,Raw_hydro_bm!C1385,"")</f>
        <v/>
      </c>
      <c r="C1385" t="str">
        <f>IF(ROW(C1385)&lt;=Bidding!$D$11,Raw_hydro_bm!D1385,"")</f>
        <v/>
      </c>
      <c r="D1385" t="str">
        <f>IF(ROW(D1385)&lt;=Bidding!$D$11,Raw_hydro_bm!E1385,"")</f>
        <v/>
      </c>
      <c r="E1385" t="str">
        <f>IF(ROW(E1385)&lt;=Bidding!$D$11,Raw_hydro_bm!F1385,"")</f>
        <v/>
      </c>
      <c r="F1385" t="str">
        <f>IF(ROW(F1385)&lt;=Bidding!$D$11,Raw_hydro_bm!G1385,"")</f>
        <v/>
      </c>
      <c r="G1385" t="str">
        <f>IF(ROW(G1385)&lt;=Bidding!$D$11,Raw_hydro_bm!H1385,"")</f>
        <v/>
      </c>
      <c r="H1385" t="str">
        <f>IF(ROW(H1385)&lt;=Bidding!$D$11,Raw_hydro_bm!I1385,"")</f>
        <v/>
      </c>
      <c r="I1385" s="16" t="str">
        <f t="shared" si="21"/>
        <v/>
      </c>
    </row>
    <row r="1386" spans="1:9" x14ac:dyDescent="0.2">
      <c r="A1386" t="str">
        <f>IF(ROW(A1386)&lt;=Bidding!$D$11,Raw_hydro_bm!B1386,"")</f>
        <v/>
      </c>
      <c r="B1386" t="str">
        <f>IF(ROW(B1386)&lt;=Bidding!$D$11,Raw_hydro_bm!C1386,"")</f>
        <v/>
      </c>
      <c r="C1386" t="str">
        <f>IF(ROW(C1386)&lt;=Bidding!$D$11,Raw_hydro_bm!D1386,"")</f>
        <v/>
      </c>
      <c r="D1386" t="str">
        <f>IF(ROW(D1386)&lt;=Bidding!$D$11,Raw_hydro_bm!E1386,"")</f>
        <v/>
      </c>
      <c r="E1386" t="str">
        <f>IF(ROW(E1386)&lt;=Bidding!$D$11,Raw_hydro_bm!F1386,"")</f>
        <v/>
      </c>
      <c r="F1386" t="str">
        <f>IF(ROW(F1386)&lt;=Bidding!$D$11,Raw_hydro_bm!G1386,"")</f>
        <v/>
      </c>
      <c r="G1386" t="str">
        <f>IF(ROW(G1386)&lt;=Bidding!$D$11,Raw_hydro_bm!H1386,"")</f>
        <v/>
      </c>
      <c r="H1386" t="str">
        <f>IF(ROW(H1386)&lt;=Bidding!$D$11,Raw_hydro_bm!I1386,"")</f>
        <v/>
      </c>
      <c r="I1386" s="16" t="str">
        <f t="shared" si="21"/>
        <v/>
      </c>
    </row>
    <row r="1387" spans="1:9" x14ac:dyDescent="0.2">
      <c r="A1387" t="str">
        <f>IF(ROW(A1387)&lt;=Bidding!$D$11,Raw_hydro_bm!B1387,"")</f>
        <v/>
      </c>
      <c r="B1387" t="str">
        <f>IF(ROW(B1387)&lt;=Bidding!$D$11,Raw_hydro_bm!C1387,"")</f>
        <v/>
      </c>
      <c r="C1387" t="str">
        <f>IF(ROW(C1387)&lt;=Bidding!$D$11,Raw_hydro_bm!D1387,"")</f>
        <v/>
      </c>
      <c r="D1387" t="str">
        <f>IF(ROW(D1387)&lt;=Bidding!$D$11,Raw_hydro_bm!E1387,"")</f>
        <v/>
      </c>
      <c r="E1387" t="str">
        <f>IF(ROW(E1387)&lt;=Bidding!$D$11,Raw_hydro_bm!F1387,"")</f>
        <v/>
      </c>
      <c r="F1387" t="str">
        <f>IF(ROW(F1387)&lt;=Bidding!$D$11,Raw_hydro_bm!G1387,"")</f>
        <v/>
      </c>
      <c r="G1387" t="str">
        <f>IF(ROW(G1387)&lt;=Bidding!$D$11,Raw_hydro_bm!H1387,"")</f>
        <v/>
      </c>
      <c r="H1387" t="str">
        <f>IF(ROW(H1387)&lt;=Bidding!$D$11,Raw_hydro_bm!I1387,"")</f>
        <v/>
      </c>
      <c r="I1387" s="16" t="str">
        <f t="shared" si="21"/>
        <v/>
      </c>
    </row>
    <row r="1388" spans="1:9" x14ac:dyDescent="0.2">
      <c r="A1388" t="str">
        <f>IF(ROW(A1388)&lt;=Bidding!$D$11,Raw_hydro_bm!B1388,"")</f>
        <v/>
      </c>
      <c r="B1388" t="str">
        <f>IF(ROW(B1388)&lt;=Bidding!$D$11,Raw_hydro_bm!C1388,"")</f>
        <v/>
      </c>
      <c r="C1388" t="str">
        <f>IF(ROW(C1388)&lt;=Bidding!$D$11,Raw_hydro_bm!D1388,"")</f>
        <v/>
      </c>
      <c r="D1388" t="str">
        <f>IF(ROW(D1388)&lt;=Bidding!$D$11,Raw_hydro_bm!E1388,"")</f>
        <v/>
      </c>
      <c r="E1388" t="str">
        <f>IF(ROW(E1388)&lt;=Bidding!$D$11,Raw_hydro_bm!F1388,"")</f>
        <v/>
      </c>
      <c r="F1388" t="str">
        <f>IF(ROW(F1388)&lt;=Bidding!$D$11,Raw_hydro_bm!G1388,"")</f>
        <v/>
      </c>
      <c r="G1388" t="str">
        <f>IF(ROW(G1388)&lt;=Bidding!$D$11,Raw_hydro_bm!H1388,"")</f>
        <v/>
      </c>
      <c r="H1388" t="str">
        <f>IF(ROW(H1388)&lt;=Bidding!$D$11,Raw_hydro_bm!I1388,"")</f>
        <v/>
      </c>
      <c r="I1388" s="16" t="str">
        <f t="shared" si="21"/>
        <v/>
      </c>
    </row>
    <row r="1389" spans="1:9" x14ac:dyDescent="0.2">
      <c r="A1389" t="str">
        <f>IF(ROW(A1389)&lt;=Bidding!$D$11,Raw_hydro_bm!B1389,"")</f>
        <v/>
      </c>
      <c r="B1389" t="str">
        <f>IF(ROW(B1389)&lt;=Bidding!$D$11,Raw_hydro_bm!C1389,"")</f>
        <v/>
      </c>
      <c r="C1389" t="str">
        <f>IF(ROW(C1389)&lt;=Bidding!$D$11,Raw_hydro_bm!D1389,"")</f>
        <v/>
      </c>
      <c r="D1389" t="str">
        <f>IF(ROW(D1389)&lt;=Bidding!$D$11,Raw_hydro_bm!E1389,"")</f>
        <v/>
      </c>
      <c r="E1389" t="str">
        <f>IF(ROW(E1389)&lt;=Bidding!$D$11,Raw_hydro_bm!F1389,"")</f>
        <v/>
      </c>
      <c r="F1389" t="str">
        <f>IF(ROW(F1389)&lt;=Bidding!$D$11,Raw_hydro_bm!G1389,"")</f>
        <v/>
      </c>
      <c r="G1389" t="str">
        <f>IF(ROW(G1389)&lt;=Bidding!$D$11,Raw_hydro_bm!H1389,"")</f>
        <v/>
      </c>
      <c r="H1389" t="str">
        <f>IF(ROW(H1389)&lt;=Bidding!$D$11,Raw_hydro_bm!I1389,"")</f>
        <v/>
      </c>
      <c r="I1389" s="16" t="str">
        <f t="shared" si="21"/>
        <v/>
      </c>
    </row>
    <row r="1390" spans="1:9" x14ac:dyDescent="0.2">
      <c r="A1390" t="str">
        <f>IF(ROW(A1390)&lt;=Bidding!$D$11,Raw_hydro_bm!B1390,"")</f>
        <v/>
      </c>
      <c r="B1390" t="str">
        <f>IF(ROW(B1390)&lt;=Bidding!$D$11,Raw_hydro_bm!C1390,"")</f>
        <v/>
      </c>
      <c r="C1390" t="str">
        <f>IF(ROW(C1390)&lt;=Bidding!$D$11,Raw_hydro_bm!D1390,"")</f>
        <v/>
      </c>
      <c r="D1390" t="str">
        <f>IF(ROW(D1390)&lt;=Bidding!$D$11,Raw_hydro_bm!E1390,"")</f>
        <v/>
      </c>
      <c r="E1390" t="str">
        <f>IF(ROW(E1390)&lt;=Bidding!$D$11,Raw_hydro_bm!F1390,"")</f>
        <v/>
      </c>
      <c r="F1390" t="str">
        <f>IF(ROW(F1390)&lt;=Bidding!$D$11,Raw_hydro_bm!G1390,"")</f>
        <v/>
      </c>
      <c r="G1390" t="str">
        <f>IF(ROW(G1390)&lt;=Bidding!$D$11,Raw_hydro_bm!H1390,"")</f>
        <v/>
      </c>
      <c r="H1390" t="str">
        <f>IF(ROW(H1390)&lt;=Bidding!$D$11,Raw_hydro_bm!I1390,"")</f>
        <v/>
      </c>
      <c r="I1390" s="16" t="str">
        <f t="shared" si="21"/>
        <v/>
      </c>
    </row>
    <row r="1391" spans="1:9" x14ac:dyDescent="0.2">
      <c r="A1391" t="str">
        <f>IF(ROW(A1391)&lt;=Bidding!$D$11,Raw_hydro_bm!B1391,"")</f>
        <v/>
      </c>
      <c r="B1391" t="str">
        <f>IF(ROW(B1391)&lt;=Bidding!$D$11,Raw_hydro_bm!C1391,"")</f>
        <v/>
      </c>
      <c r="C1391" t="str">
        <f>IF(ROW(C1391)&lt;=Bidding!$D$11,Raw_hydro_bm!D1391,"")</f>
        <v/>
      </c>
      <c r="D1391" t="str">
        <f>IF(ROW(D1391)&lt;=Bidding!$D$11,Raw_hydro_bm!E1391,"")</f>
        <v/>
      </c>
      <c r="E1391" t="str">
        <f>IF(ROW(E1391)&lt;=Bidding!$D$11,Raw_hydro_bm!F1391,"")</f>
        <v/>
      </c>
      <c r="F1391" t="str">
        <f>IF(ROW(F1391)&lt;=Bidding!$D$11,Raw_hydro_bm!G1391,"")</f>
        <v/>
      </c>
      <c r="G1391" t="str">
        <f>IF(ROW(G1391)&lt;=Bidding!$D$11,Raw_hydro_bm!H1391,"")</f>
        <v/>
      </c>
      <c r="H1391" t="str">
        <f>IF(ROW(H1391)&lt;=Bidding!$D$11,Raw_hydro_bm!I1391,"")</f>
        <v/>
      </c>
      <c r="I1391" s="16" t="str">
        <f t="shared" si="21"/>
        <v/>
      </c>
    </row>
    <row r="1392" spans="1:9" x14ac:dyDescent="0.2">
      <c r="A1392" t="str">
        <f>IF(ROW(A1392)&lt;=Bidding!$D$11,Raw_hydro_bm!B1392,"")</f>
        <v/>
      </c>
      <c r="B1392" t="str">
        <f>IF(ROW(B1392)&lt;=Bidding!$D$11,Raw_hydro_bm!C1392,"")</f>
        <v/>
      </c>
      <c r="C1392" t="str">
        <f>IF(ROW(C1392)&lt;=Bidding!$D$11,Raw_hydro_bm!D1392,"")</f>
        <v/>
      </c>
      <c r="D1392" t="str">
        <f>IF(ROW(D1392)&lt;=Bidding!$D$11,Raw_hydro_bm!E1392,"")</f>
        <v/>
      </c>
      <c r="E1392" t="str">
        <f>IF(ROW(E1392)&lt;=Bidding!$D$11,Raw_hydro_bm!F1392,"")</f>
        <v/>
      </c>
      <c r="F1392" t="str">
        <f>IF(ROW(F1392)&lt;=Bidding!$D$11,Raw_hydro_bm!G1392,"")</f>
        <v/>
      </c>
      <c r="G1392" t="str">
        <f>IF(ROW(G1392)&lt;=Bidding!$D$11,Raw_hydro_bm!H1392,"")</f>
        <v/>
      </c>
      <c r="H1392" t="str">
        <f>IF(ROW(H1392)&lt;=Bidding!$D$11,Raw_hydro_bm!I1392,"")</f>
        <v/>
      </c>
      <c r="I1392" s="16" t="str">
        <f t="shared" si="21"/>
        <v/>
      </c>
    </row>
    <row r="1393" spans="1:9" x14ac:dyDescent="0.2">
      <c r="A1393" t="str">
        <f>IF(ROW(A1393)&lt;=Bidding!$D$11,Raw_hydro_bm!B1393,"")</f>
        <v/>
      </c>
      <c r="B1393" t="str">
        <f>IF(ROW(B1393)&lt;=Bidding!$D$11,Raw_hydro_bm!C1393,"")</f>
        <v/>
      </c>
      <c r="C1393" t="str">
        <f>IF(ROW(C1393)&lt;=Bidding!$D$11,Raw_hydro_bm!D1393,"")</f>
        <v/>
      </c>
      <c r="D1393" t="str">
        <f>IF(ROW(D1393)&lt;=Bidding!$D$11,Raw_hydro_bm!E1393,"")</f>
        <v/>
      </c>
      <c r="E1393" t="str">
        <f>IF(ROW(E1393)&lt;=Bidding!$D$11,Raw_hydro_bm!F1393,"")</f>
        <v/>
      </c>
      <c r="F1393" t="str">
        <f>IF(ROW(F1393)&lt;=Bidding!$D$11,Raw_hydro_bm!G1393,"")</f>
        <v/>
      </c>
      <c r="G1393" t="str">
        <f>IF(ROW(G1393)&lt;=Bidding!$D$11,Raw_hydro_bm!H1393,"")</f>
        <v/>
      </c>
      <c r="H1393" t="str">
        <f>IF(ROW(H1393)&lt;=Bidding!$D$11,Raw_hydro_bm!I1393,"")</f>
        <v/>
      </c>
      <c r="I1393" s="16" t="str">
        <f t="shared" si="21"/>
        <v/>
      </c>
    </row>
    <row r="1394" spans="1:9" x14ac:dyDescent="0.2">
      <c r="A1394" t="str">
        <f>IF(ROW(A1394)&lt;=Bidding!$D$11,Raw_hydro_bm!B1394,"")</f>
        <v/>
      </c>
      <c r="B1394" t="str">
        <f>IF(ROW(B1394)&lt;=Bidding!$D$11,Raw_hydro_bm!C1394,"")</f>
        <v/>
      </c>
      <c r="C1394" t="str">
        <f>IF(ROW(C1394)&lt;=Bidding!$D$11,Raw_hydro_bm!D1394,"")</f>
        <v/>
      </c>
      <c r="D1394" t="str">
        <f>IF(ROW(D1394)&lt;=Bidding!$D$11,Raw_hydro_bm!E1394,"")</f>
        <v/>
      </c>
      <c r="E1394" t="str">
        <f>IF(ROW(E1394)&lt;=Bidding!$D$11,Raw_hydro_bm!F1394,"")</f>
        <v/>
      </c>
      <c r="F1394" t="str">
        <f>IF(ROW(F1394)&lt;=Bidding!$D$11,Raw_hydro_bm!G1394,"")</f>
        <v/>
      </c>
      <c r="G1394" t="str">
        <f>IF(ROW(G1394)&lt;=Bidding!$D$11,Raw_hydro_bm!H1394,"")</f>
        <v/>
      </c>
      <c r="H1394" t="str">
        <f>IF(ROW(H1394)&lt;=Bidding!$D$11,Raw_hydro_bm!I1394,"")</f>
        <v/>
      </c>
      <c r="I1394" s="16" t="str">
        <f t="shared" si="21"/>
        <v/>
      </c>
    </row>
    <row r="1395" spans="1:9" x14ac:dyDescent="0.2">
      <c r="A1395" t="str">
        <f>IF(ROW(A1395)&lt;=Bidding!$D$11,Raw_hydro_bm!B1395,"")</f>
        <v/>
      </c>
      <c r="B1395" t="str">
        <f>IF(ROW(B1395)&lt;=Bidding!$D$11,Raw_hydro_bm!C1395,"")</f>
        <v/>
      </c>
      <c r="C1395" t="str">
        <f>IF(ROW(C1395)&lt;=Bidding!$D$11,Raw_hydro_bm!D1395,"")</f>
        <v/>
      </c>
      <c r="D1395" t="str">
        <f>IF(ROW(D1395)&lt;=Bidding!$D$11,Raw_hydro_bm!E1395,"")</f>
        <v/>
      </c>
      <c r="E1395" t="str">
        <f>IF(ROW(E1395)&lt;=Bidding!$D$11,Raw_hydro_bm!F1395,"")</f>
        <v/>
      </c>
      <c r="F1395" t="str">
        <f>IF(ROW(F1395)&lt;=Bidding!$D$11,Raw_hydro_bm!G1395,"")</f>
        <v/>
      </c>
      <c r="G1395" t="str">
        <f>IF(ROW(G1395)&lt;=Bidding!$D$11,Raw_hydro_bm!H1395,"")</f>
        <v/>
      </c>
      <c r="H1395" t="str">
        <f>IF(ROW(H1395)&lt;=Bidding!$D$11,Raw_hydro_bm!I1395,"")</f>
        <v/>
      </c>
      <c r="I1395" s="16" t="str">
        <f t="shared" si="21"/>
        <v/>
      </c>
    </row>
    <row r="1396" spans="1:9" x14ac:dyDescent="0.2">
      <c r="A1396" t="str">
        <f>IF(ROW(A1396)&lt;=Bidding!$D$11,Raw_hydro_bm!B1396,"")</f>
        <v/>
      </c>
      <c r="B1396" t="str">
        <f>IF(ROW(B1396)&lt;=Bidding!$D$11,Raw_hydro_bm!C1396,"")</f>
        <v/>
      </c>
      <c r="C1396" t="str">
        <f>IF(ROW(C1396)&lt;=Bidding!$D$11,Raw_hydro_bm!D1396,"")</f>
        <v/>
      </c>
      <c r="D1396" t="str">
        <f>IF(ROW(D1396)&lt;=Bidding!$D$11,Raw_hydro_bm!E1396,"")</f>
        <v/>
      </c>
      <c r="E1396" t="str">
        <f>IF(ROW(E1396)&lt;=Bidding!$D$11,Raw_hydro_bm!F1396,"")</f>
        <v/>
      </c>
      <c r="F1396" t="str">
        <f>IF(ROW(F1396)&lt;=Bidding!$D$11,Raw_hydro_bm!G1396,"")</f>
        <v/>
      </c>
      <c r="G1396" t="str">
        <f>IF(ROW(G1396)&lt;=Bidding!$D$11,Raw_hydro_bm!H1396,"")</f>
        <v/>
      </c>
      <c r="H1396" t="str">
        <f>IF(ROW(H1396)&lt;=Bidding!$D$11,Raw_hydro_bm!I1396,"")</f>
        <v/>
      </c>
      <c r="I1396" s="16" t="str">
        <f t="shared" si="21"/>
        <v/>
      </c>
    </row>
    <row r="1397" spans="1:9" x14ac:dyDescent="0.2">
      <c r="A1397" t="str">
        <f>IF(ROW(A1397)&lt;=Bidding!$D$11,Raw_hydro_bm!B1397,"")</f>
        <v/>
      </c>
      <c r="B1397" t="str">
        <f>IF(ROW(B1397)&lt;=Bidding!$D$11,Raw_hydro_bm!C1397,"")</f>
        <v/>
      </c>
      <c r="C1397" t="str">
        <f>IF(ROW(C1397)&lt;=Bidding!$D$11,Raw_hydro_bm!D1397,"")</f>
        <v/>
      </c>
      <c r="D1397" t="str">
        <f>IF(ROW(D1397)&lt;=Bidding!$D$11,Raw_hydro_bm!E1397,"")</f>
        <v/>
      </c>
      <c r="E1397" t="str">
        <f>IF(ROW(E1397)&lt;=Bidding!$D$11,Raw_hydro_bm!F1397,"")</f>
        <v/>
      </c>
      <c r="F1397" t="str">
        <f>IF(ROW(F1397)&lt;=Bidding!$D$11,Raw_hydro_bm!G1397,"")</f>
        <v/>
      </c>
      <c r="G1397" t="str">
        <f>IF(ROW(G1397)&lt;=Bidding!$D$11,Raw_hydro_bm!H1397,"")</f>
        <v/>
      </c>
      <c r="H1397" t="str">
        <f>IF(ROW(H1397)&lt;=Bidding!$D$11,Raw_hydro_bm!I1397,"")</f>
        <v/>
      </c>
      <c r="I1397" s="16" t="str">
        <f t="shared" si="21"/>
        <v/>
      </c>
    </row>
    <row r="1398" spans="1:9" x14ac:dyDescent="0.2">
      <c r="A1398" t="str">
        <f>IF(ROW(A1398)&lt;=Bidding!$D$11,Raw_hydro_bm!B1398,"")</f>
        <v/>
      </c>
      <c r="B1398" t="str">
        <f>IF(ROW(B1398)&lt;=Bidding!$D$11,Raw_hydro_bm!C1398,"")</f>
        <v/>
      </c>
      <c r="C1398" t="str">
        <f>IF(ROW(C1398)&lt;=Bidding!$D$11,Raw_hydro_bm!D1398,"")</f>
        <v/>
      </c>
      <c r="D1398" t="str">
        <f>IF(ROW(D1398)&lt;=Bidding!$D$11,Raw_hydro_bm!E1398,"")</f>
        <v/>
      </c>
      <c r="E1398" t="str">
        <f>IF(ROW(E1398)&lt;=Bidding!$D$11,Raw_hydro_bm!F1398,"")</f>
        <v/>
      </c>
      <c r="F1398" t="str">
        <f>IF(ROW(F1398)&lt;=Bidding!$D$11,Raw_hydro_bm!G1398,"")</f>
        <v/>
      </c>
      <c r="G1398" t="str">
        <f>IF(ROW(G1398)&lt;=Bidding!$D$11,Raw_hydro_bm!H1398,"")</f>
        <v/>
      </c>
      <c r="H1398" t="str">
        <f>IF(ROW(H1398)&lt;=Bidding!$D$11,Raw_hydro_bm!I1398,"")</f>
        <v/>
      </c>
      <c r="I1398" s="16" t="str">
        <f t="shared" si="21"/>
        <v/>
      </c>
    </row>
    <row r="1399" spans="1:9" x14ac:dyDescent="0.2">
      <c r="A1399" t="str">
        <f>IF(ROW(A1399)&lt;=Bidding!$D$11,Raw_hydro_bm!B1399,"")</f>
        <v/>
      </c>
      <c r="B1399" t="str">
        <f>IF(ROW(B1399)&lt;=Bidding!$D$11,Raw_hydro_bm!C1399,"")</f>
        <v/>
      </c>
      <c r="C1399" t="str">
        <f>IF(ROW(C1399)&lt;=Bidding!$D$11,Raw_hydro_bm!D1399,"")</f>
        <v/>
      </c>
      <c r="D1399" t="str">
        <f>IF(ROW(D1399)&lt;=Bidding!$D$11,Raw_hydro_bm!E1399,"")</f>
        <v/>
      </c>
      <c r="E1399" t="str">
        <f>IF(ROW(E1399)&lt;=Bidding!$D$11,Raw_hydro_bm!F1399,"")</f>
        <v/>
      </c>
      <c r="F1399" t="str">
        <f>IF(ROW(F1399)&lt;=Bidding!$D$11,Raw_hydro_bm!G1399,"")</f>
        <v/>
      </c>
      <c r="G1399" t="str">
        <f>IF(ROW(G1399)&lt;=Bidding!$D$11,Raw_hydro_bm!H1399,"")</f>
        <v/>
      </c>
      <c r="H1399" t="str">
        <f>IF(ROW(H1399)&lt;=Bidding!$D$11,Raw_hydro_bm!I1399,"")</f>
        <v/>
      </c>
      <c r="I1399" s="16" t="str">
        <f t="shared" si="21"/>
        <v/>
      </c>
    </row>
    <row r="1400" spans="1:9" x14ac:dyDescent="0.2">
      <c r="A1400" t="str">
        <f>IF(ROW(A1400)&lt;=Bidding!$D$11,Raw_hydro_bm!B1400,"")</f>
        <v/>
      </c>
      <c r="B1400" t="str">
        <f>IF(ROW(B1400)&lt;=Bidding!$D$11,Raw_hydro_bm!C1400,"")</f>
        <v/>
      </c>
      <c r="C1400" t="str">
        <f>IF(ROW(C1400)&lt;=Bidding!$D$11,Raw_hydro_bm!D1400,"")</f>
        <v/>
      </c>
      <c r="D1400" t="str">
        <f>IF(ROW(D1400)&lt;=Bidding!$D$11,Raw_hydro_bm!E1400,"")</f>
        <v/>
      </c>
      <c r="E1400" t="str">
        <f>IF(ROW(E1400)&lt;=Bidding!$D$11,Raw_hydro_bm!F1400,"")</f>
        <v/>
      </c>
      <c r="F1400" t="str">
        <f>IF(ROW(F1400)&lt;=Bidding!$D$11,Raw_hydro_bm!G1400,"")</f>
        <v/>
      </c>
      <c r="G1400" t="str">
        <f>IF(ROW(G1400)&lt;=Bidding!$D$11,Raw_hydro_bm!H1400,"")</f>
        <v/>
      </c>
      <c r="H1400" t="str">
        <f>IF(ROW(H1400)&lt;=Bidding!$D$11,Raw_hydro_bm!I1400,"")</f>
        <v/>
      </c>
      <c r="I1400" s="16" t="str">
        <f t="shared" si="21"/>
        <v/>
      </c>
    </row>
    <row r="1401" spans="1:9" x14ac:dyDescent="0.2">
      <c r="A1401" t="str">
        <f>IF(ROW(A1401)&lt;=Bidding!$D$11,Raw_hydro_bm!B1401,"")</f>
        <v/>
      </c>
      <c r="B1401" t="str">
        <f>IF(ROW(B1401)&lt;=Bidding!$D$11,Raw_hydro_bm!C1401,"")</f>
        <v/>
      </c>
      <c r="C1401" t="str">
        <f>IF(ROW(C1401)&lt;=Bidding!$D$11,Raw_hydro_bm!D1401,"")</f>
        <v/>
      </c>
      <c r="D1401" t="str">
        <f>IF(ROW(D1401)&lt;=Bidding!$D$11,Raw_hydro_bm!E1401,"")</f>
        <v/>
      </c>
      <c r="E1401" t="str">
        <f>IF(ROW(E1401)&lt;=Bidding!$D$11,Raw_hydro_bm!F1401,"")</f>
        <v/>
      </c>
      <c r="F1401" t="str">
        <f>IF(ROW(F1401)&lt;=Bidding!$D$11,Raw_hydro_bm!G1401,"")</f>
        <v/>
      </c>
      <c r="G1401" t="str">
        <f>IF(ROW(G1401)&lt;=Bidding!$D$11,Raw_hydro_bm!H1401,"")</f>
        <v/>
      </c>
      <c r="H1401" t="str">
        <f>IF(ROW(H1401)&lt;=Bidding!$D$11,Raw_hydro_bm!I1401,"")</f>
        <v/>
      </c>
      <c r="I1401" s="16" t="str">
        <f t="shared" si="21"/>
        <v/>
      </c>
    </row>
    <row r="1402" spans="1:9" x14ac:dyDescent="0.2">
      <c r="A1402" t="str">
        <f>IF(ROW(A1402)&lt;=Bidding!$D$11,Raw_hydro_bm!B1402,"")</f>
        <v/>
      </c>
      <c r="B1402" t="str">
        <f>IF(ROW(B1402)&lt;=Bidding!$D$11,Raw_hydro_bm!C1402,"")</f>
        <v/>
      </c>
      <c r="C1402" t="str">
        <f>IF(ROW(C1402)&lt;=Bidding!$D$11,Raw_hydro_bm!D1402,"")</f>
        <v/>
      </c>
      <c r="D1402" t="str">
        <f>IF(ROW(D1402)&lt;=Bidding!$D$11,Raw_hydro_bm!E1402,"")</f>
        <v/>
      </c>
      <c r="E1402" t="str">
        <f>IF(ROW(E1402)&lt;=Bidding!$D$11,Raw_hydro_bm!F1402,"")</f>
        <v/>
      </c>
      <c r="F1402" t="str">
        <f>IF(ROW(F1402)&lt;=Bidding!$D$11,Raw_hydro_bm!G1402,"")</f>
        <v/>
      </c>
      <c r="G1402" t="str">
        <f>IF(ROW(G1402)&lt;=Bidding!$D$11,Raw_hydro_bm!H1402,"")</f>
        <v/>
      </c>
      <c r="H1402" t="str">
        <f>IF(ROW(H1402)&lt;=Bidding!$D$11,Raw_hydro_bm!I1402,"")</f>
        <v/>
      </c>
      <c r="I1402" s="16" t="str">
        <f t="shared" si="21"/>
        <v/>
      </c>
    </row>
    <row r="1403" spans="1:9" x14ac:dyDescent="0.2">
      <c r="A1403" t="str">
        <f>IF(ROW(A1403)&lt;=Bidding!$D$11,Raw_hydro_bm!B1403,"")</f>
        <v/>
      </c>
      <c r="B1403" t="str">
        <f>IF(ROW(B1403)&lt;=Bidding!$D$11,Raw_hydro_bm!C1403,"")</f>
        <v/>
      </c>
      <c r="C1403" t="str">
        <f>IF(ROW(C1403)&lt;=Bidding!$D$11,Raw_hydro_bm!D1403,"")</f>
        <v/>
      </c>
      <c r="D1403" t="str">
        <f>IF(ROW(D1403)&lt;=Bidding!$D$11,Raw_hydro_bm!E1403,"")</f>
        <v/>
      </c>
      <c r="E1403" t="str">
        <f>IF(ROW(E1403)&lt;=Bidding!$D$11,Raw_hydro_bm!F1403,"")</f>
        <v/>
      </c>
      <c r="F1403" t="str">
        <f>IF(ROW(F1403)&lt;=Bidding!$D$11,Raw_hydro_bm!G1403,"")</f>
        <v/>
      </c>
      <c r="G1403" t="str">
        <f>IF(ROW(G1403)&lt;=Bidding!$D$11,Raw_hydro_bm!H1403,"")</f>
        <v/>
      </c>
      <c r="H1403" t="str">
        <f>IF(ROW(H1403)&lt;=Bidding!$D$11,Raw_hydro_bm!I1403,"")</f>
        <v/>
      </c>
      <c r="I1403" s="16" t="str">
        <f t="shared" si="21"/>
        <v/>
      </c>
    </row>
    <row r="1404" spans="1:9" x14ac:dyDescent="0.2">
      <c r="A1404" t="str">
        <f>IF(ROW(A1404)&lt;=Bidding!$D$11,Raw_hydro_bm!B1404,"")</f>
        <v/>
      </c>
      <c r="B1404" t="str">
        <f>IF(ROW(B1404)&lt;=Bidding!$D$11,Raw_hydro_bm!C1404,"")</f>
        <v/>
      </c>
      <c r="C1404" t="str">
        <f>IF(ROW(C1404)&lt;=Bidding!$D$11,Raw_hydro_bm!D1404,"")</f>
        <v/>
      </c>
      <c r="D1404" t="str">
        <f>IF(ROW(D1404)&lt;=Bidding!$D$11,Raw_hydro_bm!E1404,"")</f>
        <v/>
      </c>
      <c r="E1404" t="str">
        <f>IF(ROW(E1404)&lt;=Bidding!$D$11,Raw_hydro_bm!F1404,"")</f>
        <v/>
      </c>
      <c r="F1404" t="str">
        <f>IF(ROW(F1404)&lt;=Bidding!$D$11,Raw_hydro_bm!G1404,"")</f>
        <v/>
      </c>
      <c r="G1404" t="str">
        <f>IF(ROW(G1404)&lt;=Bidding!$D$11,Raw_hydro_bm!H1404,"")</f>
        <v/>
      </c>
      <c r="H1404" t="str">
        <f>IF(ROW(H1404)&lt;=Bidding!$D$11,Raw_hydro_bm!I1404,"")</f>
        <v/>
      </c>
      <c r="I1404" s="16" t="str">
        <f t="shared" si="21"/>
        <v/>
      </c>
    </row>
    <row r="1405" spans="1:9" x14ac:dyDescent="0.2">
      <c r="A1405" t="str">
        <f>IF(ROW(A1405)&lt;=Bidding!$D$11,Raw_hydro_bm!B1405,"")</f>
        <v/>
      </c>
      <c r="B1405" t="str">
        <f>IF(ROW(B1405)&lt;=Bidding!$D$11,Raw_hydro_bm!C1405,"")</f>
        <v/>
      </c>
      <c r="C1405" t="str">
        <f>IF(ROW(C1405)&lt;=Bidding!$D$11,Raw_hydro_bm!D1405,"")</f>
        <v/>
      </c>
      <c r="D1405" t="str">
        <f>IF(ROW(D1405)&lt;=Bidding!$D$11,Raw_hydro_bm!E1405,"")</f>
        <v/>
      </c>
      <c r="E1405" t="str">
        <f>IF(ROW(E1405)&lt;=Bidding!$D$11,Raw_hydro_bm!F1405,"")</f>
        <v/>
      </c>
      <c r="F1405" t="str">
        <f>IF(ROW(F1405)&lt;=Bidding!$D$11,Raw_hydro_bm!G1405,"")</f>
        <v/>
      </c>
      <c r="G1405" t="str">
        <f>IF(ROW(G1405)&lt;=Bidding!$D$11,Raw_hydro_bm!H1405,"")</f>
        <v/>
      </c>
      <c r="H1405" t="str">
        <f>IF(ROW(H1405)&lt;=Bidding!$D$11,Raw_hydro_bm!I1405,"")</f>
        <v/>
      </c>
      <c r="I1405" s="16" t="str">
        <f t="shared" si="21"/>
        <v/>
      </c>
    </row>
    <row r="1406" spans="1:9" x14ac:dyDescent="0.2">
      <c r="A1406" t="str">
        <f>IF(ROW(A1406)&lt;=Bidding!$D$11,Raw_hydro_bm!B1406,"")</f>
        <v/>
      </c>
      <c r="B1406" t="str">
        <f>IF(ROW(B1406)&lt;=Bidding!$D$11,Raw_hydro_bm!C1406,"")</f>
        <v/>
      </c>
      <c r="C1406" t="str">
        <f>IF(ROW(C1406)&lt;=Bidding!$D$11,Raw_hydro_bm!D1406,"")</f>
        <v/>
      </c>
      <c r="D1406" t="str">
        <f>IF(ROW(D1406)&lt;=Bidding!$D$11,Raw_hydro_bm!E1406,"")</f>
        <v/>
      </c>
      <c r="E1406" t="str">
        <f>IF(ROW(E1406)&lt;=Bidding!$D$11,Raw_hydro_bm!F1406,"")</f>
        <v/>
      </c>
      <c r="F1406" t="str">
        <f>IF(ROW(F1406)&lt;=Bidding!$D$11,Raw_hydro_bm!G1406,"")</f>
        <v/>
      </c>
      <c r="G1406" t="str">
        <f>IF(ROW(G1406)&lt;=Bidding!$D$11,Raw_hydro_bm!H1406,"")</f>
        <v/>
      </c>
      <c r="H1406" t="str">
        <f>IF(ROW(H1406)&lt;=Bidding!$D$11,Raw_hydro_bm!I1406,"")</f>
        <v/>
      </c>
      <c r="I1406" s="16" t="str">
        <f t="shared" si="21"/>
        <v/>
      </c>
    </row>
    <row r="1407" spans="1:9" x14ac:dyDescent="0.2">
      <c r="A1407" t="str">
        <f>IF(ROW(A1407)&lt;=Bidding!$D$11,Raw_hydro_bm!B1407,"")</f>
        <v/>
      </c>
      <c r="B1407" t="str">
        <f>IF(ROW(B1407)&lt;=Bidding!$D$11,Raw_hydro_bm!C1407,"")</f>
        <v/>
      </c>
      <c r="C1407" t="str">
        <f>IF(ROW(C1407)&lt;=Bidding!$D$11,Raw_hydro_bm!D1407,"")</f>
        <v/>
      </c>
      <c r="D1407" t="str">
        <f>IF(ROW(D1407)&lt;=Bidding!$D$11,Raw_hydro_bm!E1407,"")</f>
        <v/>
      </c>
      <c r="E1407" t="str">
        <f>IF(ROW(E1407)&lt;=Bidding!$D$11,Raw_hydro_bm!F1407,"")</f>
        <v/>
      </c>
      <c r="F1407" t="str">
        <f>IF(ROW(F1407)&lt;=Bidding!$D$11,Raw_hydro_bm!G1407,"")</f>
        <v/>
      </c>
      <c r="G1407" t="str">
        <f>IF(ROW(G1407)&lt;=Bidding!$D$11,Raw_hydro_bm!H1407,"")</f>
        <v/>
      </c>
      <c r="H1407" t="str">
        <f>IF(ROW(H1407)&lt;=Bidding!$D$11,Raw_hydro_bm!I1407,"")</f>
        <v/>
      </c>
      <c r="I1407" s="16" t="str">
        <f t="shared" si="21"/>
        <v/>
      </c>
    </row>
    <row r="1408" spans="1:9" x14ac:dyDescent="0.2">
      <c r="A1408" t="str">
        <f>IF(ROW(A1408)&lt;=Bidding!$D$11,Raw_hydro_bm!B1408,"")</f>
        <v/>
      </c>
      <c r="B1408" t="str">
        <f>IF(ROW(B1408)&lt;=Bidding!$D$11,Raw_hydro_bm!C1408,"")</f>
        <v/>
      </c>
      <c r="C1408" t="str">
        <f>IF(ROW(C1408)&lt;=Bidding!$D$11,Raw_hydro_bm!D1408,"")</f>
        <v/>
      </c>
      <c r="D1408" t="str">
        <f>IF(ROW(D1408)&lt;=Bidding!$D$11,Raw_hydro_bm!E1408,"")</f>
        <v/>
      </c>
      <c r="E1408" t="str">
        <f>IF(ROW(E1408)&lt;=Bidding!$D$11,Raw_hydro_bm!F1408,"")</f>
        <v/>
      </c>
      <c r="F1408" t="str">
        <f>IF(ROW(F1408)&lt;=Bidding!$D$11,Raw_hydro_bm!G1408,"")</f>
        <v/>
      </c>
      <c r="G1408" t="str">
        <f>IF(ROW(G1408)&lt;=Bidding!$D$11,Raw_hydro_bm!H1408,"")</f>
        <v/>
      </c>
      <c r="H1408" t="str">
        <f>IF(ROW(H1408)&lt;=Bidding!$D$11,Raw_hydro_bm!I1408,"")</f>
        <v/>
      </c>
      <c r="I1408" s="16" t="str">
        <f t="shared" si="21"/>
        <v/>
      </c>
    </row>
    <row r="1409" spans="1:9" x14ac:dyDescent="0.2">
      <c r="A1409" t="str">
        <f>IF(ROW(A1409)&lt;=Bidding!$D$11,Raw_hydro_bm!B1409,"")</f>
        <v/>
      </c>
      <c r="B1409" t="str">
        <f>IF(ROW(B1409)&lt;=Bidding!$D$11,Raw_hydro_bm!C1409,"")</f>
        <v/>
      </c>
      <c r="C1409" t="str">
        <f>IF(ROW(C1409)&lt;=Bidding!$D$11,Raw_hydro_bm!D1409,"")</f>
        <v/>
      </c>
      <c r="D1409" t="str">
        <f>IF(ROW(D1409)&lt;=Bidding!$D$11,Raw_hydro_bm!E1409,"")</f>
        <v/>
      </c>
      <c r="E1409" t="str">
        <f>IF(ROW(E1409)&lt;=Bidding!$D$11,Raw_hydro_bm!F1409,"")</f>
        <v/>
      </c>
      <c r="F1409" t="str">
        <f>IF(ROW(F1409)&lt;=Bidding!$D$11,Raw_hydro_bm!G1409,"")</f>
        <v/>
      </c>
      <c r="G1409" t="str">
        <f>IF(ROW(G1409)&lt;=Bidding!$D$11,Raw_hydro_bm!H1409,"")</f>
        <v/>
      </c>
      <c r="H1409" t="str">
        <f>IF(ROW(H1409)&lt;=Bidding!$D$11,Raw_hydro_bm!I1409,"")</f>
        <v/>
      </c>
      <c r="I1409" s="16" t="str">
        <f t="shared" si="21"/>
        <v/>
      </c>
    </row>
    <row r="1410" spans="1:9" x14ac:dyDescent="0.2">
      <c r="A1410" t="str">
        <f>IF(ROW(A1410)&lt;=Bidding!$D$11,Raw_hydro_bm!B1410,"")</f>
        <v/>
      </c>
      <c r="B1410" t="str">
        <f>IF(ROW(B1410)&lt;=Bidding!$D$11,Raw_hydro_bm!C1410,"")</f>
        <v/>
      </c>
      <c r="C1410" t="str">
        <f>IF(ROW(C1410)&lt;=Bidding!$D$11,Raw_hydro_bm!D1410,"")</f>
        <v/>
      </c>
      <c r="D1410" t="str">
        <f>IF(ROW(D1410)&lt;=Bidding!$D$11,Raw_hydro_bm!E1410,"")</f>
        <v/>
      </c>
      <c r="E1410" t="str">
        <f>IF(ROW(E1410)&lt;=Bidding!$D$11,Raw_hydro_bm!F1410,"")</f>
        <v/>
      </c>
      <c r="F1410" t="str">
        <f>IF(ROW(F1410)&lt;=Bidding!$D$11,Raw_hydro_bm!G1410,"")</f>
        <v/>
      </c>
      <c r="G1410" t="str">
        <f>IF(ROW(G1410)&lt;=Bidding!$D$11,Raw_hydro_bm!H1410,"")</f>
        <v/>
      </c>
      <c r="H1410" t="str">
        <f>IF(ROW(H1410)&lt;=Bidding!$D$11,Raw_hydro_bm!I1410,"")</f>
        <v/>
      </c>
      <c r="I1410" s="16" t="str">
        <f t="shared" ref="I1410:I1473" si="22">IF(IFERROR(FIND("e",H1410),-1)&lt;0,IFERROR(_xlfn.NUMBERVALUE(LEFT(H1410,FIND(".",H1410)-1))+_xlfn.NUMBERVALUE("0,"&amp;RIGHT(H1410,LEN(H1410)-FIND(".",H1410))),""),0)</f>
        <v/>
      </c>
    </row>
    <row r="1411" spans="1:9" x14ac:dyDescent="0.2">
      <c r="A1411" t="str">
        <f>IF(ROW(A1411)&lt;=Bidding!$D$11,Raw_hydro_bm!B1411,"")</f>
        <v/>
      </c>
      <c r="B1411" t="str">
        <f>IF(ROW(B1411)&lt;=Bidding!$D$11,Raw_hydro_bm!C1411,"")</f>
        <v/>
      </c>
      <c r="C1411" t="str">
        <f>IF(ROW(C1411)&lt;=Bidding!$D$11,Raw_hydro_bm!D1411,"")</f>
        <v/>
      </c>
      <c r="D1411" t="str">
        <f>IF(ROW(D1411)&lt;=Bidding!$D$11,Raw_hydro_bm!E1411,"")</f>
        <v/>
      </c>
      <c r="E1411" t="str">
        <f>IF(ROW(E1411)&lt;=Bidding!$D$11,Raw_hydro_bm!F1411,"")</f>
        <v/>
      </c>
      <c r="F1411" t="str">
        <f>IF(ROW(F1411)&lt;=Bidding!$D$11,Raw_hydro_bm!G1411,"")</f>
        <v/>
      </c>
      <c r="G1411" t="str">
        <f>IF(ROW(G1411)&lt;=Bidding!$D$11,Raw_hydro_bm!H1411,"")</f>
        <v/>
      </c>
      <c r="H1411" t="str">
        <f>IF(ROW(H1411)&lt;=Bidding!$D$11,Raw_hydro_bm!I1411,"")</f>
        <v/>
      </c>
      <c r="I1411" s="16" t="str">
        <f t="shared" si="22"/>
        <v/>
      </c>
    </row>
    <row r="1412" spans="1:9" x14ac:dyDescent="0.2">
      <c r="A1412" t="str">
        <f>IF(ROW(A1412)&lt;=Bidding!$D$11,Raw_hydro_bm!B1412,"")</f>
        <v/>
      </c>
      <c r="B1412" t="str">
        <f>IF(ROW(B1412)&lt;=Bidding!$D$11,Raw_hydro_bm!C1412,"")</f>
        <v/>
      </c>
      <c r="C1412" t="str">
        <f>IF(ROW(C1412)&lt;=Bidding!$D$11,Raw_hydro_bm!D1412,"")</f>
        <v/>
      </c>
      <c r="D1412" t="str">
        <f>IF(ROW(D1412)&lt;=Bidding!$D$11,Raw_hydro_bm!E1412,"")</f>
        <v/>
      </c>
      <c r="E1412" t="str">
        <f>IF(ROW(E1412)&lt;=Bidding!$D$11,Raw_hydro_bm!F1412,"")</f>
        <v/>
      </c>
      <c r="F1412" t="str">
        <f>IF(ROW(F1412)&lt;=Bidding!$D$11,Raw_hydro_bm!G1412,"")</f>
        <v/>
      </c>
      <c r="G1412" t="str">
        <f>IF(ROW(G1412)&lt;=Bidding!$D$11,Raw_hydro_bm!H1412,"")</f>
        <v/>
      </c>
      <c r="H1412" t="str">
        <f>IF(ROW(H1412)&lt;=Bidding!$D$11,Raw_hydro_bm!I1412,"")</f>
        <v/>
      </c>
      <c r="I1412" s="16" t="str">
        <f t="shared" si="22"/>
        <v/>
      </c>
    </row>
    <row r="1413" spans="1:9" x14ac:dyDescent="0.2">
      <c r="A1413" t="str">
        <f>IF(ROW(A1413)&lt;=Bidding!$D$11,Raw_hydro_bm!B1413,"")</f>
        <v/>
      </c>
      <c r="B1413" t="str">
        <f>IF(ROW(B1413)&lt;=Bidding!$D$11,Raw_hydro_bm!C1413,"")</f>
        <v/>
      </c>
      <c r="C1413" t="str">
        <f>IF(ROW(C1413)&lt;=Bidding!$D$11,Raw_hydro_bm!D1413,"")</f>
        <v/>
      </c>
      <c r="D1413" t="str">
        <f>IF(ROW(D1413)&lt;=Bidding!$D$11,Raw_hydro_bm!E1413,"")</f>
        <v/>
      </c>
      <c r="E1413" t="str">
        <f>IF(ROW(E1413)&lt;=Bidding!$D$11,Raw_hydro_bm!F1413,"")</f>
        <v/>
      </c>
      <c r="F1413" t="str">
        <f>IF(ROW(F1413)&lt;=Bidding!$D$11,Raw_hydro_bm!G1413,"")</f>
        <v/>
      </c>
      <c r="G1413" t="str">
        <f>IF(ROW(G1413)&lt;=Bidding!$D$11,Raw_hydro_bm!H1413,"")</f>
        <v/>
      </c>
      <c r="H1413" t="str">
        <f>IF(ROW(H1413)&lt;=Bidding!$D$11,Raw_hydro_bm!I1413,"")</f>
        <v/>
      </c>
      <c r="I1413" s="16" t="str">
        <f t="shared" si="22"/>
        <v/>
      </c>
    </row>
    <row r="1414" spans="1:9" x14ac:dyDescent="0.2">
      <c r="A1414" t="str">
        <f>IF(ROW(A1414)&lt;=Bidding!$D$11,Raw_hydro_bm!B1414,"")</f>
        <v/>
      </c>
      <c r="B1414" t="str">
        <f>IF(ROW(B1414)&lt;=Bidding!$D$11,Raw_hydro_bm!C1414,"")</f>
        <v/>
      </c>
      <c r="C1414" t="str">
        <f>IF(ROW(C1414)&lt;=Bidding!$D$11,Raw_hydro_bm!D1414,"")</f>
        <v/>
      </c>
      <c r="D1414" t="str">
        <f>IF(ROW(D1414)&lt;=Bidding!$D$11,Raw_hydro_bm!E1414,"")</f>
        <v/>
      </c>
      <c r="E1414" t="str">
        <f>IF(ROW(E1414)&lt;=Bidding!$D$11,Raw_hydro_bm!F1414,"")</f>
        <v/>
      </c>
      <c r="F1414" t="str">
        <f>IF(ROW(F1414)&lt;=Bidding!$D$11,Raw_hydro_bm!G1414,"")</f>
        <v/>
      </c>
      <c r="G1414" t="str">
        <f>IF(ROW(G1414)&lt;=Bidding!$D$11,Raw_hydro_bm!H1414,"")</f>
        <v/>
      </c>
      <c r="H1414" t="str">
        <f>IF(ROW(H1414)&lt;=Bidding!$D$11,Raw_hydro_bm!I1414,"")</f>
        <v/>
      </c>
      <c r="I1414" s="16" t="str">
        <f t="shared" si="22"/>
        <v/>
      </c>
    </row>
    <row r="1415" spans="1:9" x14ac:dyDescent="0.2">
      <c r="A1415" t="str">
        <f>IF(ROW(A1415)&lt;=Bidding!$D$11,Raw_hydro_bm!B1415,"")</f>
        <v/>
      </c>
      <c r="B1415" t="str">
        <f>IF(ROW(B1415)&lt;=Bidding!$D$11,Raw_hydro_bm!C1415,"")</f>
        <v/>
      </c>
      <c r="C1415" t="str">
        <f>IF(ROW(C1415)&lt;=Bidding!$D$11,Raw_hydro_bm!D1415,"")</f>
        <v/>
      </c>
      <c r="D1415" t="str">
        <f>IF(ROW(D1415)&lt;=Bidding!$D$11,Raw_hydro_bm!E1415,"")</f>
        <v/>
      </c>
      <c r="E1415" t="str">
        <f>IF(ROW(E1415)&lt;=Bidding!$D$11,Raw_hydro_bm!F1415,"")</f>
        <v/>
      </c>
      <c r="F1415" t="str">
        <f>IF(ROW(F1415)&lt;=Bidding!$D$11,Raw_hydro_bm!G1415,"")</f>
        <v/>
      </c>
      <c r="G1415" t="str">
        <f>IF(ROW(G1415)&lt;=Bidding!$D$11,Raw_hydro_bm!H1415,"")</f>
        <v/>
      </c>
      <c r="H1415" t="str">
        <f>IF(ROW(H1415)&lt;=Bidding!$D$11,Raw_hydro_bm!I1415,"")</f>
        <v/>
      </c>
      <c r="I1415" s="16" t="str">
        <f t="shared" si="22"/>
        <v/>
      </c>
    </row>
    <row r="1416" spans="1:9" x14ac:dyDescent="0.2">
      <c r="A1416" t="str">
        <f>IF(ROW(A1416)&lt;=Bidding!$D$11,Raw_hydro_bm!B1416,"")</f>
        <v/>
      </c>
      <c r="B1416" t="str">
        <f>IF(ROW(B1416)&lt;=Bidding!$D$11,Raw_hydro_bm!C1416,"")</f>
        <v/>
      </c>
      <c r="C1416" t="str">
        <f>IF(ROW(C1416)&lt;=Bidding!$D$11,Raw_hydro_bm!D1416,"")</f>
        <v/>
      </c>
      <c r="D1416" t="str">
        <f>IF(ROW(D1416)&lt;=Bidding!$D$11,Raw_hydro_bm!E1416,"")</f>
        <v/>
      </c>
      <c r="E1416" t="str">
        <f>IF(ROW(E1416)&lt;=Bidding!$D$11,Raw_hydro_bm!F1416,"")</f>
        <v/>
      </c>
      <c r="F1416" t="str">
        <f>IF(ROW(F1416)&lt;=Bidding!$D$11,Raw_hydro_bm!G1416,"")</f>
        <v/>
      </c>
      <c r="G1416" t="str">
        <f>IF(ROW(G1416)&lt;=Bidding!$D$11,Raw_hydro_bm!H1416,"")</f>
        <v/>
      </c>
      <c r="H1416" t="str">
        <f>IF(ROW(H1416)&lt;=Bidding!$D$11,Raw_hydro_bm!I1416,"")</f>
        <v/>
      </c>
      <c r="I1416" s="16" t="str">
        <f t="shared" si="22"/>
        <v/>
      </c>
    </row>
    <row r="1417" spans="1:9" x14ac:dyDescent="0.2">
      <c r="A1417" t="str">
        <f>IF(ROW(A1417)&lt;=Bidding!$D$11,Raw_hydro_bm!B1417,"")</f>
        <v/>
      </c>
      <c r="B1417" t="str">
        <f>IF(ROW(B1417)&lt;=Bidding!$D$11,Raw_hydro_bm!C1417,"")</f>
        <v/>
      </c>
      <c r="C1417" t="str">
        <f>IF(ROW(C1417)&lt;=Bidding!$D$11,Raw_hydro_bm!D1417,"")</f>
        <v/>
      </c>
      <c r="D1417" t="str">
        <f>IF(ROW(D1417)&lt;=Bidding!$D$11,Raw_hydro_bm!E1417,"")</f>
        <v/>
      </c>
      <c r="E1417" t="str">
        <f>IF(ROW(E1417)&lt;=Bidding!$D$11,Raw_hydro_bm!F1417,"")</f>
        <v/>
      </c>
      <c r="F1417" t="str">
        <f>IF(ROW(F1417)&lt;=Bidding!$D$11,Raw_hydro_bm!G1417,"")</f>
        <v/>
      </c>
      <c r="G1417" t="str">
        <f>IF(ROW(G1417)&lt;=Bidding!$D$11,Raw_hydro_bm!H1417,"")</f>
        <v/>
      </c>
      <c r="H1417" t="str">
        <f>IF(ROW(H1417)&lt;=Bidding!$D$11,Raw_hydro_bm!I1417,"")</f>
        <v/>
      </c>
      <c r="I1417" s="16" t="str">
        <f t="shared" si="22"/>
        <v/>
      </c>
    </row>
    <row r="1418" spans="1:9" x14ac:dyDescent="0.2">
      <c r="A1418" t="str">
        <f>IF(ROW(A1418)&lt;=Bidding!$D$11,Raw_hydro_bm!B1418,"")</f>
        <v/>
      </c>
      <c r="B1418" t="str">
        <f>IF(ROW(B1418)&lt;=Bidding!$D$11,Raw_hydro_bm!C1418,"")</f>
        <v/>
      </c>
      <c r="C1418" t="str">
        <f>IF(ROW(C1418)&lt;=Bidding!$D$11,Raw_hydro_bm!D1418,"")</f>
        <v/>
      </c>
      <c r="D1418" t="str">
        <f>IF(ROW(D1418)&lt;=Bidding!$D$11,Raw_hydro_bm!E1418,"")</f>
        <v/>
      </c>
      <c r="E1418" t="str">
        <f>IF(ROW(E1418)&lt;=Bidding!$D$11,Raw_hydro_bm!F1418,"")</f>
        <v/>
      </c>
      <c r="F1418" t="str">
        <f>IF(ROW(F1418)&lt;=Bidding!$D$11,Raw_hydro_bm!G1418,"")</f>
        <v/>
      </c>
      <c r="G1418" t="str">
        <f>IF(ROW(G1418)&lt;=Bidding!$D$11,Raw_hydro_bm!H1418,"")</f>
        <v/>
      </c>
      <c r="H1418" t="str">
        <f>IF(ROW(H1418)&lt;=Bidding!$D$11,Raw_hydro_bm!I1418,"")</f>
        <v/>
      </c>
      <c r="I1418" s="16" t="str">
        <f t="shared" si="22"/>
        <v/>
      </c>
    </row>
    <row r="1419" spans="1:9" x14ac:dyDescent="0.2">
      <c r="A1419" t="str">
        <f>IF(ROW(A1419)&lt;=Bidding!$D$11,Raw_hydro_bm!B1419,"")</f>
        <v/>
      </c>
      <c r="B1419" t="str">
        <f>IF(ROW(B1419)&lt;=Bidding!$D$11,Raw_hydro_bm!C1419,"")</f>
        <v/>
      </c>
      <c r="C1419" t="str">
        <f>IF(ROW(C1419)&lt;=Bidding!$D$11,Raw_hydro_bm!D1419,"")</f>
        <v/>
      </c>
      <c r="D1419" t="str">
        <f>IF(ROW(D1419)&lt;=Bidding!$D$11,Raw_hydro_bm!E1419,"")</f>
        <v/>
      </c>
      <c r="E1419" t="str">
        <f>IF(ROW(E1419)&lt;=Bidding!$D$11,Raw_hydro_bm!F1419,"")</f>
        <v/>
      </c>
      <c r="F1419" t="str">
        <f>IF(ROW(F1419)&lt;=Bidding!$D$11,Raw_hydro_bm!G1419,"")</f>
        <v/>
      </c>
      <c r="G1419" t="str">
        <f>IF(ROW(G1419)&lt;=Bidding!$D$11,Raw_hydro_bm!H1419,"")</f>
        <v/>
      </c>
      <c r="H1419" t="str">
        <f>IF(ROW(H1419)&lt;=Bidding!$D$11,Raw_hydro_bm!I1419,"")</f>
        <v/>
      </c>
      <c r="I1419" s="16" t="str">
        <f t="shared" si="22"/>
        <v/>
      </c>
    </row>
    <row r="1420" spans="1:9" x14ac:dyDescent="0.2">
      <c r="A1420" t="str">
        <f>IF(ROW(A1420)&lt;=Bidding!$D$11,Raw_hydro_bm!B1420,"")</f>
        <v/>
      </c>
      <c r="B1420" t="str">
        <f>IF(ROW(B1420)&lt;=Bidding!$D$11,Raw_hydro_bm!C1420,"")</f>
        <v/>
      </c>
      <c r="C1420" t="str">
        <f>IF(ROW(C1420)&lt;=Bidding!$D$11,Raw_hydro_bm!D1420,"")</f>
        <v/>
      </c>
      <c r="D1420" t="str">
        <f>IF(ROW(D1420)&lt;=Bidding!$D$11,Raw_hydro_bm!E1420,"")</f>
        <v/>
      </c>
      <c r="E1420" t="str">
        <f>IF(ROW(E1420)&lt;=Bidding!$D$11,Raw_hydro_bm!F1420,"")</f>
        <v/>
      </c>
      <c r="F1420" t="str">
        <f>IF(ROW(F1420)&lt;=Bidding!$D$11,Raw_hydro_bm!G1420,"")</f>
        <v/>
      </c>
      <c r="G1420" t="str">
        <f>IF(ROW(G1420)&lt;=Bidding!$D$11,Raw_hydro_bm!H1420,"")</f>
        <v/>
      </c>
      <c r="H1420" t="str">
        <f>IF(ROW(H1420)&lt;=Bidding!$D$11,Raw_hydro_bm!I1420,"")</f>
        <v/>
      </c>
      <c r="I1420" s="16" t="str">
        <f t="shared" si="22"/>
        <v/>
      </c>
    </row>
    <row r="1421" spans="1:9" x14ac:dyDescent="0.2">
      <c r="A1421" t="str">
        <f>IF(ROW(A1421)&lt;=Bidding!$D$11,Raw_hydro_bm!B1421,"")</f>
        <v/>
      </c>
      <c r="B1421" t="str">
        <f>IF(ROW(B1421)&lt;=Bidding!$D$11,Raw_hydro_bm!C1421,"")</f>
        <v/>
      </c>
      <c r="C1421" t="str">
        <f>IF(ROW(C1421)&lt;=Bidding!$D$11,Raw_hydro_bm!D1421,"")</f>
        <v/>
      </c>
      <c r="D1421" t="str">
        <f>IF(ROW(D1421)&lt;=Bidding!$D$11,Raw_hydro_bm!E1421,"")</f>
        <v/>
      </c>
      <c r="E1421" t="str">
        <f>IF(ROW(E1421)&lt;=Bidding!$D$11,Raw_hydro_bm!F1421,"")</f>
        <v/>
      </c>
      <c r="F1421" t="str">
        <f>IF(ROW(F1421)&lt;=Bidding!$D$11,Raw_hydro_bm!G1421,"")</f>
        <v/>
      </c>
      <c r="G1421" t="str">
        <f>IF(ROW(G1421)&lt;=Bidding!$D$11,Raw_hydro_bm!H1421,"")</f>
        <v/>
      </c>
      <c r="H1421" t="str">
        <f>IF(ROW(H1421)&lt;=Bidding!$D$11,Raw_hydro_bm!I1421,"")</f>
        <v/>
      </c>
      <c r="I1421" s="16" t="str">
        <f t="shared" si="22"/>
        <v/>
      </c>
    </row>
    <row r="1422" spans="1:9" x14ac:dyDescent="0.2">
      <c r="A1422" t="str">
        <f>IF(ROW(A1422)&lt;=Bidding!$D$11,Raw_hydro_bm!B1422,"")</f>
        <v/>
      </c>
      <c r="B1422" t="str">
        <f>IF(ROW(B1422)&lt;=Bidding!$D$11,Raw_hydro_bm!C1422,"")</f>
        <v/>
      </c>
      <c r="C1422" t="str">
        <f>IF(ROW(C1422)&lt;=Bidding!$D$11,Raw_hydro_bm!D1422,"")</f>
        <v/>
      </c>
      <c r="D1422" t="str">
        <f>IF(ROW(D1422)&lt;=Bidding!$D$11,Raw_hydro_bm!E1422,"")</f>
        <v/>
      </c>
      <c r="E1422" t="str">
        <f>IF(ROW(E1422)&lt;=Bidding!$D$11,Raw_hydro_bm!F1422,"")</f>
        <v/>
      </c>
      <c r="F1422" t="str">
        <f>IF(ROW(F1422)&lt;=Bidding!$D$11,Raw_hydro_bm!G1422,"")</f>
        <v/>
      </c>
      <c r="G1422" t="str">
        <f>IF(ROW(G1422)&lt;=Bidding!$D$11,Raw_hydro_bm!H1422,"")</f>
        <v/>
      </c>
      <c r="H1422" t="str">
        <f>IF(ROW(H1422)&lt;=Bidding!$D$11,Raw_hydro_bm!I1422,"")</f>
        <v/>
      </c>
      <c r="I1422" s="16" t="str">
        <f t="shared" si="22"/>
        <v/>
      </c>
    </row>
    <row r="1423" spans="1:9" x14ac:dyDescent="0.2">
      <c r="A1423" t="str">
        <f>IF(ROW(A1423)&lt;=Bidding!$D$11,Raw_hydro_bm!B1423,"")</f>
        <v/>
      </c>
      <c r="B1423" t="str">
        <f>IF(ROW(B1423)&lt;=Bidding!$D$11,Raw_hydro_bm!C1423,"")</f>
        <v/>
      </c>
      <c r="C1423" t="str">
        <f>IF(ROW(C1423)&lt;=Bidding!$D$11,Raw_hydro_bm!D1423,"")</f>
        <v/>
      </c>
      <c r="D1423" t="str">
        <f>IF(ROW(D1423)&lt;=Bidding!$D$11,Raw_hydro_bm!E1423,"")</f>
        <v/>
      </c>
      <c r="E1423" t="str">
        <f>IF(ROW(E1423)&lt;=Bidding!$D$11,Raw_hydro_bm!F1423,"")</f>
        <v/>
      </c>
      <c r="F1423" t="str">
        <f>IF(ROW(F1423)&lt;=Bidding!$D$11,Raw_hydro_bm!G1423,"")</f>
        <v/>
      </c>
      <c r="G1423" t="str">
        <f>IF(ROW(G1423)&lt;=Bidding!$D$11,Raw_hydro_bm!H1423,"")</f>
        <v/>
      </c>
      <c r="H1423" t="str">
        <f>IF(ROW(H1423)&lt;=Bidding!$D$11,Raw_hydro_bm!I1423,"")</f>
        <v/>
      </c>
      <c r="I1423" s="16" t="str">
        <f t="shared" si="22"/>
        <v/>
      </c>
    </row>
    <row r="1424" spans="1:9" x14ac:dyDescent="0.2">
      <c r="A1424" t="str">
        <f>IF(ROW(A1424)&lt;=Bidding!$D$11,Raw_hydro_bm!B1424,"")</f>
        <v/>
      </c>
      <c r="B1424" t="str">
        <f>IF(ROW(B1424)&lt;=Bidding!$D$11,Raw_hydro_bm!C1424,"")</f>
        <v/>
      </c>
      <c r="C1424" t="str">
        <f>IF(ROW(C1424)&lt;=Bidding!$D$11,Raw_hydro_bm!D1424,"")</f>
        <v/>
      </c>
      <c r="D1424" t="str">
        <f>IF(ROW(D1424)&lt;=Bidding!$D$11,Raw_hydro_bm!E1424,"")</f>
        <v/>
      </c>
      <c r="E1424" t="str">
        <f>IF(ROW(E1424)&lt;=Bidding!$D$11,Raw_hydro_bm!F1424,"")</f>
        <v/>
      </c>
      <c r="F1424" t="str">
        <f>IF(ROW(F1424)&lt;=Bidding!$D$11,Raw_hydro_bm!G1424,"")</f>
        <v/>
      </c>
      <c r="G1424" t="str">
        <f>IF(ROW(G1424)&lt;=Bidding!$D$11,Raw_hydro_bm!H1424,"")</f>
        <v/>
      </c>
      <c r="H1424" t="str">
        <f>IF(ROW(H1424)&lt;=Bidding!$D$11,Raw_hydro_bm!I1424,"")</f>
        <v/>
      </c>
      <c r="I1424" s="16" t="str">
        <f t="shared" si="22"/>
        <v/>
      </c>
    </row>
    <row r="1425" spans="1:9" x14ac:dyDescent="0.2">
      <c r="A1425" t="str">
        <f>IF(ROW(A1425)&lt;=Bidding!$D$11,Raw_hydro_bm!B1425,"")</f>
        <v/>
      </c>
      <c r="B1425" t="str">
        <f>IF(ROW(B1425)&lt;=Bidding!$D$11,Raw_hydro_bm!C1425,"")</f>
        <v/>
      </c>
      <c r="C1425" t="str">
        <f>IF(ROW(C1425)&lt;=Bidding!$D$11,Raw_hydro_bm!D1425,"")</f>
        <v/>
      </c>
      <c r="D1425" t="str">
        <f>IF(ROW(D1425)&lt;=Bidding!$D$11,Raw_hydro_bm!E1425,"")</f>
        <v/>
      </c>
      <c r="E1425" t="str">
        <f>IF(ROW(E1425)&lt;=Bidding!$D$11,Raw_hydro_bm!F1425,"")</f>
        <v/>
      </c>
      <c r="F1425" t="str">
        <f>IF(ROW(F1425)&lt;=Bidding!$D$11,Raw_hydro_bm!G1425,"")</f>
        <v/>
      </c>
      <c r="G1425" t="str">
        <f>IF(ROW(G1425)&lt;=Bidding!$D$11,Raw_hydro_bm!H1425,"")</f>
        <v/>
      </c>
      <c r="H1425" t="str">
        <f>IF(ROW(H1425)&lt;=Bidding!$D$11,Raw_hydro_bm!I1425,"")</f>
        <v/>
      </c>
      <c r="I1425" s="16" t="str">
        <f t="shared" si="22"/>
        <v/>
      </c>
    </row>
    <row r="1426" spans="1:9" x14ac:dyDescent="0.2">
      <c r="A1426" t="str">
        <f>IF(ROW(A1426)&lt;=Bidding!$D$11,Raw_hydro_bm!B1426,"")</f>
        <v/>
      </c>
      <c r="B1426" t="str">
        <f>IF(ROW(B1426)&lt;=Bidding!$D$11,Raw_hydro_bm!C1426,"")</f>
        <v/>
      </c>
      <c r="C1426" t="str">
        <f>IF(ROW(C1426)&lt;=Bidding!$D$11,Raw_hydro_bm!D1426,"")</f>
        <v/>
      </c>
      <c r="D1426" t="str">
        <f>IF(ROW(D1426)&lt;=Bidding!$D$11,Raw_hydro_bm!E1426,"")</f>
        <v/>
      </c>
      <c r="E1426" t="str">
        <f>IF(ROW(E1426)&lt;=Bidding!$D$11,Raw_hydro_bm!F1426,"")</f>
        <v/>
      </c>
      <c r="F1426" t="str">
        <f>IF(ROW(F1426)&lt;=Bidding!$D$11,Raw_hydro_bm!G1426,"")</f>
        <v/>
      </c>
      <c r="G1426" t="str">
        <f>IF(ROW(G1426)&lt;=Bidding!$D$11,Raw_hydro_bm!H1426,"")</f>
        <v/>
      </c>
      <c r="H1426" t="str">
        <f>IF(ROW(H1426)&lt;=Bidding!$D$11,Raw_hydro_bm!I1426,"")</f>
        <v/>
      </c>
      <c r="I1426" s="16" t="str">
        <f t="shared" si="22"/>
        <v/>
      </c>
    </row>
    <row r="1427" spans="1:9" x14ac:dyDescent="0.2">
      <c r="A1427" t="str">
        <f>IF(ROW(A1427)&lt;=Bidding!$D$11,Raw_hydro_bm!B1427,"")</f>
        <v/>
      </c>
      <c r="B1427" t="str">
        <f>IF(ROW(B1427)&lt;=Bidding!$D$11,Raw_hydro_bm!C1427,"")</f>
        <v/>
      </c>
      <c r="C1427" t="str">
        <f>IF(ROW(C1427)&lt;=Bidding!$D$11,Raw_hydro_bm!D1427,"")</f>
        <v/>
      </c>
      <c r="D1427" t="str">
        <f>IF(ROW(D1427)&lt;=Bidding!$D$11,Raw_hydro_bm!E1427,"")</f>
        <v/>
      </c>
      <c r="E1427" t="str">
        <f>IF(ROW(E1427)&lt;=Bidding!$D$11,Raw_hydro_bm!F1427,"")</f>
        <v/>
      </c>
      <c r="F1427" t="str">
        <f>IF(ROW(F1427)&lt;=Bidding!$D$11,Raw_hydro_bm!G1427,"")</f>
        <v/>
      </c>
      <c r="G1427" t="str">
        <f>IF(ROW(G1427)&lt;=Bidding!$D$11,Raw_hydro_bm!H1427,"")</f>
        <v/>
      </c>
      <c r="H1427" t="str">
        <f>IF(ROW(H1427)&lt;=Bidding!$D$11,Raw_hydro_bm!I1427,"")</f>
        <v/>
      </c>
      <c r="I1427" s="16" t="str">
        <f t="shared" si="22"/>
        <v/>
      </c>
    </row>
    <row r="1428" spans="1:9" x14ac:dyDescent="0.2">
      <c r="A1428" t="str">
        <f>IF(ROW(A1428)&lt;=Bidding!$D$11,Raw_hydro_bm!B1428,"")</f>
        <v/>
      </c>
      <c r="B1428" t="str">
        <f>IF(ROW(B1428)&lt;=Bidding!$D$11,Raw_hydro_bm!C1428,"")</f>
        <v/>
      </c>
      <c r="C1428" t="str">
        <f>IF(ROW(C1428)&lt;=Bidding!$D$11,Raw_hydro_bm!D1428,"")</f>
        <v/>
      </c>
      <c r="D1428" t="str">
        <f>IF(ROW(D1428)&lt;=Bidding!$D$11,Raw_hydro_bm!E1428,"")</f>
        <v/>
      </c>
      <c r="E1428" t="str">
        <f>IF(ROW(E1428)&lt;=Bidding!$D$11,Raw_hydro_bm!F1428,"")</f>
        <v/>
      </c>
      <c r="F1428" t="str">
        <f>IF(ROW(F1428)&lt;=Bidding!$D$11,Raw_hydro_bm!G1428,"")</f>
        <v/>
      </c>
      <c r="G1428" t="str">
        <f>IF(ROW(G1428)&lt;=Bidding!$D$11,Raw_hydro_bm!H1428,"")</f>
        <v/>
      </c>
      <c r="H1428" t="str">
        <f>IF(ROW(H1428)&lt;=Bidding!$D$11,Raw_hydro_bm!I1428,"")</f>
        <v/>
      </c>
      <c r="I1428" s="16" t="str">
        <f t="shared" si="22"/>
        <v/>
      </c>
    </row>
    <row r="1429" spans="1:9" x14ac:dyDescent="0.2">
      <c r="A1429" t="str">
        <f>IF(ROW(A1429)&lt;=Bidding!$D$11,Raw_hydro_bm!B1429,"")</f>
        <v/>
      </c>
      <c r="B1429" t="str">
        <f>IF(ROW(B1429)&lt;=Bidding!$D$11,Raw_hydro_bm!C1429,"")</f>
        <v/>
      </c>
      <c r="C1429" t="str">
        <f>IF(ROW(C1429)&lt;=Bidding!$D$11,Raw_hydro_bm!D1429,"")</f>
        <v/>
      </c>
      <c r="D1429" t="str">
        <f>IF(ROW(D1429)&lt;=Bidding!$D$11,Raw_hydro_bm!E1429,"")</f>
        <v/>
      </c>
      <c r="E1429" t="str">
        <f>IF(ROW(E1429)&lt;=Bidding!$D$11,Raw_hydro_bm!F1429,"")</f>
        <v/>
      </c>
      <c r="F1429" t="str">
        <f>IF(ROW(F1429)&lt;=Bidding!$D$11,Raw_hydro_bm!G1429,"")</f>
        <v/>
      </c>
      <c r="G1429" t="str">
        <f>IF(ROW(G1429)&lt;=Bidding!$D$11,Raw_hydro_bm!H1429,"")</f>
        <v/>
      </c>
      <c r="H1429" t="str">
        <f>IF(ROW(H1429)&lt;=Bidding!$D$11,Raw_hydro_bm!I1429,"")</f>
        <v/>
      </c>
      <c r="I1429" s="16" t="str">
        <f t="shared" si="22"/>
        <v/>
      </c>
    </row>
    <row r="1430" spans="1:9" x14ac:dyDescent="0.2">
      <c r="A1430" t="str">
        <f>IF(ROW(A1430)&lt;=Bidding!$D$11,Raw_hydro_bm!B1430,"")</f>
        <v/>
      </c>
      <c r="B1430" t="str">
        <f>IF(ROW(B1430)&lt;=Bidding!$D$11,Raw_hydro_bm!C1430,"")</f>
        <v/>
      </c>
      <c r="C1430" t="str">
        <f>IF(ROW(C1430)&lt;=Bidding!$D$11,Raw_hydro_bm!D1430,"")</f>
        <v/>
      </c>
      <c r="D1430" t="str">
        <f>IF(ROW(D1430)&lt;=Bidding!$D$11,Raw_hydro_bm!E1430,"")</f>
        <v/>
      </c>
      <c r="E1430" t="str">
        <f>IF(ROW(E1430)&lt;=Bidding!$D$11,Raw_hydro_bm!F1430,"")</f>
        <v/>
      </c>
      <c r="F1430" t="str">
        <f>IF(ROW(F1430)&lt;=Bidding!$D$11,Raw_hydro_bm!G1430,"")</f>
        <v/>
      </c>
      <c r="G1430" t="str">
        <f>IF(ROW(G1430)&lt;=Bidding!$D$11,Raw_hydro_bm!H1430,"")</f>
        <v/>
      </c>
      <c r="H1430" t="str">
        <f>IF(ROW(H1430)&lt;=Bidding!$D$11,Raw_hydro_bm!I1430,"")</f>
        <v/>
      </c>
      <c r="I1430" s="16" t="str">
        <f t="shared" si="22"/>
        <v/>
      </c>
    </row>
    <row r="1431" spans="1:9" x14ac:dyDescent="0.2">
      <c r="A1431" t="str">
        <f>IF(ROW(A1431)&lt;=Bidding!$D$11,Raw_hydro_bm!B1431,"")</f>
        <v/>
      </c>
      <c r="B1431" t="str">
        <f>IF(ROW(B1431)&lt;=Bidding!$D$11,Raw_hydro_bm!C1431,"")</f>
        <v/>
      </c>
      <c r="C1431" t="str">
        <f>IF(ROW(C1431)&lt;=Bidding!$D$11,Raw_hydro_bm!D1431,"")</f>
        <v/>
      </c>
      <c r="D1431" t="str">
        <f>IF(ROW(D1431)&lt;=Bidding!$D$11,Raw_hydro_bm!E1431,"")</f>
        <v/>
      </c>
      <c r="E1431" t="str">
        <f>IF(ROW(E1431)&lt;=Bidding!$D$11,Raw_hydro_bm!F1431,"")</f>
        <v/>
      </c>
      <c r="F1431" t="str">
        <f>IF(ROW(F1431)&lt;=Bidding!$D$11,Raw_hydro_bm!G1431,"")</f>
        <v/>
      </c>
      <c r="G1431" t="str">
        <f>IF(ROW(G1431)&lt;=Bidding!$D$11,Raw_hydro_bm!H1431,"")</f>
        <v/>
      </c>
      <c r="H1431" t="str">
        <f>IF(ROW(H1431)&lt;=Bidding!$D$11,Raw_hydro_bm!I1431,"")</f>
        <v/>
      </c>
      <c r="I1431" s="16" t="str">
        <f t="shared" si="22"/>
        <v/>
      </c>
    </row>
    <row r="1432" spans="1:9" x14ac:dyDescent="0.2">
      <c r="A1432" t="str">
        <f>IF(ROW(A1432)&lt;=Bidding!$D$11,Raw_hydro_bm!B1432,"")</f>
        <v/>
      </c>
      <c r="B1432" t="str">
        <f>IF(ROW(B1432)&lt;=Bidding!$D$11,Raw_hydro_bm!C1432,"")</f>
        <v/>
      </c>
      <c r="C1432" t="str">
        <f>IF(ROW(C1432)&lt;=Bidding!$D$11,Raw_hydro_bm!D1432,"")</f>
        <v/>
      </c>
      <c r="D1432" t="str">
        <f>IF(ROW(D1432)&lt;=Bidding!$D$11,Raw_hydro_bm!E1432,"")</f>
        <v/>
      </c>
      <c r="E1432" t="str">
        <f>IF(ROW(E1432)&lt;=Bidding!$D$11,Raw_hydro_bm!F1432,"")</f>
        <v/>
      </c>
      <c r="F1432" t="str">
        <f>IF(ROW(F1432)&lt;=Bidding!$D$11,Raw_hydro_bm!G1432,"")</f>
        <v/>
      </c>
      <c r="G1432" t="str">
        <f>IF(ROW(G1432)&lt;=Bidding!$D$11,Raw_hydro_bm!H1432,"")</f>
        <v/>
      </c>
      <c r="H1432" t="str">
        <f>IF(ROW(H1432)&lt;=Bidding!$D$11,Raw_hydro_bm!I1432,"")</f>
        <v/>
      </c>
      <c r="I1432" s="16" t="str">
        <f t="shared" si="22"/>
        <v/>
      </c>
    </row>
    <row r="1433" spans="1:9" x14ac:dyDescent="0.2">
      <c r="A1433" t="str">
        <f>IF(ROW(A1433)&lt;=Bidding!$D$11,Raw_hydro_bm!B1433,"")</f>
        <v/>
      </c>
      <c r="B1433" t="str">
        <f>IF(ROW(B1433)&lt;=Bidding!$D$11,Raw_hydro_bm!C1433,"")</f>
        <v/>
      </c>
      <c r="C1433" t="str">
        <f>IF(ROW(C1433)&lt;=Bidding!$D$11,Raw_hydro_bm!D1433,"")</f>
        <v/>
      </c>
      <c r="D1433" t="str">
        <f>IF(ROW(D1433)&lt;=Bidding!$D$11,Raw_hydro_bm!E1433,"")</f>
        <v/>
      </c>
      <c r="E1433" t="str">
        <f>IF(ROW(E1433)&lt;=Bidding!$D$11,Raw_hydro_bm!F1433,"")</f>
        <v/>
      </c>
      <c r="F1433" t="str">
        <f>IF(ROW(F1433)&lt;=Bidding!$D$11,Raw_hydro_bm!G1433,"")</f>
        <v/>
      </c>
      <c r="G1433" t="str">
        <f>IF(ROW(G1433)&lt;=Bidding!$D$11,Raw_hydro_bm!H1433,"")</f>
        <v/>
      </c>
      <c r="H1433" t="str">
        <f>IF(ROW(H1433)&lt;=Bidding!$D$11,Raw_hydro_bm!I1433,"")</f>
        <v/>
      </c>
      <c r="I1433" s="16" t="str">
        <f t="shared" si="22"/>
        <v/>
      </c>
    </row>
    <row r="1434" spans="1:9" x14ac:dyDescent="0.2">
      <c r="A1434" t="str">
        <f>IF(ROW(A1434)&lt;=Bidding!$D$11,Raw_hydro_bm!B1434,"")</f>
        <v/>
      </c>
      <c r="B1434" t="str">
        <f>IF(ROW(B1434)&lt;=Bidding!$D$11,Raw_hydro_bm!C1434,"")</f>
        <v/>
      </c>
      <c r="C1434" t="str">
        <f>IF(ROW(C1434)&lt;=Bidding!$D$11,Raw_hydro_bm!D1434,"")</f>
        <v/>
      </c>
      <c r="D1434" t="str">
        <f>IF(ROW(D1434)&lt;=Bidding!$D$11,Raw_hydro_bm!E1434,"")</f>
        <v/>
      </c>
      <c r="E1434" t="str">
        <f>IF(ROW(E1434)&lt;=Bidding!$D$11,Raw_hydro_bm!F1434,"")</f>
        <v/>
      </c>
      <c r="F1434" t="str">
        <f>IF(ROW(F1434)&lt;=Bidding!$D$11,Raw_hydro_bm!G1434,"")</f>
        <v/>
      </c>
      <c r="G1434" t="str">
        <f>IF(ROW(G1434)&lt;=Bidding!$D$11,Raw_hydro_bm!H1434,"")</f>
        <v/>
      </c>
      <c r="H1434" t="str">
        <f>IF(ROW(H1434)&lt;=Bidding!$D$11,Raw_hydro_bm!I1434,"")</f>
        <v/>
      </c>
      <c r="I1434" s="16" t="str">
        <f t="shared" si="22"/>
        <v/>
      </c>
    </row>
    <row r="1435" spans="1:9" x14ac:dyDescent="0.2">
      <c r="A1435" t="str">
        <f>IF(ROW(A1435)&lt;=Bidding!$D$11,Raw_hydro_bm!B1435,"")</f>
        <v/>
      </c>
      <c r="B1435" t="str">
        <f>IF(ROW(B1435)&lt;=Bidding!$D$11,Raw_hydro_bm!C1435,"")</f>
        <v/>
      </c>
      <c r="C1435" t="str">
        <f>IF(ROW(C1435)&lt;=Bidding!$D$11,Raw_hydro_bm!D1435,"")</f>
        <v/>
      </c>
      <c r="D1435" t="str">
        <f>IF(ROW(D1435)&lt;=Bidding!$D$11,Raw_hydro_bm!E1435,"")</f>
        <v/>
      </c>
      <c r="E1435" t="str">
        <f>IF(ROW(E1435)&lt;=Bidding!$D$11,Raw_hydro_bm!F1435,"")</f>
        <v/>
      </c>
      <c r="F1435" t="str">
        <f>IF(ROW(F1435)&lt;=Bidding!$D$11,Raw_hydro_bm!G1435,"")</f>
        <v/>
      </c>
      <c r="G1435" t="str">
        <f>IF(ROW(G1435)&lt;=Bidding!$D$11,Raw_hydro_bm!H1435,"")</f>
        <v/>
      </c>
      <c r="H1435" t="str">
        <f>IF(ROW(H1435)&lt;=Bidding!$D$11,Raw_hydro_bm!I1435,"")</f>
        <v/>
      </c>
      <c r="I1435" s="16" t="str">
        <f t="shared" si="22"/>
        <v/>
      </c>
    </row>
    <row r="1436" spans="1:9" x14ac:dyDescent="0.2">
      <c r="A1436" t="str">
        <f>IF(ROW(A1436)&lt;=Bidding!$D$11,Raw_hydro_bm!B1436,"")</f>
        <v/>
      </c>
      <c r="B1436" t="str">
        <f>IF(ROW(B1436)&lt;=Bidding!$D$11,Raw_hydro_bm!C1436,"")</f>
        <v/>
      </c>
      <c r="C1436" t="str">
        <f>IF(ROW(C1436)&lt;=Bidding!$D$11,Raw_hydro_bm!D1436,"")</f>
        <v/>
      </c>
      <c r="D1436" t="str">
        <f>IF(ROW(D1436)&lt;=Bidding!$D$11,Raw_hydro_bm!E1436,"")</f>
        <v/>
      </c>
      <c r="E1436" t="str">
        <f>IF(ROW(E1436)&lt;=Bidding!$D$11,Raw_hydro_bm!F1436,"")</f>
        <v/>
      </c>
      <c r="F1436" t="str">
        <f>IF(ROW(F1436)&lt;=Bidding!$D$11,Raw_hydro_bm!G1436,"")</f>
        <v/>
      </c>
      <c r="G1436" t="str">
        <f>IF(ROW(G1436)&lt;=Bidding!$D$11,Raw_hydro_bm!H1436,"")</f>
        <v/>
      </c>
      <c r="H1436" t="str">
        <f>IF(ROW(H1436)&lt;=Bidding!$D$11,Raw_hydro_bm!I1436,"")</f>
        <v/>
      </c>
      <c r="I1436" s="16" t="str">
        <f t="shared" si="22"/>
        <v/>
      </c>
    </row>
    <row r="1437" spans="1:9" x14ac:dyDescent="0.2">
      <c r="A1437" t="str">
        <f>IF(ROW(A1437)&lt;=Bidding!$D$11,Raw_hydro_bm!B1437,"")</f>
        <v/>
      </c>
      <c r="B1437" t="str">
        <f>IF(ROW(B1437)&lt;=Bidding!$D$11,Raw_hydro_bm!C1437,"")</f>
        <v/>
      </c>
      <c r="C1437" t="str">
        <f>IF(ROW(C1437)&lt;=Bidding!$D$11,Raw_hydro_bm!D1437,"")</f>
        <v/>
      </c>
      <c r="D1437" t="str">
        <f>IF(ROW(D1437)&lt;=Bidding!$D$11,Raw_hydro_bm!E1437,"")</f>
        <v/>
      </c>
      <c r="E1437" t="str">
        <f>IF(ROW(E1437)&lt;=Bidding!$D$11,Raw_hydro_bm!F1437,"")</f>
        <v/>
      </c>
      <c r="F1437" t="str">
        <f>IF(ROW(F1437)&lt;=Bidding!$D$11,Raw_hydro_bm!G1437,"")</f>
        <v/>
      </c>
      <c r="G1437" t="str">
        <f>IF(ROW(G1437)&lt;=Bidding!$D$11,Raw_hydro_bm!H1437,"")</f>
        <v/>
      </c>
      <c r="H1437" t="str">
        <f>IF(ROW(H1437)&lt;=Bidding!$D$11,Raw_hydro_bm!I1437,"")</f>
        <v/>
      </c>
      <c r="I1437" s="16" t="str">
        <f t="shared" si="22"/>
        <v/>
      </c>
    </row>
    <row r="1438" spans="1:9" x14ac:dyDescent="0.2">
      <c r="A1438" t="str">
        <f>IF(ROW(A1438)&lt;=Bidding!$D$11,Raw_hydro_bm!B1438,"")</f>
        <v/>
      </c>
      <c r="B1438" t="str">
        <f>IF(ROW(B1438)&lt;=Bidding!$D$11,Raw_hydro_bm!C1438,"")</f>
        <v/>
      </c>
      <c r="C1438" t="str">
        <f>IF(ROW(C1438)&lt;=Bidding!$D$11,Raw_hydro_bm!D1438,"")</f>
        <v/>
      </c>
      <c r="D1438" t="str">
        <f>IF(ROW(D1438)&lt;=Bidding!$D$11,Raw_hydro_bm!E1438,"")</f>
        <v/>
      </c>
      <c r="E1438" t="str">
        <f>IF(ROW(E1438)&lt;=Bidding!$D$11,Raw_hydro_bm!F1438,"")</f>
        <v/>
      </c>
      <c r="F1438" t="str">
        <f>IF(ROW(F1438)&lt;=Bidding!$D$11,Raw_hydro_bm!G1438,"")</f>
        <v/>
      </c>
      <c r="G1438" t="str">
        <f>IF(ROW(G1438)&lt;=Bidding!$D$11,Raw_hydro_bm!H1438,"")</f>
        <v/>
      </c>
      <c r="H1438" t="str">
        <f>IF(ROW(H1438)&lt;=Bidding!$D$11,Raw_hydro_bm!I1438,"")</f>
        <v/>
      </c>
      <c r="I1438" s="16" t="str">
        <f t="shared" si="22"/>
        <v/>
      </c>
    </row>
    <row r="1439" spans="1:9" x14ac:dyDescent="0.2">
      <c r="A1439" t="str">
        <f>IF(ROW(A1439)&lt;=Bidding!$D$11,Raw_hydro_bm!B1439,"")</f>
        <v/>
      </c>
      <c r="B1439" t="str">
        <f>IF(ROW(B1439)&lt;=Bidding!$D$11,Raw_hydro_bm!C1439,"")</f>
        <v/>
      </c>
      <c r="C1439" t="str">
        <f>IF(ROW(C1439)&lt;=Bidding!$D$11,Raw_hydro_bm!D1439,"")</f>
        <v/>
      </c>
      <c r="D1439" t="str">
        <f>IF(ROW(D1439)&lt;=Bidding!$D$11,Raw_hydro_bm!E1439,"")</f>
        <v/>
      </c>
      <c r="E1439" t="str">
        <f>IF(ROW(E1439)&lt;=Bidding!$D$11,Raw_hydro_bm!F1439,"")</f>
        <v/>
      </c>
      <c r="F1439" t="str">
        <f>IF(ROW(F1439)&lt;=Bidding!$D$11,Raw_hydro_bm!G1439,"")</f>
        <v/>
      </c>
      <c r="G1439" t="str">
        <f>IF(ROW(G1439)&lt;=Bidding!$D$11,Raw_hydro_bm!H1439,"")</f>
        <v/>
      </c>
      <c r="H1439" t="str">
        <f>IF(ROW(H1439)&lt;=Bidding!$D$11,Raw_hydro_bm!I1439,"")</f>
        <v/>
      </c>
      <c r="I1439" s="16" t="str">
        <f t="shared" si="22"/>
        <v/>
      </c>
    </row>
    <row r="1440" spans="1:9" x14ac:dyDescent="0.2">
      <c r="A1440" t="str">
        <f>IF(ROW(A1440)&lt;=Bidding!$D$11,Raw_hydro_bm!B1440,"")</f>
        <v/>
      </c>
      <c r="B1440" t="str">
        <f>IF(ROW(B1440)&lt;=Bidding!$D$11,Raw_hydro_bm!C1440,"")</f>
        <v/>
      </c>
      <c r="C1440" t="str">
        <f>IF(ROW(C1440)&lt;=Bidding!$D$11,Raw_hydro_bm!D1440,"")</f>
        <v/>
      </c>
      <c r="D1440" t="str">
        <f>IF(ROW(D1440)&lt;=Bidding!$D$11,Raw_hydro_bm!E1440,"")</f>
        <v/>
      </c>
      <c r="E1440" t="str">
        <f>IF(ROW(E1440)&lt;=Bidding!$D$11,Raw_hydro_bm!F1440,"")</f>
        <v/>
      </c>
      <c r="F1440" t="str">
        <f>IF(ROW(F1440)&lt;=Bidding!$D$11,Raw_hydro_bm!G1440,"")</f>
        <v/>
      </c>
      <c r="G1440" t="str">
        <f>IF(ROW(G1440)&lt;=Bidding!$D$11,Raw_hydro_bm!H1440,"")</f>
        <v/>
      </c>
      <c r="H1440" t="str">
        <f>IF(ROW(H1440)&lt;=Bidding!$D$11,Raw_hydro_bm!I1440,"")</f>
        <v/>
      </c>
      <c r="I1440" s="16" t="str">
        <f t="shared" si="22"/>
        <v/>
      </c>
    </row>
    <row r="1441" spans="1:9" x14ac:dyDescent="0.2">
      <c r="A1441" t="str">
        <f>IF(ROW(A1441)&lt;=Bidding!$D$11,Raw_hydro_bm!B1441,"")</f>
        <v/>
      </c>
      <c r="B1441" t="str">
        <f>IF(ROW(B1441)&lt;=Bidding!$D$11,Raw_hydro_bm!C1441,"")</f>
        <v/>
      </c>
      <c r="C1441" t="str">
        <f>IF(ROW(C1441)&lt;=Bidding!$D$11,Raw_hydro_bm!D1441,"")</f>
        <v/>
      </c>
      <c r="D1441" t="str">
        <f>IF(ROW(D1441)&lt;=Bidding!$D$11,Raw_hydro_bm!E1441,"")</f>
        <v/>
      </c>
      <c r="E1441" t="str">
        <f>IF(ROW(E1441)&lt;=Bidding!$D$11,Raw_hydro_bm!F1441,"")</f>
        <v/>
      </c>
      <c r="F1441" t="str">
        <f>IF(ROW(F1441)&lt;=Bidding!$D$11,Raw_hydro_bm!G1441,"")</f>
        <v/>
      </c>
      <c r="G1441" t="str">
        <f>IF(ROW(G1441)&lt;=Bidding!$D$11,Raw_hydro_bm!H1441,"")</f>
        <v/>
      </c>
      <c r="H1441" t="str">
        <f>IF(ROW(H1441)&lt;=Bidding!$D$11,Raw_hydro_bm!I1441,"")</f>
        <v/>
      </c>
      <c r="I1441" s="16" t="str">
        <f t="shared" si="22"/>
        <v/>
      </c>
    </row>
    <row r="1442" spans="1:9" x14ac:dyDescent="0.2">
      <c r="A1442" t="str">
        <f>IF(ROW(A1442)&lt;=Bidding!$D$11,Raw_hydro_bm!B1442,"")</f>
        <v/>
      </c>
      <c r="B1442" t="str">
        <f>IF(ROW(B1442)&lt;=Bidding!$D$11,Raw_hydro_bm!C1442,"")</f>
        <v/>
      </c>
      <c r="C1442" t="str">
        <f>IF(ROW(C1442)&lt;=Bidding!$D$11,Raw_hydro_bm!D1442,"")</f>
        <v/>
      </c>
      <c r="D1442" t="str">
        <f>IF(ROW(D1442)&lt;=Bidding!$D$11,Raw_hydro_bm!E1442,"")</f>
        <v/>
      </c>
      <c r="E1442" t="str">
        <f>IF(ROW(E1442)&lt;=Bidding!$D$11,Raw_hydro_bm!F1442,"")</f>
        <v/>
      </c>
      <c r="F1442" t="str">
        <f>IF(ROW(F1442)&lt;=Bidding!$D$11,Raw_hydro_bm!G1442,"")</f>
        <v/>
      </c>
      <c r="G1442" t="str">
        <f>IF(ROW(G1442)&lt;=Bidding!$D$11,Raw_hydro_bm!H1442,"")</f>
        <v/>
      </c>
      <c r="H1442" t="str">
        <f>IF(ROW(H1442)&lt;=Bidding!$D$11,Raw_hydro_bm!I1442,"")</f>
        <v/>
      </c>
      <c r="I1442" s="16" t="str">
        <f t="shared" si="22"/>
        <v/>
      </c>
    </row>
    <row r="1443" spans="1:9" x14ac:dyDescent="0.2">
      <c r="A1443" t="str">
        <f>IF(ROW(A1443)&lt;=Bidding!$D$11,Raw_hydro_bm!B1443,"")</f>
        <v/>
      </c>
      <c r="B1443" t="str">
        <f>IF(ROW(B1443)&lt;=Bidding!$D$11,Raw_hydro_bm!C1443,"")</f>
        <v/>
      </c>
      <c r="C1443" t="str">
        <f>IF(ROW(C1443)&lt;=Bidding!$D$11,Raw_hydro_bm!D1443,"")</f>
        <v/>
      </c>
      <c r="D1443" t="str">
        <f>IF(ROW(D1443)&lt;=Bidding!$D$11,Raw_hydro_bm!E1443,"")</f>
        <v/>
      </c>
      <c r="E1443" t="str">
        <f>IF(ROW(E1443)&lt;=Bidding!$D$11,Raw_hydro_bm!F1443,"")</f>
        <v/>
      </c>
      <c r="F1443" t="str">
        <f>IF(ROW(F1443)&lt;=Bidding!$D$11,Raw_hydro_bm!G1443,"")</f>
        <v/>
      </c>
      <c r="G1443" t="str">
        <f>IF(ROW(G1443)&lt;=Bidding!$D$11,Raw_hydro_bm!H1443,"")</f>
        <v/>
      </c>
      <c r="H1443" t="str">
        <f>IF(ROW(H1443)&lt;=Bidding!$D$11,Raw_hydro_bm!I1443,"")</f>
        <v/>
      </c>
      <c r="I1443" s="16" t="str">
        <f t="shared" si="22"/>
        <v/>
      </c>
    </row>
    <row r="1444" spans="1:9" x14ac:dyDescent="0.2">
      <c r="A1444" t="str">
        <f>IF(ROW(A1444)&lt;=Bidding!$D$11,Raw_hydro_bm!B1444,"")</f>
        <v/>
      </c>
      <c r="B1444" t="str">
        <f>IF(ROW(B1444)&lt;=Bidding!$D$11,Raw_hydro_bm!C1444,"")</f>
        <v/>
      </c>
      <c r="C1444" t="str">
        <f>IF(ROW(C1444)&lt;=Bidding!$D$11,Raw_hydro_bm!D1444,"")</f>
        <v/>
      </c>
      <c r="D1444" t="str">
        <f>IF(ROW(D1444)&lt;=Bidding!$D$11,Raw_hydro_bm!E1444,"")</f>
        <v/>
      </c>
      <c r="E1444" t="str">
        <f>IF(ROW(E1444)&lt;=Bidding!$D$11,Raw_hydro_bm!F1444,"")</f>
        <v/>
      </c>
      <c r="F1444" t="str">
        <f>IF(ROW(F1444)&lt;=Bidding!$D$11,Raw_hydro_bm!G1444,"")</f>
        <v/>
      </c>
      <c r="G1444" t="str">
        <f>IF(ROW(G1444)&lt;=Bidding!$D$11,Raw_hydro_bm!H1444,"")</f>
        <v/>
      </c>
      <c r="H1444" t="str">
        <f>IF(ROW(H1444)&lt;=Bidding!$D$11,Raw_hydro_bm!I1444,"")</f>
        <v/>
      </c>
      <c r="I1444" s="16" t="str">
        <f t="shared" si="22"/>
        <v/>
      </c>
    </row>
    <row r="1445" spans="1:9" x14ac:dyDescent="0.2">
      <c r="A1445" t="str">
        <f>IF(ROW(A1445)&lt;=Bidding!$D$11,Raw_hydro_bm!B1445,"")</f>
        <v/>
      </c>
      <c r="B1445" t="str">
        <f>IF(ROW(B1445)&lt;=Bidding!$D$11,Raw_hydro_bm!C1445,"")</f>
        <v/>
      </c>
      <c r="C1445" t="str">
        <f>IF(ROW(C1445)&lt;=Bidding!$D$11,Raw_hydro_bm!D1445,"")</f>
        <v/>
      </c>
      <c r="D1445" t="str">
        <f>IF(ROW(D1445)&lt;=Bidding!$D$11,Raw_hydro_bm!E1445,"")</f>
        <v/>
      </c>
      <c r="E1445" t="str">
        <f>IF(ROW(E1445)&lt;=Bidding!$D$11,Raw_hydro_bm!F1445,"")</f>
        <v/>
      </c>
      <c r="F1445" t="str">
        <f>IF(ROW(F1445)&lt;=Bidding!$D$11,Raw_hydro_bm!G1445,"")</f>
        <v/>
      </c>
      <c r="G1445" t="str">
        <f>IF(ROW(G1445)&lt;=Bidding!$D$11,Raw_hydro_bm!H1445,"")</f>
        <v/>
      </c>
      <c r="H1445" t="str">
        <f>IF(ROW(H1445)&lt;=Bidding!$D$11,Raw_hydro_bm!I1445,"")</f>
        <v/>
      </c>
      <c r="I1445" s="16" t="str">
        <f t="shared" si="22"/>
        <v/>
      </c>
    </row>
    <row r="1446" spans="1:9" x14ac:dyDescent="0.2">
      <c r="A1446" t="str">
        <f>IF(ROW(A1446)&lt;=Bidding!$D$11,Raw_hydro_bm!B1446,"")</f>
        <v/>
      </c>
      <c r="B1446" t="str">
        <f>IF(ROW(B1446)&lt;=Bidding!$D$11,Raw_hydro_bm!C1446,"")</f>
        <v/>
      </c>
      <c r="C1446" t="str">
        <f>IF(ROW(C1446)&lt;=Bidding!$D$11,Raw_hydro_bm!D1446,"")</f>
        <v/>
      </c>
      <c r="D1446" t="str">
        <f>IF(ROW(D1446)&lt;=Bidding!$D$11,Raw_hydro_bm!E1446,"")</f>
        <v/>
      </c>
      <c r="E1446" t="str">
        <f>IF(ROW(E1446)&lt;=Bidding!$D$11,Raw_hydro_bm!F1446,"")</f>
        <v/>
      </c>
      <c r="F1446" t="str">
        <f>IF(ROW(F1446)&lt;=Bidding!$D$11,Raw_hydro_bm!G1446,"")</f>
        <v/>
      </c>
      <c r="G1446" t="str">
        <f>IF(ROW(G1446)&lt;=Bidding!$D$11,Raw_hydro_bm!H1446,"")</f>
        <v/>
      </c>
      <c r="H1446" t="str">
        <f>IF(ROW(H1446)&lt;=Bidding!$D$11,Raw_hydro_bm!I1446,"")</f>
        <v/>
      </c>
      <c r="I1446" s="16" t="str">
        <f t="shared" si="22"/>
        <v/>
      </c>
    </row>
    <row r="1447" spans="1:9" x14ac:dyDescent="0.2">
      <c r="A1447" t="str">
        <f>IF(ROW(A1447)&lt;=Bidding!$D$11,Raw_hydro_bm!B1447,"")</f>
        <v/>
      </c>
      <c r="B1447" t="str">
        <f>IF(ROW(B1447)&lt;=Bidding!$D$11,Raw_hydro_bm!C1447,"")</f>
        <v/>
      </c>
      <c r="C1447" t="str">
        <f>IF(ROW(C1447)&lt;=Bidding!$D$11,Raw_hydro_bm!D1447,"")</f>
        <v/>
      </c>
      <c r="D1447" t="str">
        <f>IF(ROW(D1447)&lt;=Bidding!$D$11,Raw_hydro_bm!E1447,"")</f>
        <v/>
      </c>
      <c r="E1447" t="str">
        <f>IF(ROW(E1447)&lt;=Bidding!$D$11,Raw_hydro_bm!F1447,"")</f>
        <v/>
      </c>
      <c r="F1447" t="str">
        <f>IF(ROW(F1447)&lt;=Bidding!$D$11,Raw_hydro_bm!G1447,"")</f>
        <v/>
      </c>
      <c r="G1447" t="str">
        <f>IF(ROW(G1447)&lt;=Bidding!$D$11,Raw_hydro_bm!H1447,"")</f>
        <v/>
      </c>
      <c r="H1447" t="str">
        <f>IF(ROW(H1447)&lt;=Bidding!$D$11,Raw_hydro_bm!I1447,"")</f>
        <v/>
      </c>
      <c r="I1447" s="16" t="str">
        <f t="shared" si="22"/>
        <v/>
      </c>
    </row>
    <row r="1448" spans="1:9" x14ac:dyDescent="0.2">
      <c r="A1448" t="str">
        <f>IF(ROW(A1448)&lt;=Bidding!$D$11,Raw_hydro_bm!B1448,"")</f>
        <v/>
      </c>
      <c r="B1448" t="str">
        <f>IF(ROW(B1448)&lt;=Bidding!$D$11,Raw_hydro_bm!C1448,"")</f>
        <v/>
      </c>
      <c r="C1448" t="str">
        <f>IF(ROW(C1448)&lt;=Bidding!$D$11,Raw_hydro_bm!D1448,"")</f>
        <v/>
      </c>
      <c r="D1448" t="str">
        <f>IF(ROW(D1448)&lt;=Bidding!$D$11,Raw_hydro_bm!E1448,"")</f>
        <v/>
      </c>
      <c r="E1448" t="str">
        <f>IF(ROW(E1448)&lt;=Bidding!$D$11,Raw_hydro_bm!F1448,"")</f>
        <v/>
      </c>
      <c r="F1448" t="str">
        <f>IF(ROW(F1448)&lt;=Bidding!$D$11,Raw_hydro_bm!G1448,"")</f>
        <v/>
      </c>
      <c r="G1448" t="str">
        <f>IF(ROW(G1448)&lt;=Bidding!$D$11,Raw_hydro_bm!H1448,"")</f>
        <v/>
      </c>
      <c r="H1448" t="str">
        <f>IF(ROW(H1448)&lt;=Bidding!$D$11,Raw_hydro_bm!I1448,"")</f>
        <v/>
      </c>
      <c r="I1448" s="16" t="str">
        <f t="shared" si="22"/>
        <v/>
      </c>
    </row>
    <row r="1449" spans="1:9" x14ac:dyDescent="0.2">
      <c r="A1449" t="str">
        <f>IF(ROW(A1449)&lt;=Bidding!$D$11,Raw_hydro_bm!B1449,"")</f>
        <v/>
      </c>
      <c r="B1449" t="str">
        <f>IF(ROW(B1449)&lt;=Bidding!$D$11,Raw_hydro_bm!C1449,"")</f>
        <v/>
      </c>
      <c r="C1449" t="str">
        <f>IF(ROW(C1449)&lt;=Bidding!$D$11,Raw_hydro_bm!D1449,"")</f>
        <v/>
      </c>
      <c r="D1449" t="str">
        <f>IF(ROW(D1449)&lt;=Bidding!$D$11,Raw_hydro_bm!E1449,"")</f>
        <v/>
      </c>
      <c r="E1449" t="str">
        <f>IF(ROW(E1449)&lt;=Bidding!$D$11,Raw_hydro_bm!F1449,"")</f>
        <v/>
      </c>
      <c r="F1449" t="str">
        <f>IF(ROW(F1449)&lt;=Bidding!$D$11,Raw_hydro_bm!G1449,"")</f>
        <v/>
      </c>
      <c r="G1449" t="str">
        <f>IF(ROW(G1449)&lt;=Bidding!$D$11,Raw_hydro_bm!H1449,"")</f>
        <v/>
      </c>
      <c r="H1449" t="str">
        <f>IF(ROW(H1449)&lt;=Bidding!$D$11,Raw_hydro_bm!I1449,"")</f>
        <v/>
      </c>
      <c r="I1449" s="16" t="str">
        <f t="shared" si="22"/>
        <v/>
      </c>
    </row>
    <row r="1450" spans="1:9" x14ac:dyDescent="0.2">
      <c r="A1450" t="str">
        <f>IF(ROW(A1450)&lt;=Bidding!$D$11,Raw_hydro_bm!B1450,"")</f>
        <v/>
      </c>
      <c r="B1450" t="str">
        <f>IF(ROW(B1450)&lt;=Bidding!$D$11,Raw_hydro_bm!C1450,"")</f>
        <v/>
      </c>
      <c r="C1450" t="str">
        <f>IF(ROW(C1450)&lt;=Bidding!$D$11,Raw_hydro_bm!D1450,"")</f>
        <v/>
      </c>
      <c r="D1450" t="str">
        <f>IF(ROW(D1450)&lt;=Bidding!$D$11,Raw_hydro_bm!E1450,"")</f>
        <v/>
      </c>
      <c r="E1450" t="str">
        <f>IF(ROW(E1450)&lt;=Bidding!$D$11,Raw_hydro_bm!F1450,"")</f>
        <v/>
      </c>
      <c r="F1450" t="str">
        <f>IF(ROW(F1450)&lt;=Bidding!$D$11,Raw_hydro_bm!G1450,"")</f>
        <v/>
      </c>
      <c r="G1450" t="str">
        <f>IF(ROW(G1450)&lt;=Bidding!$D$11,Raw_hydro_bm!H1450,"")</f>
        <v/>
      </c>
      <c r="H1450" t="str">
        <f>IF(ROW(H1450)&lt;=Bidding!$D$11,Raw_hydro_bm!I1450,"")</f>
        <v/>
      </c>
      <c r="I1450" s="16" t="str">
        <f t="shared" si="22"/>
        <v/>
      </c>
    </row>
    <row r="1451" spans="1:9" x14ac:dyDescent="0.2">
      <c r="A1451" t="str">
        <f>IF(ROW(A1451)&lt;=Bidding!$D$11,Raw_hydro_bm!B1451,"")</f>
        <v/>
      </c>
      <c r="B1451" t="str">
        <f>IF(ROW(B1451)&lt;=Bidding!$D$11,Raw_hydro_bm!C1451,"")</f>
        <v/>
      </c>
      <c r="C1451" t="str">
        <f>IF(ROW(C1451)&lt;=Bidding!$D$11,Raw_hydro_bm!D1451,"")</f>
        <v/>
      </c>
      <c r="D1451" t="str">
        <f>IF(ROW(D1451)&lt;=Bidding!$D$11,Raw_hydro_bm!E1451,"")</f>
        <v/>
      </c>
      <c r="E1451" t="str">
        <f>IF(ROW(E1451)&lt;=Bidding!$D$11,Raw_hydro_bm!F1451,"")</f>
        <v/>
      </c>
      <c r="F1451" t="str">
        <f>IF(ROW(F1451)&lt;=Bidding!$D$11,Raw_hydro_bm!G1451,"")</f>
        <v/>
      </c>
      <c r="G1451" t="str">
        <f>IF(ROW(G1451)&lt;=Bidding!$D$11,Raw_hydro_bm!H1451,"")</f>
        <v/>
      </c>
      <c r="H1451" t="str">
        <f>IF(ROW(H1451)&lt;=Bidding!$D$11,Raw_hydro_bm!I1451,"")</f>
        <v/>
      </c>
      <c r="I1451" s="16" t="str">
        <f t="shared" si="22"/>
        <v/>
      </c>
    </row>
    <row r="1452" spans="1:9" x14ac:dyDescent="0.2">
      <c r="A1452" t="str">
        <f>IF(ROW(A1452)&lt;=Bidding!$D$11,Raw_hydro_bm!B1452,"")</f>
        <v/>
      </c>
      <c r="B1452" t="str">
        <f>IF(ROW(B1452)&lt;=Bidding!$D$11,Raw_hydro_bm!C1452,"")</f>
        <v/>
      </c>
      <c r="C1452" t="str">
        <f>IF(ROW(C1452)&lt;=Bidding!$D$11,Raw_hydro_bm!D1452,"")</f>
        <v/>
      </c>
      <c r="D1452" t="str">
        <f>IF(ROW(D1452)&lt;=Bidding!$D$11,Raw_hydro_bm!E1452,"")</f>
        <v/>
      </c>
      <c r="E1452" t="str">
        <f>IF(ROW(E1452)&lt;=Bidding!$D$11,Raw_hydro_bm!F1452,"")</f>
        <v/>
      </c>
      <c r="F1452" t="str">
        <f>IF(ROW(F1452)&lt;=Bidding!$D$11,Raw_hydro_bm!G1452,"")</f>
        <v/>
      </c>
      <c r="G1452" t="str">
        <f>IF(ROW(G1452)&lt;=Bidding!$D$11,Raw_hydro_bm!H1452,"")</f>
        <v/>
      </c>
      <c r="H1452" t="str">
        <f>IF(ROW(H1452)&lt;=Bidding!$D$11,Raw_hydro_bm!I1452,"")</f>
        <v/>
      </c>
      <c r="I1452" s="16" t="str">
        <f t="shared" si="22"/>
        <v/>
      </c>
    </row>
    <row r="1453" spans="1:9" x14ac:dyDescent="0.2">
      <c r="A1453" t="str">
        <f>IF(ROW(A1453)&lt;=Bidding!$D$11,Raw_hydro_bm!B1453,"")</f>
        <v/>
      </c>
      <c r="B1453" t="str">
        <f>IF(ROW(B1453)&lt;=Bidding!$D$11,Raw_hydro_bm!C1453,"")</f>
        <v/>
      </c>
      <c r="C1453" t="str">
        <f>IF(ROW(C1453)&lt;=Bidding!$D$11,Raw_hydro_bm!D1453,"")</f>
        <v/>
      </c>
      <c r="D1453" t="str">
        <f>IF(ROW(D1453)&lt;=Bidding!$D$11,Raw_hydro_bm!E1453,"")</f>
        <v/>
      </c>
      <c r="E1453" t="str">
        <f>IF(ROW(E1453)&lt;=Bidding!$D$11,Raw_hydro_bm!F1453,"")</f>
        <v/>
      </c>
      <c r="F1453" t="str">
        <f>IF(ROW(F1453)&lt;=Bidding!$D$11,Raw_hydro_bm!G1453,"")</f>
        <v/>
      </c>
      <c r="G1453" t="str">
        <f>IF(ROW(G1453)&lt;=Bidding!$D$11,Raw_hydro_bm!H1453,"")</f>
        <v/>
      </c>
      <c r="H1453" t="str">
        <f>IF(ROW(H1453)&lt;=Bidding!$D$11,Raw_hydro_bm!I1453,"")</f>
        <v/>
      </c>
      <c r="I1453" s="16" t="str">
        <f t="shared" si="22"/>
        <v/>
      </c>
    </row>
    <row r="1454" spans="1:9" x14ac:dyDescent="0.2">
      <c r="A1454" t="str">
        <f>IF(ROW(A1454)&lt;=Bidding!$D$11,Raw_hydro_bm!B1454,"")</f>
        <v/>
      </c>
      <c r="B1454" t="str">
        <f>IF(ROW(B1454)&lt;=Bidding!$D$11,Raw_hydro_bm!C1454,"")</f>
        <v/>
      </c>
      <c r="C1454" t="str">
        <f>IF(ROW(C1454)&lt;=Bidding!$D$11,Raw_hydro_bm!D1454,"")</f>
        <v/>
      </c>
      <c r="D1454" t="str">
        <f>IF(ROW(D1454)&lt;=Bidding!$D$11,Raw_hydro_bm!E1454,"")</f>
        <v/>
      </c>
      <c r="E1454" t="str">
        <f>IF(ROW(E1454)&lt;=Bidding!$D$11,Raw_hydro_bm!F1454,"")</f>
        <v/>
      </c>
      <c r="F1454" t="str">
        <f>IF(ROW(F1454)&lt;=Bidding!$D$11,Raw_hydro_bm!G1454,"")</f>
        <v/>
      </c>
      <c r="G1454" t="str">
        <f>IF(ROW(G1454)&lt;=Bidding!$D$11,Raw_hydro_bm!H1454,"")</f>
        <v/>
      </c>
      <c r="H1454" t="str">
        <f>IF(ROW(H1454)&lt;=Bidding!$D$11,Raw_hydro_bm!I1454,"")</f>
        <v/>
      </c>
      <c r="I1454" s="16" t="str">
        <f t="shared" si="22"/>
        <v/>
      </c>
    </row>
    <row r="1455" spans="1:9" x14ac:dyDescent="0.2">
      <c r="A1455" t="str">
        <f>IF(ROW(A1455)&lt;=Bidding!$D$11,Raw_hydro_bm!B1455,"")</f>
        <v/>
      </c>
      <c r="B1455" t="str">
        <f>IF(ROW(B1455)&lt;=Bidding!$D$11,Raw_hydro_bm!C1455,"")</f>
        <v/>
      </c>
      <c r="C1455" t="str">
        <f>IF(ROW(C1455)&lt;=Bidding!$D$11,Raw_hydro_bm!D1455,"")</f>
        <v/>
      </c>
      <c r="D1455" t="str">
        <f>IF(ROW(D1455)&lt;=Bidding!$D$11,Raw_hydro_bm!E1455,"")</f>
        <v/>
      </c>
      <c r="E1455" t="str">
        <f>IF(ROW(E1455)&lt;=Bidding!$D$11,Raw_hydro_bm!F1455,"")</f>
        <v/>
      </c>
      <c r="F1455" t="str">
        <f>IF(ROW(F1455)&lt;=Bidding!$D$11,Raw_hydro_bm!G1455,"")</f>
        <v/>
      </c>
      <c r="G1455" t="str">
        <f>IF(ROW(G1455)&lt;=Bidding!$D$11,Raw_hydro_bm!H1455,"")</f>
        <v/>
      </c>
      <c r="H1455" t="str">
        <f>IF(ROW(H1455)&lt;=Bidding!$D$11,Raw_hydro_bm!I1455,"")</f>
        <v/>
      </c>
      <c r="I1455" s="16" t="str">
        <f t="shared" si="22"/>
        <v/>
      </c>
    </row>
    <row r="1456" spans="1:9" x14ac:dyDescent="0.2">
      <c r="A1456" t="str">
        <f>IF(ROW(A1456)&lt;=Bidding!$D$11,Raw_hydro_bm!B1456,"")</f>
        <v/>
      </c>
      <c r="B1456" t="str">
        <f>IF(ROW(B1456)&lt;=Bidding!$D$11,Raw_hydro_bm!C1456,"")</f>
        <v/>
      </c>
      <c r="C1456" t="str">
        <f>IF(ROW(C1456)&lt;=Bidding!$D$11,Raw_hydro_bm!D1456,"")</f>
        <v/>
      </c>
      <c r="D1456" t="str">
        <f>IF(ROW(D1456)&lt;=Bidding!$D$11,Raw_hydro_bm!E1456,"")</f>
        <v/>
      </c>
      <c r="E1456" t="str">
        <f>IF(ROW(E1456)&lt;=Bidding!$D$11,Raw_hydro_bm!F1456,"")</f>
        <v/>
      </c>
      <c r="F1456" t="str">
        <f>IF(ROW(F1456)&lt;=Bidding!$D$11,Raw_hydro_bm!G1456,"")</f>
        <v/>
      </c>
      <c r="G1456" t="str">
        <f>IF(ROW(G1456)&lt;=Bidding!$D$11,Raw_hydro_bm!H1456,"")</f>
        <v/>
      </c>
      <c r="H1456" t="str">
        <f>IF(ROW(H1456)&lt;=Bidding!$D$11,Raw_hydro_bm!I1456,"")</f>
        <v/>
      </c>
      <c r="I1456" s="16" t="str">
        <f t="shared" si="22"/>
        <v/>
      </c>
    </row>
    <row r="1457" spans="1:9" x14ac:dyDescent="0.2">
      <c r="A1457" t="str">
        <f>IF(ROW(A1457)&lt;=Bidding!$D$11,Raw_hydro_bm!B1457,"")</f>
        <v/>
      </c>
      <c r="B1457" t="str">
        <f>IF(ROW(B1457)&lt;=Bidding!$D$11,Raw_hydro_bm!C1457,"")</f>
        <v/>
      </c>
      <c r="C1457" t="str">
        <f>IF(ROW(C1457)&lt;=Bidding!$D$11,Raw_hydro_bm!D1457,"")</f>
        <v/>
      </c>
      <c r="D1457" t="str">
        <f>IF(ROW(D1457)&lt;=Bidding!$D$11,Raw_hydro_bm!E1457,"")</f>
        <v/>
      </c>
      <c r="E1457" t="str">
        <f>IF(ROW(E1457)&lt;=Bidding!$D$11,Raw_hydro_bm!F1457,"")</f>
        <v/>
      </c>
      <c r="F1457" t="str">
        <f>IF(ROW(F1457)&lt;=Bidding!$D$11,Raw_hydro_bm!G1457,"")</f>
        <v/>
      </c>
      <c r="G1457" t="str">
        <f>IF(ROW(G1457)&lt;=Bidding!$D$11,Raw_hydro_bm!H1457,"")</f>
        <v/>
      </c>
      <c r="H1457" t="str">
        <f>IF(ROW(H1457)&lt;=Bidding!$D$11,Raw_hydro_bm!I1457,"")</f>
        <v/>
      </c>
      <c r="I1457" s="16" t="str">
        <f t="shared" si="22"/>
        <v/>
      </c>
    </row>
    <row r="1458" spans="1:9" x14ac:dyDescent="0.2">
      <c r="A1458" t="str">
        <f>IF(ROW(A1458)&lt;=Bidding!$D$11,Raw_hydro_bm!B1458,"")</f>
        <v/>
      </c>
      <c r="B1458" t="str">
        <f>IF(ROW(B1458)&lt;=Bidding!$D$11,Raw_hydro_bm!C1458,"")</f>
        <v/>
      </c>
      <c r="C1458" t="str">
        <f>IF(ROW(C1458)&lt;=Bidding!$D$11,Raw_hydro_bm!D1458,"")</f>
        <v/>
      </c>
      <c r="D1458" t="str">
        <f>IF(ROW(D1458)&lt;=Bidding!$D$11,Raw_hydro_bm!E1458,"")</f>
        <v/>
      </c>
      <c r="E1458" t="str">
        <f>IF(ROW(E1458)&lt;=Bidding!$D$11,Raw_hydro_bm!F1458,"")</f>
        <v/>
      </c>
      <c r="F1458" t="str">
        <f>IF(ROW(F1458)&lt;=Bidding!$D$11,Raw_hydro_bm!G1458,"")</f>
        <v/>
      </c>
      <c r="G1458" t="str">
        <f>IF(ROW(G1458)&lt;=Bidding!$D$11,Raw_hydro_bm!H1458,"")</f>
        <v/>
      </c>
      <c r="H1458" t="str">
        <f>IF(ROW(H1458)&lt;=Bidding!$D$11,Raw_hydro_bm!I1458,"")</f>
        <v/>
      </c>
      <c r="I1458" s="16" t="str">
        <f t="shared" si="22"/>
        <v/>
      </c>
    </row>
    <row r="1459" spans="1:9" x14ac:dyDescent="0.2">
      <c r="A1459" t="str">
        <f>IF(ROW(A1459)&lt;=Bidding!$D$11,Raw_hydro_bm!B1459,"")</f>
        <v/>
      </c>
      <c r="B1459" t="str">
        <f>IF(ROW(B1459)&lt;=Bidding!$D$11,Raw_hydro_bm!C1459,"")</f>
        <v/>
      </c>
      <c r="C1459" t="str">
        <f>IF(ROW(C1459)&lt;=Bidding!$D$11,Raw_hydro_bm!D1459,"")</f>
        <v/>
      </c>
      <c r="D1459" t="str">
        <f>IF(ROW(D1459)&lt;=Bidding!$D$11,Raw_hydro_bm!E1459,"")</f>
        <v/>
      </c>
      <c r="E1459" t="str">
        <f>IF(ROW(E1459)&lt;=Bidding!$D$11,Raw_hydro_bm!F1459,"")</f>
        <v/>
      </c>
      <c r="F1459" t="str">
        <f>IF(ROW(F1459)&lt;=Bidding!$D$11,Raw_hydro_bm!G1459,"")</f>
        <v/>
      </c>
      <c r="G1459" t="str">
        <f>IF(ROW(G1459)&lt;=Bidding!$D$11,Raw_hydro_bm!H1459,"")</f>
        <v/>
      </c>
      <c r="H1459" t="str">
        <f>IF(ROW(H1459)&lt;=Bidding!$D$11,Raw_hydro_bm!I1459,"")</f>
        <v/>
      </c>
      <c r="I1459" s="16" t="str">
        <f t="shared" si="22"/>
        <v/>
      </c>
    </row>
    <row r="1460" spans="1:9" x14ac:dyDescent="0.2">
      <c r="A1460" t="str">
        <f>IF(ROW(A1460)&lt;=Bidding!$D$11,Raw_hydro_bm!B1460,"")</f>
        <v/>
      </c>
      <c r="B1460" t="str">
        <f>IF(ROW(B1460)&lt;=Bidding!$D$11,Raw_hydro_bm!C1460,"")</f>
        <v/>
      </c>
      <c r="C1460" t="str">
        <f>IF(ROW(C1460)&lt;=Bidding!$D$11,Raw_hydro_bm!D1460,"")</f>
        <v/>
      </c>
      <c r="D1460" t="str">
        <f>IF(ROW(D1460)&lt;=Bidding!$D$11,Raw_hydro_bm!E1460,"")</f>
        <v/>
      </c>
      <c r="E1460" t="str">
        <f>IF(ROW(E1460)&lt;=Bidding!$D$11,Raw_hydro_bm!F1460,"")</f>
        <v/>
      </c>
      <c r="F1460" t="str">
        <f>IF(ROW(F1460)&lt;=Bidding!$D$11,Raw_hydro_bm!G1460,"")</f>
        <v/>
      </c>
      <c r="G1460" t="str">
        <f>IF(ROW(G1460)&lt;=Bidding!$D$11,Raw_hydro_bm!H1460,"")</f>
        <v/>
      </c>
      <c r="H1460" t="str">
        <f>IF(ROW(H1460)&lt;=Bidding!$D$11,Raw_hydro_bm!I1460,"")</f>
        <v/>
      </c>
      <c r="I1460" s="16" t="str">
        <f t="shared" si="22"/>
        <v/>
      </c>
    </row>
    <row r="1461" spans="1:9" x14ac:dyDescent="0.2">
      <c r="A1461" t="str">
        <f>IF(ROW(A1461)&lt;=Bidding!$D$11,Raw_hydro_bm!B1461,"")</f>
        <v/>
      </c>
      <c r="B1461" t="str">
        <f>IF(ROW(B1461)&lt;=Bidding!$D$11,Raw_hydro_bm!C1461,"")</f>
        <v/>
      </c>
      <c r="C1461" t="str">
        <f>IF(ROW(C1461)&lt;=Bidding!$D$11,Raw_hydro_bm!D1461,"")</f>
        <v/>
      </c>
      <c r="D1461" t="str">
        <f>IF(ROW(D1461)&lt;=Bidding!$D$11,Raw_hydro_bm!E1461,"")</f>
        <v/>
      </c>
      <c r="E1461" t="str">
        <f>IF(ROW(E1461)&lt;=Bidding!$D$11,Raw_hydro_bm!F1461,"")</f>
        <v/>
      </c>
      <c r="F1461" t="str">
        <f>IF(ROW(F1461)&lt;=Bidding!$D$11,Raw_hydro_bm!G1461,"")</f>
        <v/>
      </c>
      <c r="G1461" t="str">
        <f>IF(ROW(G1461)&lt;=Bidding!$D$11,Raw_hydro_bm!H1461,"")</f>
        <v/>
      </c>
      <c r="H1461" t="str">
        <f>IF(ROW(H1461)&lt;=Bidding!$D$11,Raw_hydro_bm!I1461,"")</f>
        <v/>
      </c>
      <c r="I1461" s="16" t="str">
        <f t="shared" si="22"/>
        <v/>
      </c>
    </row>
    <row r="1462" spans="1:9" x14ac:dyDescent="0.2">
      <c r="A1462" t="str">
        <f>IF(ROW(A1462)&lt;=Bidding!$D$11,Raw_hydro_bm!B1462,"")</f>
        <v/>
      </c>
      <c r="B1462" t="str">
        <f>IF(ROW(B1462)&lt;=Bidding!$D$11,Raw_hydro_bm!C1462,"")</f>
        <v/>
      </c>
      <c r="C1462" t="str">
        <f>IF(ROW(C1462)&lt;=Bidding!$D$11,Raw_hydro_bm!D1462,"")</f>
        <v/>
      </c>
      <c r="D1462" t="str">
        <f>IF(ROW(D1462)&lt;=Bidding!$D$11,Raw_hydro_bm!E1462,"")</f>
        <v/>
      </c>
      <c r="E1462" t="str">
        <f>IF(ROW(E1462)&lt;=Bidding!$D$11,Raw_hydro_bm!F1462,"")</f>
        <v/>
      </c>
      <c r="F1462" t="str">
        <f>IF(ROW(F1462)&lt;=Bidding!$D$11,Raw_hydro_bm!G1462,"")</f>
        <v/>
      </c>
      <c r="G1462" t="str">
        <f>IF(ROW(G1462)&lt;=Bidding!$D$11,Raw_hydro_bm!H1462,"")</f>
        <v/>
      </c>
      <c r="H1462" t="str">
        <f>IF(ROW(H1462)&lt;=Bidding!$D$11,Raw_hydro_bm!I1462,"")</f>
        <v/>
      </c>
      <c r="I1462" s="16" t="str">
        <f t="shared" si="22"/>
        <v/>
      </c>
    </row>
    <row r="1463" spans="1:9" x14ac:dyDescent="0.2">
      <c r="A1463" t="str">
        <f>IF(ROW(A1463)&lt;=Bidding!$D$11,Raw_hydro_bm!B1463,"")</f>
        <v/>
      </c>
      <c r="B1463" t="str">
        <f>IF(ROW(B1463)&lt;=Bidding!$D$11,Raw_hydro_bm!C1463,"")</f>
        <v/>
      </c>
      <c r="C1463" t="str">
        <f>IF(ROW(C1463)&lt;=Bidding!$D$11,Raw_hydro_bm!D1463,"")</f>
        <v/>
      </c>
      <c r="D1463" t="str">
        <f>IF(ROW(D1463)&lt;=Bidding!$D$11,Raw_hydro_bm!E1463,"")</f>
        <v/>
      </c>
      <c r="E1463" t="str">
        <f>IF(ROW(E1463)&lt;=Bidding!$D$11,Raw_hydro_bm!F1463,"")</f>
        <v/>
      </c>
      <c r="F1463" t="str">
        <f>IF(ROW(F1463)&lt;=Bidding!$D$11,Raw_hydro_bm!G1463,"")</f>
        <v/>
      </c>
      <c r="G1463" t="str">
        <f>IF(ROW(G1463)&lt;=Bidding!$D$11,Raw_hydro_bm!H1463,"")</f>
        <v/>
      </c>
      <c r="H1463" t="str">
        <f>IF(ROW(H1463)&lt;=Bidding!$D$11,Raw_hydro_bm!I1463,"")</f>
        <v/>
      </c>
      <c r="I1463" s="16" t="str">
        <f t="shared" si="22"/>
        <v/>
      </c>
    </row>
    <row r="1464" spans="1:9" x14ac:dyDescent="0.2">
      <c r="A1464" t="str">
        <f>IF(ROW(A1464)&lt;=Bidding!$D$11,Raw_hydro_bm!B1464,"")</f>
        <v/>
      </c>
      <c r="B1464" t="str">
        <f>IF(ROW(B1464)&lt;=Bidding!$D$11,Raw_hydro_bm!C1464,"")</f>
        <v/>
      </c>
      <c r="C1464" t="str">
        <f>IF(ROW(C1464)&lt;=Bidding!$D$11,Raw_hydro_bm!D1464,"")</f>
        <v/>
      </c>
      <c r="D1464" t="str">
        <f>IF(ROW(D1464)&lt;=Bidding!$D$11,Raw_hydro_bm!E1464,"")</f>
        <v/>
      </c>
      <c r="E1464" t="str">
        <f>IF(ROW(E1464)&lt;=Bidding!$D$11,Raw_hydro_bm!F1464,"")</f>
        <v/>
      </c>
      <c r="F1464" t="str">
        <f>IF(ROW(F1464)&lt;=Bidding!$D$11,Raw_hydro_bm!G1464,"")</f>
        <v/>
      </c>
      <c r="G1464" t="str">
        <f>IF(ROW(G1464)&lt;=Bidding!$D$11,Raw_hydro_bm!H1464,"")</f>
        <v/>
      </c>
      <c r="H1464" t="str">
        <f>IF(ROW(H1464)&lt;=Bidding!$D$11,Raw_hydro_bm!I1464,"")</f>
        <v/>
      </c>
      <c r="I1464" s="16" t="str">
        <f t="shared" si="22"/>
        <v/>
      </c>
    </row>
    <row r="1465" spans="1:9" x14ac:dyDescent="0.2">
      <c r="A1465" t="str">
        <f>IF(ROW(A1465)&lt;=Bidding!$D$11,Raw_hydro_bm!B1465,"")</f>
        <v/>
      </c>
      <c r="B1465" t="str">
        <f>IF(ROW(B1465)&lt;=Bidding!$D$11,Raw_hydro_bm!C1465,"")</f>
        <v/>
      </c>
      <c r="C1465" t="str">
        <f>IF(ROW(C1465)&lt;=Bidding!$D$11,Raw_hydro_bm!D1465,"")</f>
        <v/>
      </c>
      <c r="D1465" t="str">
        <f>IF(ROW(D1465)&lt;=Bidding!$D$11,Raw_hydro_bm!E1465,"")</f>
        <v/>
      </c>
      <c r="E1465" t="str">
        <f>IF(ROW(E1465)&lt;=Bidding!$D$11,Raw_hydro_bm!F1465,"")</f>
        <v/>
      </c>
      <c r="F1465" t="str">
        <f>IF(ROW(F1465)&lt;=Bidding!$D$11,Raw_hydro_bm!G1465,"")</f>
        <v/>
      </c>
      <c r="G1465" t="str">
        <f>IF(ROW(G1465)&lt;=Bidding!$D$11,Raw_hydro_bm!H1465,"")</f>
        <v/>
      </c>
      <c r="H1465" t="str">
        <f>IF(ROW(H1465)&lt;=Bidding!$D$11,Raw_hydro_bm!I1465,"")</f>
        <v/>
      </c>
      <c r="I1465" s="16" t="str">
        <f t="shared" si="22"/>
        <v/>
      </c>
    </row>
    <row r="1466" spans="1:9" x14ac:dyDescent="0.2">
      <c r="A1466" t="str">
        <f>IF(ROW(A1466)&lt;=Bidding!$D$11,Raw_hydro_bm!B1466,"")</f>
        <v/>
      </c>
      <c r="B1466" t="str">
        <f>IF(ROW(B1466)&lt;=Bidding!$D$11,Raw_hydro_bm!C1466,"")</f>
        <v/>
      </c>
      <c r="C1466" t="str">
        <f>IF(ROW(C1466)&lt;=Bidding!$D$11,Raw_hydro_bm!D1466,"")</f>
        <v/>
      </c>
      <c r="D1466" t="str">
        <f>IF(ROW(D1466)&lt;=Bidding!$D$11,Raw_hydro_bm!E1466,"")</f>
        <v/>
      </c>
      <c r="E1466" t="str">
        <f>IF(ROW(E1466)&lt;=Bidding!$D$11,Raw_hydro_bm!F1466,"")</f>
        <v/>
      </c>
      <c r="F1466" t="str">
        <f>IF(ROW(F1466)&lt;=Bidding!$D$11,Raw_hydro_bm!G1466,"")</f>
        <v/>
      </c>
      <c r="G1466" t="str">
        <f>IF(ROW(G1466)&lt;=Bidding!$D$11,Raw_hydro_bm!H1466,"")</f>
        <v/>
      </c>
      <c r="H1466" t="str">
        <f>IF(ROW(H1466)&lt;=Bidding!$D$11,Raw_hydro_bm!I1466,"")</f>
        <v/>
      </c>
      <c r="I1466" s="16" t="str">
        <f t="shared" si="22"/>
        <v/>
      </c>
    </row>
    <row r="1467" spans="1:9" x14ac:dyDescent="0.2">
      <c r="A1467" t="str">
        <f>IF(ROW(A1467)&lt;=Bidding!$D$11,Raw_hydro_bm!B1467,"")</f>
        <v/>
      </c>
      <c r="B1467" t="str">
        <f>IF(ROW(B1467)&lt;=Bidding!$D$11,Raw_hydro_bm!C1467,"")</f>
        <v/>
      </c>
      <c r="C1467" t="str">
        <f>IF(ROW(C1467)&lt;=Bidding!$D$11,Raw_hydro_bm!D1467,"")</f>
        <v/>
      </c>
      <c r="D1467" t="str">
        <f>IF(ROW(D1467)&lt;=Bidding!$D$11,Raw_hydro_bm!E1467,"")</f>
        <v/>
      </c>
      <c r="E1467" t="str">
        <f>IF(ROW(E1467)&lt;=Bidding!$D$11,Raw_hydro_bm!F1467,"")</f>
        <v/>
      </c>
      <c r="F1467" t="str">
        <f>IF(ROW(F1467)&lt;=Bidding!$D$11,Raw_hydro_bm!G1467,"")</f>
        <v/>
      </c>
      <c r="G1467" t="str">
        <f>IF(ROW(G1467)&lt;=Bidding!$D$11,Raw_hydro_bm!H1467,"")</f>
        <v/>
      </c>
      <c r="H1467" t="str">
        <f>IF(ROW(H1467)&lt;=Bidding!$D$11,Raw_hydro_bm!I1467,"")</f>
        <v/>
      </c>
      <c r="I1467" s="16" t="str">
        <f t="shared" si="22"/>
        <v/>
      </c>
    </row>
    <row r="1468" spans="1:9" x14ac:dyDescent="0.2">
      <c r="A1468" t="str">
        <f>IF(ROW(A1468)&lt;=Bidding!$D$11,Raw_hydro_bm!B1468,"")</f>
        <v/>
      </c>
      <c r="B1468" t="str">
        <f>IF(ROW(B1468)&lt;=Bidding!$D$11,Raw_hydro_bm!C1468,"")</f>
        <v/>
      </c>
      <c r="C1468" t="str">
        <f>IF(ROW(C1468)&lt;=Bidding!$D$11,Raw_hydro_bm!D1468,"")</f>
        <v/>
      </c>
      <c r="D1468" t="str">
        <f>IF(ROW(D1468)&lt;=Bidding!$D$11,Raw_hydro_bm!E1468,"")</f>
        <v/>
      </c>
      <c r="E1468" t="str">
        <f>IF(ROW(E1468)&lt;=Bidding!$D$11,Raw_hydro_bm!F1468,"")</f>
        <v/>
      </c>
      <c r="F1468" t="str">
        <f>IF(ROW(F1468)&lt;=Bidding!$D$11,Raw_hydro_bm!G1468,"")</f>
        <v/>
      </c>
      <c r="G1468" t="str">
        <f>IF(ROW(G1468)&lt;=Bidding!$D$11,Raw_hydro_bm!H1468,"")</f>
        <v/>
      </c>
      <c r="H1468" t="str">
        <f>IF(ROW(H1468)&lt;=Bidding!$D$11,Raw_hydro_bm!I1468,"")</f>
        <v/>
      </c>
      <c r="I1468" s="16" t="str">
        <f t="shared" si="22"/>
        <v/>
      </c>
    </row>
    <row r="1469" spans="1:9" x14ac:dyDescent="0.2">
      <c r="A1469" t="str">
        <f>IF(ROW(A1469)&lt;=Bidding!$D$11,Raw_hydro_bm!B1469,"")</f>
        <v/>
      </c>
      <c r="B1469" t="str">
        <f>IF(ROW(B1469)&lt;=Bidding!$D$11,Raw_hydro_bm!C1469,"")</f>
        <v/>
      </c>
      <c r="C1469" t="str">
        <f>IF(ROW(C1469)&lt;=Bidding!$D$11,Raw_hydro_bm!D1469,"")</f>
        <v/>
      </c>
      <c r="D1469" t="str">
        <f>IF(ROW(D1469)&lt;=Bidding!$D$11,Raw_hydro_bm!E1469,"")</f>
        <v/>
      </c>
      <c r="E1469" t="str">
        <f>IF(ROW(E1469)&lt;=Bidding!$D$11,Raw_hydro_bm!F1469,"")</f>
        <v/>
      </c>
      <c r="F1469" t="str">
        <f>IF(ROW(F1469)&lt;=Bidding!$D$11,Raw_hydro_bm!G1469,"")</f>
        <v/>
      </c>
      <c r="G1469" t="str">
        <f>IF(ROW(G1469)&lt;=Bidding!$D$11,Raw_hydro_bm!H1469,"")</f>
        <v/>
      </c>
      <c r="H1469" t="str">
        <f>IF(ROW(H1469)&lt;=Bidding!$D$11,Raw_hydro_bm!I1469,"")</f>
        <v/>
      </c>
      <c r="I1469" s="16" t="str">
        <f t="shared" si="22"/>
        <v/>
      </c>
    </row>
    <row r="1470" spans="1:9" x14ac:dyDescent="0.2">
      <c r="A1470" t="str">
        <f>IF(ROW(A1470)&lt;=Bidding!$D$11,Raw_hydro_bm!B1470,"")</f>
        <v/>
      </c>
      <c r="B1470" t="str">
        <f>IF(ROW(B1470)&lt;=Bidding!$D$11,Raw_hydro_bm!C1470,"")</f>
        <v/>
      </c>
      <c r="C1470" t="str">
        <f>IF(ROW(C1470)&lt;=Bidding!$D$11,Raw_hydro_bm!D1470,"")</f>
        <v/>
      </c>
      <c r="D1470" t="str">
        <f>IF(ROW(D1470)&lt;=Bidding!$D$11,Raw_hydro_bm!E1470,"")</f>
        <v/>
      </c>
      <c r="E1470" t="str">
        <f>IF(ROW(E1470)&lt;=Bidding!$D$11,Raw_hydro_bm!F1470,"")</f>
        <v/>
      </c>
      <c r="F1470" t="str">
        <f>IF(ROW(F1470)&lt;=Bidding!$D$11,Raw_hydro_bm!G1470,"")</f>
        <v/>
      </c>
      <c r="G1470" t="str">
        <f>IF(ROW(G1470)&lt;=Bidding!$D$11,Raw_hydro_bm!H1470,"")</f>
        <v/>
      </c>
      <c r="H1470" t="str">
        <f>IF(ROW(H1470)&lt;=Bidding!$D$11,Raw_hydro_bm!I1470,"")</f>
        <v/>
      </c>
      <c r="I1470" s="16" t="str">
        <f t="shared" si="22"/>
        <v/>
      </c>
    </row>
    <row r="1471" spans="1:9" x14ac:dyDescent="0.2">
      <c r="A1471" t="str">
        <f>IF(ROW(A1471)&lt;=Bidding!$D$11,Raw_hydro_bm!B1471,"")</f>
        <v/>
      </c>
      <c r="B1471" t="str">
        <f>IF(ROW(B1471)&lt;=Bidding!$D$11,Raw_hydro_bm!C1471,"")</f>
        <v/>
      </c>
      <c r="C1471" t="str">
        <f>IF(ROW(C1471)&lt;=Bidding!$D$11,Raw_hydro_bm!D1471,"")</f>
        <v/>
      </c>
      <c r="D1471" t="str">
        <f>IF(ROW(D1471)&lt;=Bidding!$D$11,Raw_hydro_bm!E1471,"")</f>
        <v/>
      </c>
      <c r="E1471" t="str">
        <f>IF(ROW(E1471)&lt;=Bidding!$D$11,Raw_hydro_bm!F1471,"")</f>
        <v/>
      </c>
      <c r="F1471" t="str">
        <f>IF(ROW(F1471)&lt;=Bidding!$D$11,Raw_hydro_bm!G1471,"")</f>
        <v/>
      </c>
      <c r="G1471" t="str">
        <f>IF(ROW(G1471)&lt;=Bidding!$D$11,Raw_hydro_bm!H1471,"")</f>
        <v/>
      </c>
      <c r="H1471" t="str">
        <f>IF(ROW(H1471)&lt;=Bidding!$D$11,Raw_hydro_bm!I1471,"")</f>
        <v/>
      </c>
      <c r="I1471" s="16" t="str">
        <f t="shared" si="22"/>
        <v/>
      </c>
    </row>
    <row r="1472" spans="1:9" x14ac:dyDescent="0.2">
      <c r="A1472" t="str">
        <f>IF(ROW(A1472)&lt;=Bidding!$D$11,Raw_hydro_bm!B1472,"")</f>
        <v/>
      </c>
      <c r="B1472" t="str">
        <f>IF(ROW(B1472)&lt;=Bidding!$D$11,Raw_hydro_bm!C1472,"")</f>
        <v/>
      </c>
      <c r="C1472" t="str">
        <f>IF(ROW(C1472)&lt;=Bidding!$D$11,Raw_hydro_bm!D1472,"")</f>
        <v/>
      </c>
      <c r="D1472" t="str">
        <f>IF(ROW(D1472)&lt;=Bidding!$D$11,Raw_hydro_bm!E1472,"")</f>
        <v/>
      </c>
      <c r="E1472" t="str">
        <f>IF(ROW(E1472)&lt;=Bidding!$D$11,Raw_hydro_bm!F1472,"")</f>
        <v/>
      </c>
      <c r="F1472" t="str">
        <f>IF(ROW(F1472)&lt;=Bidding!$D$11,Raw_hydro_bm!G1472,"")</f>
        <v/>
      </c>
      <c r="G1472" t="str">
        <f>IF(ROW(G1472)&lt;=Bidding!$D$11,Raw_hydro_bm!H1472,"")</f>
        <v/>
      </c>
      <c r="H1472" t="str">
        <f>IF(ROW(H1472)&lt;=Bidding!$D$11,Raw_hydro_bm!I1472,"")</f>
        <v/>
      </c>
      <c r="I1472" s="16" t="str">
        <f t="shared" si="22"/>
        <v/>
      </c>
    </row>
    <row r="1473" spans="1:9" x14ac:dyDescent="0.2">
      <c r="A1473" t="str">
        <f>IF(ROW(A1473)&lt;=Bidding!$D$11,Raw_hydro_bm!B1473,"")</f>
        <v/>
      </c>
      <c r="B1473" t="str">
        <f>IF(ROW(B1473)&lt;=Bidding!$D$11,Raw_hydro_bm!C1473,"")</f>
        <v/>
      </c>
      <c r="C1473" t="str">
        <f>IF(ROW(C1473)&lt;=Bidding!$D$11,Raw_hydro_bm!D1473,"")</f>
        <v/>
      </c>
      <c r="D1473" t="str">
        <f>IF(ROW(D1473)&lt;=Bidding!$D$11,Raw_hydro_bm!E1473,"")</f>
        <v/>
      </c>
      <c r="E1473" t="str">
        <f>IF(ROW(E1473)&lt;=Bidding!$D$11,Raw_hydro_bm!F1473,"")</f>
        <v/>
      </c>
      <c r="F1473" t="str">
        <f>IF(ROW(F1473)&lt;=Bidding!$D$11,Raw_hydro_bm!G1473,"")</f>
        <v/>
      </c>
      <c r="G1473" t="str">
        <f>IF(ROW(G1473)&lt;=Bidding!$D$11,Raw_hydro_bm!H1473,"")</f>
        <v/>
      </c>
      <c r="H1473" t="str">
        <f>IF(ROW(H1473)&lt;=Bidding!$D$11,Raw_hydro_bm!I1473,"")</f>
        <v/>
      </c>
      <c r="I1473" s="16" t="str">
        <f t="shared" si="22"/>
        <v/>
      </c>
    </row>
    <row r="1474" spans="1:9" x14ac:dyDescent="0.2">
      <c r="A1474" t="str">
        <f>IF(ROW(A1474)&lt;=Bidding!$D$11,Raw_hydro_bm!B1474,"")</f>
        <v/>
      </c>
      <c r="B1474" t="str">
        <f>IF(ROW(B1474)&lt;=Bidding!$D$11,Raw_hydro_bm!C1474,"")</f>
        <v/>
      </c>
      <c r="C1474" t="str">
        <f>IF(ROW(C1474)&lt;=Bidding!$D$11,Raw_hydro_bm!D1474,"")</f>
        <v/>
      </c>
      <c r="D1474" t="str">
        <f>IF(ROW(D1474)&lt;=Bidding!$D$11,Raw_hydro_bm!E1474,"")</f>
        <v/>
      </c>
      <c r="E1474" t="str">
        <f>IF(ROW(E1474)&lt;=Bidding!$D$11,Raw_hydro_bm!F1474,"")</f>
        <v/>
      </c>
      <c r="F1474" t="str">
        <f>IF(ROW(F1474)&lt;=Bidding!$D$11,Raw_hydro_bm!G1474,"")</f>
        <v/>
      </c>
      <c r="G1474" t="str">
        <f>IF(ROW(G1474)&lt;=Bidding!$D$11,Raw_hydro_bm!H1474,"")</f>
        <v/>
      </c>
      <c r="H1474" t="str">
        <f>IF(ROW(H1474)&lt;=Bidding!$D$11,Raw_hydro_bm!I1474,"")</f>
        <v/>
      </c>
      <c r="I1474" s="16" t="str">
        <f t="shared" ref="I1474:I1537" si="23">IF(IFERROR(FIND("e",H1474),-1)&lt;0,IFERROR(_xlfn.NUMBERVALUE(LEFT(H1474,FIND(".",H1474)-1))+_xlfn.NUMBERVALUE("0,"&amp;RIGHT(H1474,LEN(H1474)-FIND(".",H1474))),""),0)</f>
        <v/>
      </c>
    </row>
    <row r="1475" spans="1:9" x14ac:dyDescent="0.2">
      <c r="A1475" t="str">
        <f>IF(ROW(A1475)&lt;=Bidding!$D$11,Raw_hydro_bm!B1475,"")</f>
        <v/>
      </c>
      <c r="B1475" t="str">
        <f>IF(ROW(B1475)&lt;=Bidding!$D$11,Raw_hydro_bm!C1475,"")</f>
        <v/>
      </c>
      <c r="C1475" t="str">
        <f>IF(ROW(C1475)&lt;=Bidding!$D$11,Raw_hydro_bm!D1475,"")</f>
        <v/>
      </c>
      <c r="D1475" t="str">
        <f>IF(ROW(D1475)&lt;=Bidding!$D$11,Raw_hydro_bm!E1475,"")</f>
        <v/>
      </c>
      <c r="E1475" t="str">
        <f>IF(ROW(E1475)&lt;=Bidding!$D$11,Raw_hydro_bm!F1475,"")</f>
        <v/>
      </c>
      <c r="F1475" t="str">
        <f>IF(ROW(F1475)&lt;=Bidding!$D$11,Raw_hydro_bm!G1475,"")</f>
        <v/>
      </c>
      <c r="G1475" t="str">
        <f>IF(ROW(G1475)&lt;=Bidding!$D$11,Raw_hydro_bm!H1475,"")</f>
        <v/>
      </c>
      <c r="H1475" t="str">
        <f>IF(ROW(H1475)&lt;=Bidding!$D$11,Raw_hydro_bm!I1475,"")</f>
        <v/>
      </c>
      <c r="I1475" s="16" t="str">
        <f t="shared" si="23"/>
        <v/>
      </c>
    </row>
    <row r="1476" spans="1:9" x14ac:dyDescent="0.2">
      <c r="A1476" t="str">
        <f>IF(ROW(A1476)&lt;=Bidding!$D$11,Raw_hydro_bm!B1476,"")</f>
        <v/>
      </c>
      <c r="B1476" t="str">
        <f>IF(ROW(B1476)&lt;=Bidding!$D$11,Raw_hydro_bm!C1476,"")</f>
        <v/>
      </c>
      <c r="C1476" t="str">
        <f>IF(ROW(C1476)&lt;=Bidding!$D$11,Raw_hydro_bm!D1476,"")</f>
        <v/>
      </c>
      <c r="D1476" t="str">
        <f>IF(ROW(D1476)&lt;=Bidding!$D$11,Raw_hydro_bm!E1476,"")</f>
        <v/>
      </c>
      <c r="E1476" t="str">
        <f>IF(ROW(E1476)&lt;=Bidding!$D$11,Raw_hydro_bm!F1476,"")</f>
        <v/>
      </c>
      <c r="F1476" t="str">
        <f>IF(ROW(F1476)&lt;=Bidding!$D$11,Raw_hydro_bm!G1476,"")</f>
        <v/>
      </c>
      <c r="G1476" t="str">
        <f>IF(ROW(G1476)&lt;=Bidding!$D$11,Raw_hydro_bm!H1476,"")</f>
        <v/>
      </c>
      <c r="H1476" t="str">
        <f>IF(ROW(H1476)&lt;=Bidding!$D$11,Raw_hydro_bm!I1476,"")</f>
        <v/>
      </c>
      <c r="I1476" s="16" t="str">
        <f t="shared" si="23"/>
        <v/>
      </c>
    </row>
    <row r="1477" spans="1:9" x14ac:dyDescent="0.2">
      <c r="A1477" t="str">
        <f>IF(ROW(A1477)&lt;=Bidding!$D$11,Raw_hydro_bm!B1477,"")</f>
        <v/>
      </c>
      <c r="B1477" t="str">
        <f>IF(ROW(B1477)&lt;=Bidding!$D$11,Raw_hydro_bm!C1477,"")</f>
        <v/>
      </c>
      <c r="C1477" t="str">
        <f>IF(ROW(C1477)&lt;=Bidding!$D$11,Raw_hydro_bm!D1477,"")</f>
        <v/>
      </c>
      <c r="D1477" t="str">
        <f>IF(ROW(D1477)&lt;=Bidding!$D$11,Raw_hydro_bm!E1477,"")</f>
        <v/>
      </c>
      <c r="E1477" t="str">
        <f>IF(ROW(E1477)&lt;=Bidding!$D$11,Raw_hydro_bm!F1477,"")</f>
        <v/>
      </c>
      <c r="F1477" t="str">
        <f>IF(ROW(F1477)&lt;=Bidding!$D$11,Raw_hydro_bm!G1477,"")</f>
        <v/>
      </c>
      <c r="G1477" t="str">
        <f>IF(ROW(G1477)&lt;=Bidding!$D$11,Raw_hydro_bm!H1477,"")</f>
        <v/>
      </c>
      <c r="H1477" t="str">
        <f>IF(ROW(H1477)&lt;=Bidding!$D$11,Raw_hydro_bm!I1477,"")</f>
        <v/>
      </c>
      <c r="I1477" s="16" t="str">
        <f t="shared" si="23"/>
        <v/>
      </c>
    </row>
    <row r="1478" spans="1:9" x14ac:dyDescent="0.2">
      <c r="A1478" t="str">
        <f>IF(ROW(A1478)&lt;=Bidding!$D$11,Raw_hydro_bm!B1478,"")</f>
        <v/>
      </c>
      <c r="B1478" t="str">
        <f>IF(ROW(B1478)&lt;=Bidding!$D$11,Raw_hydro_bm!C1478,"")</f>
        <v/>
      </c>
      <c r="C1478" t="str">
        <f>IF(ROW(C1478)&lt;=Bidding!$D$11,Raw_hydro_bm!D1478,"")</f>
        <v/>
      </c>
      <c r="D1478" t="str">
        <f>IF(ROW(D1478)&lt;=Bidding!$D$11,Raw_hydro_bm!E1478,"")</f>
        <v/>
      </c>
      <c r="E1478" t="str">
        <f>IF(ROW(E1478)&lt;=Bidding!$D$11,Raw_hydro_bm!F1478,"")</f>
        <v/>
      </c>
      <c r="F1478" t="str">
        <f>IF(ROW(F1478)&lt;=Bidding!$D$11,Raw_hydro_bm!G1478,"")</f>
        <v/>
      </c>
      <c r="G1478" t="str">
        <f>IF(ROW(G1478)&lt;=Bidding!$D$11,Raw_hydro_bm!H1478,"")</f>
        <v/>
      </c>
      <c r="H1478" t="str">
        <f>IF(ROW(H1478)&lt;=Bidding!$D$11,Raw_hydro_bm!I1478,"")</f>
        <v/>
      </c>
      <c r="I1478" s="16" t="str">
        <f t="shared" si="23"/>
        <v/>
      </c>
    </row>
    <row r="1479" spans="1:9" x14ac:dyDescent="0.2">
      <c r="A1479" t="str">
        <f>IF(ROW(A1479)&lt;=Bidding!$D$11,Raw_hydro_bm!B1479,"")</f>
        <v/>
      </c>
      <c r="B1479" t="str">
        <f>IF(ROW(B1479)&lt;=Bidding!$D$11,Raw_hydro_bm!C1479,"")</f>
        <v/>
      </c>
      <c r="C1479" t="str">
        <f>IF(ROW(C1479)&lt;=Bidding!$D$11,Raw_hydro_bm!D1479,"")</f>
        <v/>
      </c>
      <c r="D1479" t="str">
        <f>IF(ROW(D1479)&lt;=Bidding!$D$11,Raw_hydro_bm!E1479,"")</f>
        <v/>
      </c>
      <c r="E1479" t="str">
        <f>IF(ROW(E1479)&lt;=Bidding!$D$11,Raw_hydro_bm!F1479,"")</f>
        <v/>
      </c>
      <c r="F1479" t="str">
        <f>IF(ROW(F1479)&lt;=Bidding!$D$11,Raw_hydro_bm!G1479,"")</f>
        <v/>
      </c>
      <c r="G1479" t="str">
        <f>IF(ROW(G1479)&lt;=Bidding!$D$11,Raw_hydro_bm!H1479,"")</f>
        <v/>
      </c>
      <c r="H1479" t="str">
        <f>IF(ROW(H1479)&lt;=Bidding!$D$11,Raw_hydro_bm!I1479,"")</f>
        <v/>
      </c>
      <c r="I1479" s="16" t="str">
        <f t="shared" si="23"/>
        <v/>
      </c>
    </row>
    <row r="1480" spans="1:9" x14ac:dyDescent="0.2">
      <c r="A1480" t="str">
        <f>IF(ROW(A1480)&lt;=Bidding!$D$11,Raw_hydro_bm!B1480,"")</f>
        <v/>
      </c>
      <c r="B1480" t="str">
        <f>IF(ROW(B1480)&lt;=Bidding!$D$11,Raw_hydro_bm!C1480,"")</f>
        <v/>
      </c>
      <c r="C1480" t="str">
        <f>IF(ROW(C1480)&lt;=Bidding!$D$11,Raw_hydro_bm!D1480,"")</f>
        <v/>
      </c>
      <c r="D1480" t="str">
        <f>IF(ROW(D1480)&lt;=Bidding!$D$11,Raw_hydro_bm!E1480,"")</f>
        <v/>
      </c>
      <c r="E1480" t="str">
        <f>IF(ROW(E1480)&lt;=Bidding!$D$11,Raw_hydro_bm!F1480,"")</f>
        <v/>
      </c>
      <c r="F1480" t="str">
        <f>IF(ROW(F1480)&lt;=Bidding!$D$11,Raw_hydro_bm!G1480,"")</f>
        <v/>
      </c>
      <c r="G1480" t="str">
        <f>IF(ROW(G1480)&lt;=Bidding!$D$11,Raw_hydro_bm!H1480,"")</f>
        <v/>
      </c>
      <c r="H1480" t="str">
        <f>IF(ROW(H1480)&lt;=Bidding!$D$11,Raw_hydro_bm!I1480,"")</f>
        <v/>
      </c>
      <c r="I1480" s="16" t="str">
        <f t="shared" si="23"/>
        <v/>
      </c>
    </row>
    <row r="1481" spans="1:9" x14ac:dyDescent="0.2">
      <c r="A1481" t="str">
        <f>IF(ROW(A1481)&lt;=Bidding!$D$11,Raw_hydro_bm!B1481,"")</f>
        <v/>
      </c>
      <c r="B1481" t="str">
        <f>IF(ROW(B1481)&lt;=Bidding!$D$11,Raw_hydro_bm!C1481,"")</f>
        <v/>
      </c>
      <c r="C1481" t="str">
        <f>IF(ROW(C1481)&lt;=Bidding!$D$11,Raw_hydro_bm!D1481,"")</f>
        <v/>
      </c>
      <c r="D1481" t="str">
        <f>IF(ROW(D1481)&lt;=Bidding!$D$11,Raw_hydro_bm!E1481,"")</f>
        <v/>
      </c>
      <c r="E1481" t="str">
        <f>IF(ROW(E1481)&lt;=Bidding!$D$11,Raw_hydro_bm!F1481,"")</f>
        <v/>
      </c>
      <c r="F1481" t="str">
        <f>IF(ROW(F1481)&lt;=Bidding!$D$11,Raw_hydro_bm!G1481,"")</f>
        <v/>
      </c>
      <c r="G1481" t="str">
        <f>IF(ROW(G1481)&lt;=Bidding!$D$11,Raw_hydro_bm!H1481,"")</f>
        <v/>
      </c>
      <c r="H1481" t="str">
        <f>IF(ROW(H1481)&lt;=Bidding!$D$11,Raw_hydro_bm!I1481,"")</f>
        <v/>
      </c>
      <c r="I1481" s="16" t="str">
        <f t="shared" si="23"/>
        <v/>
      </c>
    </row>
    <row r="1482" spans="1:9" x14ac:dyDescent="0.2">
      <c r="A1482" t="str">
        <f>IF(ROW(A1482)&lt;=Bidding!$D$11,Raw_hydro_bm!B1482,"")</f>
        <v/>
      </c>
      <c r="B1482" t="str">
        <f>IF(ROW(B1482)&lt;=Bidding!$D$11,Raw_hydro_bm!C1482,"")</f>
        <v/>
      </c>
      <c r="C1482" t="str">
        <f>IF(ROW(C1482)&lt;=Bidding!$D$11,Raw_hydro_bm!D1482,"")</f>
        <v/>
      </c>
      <c r="D1482" t="str">
        <f>IF(ROW(D1482)&lt;=Bidding!$D$11,Raw_hydro_bm!E1482,"")</f>
        <v/>
      </c>
      <c r="E1482" t="str">
        <f>IF(ROW(E1482)&lt;=Bidding!$D$11,Raw_hydro_bm!F1482,"")</f>
        <v/>
      </c>
      <c r="F1482" t="str">
        <f>IF(ROW(F1482)&lt;=Bidding!$D$11,Raw_hydro_bm!G1482,"")</f>
        <v/>
      </c>
      <c r="G1482" t="str">
        <f>IF(ROW(G1482)&lt;=Bidding!$D$11,Raw_hydro_bm!H1482,"")</f>
        <v/>
      </c>
      <c r="H1482" t="str">
        <f>IF(ROW(H1482)&lt;=Bidding!$D$11,Raw_hydro_bm!I1482,"")</f>
        <v/>
      </c>
      <c r="I1482" s="16" t="str">
        <f t="shared" si="23"/>
        <v/>
      </c>
    </row>
    <row r="1483" spans="1:9" x14ac:dyDescent="0.2">
      <c r="A1483" t="str">
        <f>IF(ROW(A1483)&lt;=Bidding!$D$11,Raw_hydro_bm!B1483,"")</f>
        <v/>
      </c>
      <c r="B1483" t="str">
        <f>IF(ROW(B1483)&lt;=Bidding!$D$11,Raw_hydro_bm!C1483,"")</f>
        <v/>
      </c>
      <c r="C1483" t="str">
        <f>IF(ROW(C1483)&lt;=Bidding!$D$11,Raw_hydro_bm!D1483,"")</f>
        <v/>
      </c>
      <c r="D1483" t="str">
        <f>IF(ROW(D1483)&lt;=Bidding!$D$11,Raw_hydro_bm!E1483,"")</f>
        <v/>
      </c>
      <c r="E1483" t="str">
        <f>IF(ROW(E1483)&lt;=Bidding!$D$11,Raw_hydro_bm!F1483,"")</f>
        <v/>
      </c>
      <c r="F1483" t="str">
        <f>IF(ROW(F1483)&lt;=Bidding!$D$11,Raw_hydro_bm!G1483,"")</f>
        <v/>
      </c>
      <c r="G1483" t="str">
        <f>IF(ROW(G1483)&lt;=Bidding!$D$11,Raw_hydro_bm!H1483,"")</f>
        <v/>
      </c>
      <c r="H1483" t="str">
        <f>IF(ROW(H1483)&lt;=Bidding!$D$11,Raw_hydro_bm!I1483,"")</f>
        <v/>
      </c>
      <c r="I1483" s="16" t="str">
        <f t="shared" si="23"/>
        <v/>
      </c>
    </row>
    <row r="1484" spans="1:9" x14ac:dyDescent="0.2">
      <c r="A1484" t="str">
        <f>IF(ROW(A1484)&lt;=Bidding!$D$11,Raw_hydro_bm!B1484,"")</f>
        <v/>
      </c>
      <c r="B1484" t="str">
        <f>IF(ROW(B1484)&lt;=Bidding!$D$11,Raw_hydro_bm!C1484,"")</f>
        <v/>
      </c>
      <c r="C1484" t="str">
        <f>IF(ROW(C1484)&lt;=Bidding!$D$11,Raw_hydro_bm!D1484,"")</f>
        <v/>
      </c>
      <c r="D1484" t="str">
        <f>IF(ROW(D1484)&lt;=Bidding!$D$11,Raw_hydro_bm!E1484,"")</f>
        <v/>
      </c>
      <c r="E1484" t="str">
        <f>IF(ROW(E1484)&lt;=Bidding!$D$11,Raw_hydro_bm!F1484,"")</f>
        <v/>
      </c>
      <c r="F1484" t="str">
        <f>IF(ROW(F1484)&lt;=Bidding!$D$11,Raw_hydro_bm!G1484,"")</f>
        <v/>
      </c>
      <c r="G1484" t="str">
        <f>IF(ROW(G1484)&lt;=Bidding!$D$11,Raw_hydro_bm!H1484,"")</f>
        <v/>
      </c>
      <c r="H1484" t="str">
        <f>IF(ROW(H1484)&lt;=Bidding!$D$11,Raw_hydro_bm!I1484,"")</f>
        <v/>
      </c>
      <c r="I1484" s="16" t="str">
        <f t="shared" si="23"/>
        <v/>
      </c>
    </row>
    <row r="1485" spans="1:9" x14ac:dyDescent="0.2">
      <c r="A1485" t="str">
        <f>IF(ROW(A1485)&lt;=Bidding!$D$11,Raw_hydro_bm!B1485,"")</f>
        <v/>
      </c>
      <c r="B1485" t="str">
        <f>IF(ROW(B1485)&lt;=Bidding!$D$11,Raw_hydro_bm!C1485,"")</f>
        <v/>
      </c>
      <c r="C1485" t="str">
        <f>IF(ROW(C1485)&lt;=Bidding!$D$11,Raw_hydro_bm!D1485,"")</f>
        <v/>
      </c>
      <c r="D1485" t="str">
        <f>IF(ROW(D1485)&lt;=Bidding!$D$11,Raw_hydro_bm!E1485,"")</f>
        <v/>
      </c>
      <c r="E1485" t="str">
        <f>IF(ROW(E1485)&lt;=Bidding!$D$11,Raw_hydro_bm!F1485,"")</f>
        <v/>
      </c>
      <c r="F1485" t="str">
        <f>IF(ROW(F1485)&lt;=Bidding!$D$11,Raw_hydro_bm!G1485,"")</f>
        <v/>
      </c>
      <c r="G1485" t="str">
        <f>IF(ROW(G1485)&lt;=Bidding!$D$11,Raw_hydro_bm!H1485,"")</f>
        <v/>
      </c>
      <c r="H1485" t="str">
        <f>IF(ROW(H1485)&lt;=Bidding!$D$11,Raw_hydro_bm!I1485,"")</f>
        <v/>
      </c>
      <c r="I1485" s="16" t="str">
        <f t="shared" si="23"/>
        <v/>
      </c>
    </row>
    <row r="1486" spans="1:9" x14ac:dyDescent="0.2">
      <c r="A1486" t="str">
        <f>IF(ROW(A1486)&lt;=Bidding!$D$11,Raw_hydro_bm!B1486,"")</f>
        <v/>
      </c>
      <c r="B1486" t="str">
        <f>IF(ROW(B1486)&lt;=Bidding!$D$11,Raw_hydro_bm!C1486,"")</f>
        <v/>
      </c>
      <c r="C1486" t="str">
        <f>IF(ROW(C1486)&lt;=Bidding!$D$11,Raw_hydro_bm!D1486,"")</f>
        <v/>
      </c>
      <c r="D1486" t="str">
        <f>IF(ROW(D1486)&lt;=Bidding!$D$11,Raw_hydro_bm!E1486,"")</f>
        <v/>
      </c>
      <c r="E1486" t="str">
        <f>IF(ROW(E1486)&lt;=Bidding!$D$11,Raw_hydro_bm!F1486,"")</f>
        <v/>
      </c>
      <c r="F1486" t="str">
        <f>IF(ROW(F1486)&lt;=Bidding!$D$11,Raw_hydro_bm!G1486,"")</f>
        <v/>
      </c>
      <c r="G1486" t="str">
        <f>IF(ROW(G1486)&lt;=Bidding!$D$11,Raw_hydro_bm!H1486,"")</f>
        <v/>
      </c>
      <c r="H1486" t="str">
        <f>IF(ROW(H1486)&lt;=Bidding!$D$11,Raw_hydro_bm!I1486,"")</f>
        <v/>
      </c>
      <c r="I1486" s="16" t="str">
        <f t="shared" si="23"/>
        <v/>
      </c>
    </row>
    <row r="1487" spans="1:9" x14ac:dyDescent="0.2">
      <c r="A1487" t="str">
        <f>IF(ROW(A1487)&lt;=Bidding!$D$11,Raw_hydro_bm!B1487,"")</f>
        <v/>
      </c>
      <c r="B1487" t="str">
        <f>IF(ROW(B1487)&lt;=Bidding!$D$11,Raw_hydro_bm!C1487,"")</f>
        <v/>
      </c>
      <c r="C1487" t="str">
        <f>IF(ROW(C1487)&lt;=Bidding!$D$11,Raw_hydro_bm!D1487,"")</f>
        <v/>
      </c>
      <c r="D1487" t="str">
        <f>IF(ROW(D1487)&lt;=Bidding!$D$11,Raw_hydro_bm!E1487,"")</f>
        <v/>
      </c>
      <c r="E1487" t="str">
        <f>IF(ROW(E1487)&lt;=Bidding!$D$11,Raw_hydro_bm!F1487,"")</f>
        <v/>
      </c>
      <c r="F1487" t="str">
        <f>IF(ROW(F1487)&lt;=Bidding!$D$11,Raw_hydro_bm!G1487,"")</f>
        <v/>
      </c>
      <c r="G1487" t="str">
        <f>IF(ROW(G1487)&lt;=Bidding!$D$11,Raw_hydro_bm!H1487,"")</f>
        <v/>
      </c>
      <c r="H1487" t="str">
        <f>IF(ROW(H1487)&lt;=Bidding!$D$11,Raw_hydro_bm!I1487,"")</f>
        <v/>
      </c>
      <c r="I1487" s="16" t="str">
        <f t="shared" si="23"/>
        <v/>
      </c>
    </row>
    <row r="1488" spans="1:9" x14ac:dyDescent="0.2">
      <c r="A1488" t="str">
        <f>IF(ROW(A1488)&lt;=Bidding!$D$11,Raw_hydro_bm!B1488,"")</f>
        <v/>
      </c>
      <c r="B1488" t="str">
        <f>IF(ROW(B1488)&lt;=Bidding!$D$11,Raw_hydro_bm!C1488,"")</f>
        <v/>
      </c>
      <c r="C1488" t="str">
        <f>IF(ROW(C1488)&lt;=Bidding!$D$11,Raw_hydro_bm!D1488,"")</f>
        <v/>
      </c>
      <c r="D1488" t="str">
        <f>IF(ROW(D1488)&lt;=Bidding!$D$11,Raw_hydro_bm!E1488,"")</f>
        <v/>
      </c>
      <c r="E1488" t="str">
        <f>IF(ROW(E1488)&lt;=Bidding!$D$11,Raw_hydro_bm!F1488,"")</f>
        <v/>
      </c>
      <c r="F1488" t="str">
        <f>IF(ROW(F1488)&lt;=Bidding!$D$11,Raw_hydro_bm!G1488,"")</f>
        <v/>
      </c>
      <c r="G1488" t="str">
        <f>IF(ROW(G1488)&lt;=Bidding!$D$11,Raw_hydro_bm!H1488,"")</f>
        <v/>
      </c>
      <c r="H1488" t="str">
        <f>IF(ROW(H1488)&lt;=Bidding!$D$11,Raw_hydro_bm!I1488,"")</f>
        <v/>
      </c>
      <c r="I1488" s="16" t="str">
        <f t="shared" si="23"/>
        <v/>
      </c>
    </row>
    <row r="1489" spans="1:9" x14ac:dyDescent="0.2">
      <c r="A1489" t="str">
        <f>IF(ROW(A1489)&lt;=Bidding!$D$11,Raw_hydro_bm!B1489,"")</f>
        <v/>
      </c>
      <c r="B1489" t="str">
        <f>IF(ROW(B1489)&lt;=Bidding!$D$11,Raw_hydro_bm!C1489,"")</f>
        <v/>
      </c>
      <c r="C1489" t="str">
        <f>IF(ROW(C1489)&lt;=Bidding!$D$11,Raw_hydro_bm!D1489,"")</f>
        <v/>
      </c>
      <c r="D1489" t="str">
        <f>IF(ROW(D1489)&lt;=Bidding!$D$11,Raw_hydro_bm!E1489,"")</f>
        <v/>
      </c>
      <c r="E1489" t="str">
        <f>IF(ROW(E1489)&lt;=Bidding!$D$11,Raw_hydro_bm!F1489,"")</f>
        <v/>
      </c>
      <c r="F1489" t="str">
        <f>IF(ROW(F1489)&lt;=Bidding!$D$11,Raw_hydro_bm!G1489,"")</f>
        <v/>
      </c>
      <c r="G1489" t="str">
        <f>IF(ROW(G1489)&lt;=Bidding!$D$11,Raw_hydro_bm!H1489,"")</f>
        <v/>
      </c>
      <c r="H1489" t="str">
        <f>IF(ROW(H1489)&lt;=Bidding!$D$11,Raw_hydro_bm!I1489,"")</f>
        <v/>
      </c>
      <c r="I1489" s="16" t="str">
        <f t="shared" si="23"/>
        <v/>
      </c>
    </row>
    <row r="1490" spans="1:9" x14ac:dyDescent="0.2">
      <c r="A1490" t="str">
        <f>IF(ROW(A1490)&lt;=Bidding!$D$11,Raw_hydro_bm!B1490,"")</f>
        <v/>
      </c>
      <c r="B1490" t="str">
        <f>IF(ROW(B1490)&lt;=Bidding!$D$11,Raw_hydro_bm!C1490,"")</f>
        <v/>
      </c>
      <c r="C1490" t="str">
        <f>IF(ROW(C1490)&lt;=Bidding!$D$11,Raw_hydro_bm!D1490,"")</f>
        <v/>
      </c>
      <c r="D1490" t="str">
        <f>IF(ROW(D1490)&lt;=Bidding!$D$11,Raw_hydro_bm!E1490,"")</f>
        <v/>
      </c>
      <c r="E1490" t="str">
        <f>IF(ROW(E1490)&lt;=Bidding!$D$11,Raw_hydro_bm!F1490,"")</f>
        <v/>
      </c>
      <c r="F1490" t="str">
        <f>IF(ROW(F1490)&lt;=Bidding!$D$11,Raw_hydro_bm!G1490,"")</f>
        <v/>
      </c>
      <c r="G1490" t="str">
        <f>IF(ROW(G1490)&lt;=Bidding!$D$11,Raw_hydro_bm!H1490,"")</f>
        <v/>
      </c>
      <c r="H1490" t="str">
        <f>IF(ROW(H1490)&lt;=Bidding!$D$11,Raw_hydro_bm!I1490,"")</f>
        <v/>
      </c>
      <c r="I1490" s="16" t="str">
        <f t="shared" si="23"/>
        <v/>
      </c>
    </row>
    <row r="1491" spans="1:9" x14ac:dyDescent="0.2">
      <c r="A1491" t="str">
        <f>IF(ROW(A1491)&lt;=Bidding!$D$11,Raw_hydro_bm!B1491,"")</f>
        <v/>
      </c>
      <c r="B1491" t="str">
        <f>IF(ROW(B1491)&lt;=Bidding!$D$11,Raw_hydro_bm!C1491,"")</f>
        <v/>
      </c>
      <c r="C1491" t="str">
        <f>IF(ROW(C1491)&lt;=Bidding!$D$11,Raw_hydro_bm!D1491,"")</f>
        <v/>
      </c>
      <c r="D1491" t="str">
        <f>IF(ROW(D1491)&lt;=Bidding!$D$11,Raw_hydro_bm!E1491,"")</f>
        <v/>
      </c>
      <c r="E1491" t="str">
        <f>IF(ROW(E1491)&lt;=Bidding!$D$11,Raw_hydro_bm!F1491,"")</f>
        <v/>
      </c>
      <c r="F1491" t="str">
        <f>IF(ROW(F1491)&lt;=Bidding!$D$11,Raw_hydro_bm!G1491,"")</f>
        <v/>
      </c>
      <c r="G1491" t="str">
        <f>IF(ROW(G1491)&lt;=Bidding!$D$11,Raw_hydro_bm!H1491,"")</f>
        <v/>
      </c>
      <c r="H1491" t="str">
        <f>IF(ROW(H1491)&lt;=Bidding!$D$11,Raw_hydro_bm!I1491,"")</f>
        <v/>
      </c>
      <c r="I1491" s="16" t="str">
        <f t="shared" si="23"/>
        <v/>
      </c>
    </row>
    <row r="1492" spans="1:9" x14ac:dyDescent="0.2">
      <c r="A1492" t="str">
        <f>IF(ROW(A1492)&lt;=Bidding!$D$11,Raw_hydro_bm!B1492,"")</f>
        <v/>
      </c>
      <c r="B1492" t="str">
        <f>IF(ROW(B1492)&lt;=Bidding!$D$11,Raw_hydro_bm!C1492,"")</f>
        <v/>
      </c>
      <c r="C1492" t="str">
        <f>IF(ROW(C1492)&lt;=Bidding!$D$11,Raw_hydro_bm!D1492,"")</f>
        <v/>
      </c>
      <c r="D1492" t="str">
        <f>IF(ROW(D1492)&lt;=Bidding!$D$11,Raw_hydro_bm!E1492,"")</f>
        <v/>
      </c>
      <c r="E1492" t="str">
        <f>IF(ROW(E1492)&lt;=Bidding!$D$11,Raw_hydro_bm!F1492,"")</f>
        <v/>
      </c>
      <c r="F1492" t="str">
        <f>IF(ROW(F1492)&lt;=Bidding!$D$11,Raw_hydro_bm!G1492,"")</f>
        <v/>
      </c>
      <c r="G1492" t="str">
        <f>IF(ROW(G1492)&lt;=Bidding!$D$11,Raw_hydro_bm!H1492,"")</f>
        <v/>
      </c>
      <c r="H1492" t="str">
        <f>IF(ROW(H1492)&lt;=Bidding!$D$11,Raw_hydro_bm!I1492,"")</f>
        <v/>
      </c>
      <c r="I1492" s="16" t="str">
        <f t="shared" si="23"/>
        <v/>
      </c>
    </row>
    <row r="1493" spans="1:9" x14ac:dyDescent="0.2">
      <c r="A1493" t="str">
        <f>IF(ROW(A1493)&lt;=Bidding!$D$11,Raw_hydro_bm!B1493,"")</f>
        <v/>
      </c>
      <c r="B1493" t="str">
        <f>IF(ROW(B1493)&lt;=Bidding!$D$11,Raw_hydro_bm!C1493,"")</f>
        <v/>
      </c>
      <c r="C1493" t="str">
        <f>IF(ROW(C1493)&lt;=Bidding!$D$11,Raw_hydro_bm!D1493,"")</f>
        <v/>
      </c>
      <c r="D1493" t="str">
        <f>IF(ROW(D1493)&lt;=Bidding!$D$11,Raw_hydro_bm!E1493,"")</f>
        <v/>
      </c>
      <c r="E1493" t="str">
        <f>IF(ROW(E1493)&lt;=Bidding!$D$11,Raw_hydro_bm!F1493,"")</f>
        <v/>
      </c>
      <c r="F1493" t="str">
        <f>IF(ROW(F1493)&lt;=Bidding!$D$11,Raw_hydro_bm!G1493,"")</f>
        <v/>
      </c>
      <c r="G1493" t="str">
        <f>IF(ROW(G1493)&lt;=Bidding!$D$11,Raw_hydro_bm!H1493,"")</f>
        <v/>
      </c>
      <c r="H1493" t="str">
        <f>IF(ROW(H1493)&lt;=Bidding!$D$11,Raw_hydro_bm!I1493,"")</f>
        <v/>
      </c>
      <c r="I1493" s="16" t="str">
        <f t="shared" si="23"/>
        <v/>
      </c>
    </row>
    <row r="1494" spans="1:9" x14ac:dyDescent="0.2">
      <c r="A1494" t="str">
        <f>IF(ROW(A1494)&lt;=Bidding!$D$11,Raw_hydro_bm!B1494,"")</f>
        <v/>
      </c>
      <c r="B1494" t="str">
        <f>IF(ROW(B1494)&lt;=Bidding!$D$11,Raw_hydro_bm!C1494,"")</f>
        <v/>
      </c>
      <c r="C1494" t="str">
        <f>IF(ROW(C1494)&lt;=Bidding!$D$11,Raw_hydro_bm!D1494,"")</f>
        <v/>
      </c>
      <c r="D1494" t="str">
        <f>IF(ROW(D1494)&lt;=Bidding!$D$11,Raw_hydro_bm!E1494,"")</f>
        <v/>
      </c>
      <c r="E1494" t="str">
        <f>IF(ROW(E1494)&lt;=Bidding!$D$11,Raw_hydro_bm!F1494,"")</f>
        <v/>
      </c>
      <c r="F1494" t="str">
        <f>IF(ROW(F1494)&lt;=Bidding!$D$11,Raw_hydro_bm!G1494,"")</f>
        <v/>
      </c>
      <c r="G1494" t="str">
        <f>IF(ROW(G1494)&lt;=Bidding!$D$11,Raw_hydro_bm!H1494,"")</f>
        <v/>
      </c>
      <c r="H1494" t="str">
        <f>IF(ROW(H1494)&lt;=Bidding!$D$11,Raw_hydro_bm!I1494,"")</f>
        <v/>
      </c>
      <c r="I1494" s="16" t="str">
        <f t="shared" si="23"/>
        <v/>
      </c>
    </row>
    <row r="1495" spans="1:9" x14ac:dyDescent="0.2">
      <c r="A1495" t="str">
        <f>IF(ROW(A1495)&lt;=Bidding!$D$11,Raw_hydro_bm!B1495,"")</f>
        <v/>
      </c>
      <c r="B1495" t="str">
        <f>IF(ROW(B1495)&lt;=Bidding!$D$11,Raw_hydro_bm!C1495,"")</f>
        <v/>
      </c>
      <c r="C1495" t="str">
        <f>IF(ROW(C1495)&lt;=Bidding!$D$11,Raw_hydro_bm!D1495,"")</f>
        <v/>
      </c>
      <c r="D1495" t="str">
        <f>IF(ROW(D1495)&lt;=Bidding!$D$11,Raw_hydro_bm!E1495,"")</f>
        <v/>
      </c>
      <c r="E1495" t="str">
        <f>IF(ROW(E1495)&lt;=Bidding!$D$11,Raw_hydro_bm!F1495,"")</f>
        <v/>
      </c>
      <c r="F1495" t="str">
        <f>IF(ROW(F1495)&lt;=Bidding!$D$11,Raw_hydro_bm!G1495,"")</f>
        <v/>
      </c>
      <c r="G1495" t="str">
        <f>IF(ROW(G1495)&lt;=Bidding!$D$11,Raw_hydro_bm!H1495,"")</f>
        <v/>
      </c>
      <c r="H1495" t="str">
        <f>IF(ROW(H1495)&lt;=Bidding!$D$11,Raw_hydro_bm!I1495,"")</f>
        <v/>
      </c>
      <c r="I1495" s="16" t="str">
        <f t="shared" si="23"/>
        <v/>
      </c>
    </row>
    <row r="1496" spans="1:9" x14ac:dyDescent="0.2">
      <c r="A1496" t="str">
        <f>IF(ROW(A1496)&lt;=Bidding!$D$11,Raw_hydro_bm!B1496,"")</f>
        <v/>
      </c>
      <c r="B1496" t="str">
        <f>IF(ROW(B1496)&lt;=Bidding!$D$11,Raw_hydro_bm!C1496,"")</f>
        <v/>
      </c>
      <c r="C1496" t="str">
        <f>IF(ROW(C1496)&lt;=Bidding!$D$11,Raw_hydro_bm!D1496,"")</f>
        <v/>
      </c>
      <c r="D1496" t="str">
        <f>IF(ROW(D1496)&lt;=Bidding!$D$11,Raw_hydro_bm!E1496,"")</f>
        <v/>
      </c>
      <c r="E1496" t="str">
        <f>IF(ROW(E1496)&lt;=Bidding!$D$11,Raw_hydro_bm!F1496,"")</f>
        <v/>
      </c>
      <c r="F1496" t="str">
        <f>IF(ROW(F1496)&lt;=Bidding!$D$11,Raw_hydro_bm!G1496,"")</f>
        <v/>
      </c>
      <c r="G1496" t="str">
        <f>IF(ROW(G1496)&lt;=Bidding!$D$11,Raw_hydro_bm!H1496,"")</f>
        <v/>
      </c>
      <c r="H1496" t="str">
        <f>IF(ROW(H1496)&lt;=Bidding!$D$11,Raw_hydro_bm!I1496,"")</f>
        <v/>
      </c>
      <c r="I1496" s="16" t="str">
        <f t="shared" si="23"/>
        <v/>
      </c>
    </row>
    <row r="1497" spans="1:9" x14ac:dyDescent="0.2">
      <c r="A1497" t="str">
        <f>IF(ROW(A1497)&lt;=Bidding!$D$11,Raw_hydro_bm!B1497,"")</f>
        <v/>
      </c>
      <c r="B1497" t="str">
        <f>IF(ROW(B1497)&lt;=Bidding!$D$11,Raw_hydro_bm!C1497,"")</f>
        <v/>
      </c>
      <c r="C1497" t="str">
        <f>IF(ROW(C1497)&lt;=Bidding!$D$11,Raw_hydro_bm!D1497,"")</f>
        <v/>
      </c>
      <c r="D1497" t="str">
        <f>IF(ROW(D1497)&lt;=Bidding!$D$11,Raw_hydro_bm!E1497,"")</f>
        <v/>
      </c>
      <c r="E1497" t="str">
        <f>IF(ROW(E1497)&lt;=Bidding!$D$11,Raw_hydro_bm!F1497,"")</f>
        <v/>
      </c>
      <c r="F1497" t="str">
        <f>IF(ROW(F1497)&lt;=Bidding!$D$11,Raw_hydro_bm!G1497,"")</f>
        <v/>
      </c>
      <c r="G1497" t="str">
        <f>IF(ROW(G1497)&lt;=Bidding!$D$11,Raw_hydro_bm!H1497,"")</f>
        <v/>
      </c>
      <c r="H1497" t="str">
        <f>IF(ROW(H1497)&lt;=Bidding!$D$11,Raw_hydro_bm!I1497,"")</f>
        <v/>
      </c>
      <c r="I1497" s="16" t="str">
        <f t="shared" si="23"/>
        <v/>
      </c>
    </row>
    <row r="1498" spans="1:9" x14ac:dyDescent="0.2">
      <c r="A1498" t="str">
        <f>IF(ROW(A1498)&lt;=Bidding!$D$11,Raw_hydro_bm!B1498,"")</f>
        <v/>
      </c>
      <c r="B1498" t="str">
        <f>IF(ROW(B1498)&lt;=Bidding!$D$11,Raw_hydro_bm!C1498,"")</f>
        <v/>
      </c>
      <c r="C1498" t="str">
        <f>IF(ROW(C1498)&lt;=Bidding!$D$11,Raw_hydro_bm!D1498,"")</f>
        <v/>
      </c>
      <c r="D1498" t="str">
        <f>IF(ROW(D1498)&lt;=Bidding!$D$11,Raw_hydro_bm!E1498,"")</f>
        <v/>
      </c>
      <c r="E1498" t="str">
        <f>IF(ROW(E1498)&lt;=Bidding!$D$11,Raw_hydro_bm!F1498,"")</f>
        <v/>
      </c>
      <c r="F1498" t="str">
        <f>IF(ROW(F1498)&lt;=Bidding!$D$11,Raw_hydro_bm!G1498,"")</f>
        <v/>
      </c>
      <c r="G1498" t="str">
        <f>IF(ROW(G1498)&lt;=Bidding!$D$11,Raw_hydro_bm!H1498,"")</f>
        <v/>
      </c>
      <c r="H1498" t="str">
        <f>IF(ROW(H1498)&lt;=Bidding!$D$11,Raw_hydro_bm!I1498,"")</f>
        <v/>
      </c>
      <c r="I1498" s="16" t="str">
        <f t="shared" si="23"/>
        <v/>
      </c>
    </row>
    <row r="1499" spans="1:9" x14ac:dyDescent="0.2">
      <c r="A1499" t="str">
        <f>IF(ROW(A1499)&lt;=Bidding!$D$11,Raw_hydro_bm!B1499,"")</f>
        <v/>
      </c>
      <c r="B1499" t="str">
        <f>IF(ROW(B1499)&lt;=Bidding!$D$11,Raw_hydro_bm!C1499,"")</f>
        <v/>
      </c>
      <c r="C1499" t="str">
        <f>IF(ROW(C1499)&lt;=Bidding!$D$11,Raw_hydro_bm!D1499,"")</f>
        <v/>
      </c>
      <c r="D1499" t="str">
        <f>IF(ROW(D1499)&lt;=Bidding!$D$11,Raw_hydro_bm!E1499,"")</f>
        <v/>
      </c>
      <c r="E1499" t="str">
        <f>IF(ROW(E1499)&lt;=Bidding!$D$11,Raw_hydro_bm!F1499,"")</f>
        <v/>
      </c>
      <c r="F1499" t="str">
        <f>IF(ROW(F1499)&lt;=Bidding!$D$11,Raw_hydro_bm!G1499,"")</f>
        <v/>
      </c>
      <c r="G1499" t="str">
        <f>IF(ROW(G1499)&lt;=Bidding!$D$11,Raw_hydro_bm!H1499,"")</f>
        <v/>
      </c>
      <c r="H1499" t="str">
        <f>IF(ROW(H1499)&lt;=Bidding!$D$11,Raw_hydro_bm!I1499,"")</f>
        <v/>
      </c>
      <c r="I1499" s="16" t="str">
        <f t="shared" si="23"/>
        <v/>
      </c>
    </row>
    <row r="1500" spans="1:9" x14ac:dyDescent="0.2">
      <c r="A1500" t="str">
        <f>IF(ROW(A1500)&lt;=Bidding!$D$11,Raw_hydro_bm!B1500,"")</f>
        <v/>
      </c>
      <c r="B1500" t="str">
        <f>IF(ROW(B1500)&lt;=Bidding!$D$11,Raw_hydro_bm!C1500,"")</f>
        <v/>
      </c>
      <c r="C1500" t="str">
        <f>IF(ROW(C1500)&lt;=Bidding!$D$11,Raw_hydro_bm!D1500,"")</f>
        <v/>
      </c>
      <c r="D1500" t="str">
        <f>IF(ROW(D1500)&lt;=Bidding!$D$11,Raw_hydro_bm!E1500,"")</f>
        <v/>
      </c>
      <c r="E1500" t="str">
        <f>IF(ROW(E1500)&lt;=Bidding!$D$11,Raw_hydro_bm!F1500,"")</f>
        <v/>
      </c>
      <c r="F1500" t="str">
        <f>IF(ROW(F1500)&lt;=Bidding!$D$11,Raw_hydro_bm!G1500,"")</f>
        <v/>
      </c>
      <c r="G1500" t="str">
        <f>IF(ROW(G1500)&lt;=Bidding!$D$11,Raw_hydro_bm!H1500,"")</f>
        <v/>
      </c>
      <c r="H1500" t="str">
        <f>IF(ROW(H1500)&lt;=Bidding!$D$11,Raw_hydro_bm!I1500,"")</f>
        <v/>
      </c>
      <c r="I1500" s="16" t="str">
        <f t="shared" si="23"/>
        <v/>
      </c>
    </row>
    <row r="1501" spans="1:9" x14ac:dyDescent="0.2">
      <c r="A1501" t="str">
        <f>IF(ROW(A1501)&lt;=Bidding!$D$11,Raw_hydro_bm!B1501,"")</f>
        <v/>
      </c>
      <c r="B1501" t="str">
        <f>IF(ROW(B1501)&lt;=Bidding!$D$11,Raw_hydro_bm!C1501,"")</f>
        <v/>
      </c>
      <c r="C1501" t="str">
        <f>IF(ROW(C1501)&lt;=Bidding!$D$11,Raw_hydro_bm!D1501,"")</f>
        <v/>
      </c>
      <c r="D1501" t="str">
        <f>IF(ROW(D1501)&lt;=Bidding!$D$11,Raw_hydro_bm!E1501,"")</f>
        <v/>
      </c>
      <c r="E1501" t="str">
        <f>IF(ROW(E1501)&lt;=Bidding!$D$11,Raw_hydro_bm!F1501,"")</f>
        <v/>
      </c>
      <c r="F1501" t="str">
        <f>IF(ROW(F1501)&lt;=Bidding!$D$11,Raw_hydro_bm!G1501,"")</f>
        <v/>
      </c>
      <c r="G1501" t="str">
        <f>IF(ROW(G1501)&lt;=Bidding!$D$11,Raw_hydro_bm!H1501,"")</f>
        <v/>
      </c>
      <c r="H1501" t="str">
        <f>IF(ROW(H1501)&lt;=Bidding!$D$11,Raw_hydro_bm!I1501,"")</f>
        <v/>
      </c>
      <c r="I1501" s="16" t="str">
        <f t="shared" si="23"/>
        <v/>
      </c>
    </row>
    <row r="1502" spans="1:9" x14ac:dyDescent="0.2">
      <c r="A1502" t="str">
        <f>IF(ROW(A1502)&lt;=Bidding!$D$11,Raw_hydro_bm!B1502,"")</f>
        <v/>
      </c>
      <c r="B1502" t="str">
        <f>IF(ROW(B1502)&lt;=Bidding!$D$11,Raw_hydro_bm!C1502,"")</f>
        <v/>
      </c>
      <c r="C1502" t="str">
        <f>IF(ROW(C1502)&lt;=Bidding!$D$11,Raw_hydro_bm!D1502,"")</f>
        <v/>
      </c>
      <c r="D1502" t="str">
        <f>IF(ROW(D1502)&lt;=Bidding!$D$11,Raw_hydro_bm!E1502,"")</f>
        <v/>
      </c>
      <c r="E1502" t="str">
        <f>IF(ROW(E1502)&lt;=Bidding!$D$11,Raw_hydro_bm!F1502,"")</f>
        <v/>
      </c>
      <c r="F1502" t="str">
        <f>IF(ROW(F1502)&lt;=Bidding!$D$11,Raw_hydro_bm!G1502,"")</f>
        <v/>
      </c>
      <c r="G1502" t="str">
        <f>IF(ROW(G1502)&lt;=Bidding!$D$11,Raw_hydro_bm!H1502,"")</f>
        <v/>
      </c>
      <c r="H1502" t="str">
        <f>IF(ROW(H1502)&lt;=Bidding!$D$11,Raw_hydro_bm!I1502,"")</f>
        <v/>
      </c>
      <c r="I1502" s="16" t="str">
        <f t="shared" si="23"/>
        <v/>
      </c>
    </row>
    <row r="1503" spans="1:9" x14ac:dyDescent="0.2">
      <c r="A1503" t="str">
        <f>IF(ROW(A1503)&lt;=Bidding!$D$11,Raw_hydro_bm!B1503,"")</f>
        <v/>
      </c>
      <c r="B1503" t="str">
        <f>IF(ROW(B1503)&lt;=Bidding!$D$11,Raw_hydro_bm!C1503,"")</f>
        <v/>
      </c>
      <c r="C1503" t="str">
        <f>IF(ROW(C1503)&lt;=Bidding!$D$11,Raw_hydro_bm!D1503,"")</f>
        <v/>
      </c>
      <c r="D1503" t="str">
        <f>IF(ROW(D1503)&lt;=Bidding!$D$11,Raw_hydro_bm!E1503,"")</f>
        <v/>
      </c>
      <c r="E1503" t="str">
        <f>IF(ROW(E1503)&lt;=Bidding!$D$11,Raw_hydro_bm!F1503,"")</f>
        <v/>
      </c>
      <c r="F1503" t="str">
        <f>IF(ROW(F1503)&lt;=Bidding!$D$11,Raw_hydro_bm!G1503,"")</f>
        <v/>
      </c>
      <c r="G1503" t="str">
        <f>IF(ROW(G1503)&lt;=Bidding!$D$11,Raw_hydro_bm!H1503,"")</f>
        <v/>
      </c>
      <c r="H1503" t="str">
        <f>IF(ROW(H1503)&lt;=Bidding!$D$11,Raw_hydro_bm!I1503,"")</f>
        <v/>
      </c>
      <c r="I1503" s="16" t="str">
        <f t="shared" si="23"/>
        <v/>
      </c>
    </row>
    <row r="1504" spans="1:9" x14ac:dyDescent="0.2">
      <c r="A1504" t="str">
        <f>IF(ROW(A1504)&lt;=Bidding!$D$11,Raw_hydro_bm!B1504,"")</f>
        <v/>
      </c>
      <c r="B1504" t="str">
        <f>IF(ROW(B1504)&lt;=Bidding!$D$11,Raw_hydro_bm!C1504,"")</f>
        <v/>
      </c>
      <c r="C1504" t="str">
        <f>IF(ROW(C1504)&lt;=Bidding!$D$11,Raw_hydro_bm!D1504,"")</f>
        <v/>
      </c>
      <c r="D1504" t="str">
        <f>IF(ROW(D1504)&lt;=Bidding!$D$11,Raw_hydro_bm!E1504,"")</f>
        <v/>
      </c>
      <c r="E1504" t="str">
        <f>IF(ROW(E1504)&lt;=Bidding!$D$11,Raw_hydro_bm!F1504,"")</f>
        <v/>
      </c>
      <c r="F1504" t="str">
        <f>IF(ROW(F1504)&lt;=Bidding!$D$11,Raw_hydro_bm!G1504,"")</f>
        <v/>
      </c>
      <c r="G1504" t="str">
        <f>IF(ROW(G1504)&lt;=Bidding!$D$11,Raw_hydro_bm!H1504,"")</f>
        <v/>
      </c>
      <c r="H1504" t="str">
        <f>IF(ROW(H1504)&lt;=Bidding!$D$11,Raw_hydro_bm!I1504,"")</f>
        <v/>
      </c>
      <c r="I1504" s="16" t="str">
        <f t="shared" si="23"/>
        <v/>
      </c>
    </row>
    <row r="1505" spans="1:9" x14ac:dyDescent="0.2">
      <c r="A1505" t="str">
        <f>IF(ROW(A1505)&lt;=Bidding!$D$11,Raw_hydro_bm!B1505,"")</f>
        <v/>
      </c>
      <c r="B1505" t="str">
        <f>IF(ROW(B1505)&lt;=Bidding!$D$11,Raw_hydro_bm!C1505,"")</f>
        <v/>
      </c>
      <c r="C1505" t="str">
        <f>IF(ROW(C1505)&lt;=Bidding!$D$11,Raw_hydro_bm!D1505,"")</f>
        <v/>
      </c>
      <c r="D1505" t="str">
        <f>IF(ROW(D1505)&lt;=Bidding!$D$11,Raw_hydro_bm!E1505,"")</f>
        <v/>
      </c>
      <c r="E1505" t="str">
        <f>IF(ROW(E1505)&lt;=Bidding!$D$11,Raw_hydro_bm!F1505,"")</f>
        <v/>
      </c>
      <c r="F1505" t="str">
        <f>IF(ROW(F1505)&lt;=Bidding!$D$11,Raw_hydro_bm!G1505,"")</f>
        <v/>
      </c>
      <c r="G1505" t="str">
        <f>IF(ROW(G1505)&lt;=Bidding!$D$11,Raw_hydro_bm!H1505,"")</f>
        <v/>
      </c>
      <c r="H1505" t="str">
        <f>IF(ROW(H1505)&lt;=Bidding!$D$11,Raw_hydro_bm!I1505,"")</f>
        <v/>
      </c>
      <c r="I1505" s="16" t="str">
        <f t="shared" si="23"/>
        <v/>
      </c>
    </row>
    <row r="1506" spans="1:9" x14ac:dyDescent="0.2">
      <c r="A1506" t="str">
        <f>IF(ROW(A1506)&lt;=Bidding!$D$11,Raw_hydro_bm!B1506,"")</f>
        <v/>
      </c>
      <c r="B1506" t="str">
        <f>IF(ROW(B1506)&lt;=Bidding!$D$11,Raw_hydro_bm!C1506,"")</f>
        <v/>
      </c>
      <c r="C1506" t="str">
        <f>IF(ROW(C1506)&lt;=Bidding!$D$11,Raw_hydro_bm!D1506,"")</f>
        <v/>
      </c>
      <c r="D1506" t="str">
        <f>IF(ROW(D1506)&lt;=Bidding!$D$11,Raw_hydro_bm!E1506,"")</f>
        <v/>
      </c>
      <c r="E1506" t="str">
        <f>IF(ROW(E1506)&lt;=Bidding!$D$11,Raw_hydro_bm!F1506,"")</f>
        <v/>
      </c>
      <c r="F1506" t="str">
        <f>IF(ROW(F1506)&lt;=Bidding!$D$11,Raw_hydro_bm!G1506,"")</f>
        <v/>
      </c>
      <c r="G1506" t="str">
        <f>IF(ROW(G1506)&lt;=Bidding!$D$11,Raw_hydro_bm!H1506,"")</f>
        <v/>
      </c>
      <c r="H1506" t="str">
        <f>IF(ROW(H1506)&lt;=Bidding!$D$11,Raw_hydro_bm!I1506,"")</f>
        <v/>
      </c>
      <c r="I1506" s="16" t="str">
        <f t="shared" si="23"/>
        <v/>
      </c>
    </row>
    <row r="1507" spans="1:9" x14ac:dyDescent="0.2">
      <c r="A1507" t="str">
        <f>IF(ROW(A1507)&lt;=Bidding!$D$11,Raw_hydro_bm!B1507,"")</f>
        <v/>
      </c>
      <c r="B1507" t="str">
        <f>IF(ROW(B1507)&lt;=Bidding!$D$11,Raw_hydro_bm!C1507,"")</f>
        <v/>
      </c>
      <c r="C1507" t="str">
        <f>IF(ROW(C1507)&lt;=Bidding!$D$11,Raw_hydro_bm!D1507,"")</f>
        <v/>
      </c>
      <c r="D1507" t="str">
        <f>IF(ROW(D1507)&lt;=Bidding!$D$11,Raw_hydro_bm!E1507,"")</f>
        <v/>
      </c>
      <c r="E1507" t="str">
        <f>IF(ROW(E1507)&lt;=Bidding!$D$11,Raw_hydro_bm!F1507,"")</f>
        <v/>
      </c>
      <c r="F1507" t="str">
        <f>IF(ROW(F1507)&lt;=Bidding!$D$11,Raw_hydro_bm!G1507,"")</f>
        <v/>
      </c>
      <c r="G1507" t="str">
        <f>IF(ROW(G1507)&lt;=Bidding!$D$11,Raw_hydro_bm!H1507,"")</f>
        <v/>
      </c>
      <c r="H1507" t="str">
        <f>IF(ROW(H1507)&lt;=Bidding!$D$11,Raw_hydro_bm!I1507,"")</f>
        <v/>
      </c>
      <c r="I1507" s="16" t="str">
        <f t="shared" si="23"/>
        <v/>
      </c>
    </row>
    <row r="1508" spans="1:9" x14ac:dyDescent="0.2">
      <c r="A1508" t="str">
        <f>IF(ROW(A1508)&lt;=Bidding!$D$11,Raw_hydro_bm!B1508,"")</f>
        <v/>
      </c>
      <c r="B1508" t="str">
        <f>IF(ROW(B1508)&lt;=Bidding!$D$11,Raw_hydro_bm!C1508,"")</f>
        <v/>
      </c>
      <c r="C1508" t="str">
        <f>IF(ROW(C1508)&lt;=Bidding!$D$11,Raw_hydro_bm!D1508,"")</f>
        <v/>
      </c>
      <c r="D1508" t="str">
        <f>IF(ROW(D1508)&lt;=Bidding!$D$11,Raw_hydro_bm!E1508,"")</f>
        <v/>
      </c>
      <c r="E1508" t="str">
        <f>IF(ROW(E1508)&lt;=Bidding!$D$11,Raw_hydro_bm!F1508,"")</f>
        <v/>
      </c>
      <c r="F1508" t="str">
        <f>IF(ROW(F1508)&lt;=Bidding!$D$11,Raw_hydro_bm!G1508,"")</f>
        <v/>
      </c>
      <c r="G1508" t="str">
        <f>IF(ROW(G1508)&lt;=Bidding!$D$11,Raw_hydro_bm!H1508,"")</f>
        <v/>
      </c>
      <c r="H1508" t="str">
        <f>IF(ROW(H1508)&lt;=Bidding!$D$11,Raw_hydro_bm!I1508,"")</f>
        <v/>
      </c>
      <c r="I1508" s="16" t="str">
        <f t="shared" si="23"/>
        <v/>
      </c>
    </row>
    <row r="1509" spans="1:9" x14ac:dyDescent="0.2">
      <c r="A1509" t="str">
        <f>IF(ROW(A1509)&lt;=Bidding!$D$11,Raw_hydro_bm!B1509,"")</f>
        <v/>
      </c>
      <c r="B1509" t="str">
        <f>IF(ROW(B1509)&lt;=Bidding!$D$11,Raw_hydro_bm!C1509,"")</f>
        <v/>
      </c>
      <c r="C1509" t="str">
        <f>IF(ROW(C1509)&lt;=Bidding!$D$11,Raw_hydro_bm!D1509,"")</f>
        <v/>
      </c>
      <c r="D1509" t="str">
        <f>IF(ROW(D1509)&lt;=Bidding!$D$11,Raw_hydro_bm!E1509,"")</f>
        <v/>
      </c>
      <c r="E1509" t="str">
        <f>IF(ROW(E1509)&lt;=Bidding!$D$11,Raw_hydro_bm!F1509,"")</f>
        <v/>
      </c>
      <c r="F1509" t="str">
        <f>IF(ROW(F1509)&lt;=Bidding!$D$11,Raw_hydro_bm!G1509,"")</f>
        <v/>
      </c>
      <c r="G1509" t="str">
        <f>IF(ROW(G1509)&lt;=Bidding!$D$11,Raw_hydro_bm!H1509,"")</f>
        <v/>
      </c>
      <c r="H1509" t="str">
        <f>IF(ROW(H1509)&lt;=Bidding!$D$11,Raw_hydro_bm!I1509,"")</f>
        <v/>
      </c>
      <c r="I1509" s="16" t="str">
        <f t="shared" si="23"/>
        <v/>
      </c>
    </row>
    <row r="1510" spans="1:9" x14ac:dyDescent="0.2">
      <c r="A1510" t="str">
        <f>IF(ROW(A1510)&lt;=Bidding!$D$11,Raw_hydro_bm!B1510,"")</f>
        <v/>
      </c>
      <c r="B1510" t="str">
        <f>IF(ROW(B1510)&lt;=Bidding!$D$11,Raw_hydro_bm!C1510,"")</f>
        <v/>
      </c>
      <c r="C1510" t="str">
        <f>IF(ROW(C1510)&lt;=Bidding!$D$11,Raw_hydro_bm!D1510,"")</f>
        <v/>
      </c>
      <c r="D1510" t="str">
        <f>IF(ROW(D1510)&lt;=Bidding!$D$11,Raw_hydro_bm!E1510,"")</f>
        <v/>
      </c>
      <c r="E1510" t="str">
        <f>IF(ROW(E1510)&lt;=Bidding!$D$11,Raw_hydro_bm!F1510,"")</f>
        <v/>
      </c>
      <c r="F1510" t="str">
        <f>IF(ROW(F1510)&lt;=Bidding!$D$11,Raw_hydro_bm!G1510,"")</f>
        <v/>
      </c>
      <c r="G1510" t="str">
        <f>IF(ROW(G1510)&lt;=Bidding!$D$11,Raw_hydro_bm!H1510,"")</f>
        <v/>
      </c>
      <c r="H1510" t="str">
        <f>IF(ROW(H1510)&lt;=Bidding!$D$11,Raw_hydro_bm!I1510,"")</f>
        <v/>
      </c>
      <c r="I1510" s="16" t="str">
        <f t="shared" si="23"/>
        <v/>
      </c>
    </row>
    <row r="1511" spans="1:9" x14ac:dyDescent="0.2">
      <c r="A1511" t="str">
        <f>IF(ROW(A1511)&lt;=Bidding!$D$11,Raw_hydro_bm!B1511,"")</f>
        <v/>
      </c>
      <c r="B1511" t="str">
        <f>IF(ROW(B1511)&lt;=Bidding!$D$11,Raw_hydro_bm!C1511,"")</f>
        <v/>
      </c>
      <c r="C1511" t="str">
        <f>IF(ROW(C1511)&lt;=Bidding!$D$11,Raw_hydro_bm!D1511,"")</f>
        <v/>
      </c>
      <c r="D1511" t="str">
        <f>IF(ROW(D1511)&lt;=Bidding!$D$11,Raw_hydro_bm!E1511,"")</f>
        <v/>
      </c>
      <c r="E1511" t="str">
        <f>IF(ROW(E1511)&lt;=Bidding!$D$11,Raw_hydro_bm!F1511,"")</f>
        <v/>
      </c>
      <c r="F1511" t="str">
        <f>IF(ROW(F1511)&lt;=Bidding!$D$11,Raw_hydro_bm!G1511,"")</f>
        <v/>
      </c>
      <c r="G1511" t="str">
        <f>IF(ROW(G1511)&lt;=Bidding!$D$11,Raw_hydro_bm!H1511,"")</f>
        <v/>
      </c>
      <c r="H1511" t="str">
        <f>IF(ROW(H1511)&lt;=Bidding!$D$11,Raw_hydro_bm!I1511,"")</f>
        <v/>
      </c>
      <c r="I1511" s="16" t="str">
        <f t="shared" si="23"/>
        <v/>
      </c>
    </row>
    <row r="1512" spans="1:9" x14ac:dyDescent="0.2">
      <c r="A1512" t="str">
        <f>IF(ROW(A1512)&lt;=Bidding!$D$11,Raw_hydro_bm!B1512,"")</f>
        <v/>
      </c>
      <c r="B1512" t="str">
        <f>IF(ROW(B1512)&lt;=Bidding!$D$11,Raw_hydro_bm!C1512,"")</f>
        <v/>
      </c>
      <c r="C1512" t="str">
        <f>IF(ROW(C1512)&lt;=Bidding!$D$11,Raw_hydro_bm!D1512,"")</f>
        <v/>
      </c>
      <c r="D1512" t="str">
        <f>IF(ROW(D1512)&lt;=Bidding!$D$11,Raw_hydro_bm!E1512,"")</f>
        <v/>
      </c>
      <c r="E1512" t="str">
        <f>IF(ROW(E1512)&lt;=Bidding!$D$11,Raw_hydro_bm!F1512,"")</f>
        <v/>
      </c>
      <c r="F1512" t="str">
        <f>IF(ROW(F1512)&lt;=Bidding!$D$11,Raw_hydro_bm!G1512,"")</f>
        <v/>
      </c>
      <c r="G1512" t="str">
        <f>IF(ROW(G1512)&lt;=Bidding!$D$11,Raw_hydro_bm!H1512,"")</f>
        <v/>
      </c>
      <c r="H1512" t="str">
        <f>IF(ROW(H1512)&lt;=Bidding!$D$11,Raw_hydro_bm!I1512,"")</f>
        <v/>
      </c>
      <c r="I1512" s="16" t="str">
        <f t="shared" si="23"/>
        <v/>
      </c>
    </row>
    <row r="1513" spans="1:9" x14ac:dyDescent="0.2">
      <c r="A1513" t="str">
        <f>IF(ROW(A1513)&lt;=Bidding!$D$11,Raw_hydro_bm!B1513,"")</f>
        <v/>
      </c>
      <c r="B1513" t="str">
        <f>IF(ROW(B1513)&lt;=Bidding!$D$11,Raw_hydro_bm!C1513,"")</f>
        <v/>
      </c>
      <c r="C1513" t="str">
        <f>IF(ROW(C1513)&lt;=Bidding!$D$11,Raw_hydro_bm!D1513,"")</f>
        <v/>
      </c>
      <c r="D1513" t="str">
        <f>IF(ROW(D1513)&lt;=Bidding!$D$11,Raw_hydro_bm!E1513,"")</f>
        <v/>
      </c>
      <c r="E1513" t="str">
        <f>IF(ROW(E1513)&lt;=Bidding!$D$11,Raw_hydro_bm!F1513,"")</f>
        <v/>
      </c>
      <c r="F1513" t="str">
        <f>IF(ROW(F1513)&lt;=Bidding!$D$11,Raw_hydro_bm!G1513,"")</f>
        <v/>
      </c>
      <c r="G1513" t="str">
        <f>IF(ROW(G1513)&lt;=Bidding!$D$11,Raw_hydro_bm!H1513,"")</f>
        <v/>
      </c>
      <c r="H1513" t="str">
        <f>IF(ROW(H1513)&lt;=Bidding!$D$11,Raw_hydro_bm!I1513,"")</f>
        <v/>
      </c>
      <c r="I1513" s="16" t="str">
        <f t="shared" si="23"/>
        <v/>
      </c>
    </row>
    <row r="1514" spans="1:9" x14ac:dyDescent="0.2">
      <c r="A1514" t="str">
        <f>IF(ROW(A1514)&lt;=Bidding!$D$11,Raw_hydro_bm!B1514,"")</f>
        <v/>
      </c>
      <c r="B1514" t="str">
        <f>IF(ROW(B1514)&lt;=Bidding!$D$11,Raw_hydro_bm!C1514,"")</f>
        <v/>
      </c>
      <c r="C1514" t="str">
        <f>IF(ROW(C1514)&lt;=Bidding!$D$11,Raw_hydro_bm!D1514,"")</f>
        <v/>
      </c>
      <c r="D1514" t="str">
        <f>IF(ROW(D1514)&lt;=Bidding!$D$11,Raw_hydro_bm!E1514,"")</f>
        <v/>
      </c>
      <c r="E1514" t="str">
        <f>IF(ROW(E1514)&lt;=Bidding!$D$11,Raw_hydro_bm!F1514,"")</f>
        <v/>
      </c>
      <c r="F1514" t="str">
        <f>IF(ROW(F1514)&lt;=Bidding!$D$11,Raw_hydro_bm!G1514,"")</f>
        <v/>
      </c>
      <c r="G1514" t="str">
        <f>IF(ROW(G1514)&lt;=Bidding!$D$11,Raw_hydro_bm!H1514,"")</f>
        <v/>
      </c>
      <c r="H1514" t="str">
        <f>IF(ROW(H1514)&lt;=Bidding!$D$11,Raw_hydro_bm!I1514,"")</f>
        <v/>
      </c>
      <c r="I1514" s="16" t="str">
        <f t="shared" si="23"/>
        <v/>
      </c>
    </row>
    <row r="1515" spans="1:9" x14ac:dyDescent="0.2">
      <c r="A1515" t="str">
        <f>IF(ROW(A1515)&lt;=Bidding!$D$11,Raw_hydro_bm!B1515,"")</f>
        <v/>
      </c>
      <c r="B1515" t="str">
        <f>IF(ROW(B1515)&lt;=Bidding!$D$11,Raw_hydro_bm!C1515,"")</f>
        <v/>
      </c>
      <c r="C1515" t="str">
        <f>IF(ROW(C1515)&lt;=Bidding!$D$11,Raw_hydro_bm!D1515,"")</f>
        <v/>
      </c>
      <c r="D1515" t="str">
        <f>IF(ROW(D1515)&lt;=Bidding!$D$11,Raw_hydro_bm!E1515,"")</f>
        <v/>
      </c>
      <c r="E1515" t="str">
        <f>IF(ROW(E1515)&lt;=Bidding!$D$11,Raw_hydro_bm!F1515,"")</f>
        <v/>
      </c>
      <c r="F1515" t="str">
        <f>IF(ROW(F1515)&lt;=Bidding!$D$11,Raw_hydro_bm!G1515,"")</f>
        <v/>
      </c>
      <c r="G1515" t="str">
        <f>IF(ROW(G1515)&lt;=Bidding!$D$11,Raw_hydro_bm!H1515,"")</f>
        <v/>
      </c>
      <c r="H1515" t="str">
        <f>IF(ROW(H1515)&lt;=Bidding!$D$11,Raw_hydro_bm!I1515,"")</f>
        <v/>
      </c>
      <c r="I1515" s="16" t="str">
        <f t="shared" si="23"/>
        <v/>
      </c>
    </row>
    <row r="1516" spans="1:9" x14ac:dyDescent="0.2">
      <c r="A1516" t="str">
        <f>IF(ROW(A1516)&lt;=Bidding!$D$11,Raw_hydro_bm!B1516,"")</f>
        <v/>
      </c>
      <c r="B1516" t="str">
        <f>IF(ROW(B1516)&lt;=Bidding!$D$11,Raw_hydro_bm!C1516,"")</f>
        <v/>
      </c>
      <c r="C1516" t="str">
        <f>IF(ROW(C1516)&lt;=Bidding!$D$11,Raw_hydro_bm!D1516,"")</f>
        <v/>
      </c>
      <c r="D1516" t="str">
        <f>IF(ROW(D1516)&lt;=Bidding!$D$11,Raw_hydro_bm!E1516,"")</f>
        <v/>
      </c>
      <c r="E1516" t="str">
        <f>IF(ROW(E1516)&lt;=Bidding!$D$11,Raw_hydro_bm!F1516,"")</f>
        <v/>
      </c>
      <c r="F1516" t="str">
        <f>IF(ROW(F1516)&lt;=Bidding!$D$11,Raw_hydro_bm!G1516,"")</f>
        <v/>
      </c>
      <c r="G1516" t="str">
        <f>IF(ROW(G1516)&lt;=Bidding!$D$11,Raw_hydro_bm!H1516,"")</f>
        <v/>
      </c>
      <c r="H1516" t="str">
        <f>IF(ROW(H1516)&lt;=Bidding!$D$11,Raw_hydro_bm!I1516,"")</f>
        <v/>
      </c>
      <c r="I1516" s="16" t="str">
        <f t="shared" si="23"/>
        <v/>
      </c>
    </row>
    <row r="1517" spans="1:9" x14ac:dyDescent="0.2">
      <c r="A1517" t="str">
        <f>IF(ROW(A1517)&lt;=Bidding!$D$11,Raw_hydro_bm!B1517,"")</f>
        <v/>
      </c>
      <c r="B1517" t="str">
        <f>IF(ROW(B1517)&lt;=Bidding!$D$11,Raw_hydro_bm!C1517,"")</f>
        <v/>
      </c>
      <c r="C1517" t="str">
        <f>IF(ROW(C1517)&lt;=Bidding!$D$11,Raw_hydro_bm!D1517,"")</f>
        <v/>
      </c>
      <c r="D1517" t="str">
        <f>IF(ROW(D1517)&lt;=Bidding!$D$11,Raw_hydro_bm!E1517,"")</f>
        <v/>
      </c>
      <c r="E1517" t="str">
        <f>IF(ROW(E1517)&lt;=Bidding!$D$11,Raw_hydro_bm!F1517,"")</f>
        <v/>
      </c>
      <c r="F1517" t="str">
        <f>IF(ROW(F1517)&lt;=Bidding!$D$11,Raw_hydro_bm!G1517,"")</f>
        <v/>
      </c>
      <c r="G1517" t="str">
        <f>IF(ROW(G1517)&lt;=Bidding!$D$11,Raw_hydro_bm!H1517,"")</f>
        <v/>
      </c>
      <c r="H1517" t="str">
        <f>IF(ROW(H1517)&lt;=Bidding!$D$11,Raw_hydro_bm!I1517,"")</f>
        <v/>
      </c>
      <c r="I1517" s="16" t="str">
        <f t="shared" si="23"/>
        <v/>
      </c>
    </row>
    <row r="1518" spans="1:9" x14ac:dyDescent="0.2">
      <c r="A1518" t="str">
        <f>IF(ROW(A1518)&lt;=Bidding!$D$11,Raw_hydro_bm!B1518,"")</f>
        <v/>
      </c>
      <c r="B1518" t="str">
        <f>IF(ROW(B1518)&lt;=Bidding!$D$11,Raw_hydro_bm!C1518,"")</f>
        <v/>
      </c>
      <c r="C1518" t="str">
        <f>IF(ROW(C1518)&lt;=Bidding!$D$11,Raw_hydro_bm!D1518,"")</f>
        <v/>
      </c>
      <c r="D1518" t="str">
        <f>IF(ROW(D1518)&lt;=Bidding!$D$11,Raw_hydro_bm!E1518,"")</f>
        <v/>
      </c>
      <c r="E1518" t="str">
        <f>IF(ROW(E1518)&lt;=Bidding!$D$11,Raw_hydro_bm!F1518,"")</f>
        <v/>
      </c>
      <c r="F1518" t="str">
        <f>IF(ROW(F1518)&lt;=Bidding!$D$11,Raw_hydro_bm!G1518,"")</f>
        <v/>
      </c>
      <c r="G1518" t="str">
        <f>IF(ROW(G1518)&lt;=Bidding!$D$11,Raw_hydro_bm!H1518,"")</f>
        <v/>
      </c>
      <c r="H1518" t="str">
        <f>IF(ROW(H1518)&lt;=Bidding!$D$11,Raw_hydro_bm!I1518,"")</f>
        <v/>
      </c>
      <c r="I1518" s="16" t="str">
        <f t="shared" si="23"/>
        <v/>
      </c>
    </row>
    <row r="1519" spans="1:9" x14ac:dyDescent="0.2">
      <c r="A1519" t="str">
        <f>IF(ROW(A1519)&lt;=Bidding!$D$11,Raw_hydro_bm!B1519,"")</f>
        <v/>
      </c>
      <c r="B1519" t="str">
        <f>IF(ROW(B1519)&lt;=Bidding!$D$11,Raw_hydro_bm!C1519,"")</f>
        <v/>
      </c>
      <c r="C1519" t="str">
        <f>IF(ROW(C1519)&lt;=Bidding!$D$11,Raw_hydro_bm!D1519,"")</f>
        <v/>
      </c>
      <c r="D1519" t="str">
        <f>IF(ROW(D1519)&lt;=Bidding!$D$11,Raw_hydro_bm!E1519,"")</f>
        <v/>
      </c>
      <c r="E1519" t="str">
        <f>IF(ROW(E1519)&lt;=Bidding!$D$11,Raw_hydro_bm!F1519,"")</f>
        <v/>
      </c>
      <c r="F1519" t="str">
        <f>IF(ROW(F1519)&lt;=Bidding!$D$11,Raw_hydro_bm!G1519,"")</f>
        <v/>
      </c>
      <c r="G1519" t="str">
        <f>IF(ROW(G1519)&lt;=Bidding!$D$11,Raw_hydro_bm!H1519,"")</f>
        <v/>
      </c>
      <c r="H1519" t="str">
        <f>IF(ROW(H1519)&lt;=Bidding!$D$11,Raw_hydro_bm!I1519,"")</f>
        <v/>
      </c>
      <c r="I1519" s="16" t="str">
        <f t="shared" si="23"/>
        <v/>
      </c>
    </row>
    <row r="1520" spans="1:9" x14ac:dyDescent="0.2">
      <c r="A1520" t="str">
        <f>IF(ROW(A1520)&lt;=Bidding!$D$11,Raw_hydro_bm!B1520,"")</f>
        <v/>
      </c>
      <c r="B1520" t="str">
        <f>IF(ROW(B1520)&lt;=Bidding!$D$11,Raw_hydro_bm!C1520,"")</f>
        <v/>
      </c>
      <c r="C1520" t="str">
        <f>IF(ROW(C1520)&lt;=Bidding!$D$11,Raw_hydro_bm!D1520,"")</f>
        <v/>
      </c>
      <c r="D1520" t="str">
        <f>IF(ROW(D1520)&lt;=Bidding!$D$11,Raw_hydro_bm!E1520,"")</f>
        <v/>
      </c>
      <c r="E1520" t="str">
        <f>IF(ROW(E1520)&lt;=Bidding!$D$11,Raw_hydro_bm!F1520,"")</f>
        <v/>
      </c>
      <c r="F1520" t="str">
        <f>IF(ROW(F1520)&lt;=Bidding!$D$11,Raw_hydro_bm!G1520,"")</f>
        <v/>
      </c>
      <c r="G1520" t="str">
        <f>IF(ROW(G1520)&lt;=Bidding!$D$11,Raw_hydro_bm!H1520,"")</f>
        <v/>
      </c>
      <c r="H1520" t="str">
        <f>IF(ROW(H1520)&lt;=Bidding!$D$11,Raw_hydro_bm!I1520,"")</f>
        <v/>
      </c>
      <c r="I1520" s="16" t="str">
        <f t="shared" si="23"/>
        <v/>
      </c>
    </row>
    <row r="1521" spans="1:9" x14ac:dyDescent="0.2">
      <c r="A1521" t="str">
        <f>IF(ROW(A1521)&lt;=Bidding!$D$11,Raw_hydro_bm!B1521,"")</f>
        <v/>
      </c>
      <c r="B1521" t="str">
        <f>IF(ROW(B1521)&lt;=Bidding!$D$11,Raw_hydro_bm!C1521,"")</f>
        <v/>
      </c>
      <c r="C1521" t="str">
        <f>IF(ROW(C1521)&lt;=Bidding!$D$11,Raw_hydro_bm!D1521,"")</f>
        <v/>
      </c>
      <c r="D1521" t="str">
        <f>IF(ROW(D1521)&lt;=Bidding!$D$11,Raw_hydro_bm!E1521,"")</f>
        <v/>
      </c>
      <c r="E1521" t="str">
        <f>IF(ROW(E1521)&lt;=Bidding!$D$11,Raw_hydro_bm!F1521,"")</f>
        <v/>
      </c>
      <c r="F1521" t="str">
        <f>IF(ROW(F1521)&lt;=Bidding!$D$11,Raw_hydro_bm!G1521,"")</f>
        <v/>
      </c>
      <c r="G1521" t="str">
        <f>IF(ROW(G1521)&lt;=Bidding!$D$11,Raw_hydro_bm!H1521,"")</f>
        <v/>
      </c>
      <c r="H1521" t="str">
        <f>IF(ROW(H1521)&lt;=Bidding!$D$11,Raw_hydro_bm!I1521,"")</f>
        <v/>
      </c>
      <c r="I1521" s="16" t="str">
        <f t="shared" si="23"/>
        <v/>
      </c>
    </row>
    <row r="1522" spans="1:9" x14ac:dyDescent="0.2">
      <c r="A1522" t="str">
        <f>IF(ROW(A1522)&lt;=Bidding!$D$11,Raw_hydro_bm!B1522,"")</f>
        <v/>
      </c>
      <c r="B1522" t="str">
        <f>IF(ROW(B1522)&lt;=Bidding!$D$11,Raw_hydro_bm!C1522,"")</f>
        <v/>
      </c>
      <c r="C1522" t="str">
        <f>IF(ROW(C1522)&lt;=Bidding!$D$11,Raw_hydro_bm!D1522,"")</f>
        <v/>
      </c>
      <c r="D1522" t="str">
        <f>IF(ROW(D1522)&lt;=Bidding!$D$11,Raw_hydro_bm!E1522,"")</f>
        <v/>
      </c>
      <c r="E1522" t="str">
        <f>IF(ROW(E1522)&lt;=Bidding!$D$11,Raw_hydro_bm!F1522,"")</f>
        <v/>
      </c>
      <c r="F1522" t="str">
        <f>IF(ROW(F1522)&lt;=Bidding!$D$11,Raw_hydro_bm!G1522,"")</f>
        <v/>
      </c>
      <c r="G1522" t="str">
        <f>IF(ROW(G1522)&lt;=Bidding!$D$11,Raw_hydro_bm!H1522,"")</f>
        <v/>
      </c>
      <c r="H1522" t="str">
        <f>IF(ROW(H1522)&lt;=Bidding!$D$11,Raw_hydro_bm!I1522,"")</f>
        <v/>
      </c>
      <c r="I1522" s="16" t="str">
        <f t="shared" si="23"/>
        <v/>
      </c>
    </row>
    <row r="1523" spans="1:9" x14ac:dyDescent="0.2">
      <c r="A1523" t="str">
        <f>IF(ROW(A1523)&lt;=Bidding!$D$11,Raw_hydro_bm!B1523,"")</f>
        <v/>
      </c>
      <c r="B1523" t="str">
        <f>IF(ROW(B1523)&lt;=Bidding!$D$11,Raw_hydro_bm!C1523,"")</f>
        <v/>
      </c>
      <c r="C1523" t="str">
        <f>IF(ROW(C1523)&lt;=Bidding!$D$11,Raw_hydro_bm!D1523,"")</f>
        <v/>
      </c>
      <c r="D1523" t="str">
        <f>IF(ROW(D1523)&lt;=Bidding!$D$11,Raw_hydro_bm!E1523,"")</f>
        <v/>
      </c>
      <c r="E1523" t="str">
        <f>IF(ROW(E1523)&lt;=Bidding!$D$11,Raw_hydro_bm!F1523,"")</f>
        <v/>
      </c>
      <c r="F1523" t="str">
        <f>IF(ROW(F1523)&lt;=Bidding!$D$11,Raw_hydro_bm!G1523,"")</f>
        <v/>
      </c>
      <c r="G1523" t="str">
        <f>IF(ROW(G1523)&lt;=Bidding!$D$11,Raw_hydro_bm!H1523,"")</f>
        <v/>
      </c>
      <c r="H1523" t="str">
        <f>IF(ROW(H1523)&lt;=Bidding!$D$11,Raw_hydro_bm!I1523,"")</f>
        <v/>
      </c>
      <c r="I1523" s="16" t="str">
        <f t="shared" si="23"/>
        <v/>
      </c>
    </row>
    <row r="1524" spans="1:9" x14ac:dyDescent="0.2">
      <c r="A1524" t="str">
        <f>IF(ROW(A1524)&lt;=Bidding!$D$11,Raw_hydro_bm!B1524,"")</f>
        <v/>
      </c>
      <c r="B1524" t="str">
        <f>IF(ROW(B1524)&lt;=Bidding!$D$11,Raw_hydro_bm!C1524,"")</f>
        <v/>
      </c>
      <c r="C1524" t="str">
        <f>IF(ROW(C1524)&lt;=Bidding!$D$11,Raw_hydro_bm!D1524,"")</f>
        <v/>
      </c>
      <c r="D1524" t="str">
        <f>IF(ROW(D1524)&lt;=Bidding!$D$11,Raw_hydro_bm!E1524,"")</f>
        <v/>
      </c>
      <c r="E1524" t="str">
        <f>IF(ROW(E1524)&lt;=Bidding!$D$11,Raw_hydro_bm!F1524,"")</f>
        <v/>
      </c>
      <c r="F1524" t="str">
        <f>IF(ROW(F1524)&lt;=Bidding!$D$11,Raw_hydro_bm!G1524,"")</f>
        <v/>
      </c>
      <c r="G1524" t="str">
        <f>IF(ROW(G1524)&lt;=Bidding!$D$11,Raw_hydro_bm!H1524,"")</f>
        <v/>
      </c>
      <c r="H1524" t="str">
        <f>IF(ROW(H1524)&lt;=Bidding!$D$11,Raw_hydro_bm!I1524,"")</f>
        <v/>
      </c>
      <c r="I1524" s="16" t="str">
        <f t="shared" si="23"/>
        <v/>
      </c>
    </row>
    <row r="1525" spans="1:9" x14ac:dyDescent="0.2">
      <c r="A1525" t="str">
        <f>IF(ROW(A1525)&lt;=Bidding!$D$11,Raw_hydro_bm!B1525,"")</f>
        <v/>
      </c>
      <c r="B1525" t="str">
        <f>IF(ROW(B1525)&lt;=Bidding!$D$11,Raw_hydro_bm!C1525,"")</f>
        <v/>
      </c>
      <c r="C1525" t="str">
        <f>IF(ROW(C1525)&lt;=Bidding!$D$11,Raw_hydro_bm!D1525,"")</f>
        <v/>
      </c>
      <c r="D1525" t="str">
        <f>IF(ROW(D1525)&lt;=Bidding!$D$11,Raw_hydro_bm!E1525,"")</f>
        <v/>
      </c>
      <c r="E1525" t="str">
        <f>IF(ROW(E1525)&lt;=Bidding!$D$11,Raw_hydro_bm!F1525,"")</f>
        <v/>
      </c>
      <c r="F1525" t="str">
        <f>IF(ROW(F1525)&lt;=Bidding!$D$11,Raw_hydro_bm!G1525,"")</f>
        <v/>
      </c>
      <c r="G1525" t="str">
        <f>IF(ROW(G1525)&lt;=Bidding!$D$11,Raw_hydro_bm!H1525,"")</f>
        <v/>
      </c>
      <c r="H1525" t="str">
        <f>IF(ROW(H1525)&lt;=Bidding!$D$11,Raw_hydro_bm!I1525,"")</f>
        <v/>
      </c>
      <c r="I1525" s="16" t="str">
        <f t="shared" si="23"/>
        <v/>
      </c>
    </row>
    <row r="1526" spans="1:9" x14ac:dyDescent="0.2">
      <c r="A1526" t="str">
        <f>IF(ROW(A1526)&lt;=Bidding!$D$11,Raw_hydro_bm!B1526,"")</f>
        <v/>
      </c>
      <c r="B1526" t="str">
        <f>IF(ROW(B1526)&lt;=Bidding!$D$11,Raw_hydro_bm!C1526,"")</f>
        <v/>
      </c>
      <c r="C1526" t="str">
        <f>IF(ROW(C1526)&lt;=Bidding!$D$11,Raw_hydro_bm!D1526,"")</f>
        <v/>
      </c>
      <c r="D1526" t="str">
        <f>IF(ROW(D1526)&lt;=Bidding!$D$11,Raw_hydro_bm!E1526,"")</f>
        <v/>
      </c>
      <c r="E1526" t="str">
        <f>IF(ROW(E1526)&lt;=Bidding!$D$11,Raw_hydro_bm!F1526,"")</f>
        <v/>
      </c>
      <c r="F1526" t="str">
        <f>IF(ROW(F1526)&lt;=Bidding!$D$11,Raw_hydro_bm!G1526,"")</f>
        <v/>
      </c>
      <c r="G1526" t="str">
        <f>IF(ROW(G1526)&lt;=Bidding!$D$11,Raw_hydro_bm!H1526,"")</f>
        <v/>
      </c>
      <c r="H1526" t="str">
        <f>IF(ROW(H1526)&lt;=Bidding!$D$11,Raw_hydro_bm!I1526,"")</f>
        <v/>
      </c>
      <c r="I1526" s="16" t="str">
        <f t="shared" si="23"/>
        <v/>
      </c>
    </row>
    <row r="1527" spans="1:9" x14ac:dyDescent="0.2">
      <c r="A1527" t="str">
        <f>IF(ROW(A1527)&lt;=Bidding!$D$11,Raw_hydro_bm!B1527,"")</f>
        <v/>
      </c>
      <c r="B1527" t="str">
        <f>IF(ROW(B1527)&lt;=Bidding!$D$11,Raw_hydro_bm!C1527,"")</f>
        <v/>
      </c>
      <c r="C1527" t="str">
        <f>IF(ROW(C1527)&lt;=Bidding!$D$11,Raw_hydro_bm!D1527,"")</f>
        <v/>
      </c>
      <c r="D1527" t="str">
        <f>IF(ROW(D1527)&lt;=Bidding!$D$11,Raw_hydro_bm!E1527,"")</f>
        <v/>
      </c>
      <c r="E1527" t="str">
        <f>IF(ROW(E1527)&lt;=Bidding!$D$11,Raw_hydro_bm!F1527,"")</f>
        <v/>
      </c>
      <c r="F1527" t="str">
        <f>IF(ROW(F1527)&lt;=Bidding!$D$11,Raw_hydro_bm!G1527,"")</f>
        <v/>
      </c>
      <c r="G1527" t="str">
        <f>IF(ROW(G1527)&lt;=Bidding!$D$11,Raw_hydro_bm!H1527,"")</f>
        <v/>
      </c>
      <c r="H1527" t="str">
        <f>IF(ROW(H1527)&lt;=Bidding!$D$11,Raw_hydro_bm!I1527,"")</f>
        <v/>
      </c>
      <c r="I1527" s="16" t="str">
        <f t="shared" si="23"/>
        <v/>
      </c>
    </row>
    <row r="1528" spans="1:9" x14ac:dyDescent="0.2">
      <c r="A1528" t="str">
        <f>IF(ROW(A1528)&lt;=Bidding!$D$11,Raw_hydro_bm!B1528,"")</f>
        <v/>
      </c>
      <c r="B1528" t="str">
        <f>IF(ROW(B1528)&lt;=Bidding!$D$11,Raw_hydro_bm!C1528,"")</f>
        <v/>
      </c>
      <c r="C1528" t="str">
        <f>IF(ROW(C1528)&lt;=Bidding!$D$11,Raw_hydro_bm!D1528,"")</f>
        <v/>
      </c>
      <c r="D1528" t="str">
        <f>IF(ROW(D1528)&lt;=Bidding!$D$11,Raw_hydro_bm!E1528,"")</f>
        <v/>
      </c>
      <c r="E1528" t="str">
        <f>IF(ROW(E1528)&lt;=Bidding!$D$11,Raw_hydro_bm!F1528,"")</f>
        <v/>
      </c>
      <c r="F1528" t="str">
        <f>IF(ROW(F1528)&lt;=Bidding!$D$11,Raw_hydro_bm!G1528,"")</f>
        <v/>
      </c>
      <c r="G1528" t="str">
        <f>IF(ROW(G1528)&lt;=Bidding!$D$11,Raw_hydro_bm!H1528,"")</f>
        <v/>
      </c>
      <c r="H1528" t="str">
        <f>IF(ROW(H1528)&lt;=Bidding!$D$11,Raw_hydro_bm!I1528,"")</f>
        <v/>
      </c>
      <c r="I1528" s="16" t="str">
        <f t="shared" si="23"/>
        <v/>
      </c>
    </row>
    <row r="1529" spans="1:9" x14ac:dyDescent="0.2">
      <c r="A1529" t="str">
        <f>IF(ROW(A1529)&lt;=Bidding!$D$11,Raw_hydro_bm!B1529,"")</f>
        <v/>
      </c>
      <c r="B1529" t="str">
        <f>IF(ROW(B1529)&lt;=Bidding!$D$11,Raw_hydro_bm!C1529,"")</f>
        <v/>
      </c>
      <c r="C1529" t="str">
        <f>IF(ROW(C1529)&lt;=Bidding!$D$11,Raw_hydro_bm!D1529,"")</f>
        <v/>
      </c>
      <c r="D1529" t="str">
        <f>IF(ROW(D1529)&lt;=Bidding!$D$11,Raw_hydro_bm!E1529,"")</f>
        <v/>
      </c>
      <c r="E1529" t="str">
        <f>IF(ROW(E1529)&lt;=Bidding!$D$11,Raw_hydro_bm!F1529,"")</f>
        <v/>
      </c>
      <c r="F1529" t="str">
        <f>IF(ROW(F1529)&lt;=Bidding!$D$11,Raw_hydro_bm!G1529,"")</f>
        <v/>
      </c>
      <c r="G1529" t="str">
        <f>IF(ROW(G1529)&lt;=Bidding!$D$11,Raw_hydro_bm!H1529,"")</f>
        <v/>
      </c>
      <c r="H1529" t="str">
        <f>IF(ROW(H1529)&lt;=Bidding!$D$11,Raw_hydro_bm!I1529,"")</f>
        <v/>
      </c>
      <c r="I1529" s="16" t="str">
        <f t="shared" si="23"/>
        <v/>
      </c>
    </row>
    <row r="1530" spans="1:9" x14ac:dyDescent="0.2">
      <c r="A1530" t="str">
        <f>IF(ROW(A1530)&lt;=Bidding!$D$11,Raw_hydro_bm!B1530,"")</f>
        <v/>
      </c>
      <c r="B1530" t="str">
        <f>IF(ROW(B1530)&lt;=Bidding!$D$11,Raw_hydro_bm!C1530,"")</f>
        <v/>
      </c>
      <c r="C1530" t="str">
        <f>IF(ROW(C1530)&lt;=Bidding!$D$11,Raw_hydro_bm!D1530,"")</f>
        <v/>
      </c>
      <c r="D1530" t="str">
        <f>IF(ROW(D1530)&lt;=Bidding!$D$11,Raw_hydro_bm!E1530,"")</f>
        <v/>
      </c>
      <c r="E1530" t="str">
        <f>IF(ROW(E1530)&lt;=Bidding!$D$11,Raw_hydro_bm!F1530,"")</f>
        <v/>
      </c>
      <c r="F1530" t="str">
        <f>IF(ROW(F1530)&lt;=Bidding!$D$11,Raw_hydro_bm!G1530,"")</f>
        <v/>
      </c>
      <c r="G1530" t="str">
        <f>IF(ROW(G1530)&lt;=Bidding!$D$11,Raw_hydro_bm!H1530,"")</f>
        <v/>
      </c>
      <c r="H1530" t="str">
        <f>IF(ROW(H1530)&lt;=Bidding!$D$11,Raw_hydro_bm!I1530,"")</f>
        <v/>
      </c>
      <c r="I1530" s="16" t="str">
        <f t="shared" si="23"/>
        <v/>
      </c>
    </row>
    <row r="1531" spans="1:9" x14ac:dyDescent="0.2">
      <c r="A1531" t="str">
        <f>IF(ROW(A1531)&lt;=Bidding!$D$11,Raw_hydro_bm!B1531,"")</f>
        <v/>
      </c>
      <c r="B1531" t="str">
        <f>IF(ROW(B1531)&lt;=Bidding!$D$11,Raw_hydro_bm!C1531,"")</f>
        <v/>
      </c>
      <c r="C1531" t="str">
        <f>IF(ROW(C1531)&lt;=Bidding!$D$11,Raw_hydro_bm!D1531,"")</f>
        <v/>
      </c>
      <c r="D1531" t="str">
        <f>IF(ROW(D1531)&lt;=Bidding!$D$11,Raw_hydro_bm!E1531,"")</f>
        <v/>
      </c>
      <c r="E1531" t="str">
        <f>IF(ROW(E1531)&lt;=Bidding!$D$11,Raw_hydro_bm!F1531,"")</f>
        <v/>
      </c>
      <c r="F1531" t="str">
        <f>IF(ROW(F1531)&lt;=Bidding!$D$11,Raw_hydro_bm!G1531,"")</f>
        <v/>
      </c>
      <c r="G1531" t="str">
        <f>IF(ROW(G1531)&lt;=Bidding!$D$11,Raw_hydro_bm!H1531,"")</f>
        <v/>
      </c>
      <c r="H1531" t="str">
        <f>IF(ROW(H1531)&lt;=Bidding!$D$11,Raw_hydro_bm!I1531,"")</f>
        <v/>
      </c>
      <c r="I1531" s="16" t="str">
        <f t="shared" si="23"/>
        <v/>
      </c>
    </row>
    <row r="1532" spans="1:9" x14ac:dyDescent="0.2">
      <c r="A1532" t="str">
        <f>IF(ROW(A1532)&lt;=Bidding!$D$11,Raw_hydro_bm!B1532,"")</f>
        <v/>
      </c>
      <c r="B1532" t="str">
        <f>IF(ROW(B1532)&lt;=Bidding!$D$11,Raw_hydro_bm!C1532,"")</f>
        <v/>
      </c>
      <c r="C1532" t="str">
        <f>IF(ROW(C1532)&lt;=Bidding!$D$11,Raw_hydro_bm!D1532,"")</f>
        <v/>
      </c>
      <c r="D1532" t="str">
        <f>IF(ROW(D1532)&lt;=Bidding!$D$11,Raw_hydro_bm!E1532,"")</f>
        <v/>
      </c>
      <c r="E1532" t="str">
        <f>IF(ROW(E1532)&lt;=Bidding!$D$11,Raw_hydro_bm!F1532,"")</f>
        <v/>
      </c>
      <c r="F1532" t="str">
        <f>IF(ROW(F1532)&lt;=Bidding!$D$11,Raw_hydro_bm!G1532,"")</f>
        <v/>
      </c>
      <c r="G1532" t="str">
        <f>IF(ROW(G1532)&lt;=Bidding!$D$11,Raw_hydro_bm!H1532,"")</f>
        <v/>
      </c>
      <c r="H1532" t="str">
        <f>IF(ROW(H1532)&lt;=Bidding!$D$11,Raw_hydro_bm!I1532,"")</f>
        <v/>
      </c>
      <c r="I1532" s="16" t="str">
        <f t="shared" si="23"/>
        <v/>
      </c>
    </row>
    <row r="1533" spans="1:9" x14ac:dyDescent="0.2">
      <c r="A1533" t="str">
        <f>IF(ROW(A1533)&lt;=Bidding!$D$11,Raw_hydro_bm!B1533,"")</f>
        <v/>
      </c>
      <c r="B1533" t="str">
        <f>IF(ROW(B1533)&lt;=Bidding!$D$11,Raw_hydro_bm!C1533,"")</f>
        <v/>
      </c>
      <c r="C1533" t="str">
        <f>IF(ROW(C1533)&lt;=Bidding!$D$11,Raw_hydro_bm!D1533,"")</f>
        <v/>
      </c>
      <c r="D1533" t="str">
        <f>IF(ROW(D1533)&lt;=Bidding!$D$11,Raw_hydro_bm!E1533,"")</f>
        <v/>
      </c>
      <c r="E1533" t="str">
        <f>IF(ROW(E1533)&lt;=Bidding!$D$11,Raw_hydro_bm!F1533,"")</f>
        <v/>
      </c>
      <c r="F1533" t="str">
        <f>IF(ROW(F1533)&lt;=Bidding!$D$11,Raw_hydro_bm!G1533,"")</f>
        <v/>
      </c>
      <c r="G1533" t="str">
        <f>IF(ROW(G1533)&lt;=Bidding!$D$11,Raw_hydro_bm!H1533,"")</f>
        <v/>
      </c>
      <c r="H1533" t="str">
        <f>IF(ROW(H1533)&lt;=Bidding!$D$11,Raw_hydro_bm!I1533,"")</f>
        <v/>
      </c>
      <c r="I1533" s="16" t="str">
        <f t="shared" si="23"/>
        <v/>
      </c>
    </row>
    <row r="1534" spans="1:9" x14ac:dyDescent="0.2">
      <c r="A1534" t="str">
        <f>IF(ROW(A1534)&lt;=Bidding!$D$11,Raw_hydro_bm!B1534,"")</f>
        <v/>
      </c>
      <c r="B1534" t="str">
        <f>IF(ROW(B1534)&lt;=Bidding!$D$11,Raw_hydro_bm!C1534,"")</f>
        <v/>
      </c>
      <c r="C1534" t="str">
        <f>IF(ROW(C1534)&lt;=Bidding!$D$11,Raw_hydro_bm!D1534,"")</f>
        <v/>
      </c>
      <c r="D1534" t="str">
        <f>IF(ROW(D1534)&lt;=Bidding!$D$11,Raw_hydro_bm!E1534,"")</f>
        <v/>
      </c>
      <c r="E1534" t="str">
        <f>IF(ROW(E1534)&lt;=Bidding!$D$11,Raw_hydro_bm!F1534,"")</f>
        <v/>
      </c>
      <c r="F1534" t="str">
        <f>IF(ROW(F1534)&lt;=Bidding!$D$11,Raw_hydro_bm!G1534,"")</f>
        <v/>
      </c>
      <c r="G1534" t="str">
        <f>IF(ROW(G1534)&lt;=Bidding!$D$11,Raw_hydro_bm!H1534,"")</f>
        <v/>
      </c>
      <c r="H1534" t="str">
        <f>IF(ROW(H1534)&lt;=Bidding!$D$11,Raw_hydro_bm!I1534,"")</f>
        <v/>
      </c>
      <c r="I1534" s="16" t="str">
        <f t="shared" si="23"/>
        <v/>
      </c>
    </row>
    <row r="1535" spans="1:9" x14ac:dyDescent="0.2">
      <c r="A1535" t="str">
        <f>IF(ROW(A1535)&lt;=Bidding!$D$11,Raw_hydro_bm!B1535,"")</f>
        <v/>
      </c>
      <c r="B1535" t="str">
        <f>IF(ROW(B1535)&lt;=Bidding!$D$11,Raw_hydro_bm!C1535,"")</f>
        <v/>
      </c>
      <c r="C1535" t="str">
        <f>IF(ROW(C1535)&lt;=Bidding!$D$11,Raw_hydro_bm!D1535,"")</f>
        <v/>
      </c>
      <c r="D1535" t="str">
        <f>IF(ROW(D1535)&lt;=Bidding!$D$11,Raw_hydro_bm!E1535,"")</f>
        <v/>
      </c>
      <c r="E1535" t="str">
        <f>IF(ROW(E1535)&lt;=Bidding!$D$11,Raw_hydro_bm!F1535,"")</f>
        <v/>
      </c>
      <c r="F1535" t="str">
        <f>IF(ROW(F1535)&lt;=Bidding!$D$11,Raw_hydro_bm!G1535,"")</f>
        <v/>
      </c>
      <c r="G1535" t="str">
        <f>IF(ROW(G1535)&lt;=Bidding!$D$11,Raw_hydro_bm!H1535,"")</f>
        <v/>
      </c>
      <c r="H1535" t="str">
        <f>IF(ROW(H1535)&lt;=Bidding!$D$11,Raw_hydro_bm!I1535,"")</f>
        <v/>
      </c>
      <c r="I1535" s="16" t="str">
        <f t="shared" si="23"/>
        <v/>
      </c>
    </row>
    <row r="1536" spans="1:9" x14ac:dyDescent="0.2">
      <c r="A1536" t="str">
        <f>IF(ROW(A1536)&lt;=Bidding!$D$11,Raw_hydro_bm!B1536,"")</f>
        <v/>
      </c>
      <c r="B1536" t="str">
        <f>IF(ROW(B1536)&lt;=Bidding!$D$11,Raw_hydro_bm!C1536,"")</f>
        <v/>
      </c>
      <c r="C1536" t="str">
        <f>IF(ROW(C1536)&lt;=Bidding!$D$11,Raw_hydro_bm!D1536,"")</f>
        <v/>
      </c>
      <c r="D1536" t="str">
        <f>IF(ROW(D1536)&lt;=Bidding!$D$11,Raw_hydro_bm!E1536,"")</f>
        <v/>
      </c>
      <c r="E1536" t="str">
        <f>IF(ROW(E1536)&lt;=Bidding!$D$11,Raw_hydro_bm!F1536,"")</f>
        <v/>
      </c>
      <c r="F1536" t="str">
        <f>IF(ROW(F1536)&lt;=Bidding!$D$11,Raw_hydro_bm!G1536,"")</f>
        <v/>
      </c>
      <c r="G1536" t="str">
        <f>IF(ROW(G1536)&lt;=Bidding!$D$11,Raw_hydro_bm!H1536,"")</f>
        <v/>
      </c>
      <c r="H1536" t="str">
        <f>IF(ROW(H1536)&lt;=Bidding!$D$11,Raw_hydro_bm!I1536,"")</f>
        <v/>
      </c>
      <c r="I1536" s="16" t="str">
        <f t="shared" si="23"/>
        <v/>
      </c>
    </row>
    <row r="1537" spans="1:9" x14ac:dyDescent="0.2">
      <c r="A1537" t="str">
        <f>IF(ROW(A1537)&lt;=Bidding!$D$11,Raw_hydro_bm!B1537,"")</f>
        <v/>
      </c>
      <c r="B1537" t="str">
        <f>IF(ROW(B1537)&lt;=Bidding!$D$11,Raw_hydro_bm!C1537,"")</f>
        <v/>
      </c>
      <c r="C1537" t="str">
        <f>IF(ROW(C1537)&lt;=Bidding!$D$11,Raw_hydro_bm!D1537,"")</f>
        <v/>
      </c>
      <c r="D1537" t="str">
        <f>IF(ROW(D1537)&lt;=Bidding!$D$11,Raw_hydro_bm!E1537,"")</f>
        <v/>
      </c>
      <c r="E1537" t="str">
        <f>IF(ROW(E1537)&lt;=Bidding!$D$11,Raw_hydro_bm!F1537,"")</f>
        <v/>
      </c>
      <c r="F1537" t="str">
        <f>IF(ROW(F1537)&lt;=Bidding!$D$11,Raw_hydro_bm!G1537,"")</f>
        <v/>
      </c>
      <c r="G1537" t="str">
        <f>IF(ROW(G1537)&lt;=Bidding!$D$11,Raw_hydro_bm!H1537,"")</f>
        <v/>
      </c>
      <c r="H1537" t="str">
        <f>IF(ROW(H1537)&lt;=Bidding!$D$11,Raw_hydro_bm!I1537,"")</f>
        <v/>
      </c>
      <c r="I1537" s="16" t="str">
        <f t="shared" si="23"/>
        <v/>
      </c>
    </row>
    <row r="1538" spans="1:9" x14ac:dyDescent="0.2">
      <c r="A1538" t="str">
        <f>IF(ROW(A1538)&lt;=Bidding!$D$11,Raw_hydro_bm!B1538,"")</f>
        <v/>
      </c>
      <c r="B1538" t="str">
        <f>IF(ROW(B1538)&lt;=Bidding!$D$11,Raw_hydro_bm!C1538,"")</f>
        <v/>
      </c>
      <c r="C1538" t="str">
        <f>IF(ROW(C1538)&lt;=Bidding!$D$11,Raw_hydro_bm!D1538,"")</f>
        <v/>
      </c>
      <c r="D1538" t="str">
        <f>IF(ROW(D1538)&lt;=Bidding!$D$11,Raw_hydro_bm!E1538,"")</f>
        <v/>
      </c>
      <c r="E1538" t="str">
        <f>IF(ROW(E1538)&lt;=Bidding!$D$11,Raw_hydro_bm!F1538,"")</f>
        <v/>
      </c>
      <c r="F1538" t="str">
        <f>IF(ROW(F1538)&lt;=Bidding!$D$11,Raw_hydro_bm!G1538,"")</f>
        <v/>
      </c>
      <c r="G1538" t="str">
        <f>IF(ROW(G1538)&lt;=Bidding!$D$11,Raw_hydro_bm!H1538,"")</f>
        <v/>
      </c>
      <c r="H1538" t="str">
        <f>IF(ROW(H1538)&lt;=Bidding!$D$11,Raw_hydro_bm!I1538,"")</f>
        <v/>
      </c>
      <c r="I1538" s="16" t="str">
        <f t="shared" ref="I1538:I1601" si="24">IF(IFERROR(FIND("e",H1538),-1)&lt;0,IFERROR(_xlfn.NUMBERVALUE(LEFT(H1538,FIND(".",H1538)-1))+_xlfn.NUMBERVALUE("0,"&amp;RIGHT(H1538,LEN(H1538)-FIND(".",H1538))),""),0)</f>
        <v/>
      </c>
    </row>
    <row r="1539" spans="1:9" x14ac:dyDescent="0.2">
      <c r="A1539" t="str">
        <f>IF(ROW(A1539)&lt;=Bidding!$D$11,Raw_hydro_bm!B1539,"")</f>
        <v/>
      </c>
      <c r="B1539" t="str">
        <f>IF(ROW(B1539)&lt;=Bidding!$D$11,Raw_hydro_bm!C1539,"")</f>
        <v/>
      </c>
      <c r="C1539" t="str">
        <f>IF(ROW(C1539)&lt;=Bidding!$D$11,Raw_hydro_bm!D1539,"")</f>
        <v/>
      </c>
      <c r="D1539" t="str">
        <f>IF(ROW(D1539)&lt;=Bidding!$D$11,Raw_hydro_bm!E1539,"")</f>
        <v/>
      </c>
      <c r="E1539" t="str">
        <f>IF(ROW(E1539)&lt;=Bidding!$D$11,Raw_hydro_bm!F1539,"")</f>
        <v/>
      </c>
      <c r="F1539" t="str">
        <f>IF(ROW(F1539)&lt;=Bidding!$D$11,Raw_hydro_bm!G1539,"")</f>
        <v/>
      </c>
      <c r="G1539" t="str">
        <f>IF(ROW(G1539)&lt;=Bidding!$D$11,Raw_hydro_bm!H1539,"")</f>
        <v/>
      </c>
      <c r="H1539" t="str">
        <f>IF(ROW(H1539)&lt;=Bidding!$D$11,Raw_hydro_bm!I1539,"")</f>
        <v/>
      </c>
      <c r="I1539" s="16" t="str">
        <f t="shared" si="24"/>
        <v/>
      </c>
    </row>
    <row r="1540" spans="1:9" x14ac:dyDescent="0.2">
      <c r="A1540" t="str">
        <f>IF(ROW(A1540)&lt;=Bidding!$D$11,Raw_hydro_bm!B1540,"")</f>
        <v/>
      </c>
      <c r="B1540" t="str">
        <f>IF(ROW(B1540)&lt;=Bidding!$D$11,Raw_hydro_bm!C1540,"")</f>
        <v/>
      </c>
      <c r="C1540" t="str">
        <f>IF(ROW(C1540)&lt;=Bidding!$D$11,Raw_hydro_bm!D1540,"")</f>
        <v/>
      </c>
      <c r="D1540" t="str">
        <f>IF(ROW(D1540)&lt;=Bidding!$D$11,Raw_hydro_bm!E1540,"")</f>
        <v/>
      </c>
      <c r="E1540" t="str">
        <f>IF(ROW(E1540)&lt;=Bidding!$D$11,Raw_hydro_bm!F1540,"")</f>
        <v/>
      </c>
      <c r="F1540" t="str">
        <f>IF(ROW(F1540)&lt;=Bidding!$D$11,Raw_hydro_bm!G1540,"")</f>
        <v/>
      </c>
      <c r="G1540" t="str">
        <f>IF(ROW(G1540)&lt;=Bidding!$D$11,Raw_hydro_bm!H1540,"")</f>
        <v/>
      </c>
      <c r="H1540" t="str">
        <f>IF(ROW(H1540)&lt;=Bidding!$D$11,Raw_hydro_bm!I1540,"")</f>
        <v/>
      </c>
      <c r="I1540" s="16" t="str">
        <f t="shared" si="24"/>
        <v/>
      </c>
    </row>
    <row r="1541" spans="1:9" x14ac:dyDescent="0.2">
      <c r="A1541" t="str">
        <f>IF(ROW(A1541)&lt;=Bidding!$D$11,Raw_hydro_bm!B1541,"")</f>
        <v/>
      </c>
      <c r="B1541" t="str">
        <f>IF(ROW(B1541)&lt;=Bidding!$D$11,Raw_hydro_bm!C1541,"")</f>
        <v/>
      </c>
      <c r="C1541" t="str">
        <f>IF(ROW(C1541)&lt;=Bidding!$D$11,Raw_hydro_bm!D1541,"")</f>
        <v/>
      </c>
      <c r="D1541" t="str">
        <f>IF(ROW(D1541)&lt;=Bidding!$D$11,Raw_hydro_bm!E1541,"")</f>
        <v/>
      </c>
      <c r="E1541" t="str">
        <f>IF(ROW(E1541)&lt;=Bidding!$D$11,Raw_hydro_bm!F1541,"")</f>
        <v/>
      </c>
      <c r="F1541" t="str">
        <f>IF(ROW(F1541)&lt;=Bidding!$D$11,Raw_hydro_bm!G1541,"")</f>
        <v/>
      </c>
      <c r="G1541" t="str">
        <f>IF(ROW(G1541)&lt;=Bidding!$D$11,Raw_hydro_bm!H1541,"")</f>
        <v/>
      </c>
      <c r="H1541" t="str">
        <f>IF(ROW(H1541)&lt;=Bidding!$D$11,Raw_hydro_bm!I1541,"")</f>
        <v/>
      </c>
      <c r="I1541" s="16" t="str">
        <f t="shared" si="24"/>
        <v/>
      </c>
    </row>
    <row r="1542" spans="1:9" x14ac:dyDescent="0.2">
      <c r="A1542" t="str">
        <f>IF(ROW(A1542)&lt;=Bidding!$D$11,Raw_hydro_bm!B1542,"")</f>
        <v/>
      </c>
      <c r="B1542" t="str">
        <f>IF(ROW(B1542)&lt;=Bidding!$D$11,Raw_hydro_bm!C1542,"")</f>
        <v/>
      </c>
      <c r="C1542" t="str">
        <f>IF(ROW(C1542)&lt;=Bidding!$D$11,Raw_hydro_bm!D1542,"")</f>
        <v/>
      </c>
      <c r="D1542" t="str">
        <f>IF(ROW(D1542)&lt;=Bidding!$D$11,Raw_hydro_bm!E1542,"")</f>
        <v/>
      </c>
      <c r="E1542" t="str">
        <f>IF(ROW(E1542)&lt;=Bidding!$D$11,Raw_hydro_bm!F1542,"")</f>
        <v/>
      </c>
      <c r="F1542" t="str">
        <f>IF(ROW(F1542)&lt;=Bidding!$D$11,Raw_hydro_bm!G1542,"")</f>
        <v/>
      </c>
      <c r="G1542" t="str">
        <f>IF(ROW(G1542)&lt;=Bidding!$D$11,Raw_hydro_bm!H1542,"")</f>
        <v/>
      </c>
      <c r="H1542" t="str">
        <f>IF(ROW(H1542)&lt;=Bidding!$D$11,Raw_hydro_bm!I1542,"")</f>
        <v/>
      </c>
      <c r="I1542" s="16" t="str">
        <f t="shared" si="24"/>
        <v/>
      </c>
    </row>
    <row r="1543" spans="1:9" x14ac:dyDescent="0.2">
      <c r="A1543" t="str">
        <f>IF(ROW(A1543)&lt;=Bidding!$D$11,Raw_hydro_bm!B1543,"")</f>
        <v/>
      </c>
      <c r="B1543" t="str">
        <f>IF(ROW(B1543)&lt;=Bidding!$D$11,Raw_hydro_bm!C1543,"")</f>
        <v/>
      </c>
      <c r="C1543" t="str">
        <f>IF(ROW(C1543)&lt;=Bidding!$D$11,Raw_hydro_bm!D1543,"")</f>
        <v/>
      </c>
      <c r="D1543" t="str">
        <f>IF(ROW(D1543)&lt;=Bidding!$D$11,Raw_hydro_bm!E1543,"")</f>
        <v/>
      </c>
      <c r="E1543" t="str">
        <f>IF(ROW(E1543)&lt;=Bidding!$D$11,Raw_hydro_bm!F1543,"")</f>
        <v/>
      </c>
      <c r="F1543" t="str">
        <f>IF(ROW(F1543)&lt;=Bidding!$D$11,Raw_hydro_bm!G1543,"")</f>
        <v/>
      </c>
      <c r="G1543" t="str">
        <f>IF(ROW(G1543)&lt;=Bidding!$D$11,Raw_hydro_bm!H1543,"")</f>
        <v/>
      </c>
      <c r="H1543" t="str">
        <f>IF(ROW(H1543)&lt;=Bidding!$D$11,Raw_hydro_bm!I1543,"")</f>
        <v/>
      </c>
      <c r="I1543" s="16" t="str">
        <f t="shared" si="24"/>
        <v/>
      </c>
    </row>
    <row r="1544" spans="1:9" x14ac:dyDescent="0.2">
      <c r="A1544" t="str">
        <f>IF(ROW(A1544)&lt;=Bidding!$D$11,Raw_hydro_bm!B1544,"")</f>
        <v/>
      </c>
      <c r="B1544" t="str">
        <f>IF(ROW(B1544)&lt;=Bidding!$D$11,Raw_hydro_bm!C1544,"")</f>
        <v/>
      </c>
      <c r="C1544" t="str">
        <f>IF(ROW(C1544)&lt;=Bidding!$D$11,Raw_hydro_bm!D1544,"")</f>
        <v/>
      </c>
      <c r="D1544" t="str">
        <f>IF(ROW(D1544)&lt;=Bidding!$D$11,Raw_hydro_bm!E1544,"")</f>
        <v/>
      </c>
      <c r="E1544" t="str">
        <f>IF(ROW(E1544)&lt;=Bidding!$D$11,Raw_hydro_bm!F1544,"")</f>
        <v/>
      </c>
      <c r="F1544" t="str">
        <f>IF(ROW(F1544)&lt;=Bidding!$D$11,Raw_hydro_bm!G1544,"")</f>
        <v/>
      </c>
      <c r="G1544" t="str">
        <f>IF(ROW(G1544)&lt;=Bidding!$D$11,Raw_hydro_bm!H1544,"")</f>
        <v/>
      </c>
      <c r="H1544" t="str">
        <f>IF(ROW(H1544)&lt;=Bidding!$D$11,Raw_hydro_bm!I1544,"")</f>
        <v/>
      </c>
      <c r="I1544" s="16" t="str">
        <f t="shared" si="24"/>
        <v/>
      </c>
    </row>
    <row r="1545" spans="1:9" x14ac:dyDescent="0.2">
      <c r="A1545" t="str">
        <f>IF(ROW(A1545)&lt;=Bidding!$D$11,Raw_hydro_bm!B1545,"")</f>
        <v/>
      </c>
      <c r="B1545" t="str">
        <f>IF(ROW(B1545)&lt;=Bidding!$D$11,Raw_hydro_bm!C1545,"")</f>
        <v/>
      </c>
      <c r="C1545" t="str">
        <f>IF(ROW(C1545)&lt;=Bidding!$D$11,Raw_hydro_bm!D1545,"")</f>
        <v/>
      </c>
      <c r="D1545" t="str">
        <f>IF(ROW(D1545)&lt;=Bidding!$D$11,Raw_hydro_bm!E1545,"")</f>
        <v/>
      </c>
      <c r="E1545" t="str">
        <f>IF(ROW(E1545)&lt;=Bidding!$D$11,Raw_hydro_bm!F1545,"")</f>
        <v/>
      </c>
      <c r="F1545" t="str">
        <f>IF(ROW(F1545)&lt;=Bidding!$D$11,Raw_hydro_bm!G1545,"")</f>
        <v/>
      </c>
      <c r="G1545" t="str">
        <f>IF(ROW(G1545)&lt;=Bidding!$D$11,Raw_hydro_bm!H1545,"")</f>
        <v/>
      </c>
      <c r="H1545" t="str">
        <f>IF(ROW(H1545)&lt;=Bidding!$D$11,Raw_hydro_bm!I1545,"")</f>
        <v/>
      </c>
      <c r="I1545" s="16" t="str">
        <f t="shared" si="24"/>
        <v/>
      </c>
    </row>
    <row r="1546" spans="1:9" x14ac:dyDescent="0.2">
      <c r="A1546" t="str">
        <f>IF(ROW(A1546)&lt;=Bidding!$D$11,Raw_hydro_bm!B1546,"")</f>
        <v/>
      </c>
      <c r="B1546" t="str">
        <f>IF(ROW(B1546)&lt;=Bidding!$D$11,Raw_hydro_bm!C1546,"")</f>
        <v/>
      </c>
      <c r="C1546" t="str">
        <f>IF(ROW(C1546)&lt;=Bidding!$D$11,Raw_hydro_bm!D1546,"")</f>
        <v/>
      </c>
      <c r="D1546" t="str">
        <f>IF(ROW(D1546)&lt;=Bidding!$D$11,Raw_hydro_bm!E1546,"")</f>
        <v/>
      </c>
      <c r="E1546" t="str">
        <f>IF(ROW(E1546)&lt;=Bidding!$D$11,Raw_hydro_bm!F1546,"")</f>
        <v/>
      </c>
      <c r="F1546" t="str">
        <f>IF(ROW(F1546)&lt;=Bidding!$D$11,Raw_hydro_bm!G1546,"")</f>
        <v/>
      </c>
      <c r="G1546" t="str">
        <f>IF(ROW(G1546)&lt;=Bidding!$D$11,Raw_hydro_bm!H1546,"")</f>
        <v/>
      </c>
      <c r="H1546" t="str">
        <f>IF(ROW(H1546)&lt;=Bidding!$D$11,Raw_hydro_bm!I1546,"")</f>
        <v/>
      </c>
      <c r="I1546" s="16" t="str">
        <f t="shared" si="24"/>
        <v/>
      </c>
    </row>
    <row r="1547" spans="1:9" x14ac:dyDescent="0.2">
      <c r="A1547" t="str">
        <f>IF(ROW(A1547)&lt;=Bidding!$D$11,Raw_hydro_bm!B1547,"")</f>
        <v/>
      </c>
      <c r="B1547" t="str">
        <f>IF(ROW(B1547)&lt;=Bidding!$D$11,Raw_hydro_bm!C1547,"")</f>
        <v/>
      </c>
      <c r="C1547" t="str">
        <f>IF(ROW(C1547)&lt;=Bidding!$D$11,Raw_hydro_bm!D1547,"")</f>
        <v/>
      </c>
      <c r="D1547" t="str">
        <f>IF(ROW(D1547)&lt;=Bidding!$D$11,Raw_hydro_bm!E1547,"")</f>
        <v/>
      </c>
      <c r="E1547" t="str">
        <f>IF(ROW(E1547)&lt;=Bidding!$D$11,Raw_hydro_bm!F1547,"")</f>
        <v/>
      </c>
      <c r="F1547" t="str">
        <f>IF(ROW(F1547)&lt;=Bidding!$D$11,Raw_hydro_bm!G1547,"")</f>
        <v/>
      </c>
      <c r="G1547" t="str">
        <f>IF(ROW(G1547)&lt;=Bidding!$D$11,Raw_hydro_bm!H1547,"")</f>
        <v/>
      </c>
      <c r="H1547" t="str">
        <f>IF(ROW(H1547)&lt;=Bidding!$D$11,Raw_hydro_bm!I1547,"")</f>
        <v/>
      </c>
      <c r="I1547" s="16" t="str">
        <f t="shared" si="24"/>
        <v/>
      </c>
    </row>
    <row r="1548" spans="1:9" x14ac:dyDescent="0.2">
      <c r="A1548" t="str">
        <f>IF(ROW(A1548)&lt;=Bidding!$D$11,Raw_hydro_bm!B1548,"")</f>
        <v/>
      </c>
      <c r="B1548" t="str">
        <f>IF(ROW(B1548)&lt;=Bidding!$D$11,Raw_hydro_bm!C1548,"")</f>
        <v/>
      </c>
      <c r="C1548" t="str">
        <f>IF(ROW(C1548)&lt;=Bidding!$D$11,Raw_hydro_bm!D1548,"")</f>
        <v/>
      </c>
      <c r="D1548" t="str">
        <f>IF(ROW(D1548)&lt;=Bidding!$D$11,Raw_hydro_bm!E1548,"")</f>
        <v/>
      </c>
      <c r="E1548" t="str">
        <f>IF(ROW(E1548)&lt;=Bidding!$D$11,Raw_hydro_bm!F1548,"")</f>
        <v/>
      </c>
      <c r="F1548" t="str">
        <f>IF(ROW(F1548)&lt;=Bidding!$D$11,Raw_hydro_bm!G1548,"")</f>
        <v/>
      </c>
      <c r="G1548" t="str">
        <f>IF(ROW(G1548)&lt;=Bidding!$D$11,Raw_hydro_bm!H1548,"")</f>
        <v/>
      </c>
      <c r="H1548" t="str">
        <f>IF(ROW(H1548)&lt;=Bidding!$D$11,Raw_hydro_bm!I1548,"")</f>
        <v/>
      </c>
      <c r="I1548" s="16" t="str">
        <f t="shared" si="24"/>
        <v/>
      </c>
    </row>
    <row r="1549" spans="1:9" x14ac:dyDescent="0.2">
      <c r="A1549" t="str">
        <f>IF(ROW(A1549)&lt;=Bidding!$D$11,Raw_hydro_bm!B1549,"")</f>
        <v/>
      </c>
      <c r="B1549" t="str">
        <f>IF(ROW(B1549)&lt;=Bidding!$D$11,Raw_hydro_bm!C1549,"")</f>
        <v/>
      </c>
      <c r="C1549" t="str">
        <f>IF(ROW(C1549)&lt;=Bidding!$D$11,Raw_hydro_bm!D1549,"")</f>
        <v/>
      </c>
      <c r="D1549" t="str">
        <f>IF(ROW(D1549)&lt;=Bidding!$D$11,Raw_hydro_bm!E1549,"")</f>
        <v/>
      </c>
      <c r="E1549" t="str">
        <f>IF(ROW(E1549)&lt;=Bidding!$D$11,Raw_hydro_bm!F1549,"")</f>
        <v/>
      </c>
      <c r="F1549" t="str">
        <f>IF(ROW(F1549)&lt;=Bidding!$D$11,Raw_hydro_bm!G1549,"")</f>
        <v/>
      </c>
      <c r="G1549" t="str">
        <f>IF(ROW(G1549)&lt;=Bidding!$D$11,Raw_hydro_bm!H1549,"")</f>
        <v/>
      </c>
      <c r="H1549" t="str">
        <f>IF(ROW(H1549)&lt;=Bidding!$D$11,Raw_hydro_bm!I1549,"")</f>
        <v/>
      </c>
      <c r="I1549" s="16" t="str">
        <f t="shared" si="24"/>
        <v/>
      </c>
    </row>
    <row r="1550" spans="1:9" x14ac:dyDescent="0.2">
      <c r="A1550" t="str">
        <f>IF(ROW(A1550)&lt;=Bidding!$D$11,Raw_hydro_bm!B1550,"")</f>
        <v/>
      </c>
      <c r="B1550" t="str">
        <f>IF(ROW(B1550)&lt;=Bidding!$D$11,Raw_hydro_bm!C1550,"")</f>
        <v/>
      </c>
      <c r="C1550" t="str">
        <f>IF(ROW(C1550)&lt;=Bidding!$D$11,Raw_hydro_bm!D1550,"")</f>
        <v/>
      </c>
      <c r="D1550" t="str">
        <f>IF(ROW(D1550)&lt;=Bidding!$D$11,Raw_hydro_bm!E1550,"")</f>
        <v/>
      </c>
      <c r="E1550" t="str">
        <f>IF(ROW(E1550)&lt;=Bidding!$D$11,Raw_hydro_bm!F1550,"")</f>
        <v/>
      </c>
      <c r="F1550" t="str">
        <f>IF(ROW(F1550)&lt;=Bidding!$D$11,Raw_hydro_bm!G1550,"")</f>
        <v/>
      </c>
      <c r="G1550" t="str">
        <f>IF(ROW(G1550)&lt;=Bidding!$D$11,Raw_hydro_bm!H1550,"")</f>
        <v/>
      </c>
      <c r="H1550" t="str">
        <f>IF(ROW(H1550)&lt;=Bidding!$D$11,Raw_hydro_bm!I1550,"")</f>
        <v/>
      </c>
      <c r="I1550" s="16" t="str">
        <f t="shared" si="24"/>
        <v/>
      </c>
    </row>
    <row r="1551" spans="1:9" x14ac:dyDescent="0.2">
      <c r="A1551" t="str">
        <f>IF(ROW(A1551)&lt;=Bidding!$D$11,Raw_hydro_bm!B1551,"")</f>
        <v/>
      </c>
      <c r="B1551" t="str">
        <f>IF(ROW(B1551)&lt;=Bidding!$D$11,Raw_hydro_bm!C1551,"")</f>
        <v/>
      </c>
      <c r="C1551" t="str">
        <f>IF(ROW(C1551)&lt;=Bidding!$D$11,Raw_hydro_bm!D1551,"")</f>
        <v/>
      </c>
      <c r="D1551" t="str">
        <f>IF(ROW(D1551)&lt;=Bidding!$D$11,Raw_hydro_bm!E1551,"")</f>
        <v/>
      </c>
      <c r="E1551" t="str">
        <f>IF(ROW(E1551)&lt;=Bidding!$D$11,Raw_hydro_bm!F1551,"")</f>
        <v/>
      </c>
      <c r="F1551" t="str">
        <f>IF(ROW(F1551)&lt;=Bidding!$D$11,Raw_hydro_bm!G1551,"")</f>
        <v/>
      </c>
      <c r="G1551" t="str">
        <f>IF(ROW(G1551)&lt;=Bidding!$D$11,Raw_hydro_bm!H1551,"")</f>
        <v/>
      </c>
      <c r="H1551" t="str">
        <f>IF(ROW(H1551)&lt;=Bidding!$D$11,Raw_hydro_bm!I1551,"")</f>
        <v/>
      </c>
      <c r="I1551" s="16" t="str">
        <f t="shared" si="24"/>
        <v/>
      </c>
    </row>
    <row r="1552" spans="1:9" x14ac:dyDescent="0.2">
      <c r="A1552" t="str">
        <f>IF(ROW(A1552)&lt;=Bidding!$D$11,Raw_hydro_bm!B1552,"")</f>
        <v/>
      </c>
      <c r="B1552" t="str">
        <f>IF(ROW(B1552)&lt;=Bidding!$D$11,Raw_hydro_bm!C1552,"")</f>
        <v/>
      </c>
      <c r="C1552" t="str">
        <f>IF(ROW(C1552)&lt;=Bidding!$D$11,Raw_hydro_bm!D1552,"")</f>
        <v/>
      </c>
      <c r="D1552" t="str">
        <f>IF(ROW(D1552)&lt;=Bidding!$D$11,Raw_hydro_bm!E1552,"")</f>
        <v/>
      </c>
      <c r="E1552" t="str">
        <f>IF(ROW(E1552)&lt;=Bidding!$D$11,Raw_hydro_bm!F1552,"")</f>
        <v/>
      </c>
      <c r="F1552" t="str">
        <f>IF(ROW(F1552)&lt;=Bidding!$D$11,Raw_hydro_bm!G1552,"")</f>
        <v/>
      </c>
      <c r="G1552" t="str">
        <f>IF(ROW(G1552)&lt;=Bidding!$D$11,Raw_hydro_bm!H1552,"")</f>
        <v/>
      </c>
      <c r="H1552" t="str">
        <f>IF(ROW(H1552)&lt;=Bidding!$D$11,Raw_hydro_bm!I1552,"")</f>
        <v/>
      </c>
      <c r="I1552" s="16" t="str">
        <f t="shared" si="24"/>
        <v/>
      </c>
    </row>
    <row r="1553" spans="1:9" x14ac:dyDescent="0.2">
      <c r="A1553" t="str">
        <f>IF(ROW(A1553)&lt;=Bidding!$D$11,Raw_hydro_bm!B1553,"")</f>
        <v/>
      </c>
      <c r="B1553" t="str">
        <f>IF(ROW(B1553)&lt;=Bidding!$D$11,Raw_hydro_bm!C1553,"")</f>
        <v/>
      </c>
      <c r="C1553" t="str">
        <f>IF(ROW(C1553)&lt;=Bidding!$D$11,Raw_hydro_bm!D1553,"")</f>
        <v/>
      </c>
      <c r="D1553" t="str">
        <f>IF(ROW(D1553)&lt;=Bidding!$D$11,Raw_hydro_bm!E1553,"")</f>
        <v/>
      </c>
      <c r="E1553" t="str">
        <f>IF(ROW(E1553)&lt;=Bidding!$D$11,Raw_hydro_bm!F1553,"")</f>
        <v/>
      </c>
      <c r="F1553" t="str">
        <f>IF(ROW(F1553)&lt;=Bidding!$D$11,Raw_hydro_bm!G1553,"")</f>
        <v/>
      </c>
      <c r="G1553" t="str">
        <f>IF(ROW(G1553)&lt;=Bidding!$D$11,Raw_hydro_bm!H1553,"")</f>
        <v/>
      </c>
      <c r="H1553" t="str">
        <f>IF(ROW(H1553)&lt;=Bidding!$D$11,Raw_hydro_bm!I1553,"")</f>
        <v/>
      </c>
      <c r="I1553" s="16" t="str">
        <f t="shared" si="24"/>
        <v/>
      </c>
    </row>
    <row r="1554" spans="1:9" x14ac:dyDescent="0.2">
      <c r="A1554" t="str">
        <f>IF(ROW(A1554)&lt;=Bidding!$D$11,Raw_hydro_bm!B1554,"")</f>
        <v/>
      </c>
      <c r="B1554" t="str">
        <f>IF(ROW(B1554)&lt;=Bidding!$D$11,Raw_hydro_bm!C1554,"")</f>
        <v/>
      </c>
      <c r="C1554" t="str">
        <f>IF(ROW(C1554)&lt;=Bidding!$D$11,Raw_hydro_bm!D1554,"")</f>
        <v/>
      </c>
      <c r="D1554" t="str">
        <f>IF(ROW(D1554)&lt;=Bidding!$D$11,Raw_hydro_bm!E1554,"")</f>
        <v/>
      </c>
      <c r="E1554" t="str">
        <f>IF(ROW(E1554)&lt;=Bidding!$D$11,Raw_hydro_bm!F1554,"")</f>
        <v/>
      </c>
      <c r="F1554" t="str">
        <f>IF(ROW(F1554)&lt;=Bidding!$D$11,Raw_hydro_bm!G1554,"")</f>
        <v/>
      </c>
      <c r="G1554" t="str">
        <f>IF(ROW(G1554)&lt;=Bidding!$D$11,Raw_hydro_bm!H1554,"")</f>
        <v/>
      </c>
      <c r="H1554" t="str">
        <f>IF(ROW(H1554)&lt;=Bidding!$D$11,Raw_hydro_bm!I1554,"")</f>
        <v/>
      </c>
      <c r="I1554" s="16" t="str">
        <f t="shared" si="24"/>
        <v/>
      </c>
    </row>
    <row r="1555" spans="1:9" x14ac:dyDescent="0.2">
      <c r="A1555" t="str">
        <f>IF(ROW(A1555)&lt;=Bidding!$D$11,Raw_hydro_bm!B1555,"")</f>
        <v/>
      </c>
      <c r="B1555" t="str">
        <f>IF(ROW(B1555)&lt;=Bidding!$D$11,Raw_hydro_bm!C1555,"")</f>
        <v/>
      </c>
      <c r="C1555" t="str">
        <f>IF(ROW(C1555)&lt;=Bidding!$D$11,Raw_hydro_bm!D1555,"")</f>
        <v/>
      </c>
      <c r="D1555" t="str">
        <f>IF(ROW(D1555)&lt;=Bidding!$D$11,Raw_hydro_bm!E1555,"")</f>
        <v/>
      </c>
      <c r="E1555" t="str">
        <f>IF(ROW(E1555)&lt;=Bidding!$D$11,Raw_hydro_bm!F1555,"")</f>
        <v/>
      </c>
      <c r="F1555" t="str">
        <f>IF(ROW(F1555)&lt;=Bidding!$D$11,Raw_hydro_bm!G1555,"")</f>
        <v/>
      </c>
      <c r="G1555" t="str">
        <f>IF(ROW(G1555)&lt;=Bidding!$D$11,Raw_hydro_bm!H1555,"")</f>
        <v/>
      </c>
      <c r="H1555" t="str">
        <f>IF(ROW(H1555)&lt;=Bidding!$D$11,Raw_hydro_bm!I1555,"")</f>
        <v/>
      </c>
      <c r="I1555" s="16" t="str">
        <f t="shared" si="24"/>
        <v/>
      </c>
    </row>
    <row r="1556" spans="1:9" x14ac:dyDescent="0.2">
      <c r="A1556" t="str">
        <f>IF(ROW(A1556)&lt;=Bidding!$D$11,Raw_hydro_bm!B1556,"")</f>
        <v/>
      </c>
      <c r="B1556" t="str">
        <f>IF(ROW(B1556)&lt;=Bidding!$D$11,Raw_hydro_bm!C1556,"")</f>
        <v/>
      </c>
      <c r="C1556" t="str">
        <f>IF(ROW(C1556)&lt;=Bidding!$D$11,Raw_hydro_bm!D1556,"")</f>
        <v/>
      </c>
      <c r="D1556" t="str">
        <f>IF(ROW(D1556)&lt;=Bidding!$D$11,Raw_hydro_bm!E1556,"")</f>
        <v/>
      </c>
      <c r="E1556" t="str">
        <f>IF(ROW(E1556)&lt;=Bidding!$D$11,Raw_hydro_bm!F1556,"")</f>
        <v/>
      </c>
      <c r="F1556" t="str">
        <f>IF(ROW(F1556)&lt;=Bidding!$D$11,Raw_hydro_bm!G1556,"")</f>
        <v/>
      </c>
      <c r="G1556" t="str">
        <f>IF(ROW(G1556)&lt;=Bidding!$D$11,Raw_hydro_bm!H1556,"")</f>
        <v/>
      </c>
      <c r="H1556" t="str">
        <f>IF(ROW(H1556)&lt;=Bidding!$D$11,Raw_hydro_bm!I1556,"")</f>
        <v/>
      </c>
      <c r="I1556" s="16" t="str">
        <f t="shared" si="24"/>
        <v/>
      </c>
    </row>
    <row r="1557" spans="1:9" x14ac:dyDescent="0.2">
      <c r="A1557" t="str">
        <f>IF(ROW(A1557)&lt;=Bidding!$D$11,Raw_hydro_bm!B1557,"")</f>
        <v/>
      </c>
      <c r="B1557" t="str">
        <f>IF(ROW(B1557)&lt;=Bidding!$D$11,Raw_hydro_bm!C1557,"")</f>
        <v/>
      </c>
      <c r="C1557" t="str">
        <f>IF(ROW(C1557)&lt;=Bidding!$D$11,Raw_hydro_bm!D1557,"")</f>
        <v/>
      </c>
      <c r="D1557" t="str">
        <f>IF(ROW(D1557)&lt;=Bidding!$D$11,Raw_hydro_bm!E1557,"")</f>
        <v/>
      </c>
      <c r="E1557" t="str">
        <f>IF(ROW(E1557)&lt;=Bidding!$D$11,Raw_hydro_bm!F1557,"")</f>
        <v/>
      </c>
      <c r="F1557" t="str">
        <f>IF(ROW(F1557)&lt;=Bidding!$D$11,Raw_hydro_bm!G1557,"")</f>
        <v/>
      </c>
      <c r="G1557" t="str">
        <f>IF(ROW(G1557)&lt;=Bidding!$D$11,Raw_hydro_bm!H1557,"")</f>
        <v/>
      </c>
      <c r="H1557" t="str">
        <f>IF(ROW(H1557)&lt;=Bidding!$D$11,Raw_hydro_bm!I1557,"")</f>
        <v/>
      </c>
      <c r="I1557" s="16" t="str">
        <f t="shared" si="24"/>
        <v/>
      </c>
    </row>
    <row r="1558" spans="1:9" x14ac:dyDescent="0.2">
      <c r="A1558" t="str">
        <f>IF(ROW(A1558)&lt;=Bidding!$D$11,Raw_hydro_bm!B1558,"")</f>
        <v/>
      </c>
      <c r="B1558" t="str">
        <f>IF(ROW(B1558)&lt;=Bidding!$D$11,Raw_hydro_bm!C1558,"")</f>
        <v/>
      </c>
      <c r="C1558" t="str">
        <f>IF(ROW(C1558)&lt;=Bidding!$D$11,Raw_hydro_bm!D1558,"")</f>
        <v/>
      </c>
      <c r="D1558" t="str">
        <f>IF(ROW(D1558)&lt;=Bidding!$D$11,Raw_hydro_bm!E1558,"")</f>
        <v/>
      </c>
      <c r="E1558" t="str">
        <f>IF(ROW(E1558)&lt;=Bidding!$D$11,Raw_hydro_bm!F1558,"")</f>
        <v/>
      </c>
      <c r="F1558" t="str">
        <f>IF(ROW(F1558)&lt;=Bidding!$D$11,Raw_hydro_bm!G1558,"")</f>
        <v/>
      </c>
      <c r="G1558" t="str">
        <f>IF(ROW(G1558)&lt;=Bidding!$D$11,Raw_hydro_bm!H1558,"")</f>
        <v/>
      </c>
      <c r="H1558" t="str">
        <f>IF(ROW(H1558)&lt;=Bidding!$D$11,Raw_hydro_bm!I1558,"")</f>
        <v/>
      </c>
      <c r="I1558" s="16" t="str">
        <f t="shared" si="24"/>
        <v/>
      </c>
    </row>
    <row r="1559" spans="1:9" x14ac:dyDescent="0.2">
      <c r="A1559" t="str">
        <f>IF(ROW(A1559)&lt;=Bidding!$D$11,Raw_hydro_bm!B1559,"")</f>
        <v/>
      </c>
      <c r="B1559" t="str">
        <f>IF(ROW(B1559)&lt;=Bidding!$D$11,Raw_hydro_bm!C1559,"")</f>
        <v/>
      </c>
      <c r="C1559" t="str">
        <f>IF(ROW(C1559)&lt;=Bidding!$D$11,Raw_hydro_bm!D1559,"")</f>
        <v/>
      </c>
      <c r="D1559" t="str">
        <f>IF(ROW(D1559)&lt;=Bidding!$D$11,Raw_hydro_bm!E1559,"")</f>
        <v/>
      </c>
      <c r="E1559" t="str">
        <f>IF(ROW(E1559)&lt;=Bidding!$D$11,Raw_hydro_bm!F1559,"")</f>
        <v/>
      </c>
      <c r="F1559" t="str">
        <f>IF(ROW(F1559)&lt;=Bidding!$D$11,Raw_hydro_bm!G1559,"")</f>
        <v/>
      </c>
      <c r="G1559" t="str">
        <f>IF(ROW(G1559)&lt;=Bidding!$D$11,Raw_hydro_bm!H1559,"")</f>
        <v/>
      </c>
      <c r="H1559" t="str">
        <f>IF(ROW(H1559)&lt;=Bidding!$D$11,Raw_hydro_bm!I1559,"")</f>
        <v/>
      </c>
      <c r="I1559" s="16" t="str">
        <f t="shared" si="24"/>
        <v/>
      </c>
    </row>
    <row r="1560" spans="1:9" x14ac:dyDescent="0.2">
      <c r="A1560" t="str">
        <f>IF(ROW(A1560)&lt;=Bidding!$D$11,Raw_hydro_bm!B1560,"")</f>
        <v/>
      </c>
      <c r="B1560" t="str">
        <f>IF(ROW(B1560)&lt;=Bidding!$D$11,Raw_hydro_bm!C1560,"")</f>
        <v/>
      </c>
      <c r="C1560" t="str">
        <f>IF(ROW(C1560)&lt;=Bidding!$D$11,Raw_hydro_bm!D1560,"")</f>
        <v/>
      </c>
      <c r="D1560" t="str">
        <f>IF(ROW(D1560)&lt;=Bidding!$D$11,Raw_hydro_bm!E1560,"")</f>
        <v/>
      </c>
      <c r="E1560" t="str">
        <f>IF(ROW(E1560)&lt;=Bidding!$D$11,Raw_hydro_bm!F1560,"")</f>
        <v/>
      </c>
      <c r="F1560" t="str">
        <f>IF(ROW(F1560)&lt;=Bidding!$D$11,Raw_hydro_bm!G1560,"")</f>
        <v/>
      </c>
      <c r="G1560" t="str">
        <f>IF(ROW(G1560)&lt;=Bidding!$D$11,Raw_hydro_bm!H1560,"")</f>
        <v/>
      </c>
      <c r="H1560" t="str">
        <f>IF(ROW(H1560)&lt;=Bidding!$D$11,Raw_hydro_bm!I1560,"")</f>
        <v/>
      </c>
      <c r="I1560" s="16" t="str">
        <f t="shared" si="24"/>
        <v/>
      </c>
    </row>
    <row r="1561" spans="1:9" x14ac:dyDescent="0.2">
      <c r="A1561" t="str">
        <f>IF(ROW(A1561)&lt;=Bidding!$D$11,Raw_hydro_bm!B1561,"")</f>
        <v/>
      </c>
      <c r="B1561" t="str">
        <f>IF(ROW(B1561)&lt;=Bidding!$D$11,Raw_hydro_bm!C1561,"")</f>
        <v/>
      </c>
      <c r="C1561" t="str">
        <f>IF(ROW(C1561)&lt;=Bidding!$D$11,Raw_hydro_bm!D1561,"")</f>
        <v/>
      </c>
      <c r="D1561" t="str">
        <f>IF(ROW(D1561)&lt;=Bidding!$D$11,Raw_hydro_bm!E1561,"")</f>
        <v/>
      </c>
      <c r="E1561" t="str">
        <f>IF(ROW(E1561)&lt;=Bidding!$D$11,Raw_hydro_bm!F1561,"")</f>
        <v/>
      </c>
      <c r="F1561" t="str">
        <f>IF(ROW(F1561)&lt;=Bidding!$D$11,Raw_hydro_bm!G1561,"")</f>
        <v/>
      </c>
      <c r="G1561" t="str">
        <f>IF(ROW(G1561)&lt;=Bidding!$D$11,Raw_hydro_bm!H1561,"")</f>
        <v/>
      </c>
      <c r="H1561" t="str">
        <f>IF(ROW(H1561)&lt;=Bidding!$D$11,Raw_hydro_bm!I1561,"")</f>
        <v/>
      </c>
      <c r="I1561" s="16" t="str">
        <f t="shared" si="24"/>
        <v/>
      </c>
    </row>
    <row r="1562" spans="1:9" x14ac:dyDescent="0.2">
      <c r="A1562" t="str">
        <f>IF(ROW(A1562)&lt;=Bidding!$D$11,Raw_hydro_bm!B1562,"")</f>
        <v/>
      </c>
      <c r="B1562" t="str">
        <f>IF(ROW(B1562)&lt;=Bidding!$D$11,Raw_hydro_bm!C1562,"")</f>
        <v/>
      </c>
      <c r="C1562" t="str">
        <f>IF(ROW(C1562)&lt;=Bidding!$D$11,Raw_hydro_bm!D1562,"")</f>
        <v/>
      </c>
      <c r="D1562" t="str">
        <f>IF(ROW(D1562)&lt;=Bidding!$D$11,Raw_hydro_bm!E1562,"")</f>
        <v/>
      </c>
      <c r="E1562" t="str">
        <f>IF(ROW(E1562)&lt;=Bidding!$D$11,Raw_hydro_bm!F1562,"")</f>
        <v/>
      </c>
      <c r="F1562" t="str">
        <f>IF(ROW(F1562)&lt;=Bidding!$D$11,Raw_hydro_bm!G1562,"")</f>
        <v/>
      </c>
      <c r="G1562" t="str">
        <f>IF(ROW(G1562)&lt;=Bidding!$D$11,Raw_hydro_bm!H1562,"")</f>
        <v/>
      </c>
      <c r="H1562" t="str">
        <f>IF(ROW(H1562)&lt;=Bidding!$D$11,Raw_hydro_bm!I1562,"")</f>
        <v/>
      </c>
      <c r="I1562" s="16" t="str">
        <f t="shared" si="24"/>
        <v/>
      </c>
    </row>
    <row r="1563" spans="1:9" x14ac:dyDescent="0.2">
      <c r="A1563" t="str">
        <f>IF(ROW(A1563)&lt;=Bidding!$D$11,Raw_hydro_bm!B1563,"")</f>
        <v/>
      </c>
      <c r="B1563" t="str">
        <f>IF(ROW(B1563)&lt;=Bidding!$D$11,Raw_hydro_bm!C1563,"")</f>
        <v/>
      </c>
      <c r="C1563" t="str">
        <f>IF(ROW(C1563)&lt;=Bidding!$D$11,Raw_hydro_bm!D1563,"")</f>
        <v/>
      </c>
      <c r="D1563" t="str">
        <f>IF(ROW(D1563)&lt;=Bidding!$D$11,Raw_hydro_bm!E1563,"")</f>
        <v/>
      </c>
      <c r="E1563" t="str">
        <f>IF(ROW(E1563)&lt;=Bidding!$D$11,Raw_hydro_bm!F1563,"")</f>
        <v/>
      </c>
      <c r="F1563" t="str">
        <f>IF(ROW(F1563)&lt;=Bidding!$D$11,Raw_hydro_bm!G1563,"")</f>
        <v/>
      </c>
      <c r="G1563" t="str">
        <f>IF(ROW(G1563)&lt;=Bidding!$D$11,Raw_hydro_bm!H1563,"")</f>
        <v/>
      </c>
      <c r="H1563" t="str">
        <f>IF(ROW(H1563)&lt;=Bidding!$D$11,Raw_hydro_bm!I1563,"")</f>
        <v/>
      </c>
      <c r="I1563" s="16" t="str">
        <f t="shared" si="24"/>
        <v/>
      </c>
    </row>
    <row r="1564" spans="1:9" x14ac:dyDescent="0.2">
      <c r="A1564" t="str">
        <f>IF(ROW(A1564)&lt;=Bidding!$D$11,Raw_hydro_bm!B1564,"")</f>
        <v/>
      </c>
      <c r="B1564" t="str">
        <f>IF(ROW(B1564)&lt;=Bidding!$D$11,Raw_hydro_bm!C1564,"")</f>
        <v/>
      </c>
      <c r="C1564" t="str">
        <f>IF(ROW(C1564)&lt;=Bidding!$D$11,Raw_hydro_bm!D1564,"")</f>
        <v/>
      </c>
      <c r="D1564" t="str">
        <f>IF(ROW(D1564)&lt;=Bidding!$D$11,Raw_hydro_bm!E1564,"")</f>
        <v/>
      </c>
      <c r="E1564" t="str">
        <f>IF(ROW(E1564)&lt;=Bidding!$D$11,Raw_hydro_bm!F1564,"")</f>
        <v/>
      </c>
      <c r="F1564" t="str">
        <f>IF(ROW(F1564)&lt;=Bidding!$D$11,Raw_hydro_bm!G1564,"")</f>
        <v/>
      </c>
      <c r="G1564" t="str">
        <f>IF(ROW(G1564)&lt;=Bidding!$D$11,Raw_hydro_bm!H1564,"")</f>
        <v/>
      </c>
      <c r="H1564" t="str">
        <f>IF(ROW(H1564)&lt;=Bidding!$D$11,Raw_hydro_bm!I1564,"")</f>
        <v/>
      </c>
      <c r="I1564" s="16" t="str">
        <f t="shared" si="24"/>
        <v/>
      </c>
    </row>
    <row r="1565" spans="1:9" x14ac:dyDescent="0.2">
      <c r="A1565" t="str">
        <f>IF(ROW(A1565)&lt;=Bidding!$D$11,Raw_hydro_bm!B1565,"")</f>
        <v/>
      </c>
      <c r="B1565" t="str">
        <f>IF(ROW(B1565)&lt;=Bidding!$D$11,Raw_hydro_bm!C1565,"")</f>
        <v/>
      </c>
      <c r="C1565" t="str">
        <f>IF(ROW(C1565)&lt;=Bidding!$D$11,Raw_hydro_bm!D1565,"")</f>
        <v/>
      </c>
      <c r="D1565" t="str">
        <f>IF(ROW(D1565)&lt;=Bidding!$D$11,Raw_hydro_bm!E1565,"")</f>
        <v/>
      </c>
      <c r="E1565" t="str">
        <f>IF(ROW(E1565)&lt;=Bidding!$D$11,Raw_hydro_bm!F1565,"")</f>
        <v/>
      </c>
      <c r="F1565" t="str">
        <f>IF(ROW(F1565)&lt;=Bidding!$D$11,Raw_hydro_bm!G1565,"")</f>
        <v/>
      </c>
      <c r="G1565" t="str">
        <f>IF(ROW(G1565)&lt;=Bidding!$D$11,Raw_hydro_bm!H1565,"")</f>
        <v/>
      </c>
      <c r="H1565" t="str">
        <f>IF(ROW(H1565)&lt;=Bidding!$D$11,Raw_hydro_bm!I1565,"")</f>
        <v/>
      </c>
      <c r="I1565" s="16" t="str">
        <f t="shared" si="24"/>
        <v/>
      </c>
    </row>
    <row r="1566" spans="1:9" x14ac:dyDescent="0.2">
      <c r="A1566" t="str">
        <f>IF(ROW(A1566)&lt;=Bidding!$D$11,Raw_hydro_bm!B1566,"")</f>
        <v/>
      </c>
      <c r="B1566" t="str">
        <f>IF(ROW(B1566)&lt;=Bidding!$D$11,Raw_hydro_bm!C1566,"")</f>
        <v/>
      </c>
      <c r="C1566" t="str">
        <f>IF(ROW(C1566)&lt;=Bidding!$D$11,Raw_hydro_bm!D1566,"")</f>
        <v/>
      </c>
      <c r="D1566" t="str">
        <f>IF(ROW(D1566)&lt;=Bidding!$D$11,Raw_hydro_bm!E1566,"")</f>
        <v/>
      </c>
      <c r="E1566" t="str">
        <f>IF(ROW(E1566)&lt;=Bidding!$D$11,Raw_hydro_bm!F1566,"")</f>
        <v/>
      </c>
      <c r="F1566" t="str">
        <f>IF(ROW(F1566)&lt;=Bidding!$D$11,Raw_hydro_bm!G1566,"")</f>
        <v/>
      </c>
      <c r="G1566" t="str">
        <f>IF(ROW(G1566)&lt;=Bidding!$D$11,Raw_hydro_bm!H1566,"")</f>
        <v/>
      </c>
      <c r="H1566" t="str">
        <f>IF(ROW(H1566)&lt;=Bidding!$D$11,Raw_hydro_bm!I1566,"")</f>
        <v/>
      </c>
      <c r="I1566" s="16" t="str">
        <f t="shared" si="24"/>
        <v/>
      </c>
    </row>
    <row r="1567" spans="1:9" x14ac:dyDescent="0.2">
      <c r="A1567" t="str">
        <f>IF(ROW(A1567)&lt;=Bidding!$D$11,Raw_hydro_bm!B1567,"")</f>
        <v/>
      </c>
      <c r="B1567" t="str">
        <f>IF(ROW(B1567)&lt;=Bidding!$D$11,Raw_hydro_bm!C1567,"")</f>
        <v/>
      </c>
      <c r="C1567" t="str">
        <f>IF(ROW(C1567)&lt;=Bidding!$D$11,Raw_hydro_bm!D1567,"")</f>
        <v/>
      </c>
      <c r="D1567" t="str">
        <f>IF(ROW(D1567)&lt;=Bidding!$D$11,Raw_hydro_bm!E1567,"")</f>
        <v/>
      </c>
      <c r="E1567" t="str">
        <f>IF(ROW(E1567)&lt;=Bidding!$D$11,Raw_hydro_bm!F1567,"")</f>
        <v/>
      </c>
      <c r="F1567" t="str">
        <f>IF(ROW(F1567)&lt;=Bidding!$D$11,Raw_hydro_bm!G1567,"")</f>
        <v/>
      </c>
      <c r="G1567" t="str">
        <f>IF(ROW(G1567)&lt;=Bidding!$D$11,Raw_hydro_bm!H1567,"")</f>
        <v/>
      </c>
      <c r="H1567" t="str">
        <f>IF(ROW(H1567)&lt;=Bidding!$D$11,Raw_hydro_bm!I1567,"")</f>
        <v/>
      </c>
      <c r="I1567" s="16" t="str">
        <f t="shared" si="24"/>
        <v/>
      </c>
    </row>
    <row r="1568" spans="1:9" x14ac:dyDescent="0.2">
      <c r="A1568" t="str">
        <f>IF(ROW(A1568)&lt;=Bidding!$D$11,Raw_hydro_bm!B1568,"")</f>
        <v/>
      </c>
      <c r="B1568" t="str">
        <f>IF(ROW(B1568)&lt;=Bidding!$D$11,Raw_hydro_bm!C1568,"")</f>
        <v/>
      </c>
      <c r="C1568" t="str">
        <f>IF(ROW(C1568)&lt;=Bidding!$D$11,Raw_hydro_bm!D1568,"")</f>
        <v/>
      </c>
      <c r="D1568" t="str">
        <f>IF(ROW(D1568)&lt;=Bidding!$D$11,Raw_hydro_bm!E1568,"")</f>
        <v/>
      </c>
      <c r="E1568" t="str">
        <f>IF(ROW(E1568)&lt;=Bidding!$D$11,Raw_hydro_bm!F1568,"")</f>
        <v/>
      </c>
      <c r="F1568" t="str">
        <f>IF(ROW(F1568)&lt;=Bidding!$D$11,Raw_hydro_bm!G1568,"")</f>
        <v/>
      </c>
      <c r="G1568" t="str">
        <f>IF(ROW(G1568)&lt;=Bidding!$D$11,Raw_hydro_bm!H1568,"")</f>
        <v/>
      </c>
      <c r="H1568" t="str">
        <f>IF(ROW(H1568)&lt;=Bidding!$D$11,Raw_hydro_bm!I1568,"")</f>
        <v/>
      </c>
      <c r="I1568" s="16" t="str">
        <f t="shared" si="24"/>
        <v/>
      </c>
    </row>
    <row r="1569" spans="1:9" x14ac:dyDescent="0.2">
      <c r="A1569" t="str">
        <f>IF(ROW(A1569)&lt;=Bidding!$D$11,Raw_hydro_bm!B1569,"")</f>
        <v/>
      </c>
      <c r="B1569" t="str">
        <f>IF(ROW(B1569)&lt;=Bidding!$D$11,Raw_hydro_bm!C1569,"")</f>
        <v/>
      </c>
      <c r="C1569" t="str">
        <f>IF(ROW(C1569)&lt;=Bidding!$D$11,Raw_hydro_bm!D1569,"")</f>
        <v/>
      </c>
      <c r="D1569" t="str">
        <f>IF(ROW(D1569)&lt;=Bidding!$D$11,Raw_hydro_bm!E1569,"")</f>
        <v/>
      </c>
      <c r="E1569" t="str">
        <f>IF(ROW(E1569)&lt;=Bidding!$D$11,Raw_hydro_bm!F1569,"")</f>
        <v/>
      </c>
      <c r="F1569" t="str">
        <f>IF(ROW(F1569)&lt;=Bidding!$D$11,Raw_hydro_bm!G1569,"")</f>
        <v/>
      </c>
      <c r="G1569" t="str">
        <f>IF(ROW(G1569)&lt;=Bidding!$D$11,Raw_hydro_bm!H1569,"")</f>
        <v/>
      </c>
      <c r="H1569" t="str">
        <f>IF(ROW(H1569)&lt;=Bidding!$D$11,Raw_hydro_bm!I1569,"")</f>
        <v/>
      </c>
      <c r="I1569" s="16" t="str">
        <f t="shared" si="24"/>
        <v/>
      </c>
    </row>
    <row r="1570" spans="1:9" x14ac:dyDescent="0.2">
      <c r="A1570" t="str">
        <f>IF(ROW(A1570)&lt;=Bidding!$D$11,Raw_hydro_bm!B1570,"")</f>
        <v/>
      </c>
      <c r="B1570" t="str">
        <f>IF(ROW(B1570)&lt;=Bidding!$D$11,Raw_hydro_bm!C1570,"")</f>
        <v/>
      </c>
      <c r="C1570" t="str">
        <f>IF(ROW(C1570)&lt;=Bidding!$D$11,Raw_hydro_bm!D1570,"")</f>
        <v/>
      </c>
      <c r="D1570" t="str">
        <f>IF(ROW(D1570)&lt;=Bidding!$D$11,Raw_hydro_bm!E1570,"")</f>
        <v/>
      </c>
      <c r="E1570" t="str">
        <f>IF(ROW(E1570)&lt;=Bidding!$D$11,Raw_hydro_bm!F1570,"")</f>
        <v/>
      </c>
      <c r="F1570" t="str">
        <f>IF(ROW(F1570)&lt;=Bidding!$D$11,Raw_hydro_bm!G1570,"")</f>
        <v/>
      </c>
      <c r="G1570" t="str">
        <f>IF(ROW(G1570)&lt;=Bidding!$D$11,Raw_hydro_bm!H1570,"")</f>
        <v/>
      </c>
      <c r="H1570" t="str">
        <f>IF(ROW(H1570)&lt;=Bidding!$D$11,Raw_hydro_bm!I1570,"")</f>
        <v/>
      </c>
      <c r="I1570" s="16" t="str">
        <f t="shared" si="24"/>
        <v/>
      </c>
    </row>
    <row r="1571" spans="1:9" x14ac:dyDescent="0.2">
      <c r="A1571" t="str">
        <f>IF(ROW(A1571)&lt;=Bidding!$D$11,Raw_hydro_bm!B1571,"")</f>
        <v/>
      </c>
      <c r="B1571" t="str">
        <f>IF(ROW(B1571)&lt;=Bidding!$D$11,Raw_hydro_bm!C1571,"")</f>
        <v/>
      </c>
      <c r="C1571" t="str">
        <f>IF(ROW(C1571)&lt;=Bidding!$D$11,Raw_hydro_bm!D1571,"")</f>
        <v/>
      </c>
      <c r="D1571" t="str">
        <f>IF(ROW(D1571)&lt;=Bidding!$D$11,Raw_hydro_bm!E1571,"")</f>
        <v/>
      </c>
      <c r="E1571" t="str">
        <f>IF(ROW(E1571)&lt;=Bidding!$D$11,Raw_hydro_bm!F1571,"")</f>
        <v/>
      </c>
      <c r="F1571" t="str">
        <f>IF(ROW(F1571)&lt;=Bidding!$D$11,Raw_hydro_bm!G1571,"")</f>
        <v/>
      </c>
      <c r="G1571" t="str">
        <f>IF(ROW(G1571)&lt;=Bidding!$D$11,Raw_hydro_bm!H1571,"")</f>
        <v/>
      </c>
      <c r="H1571" t="str">
        <f>IF(ROW(H1571)&lt;=Bidding!$D$11,Raw_hydro_bm!I1571,"")</f>
        <v/>
      </c>
      <c r="I1571" s="16" t="str">
        <f t="shared" si="24"/>
        <v/>
      </c>
    </row>
    <row r="1572" spans="1:9" x14ac:dyDescent="0.2">
      <c r="A1572" t="str">
        <f>IF(ROW(A1572)&lt;=Bidding!$D$11,Raw_hydro_bm!B1572,"")</f>
        <v/>
      </c>
      <c r="B1572" t="str">
        <f>IF(ROW(B1572)&lt;=Bidding!$D$11,Raw_hydro_bm!C1572,"")</f>
        <v/>
      </c>
      <c r="C1572" t="str">
        <f>IF(ROW(C1572)&lt;=Bidding!$D$11,Raw_hydro_bm!D1572,"")</f>
        <v/>
      </c>
      <c r="D1572" t="str">
        <f>IF(ROW(D1572)&lt;=Bidding!$D$11,Raw_hydro_bm!E1572,"")</f>
        <v/>
      </c>
      <c r="E1572" t="str">
        <f>IF(ROW(E1572)&lt;=Bidding!$D$11,Raw_hydro_bm!F1572,"")</f>
        <v/>
      </c>
      <c r="F1572" t="str">
        <f>IF(ROW(F1572)&lt;=Bidding!$D$11,Raw_hydro_bm!G1572,"")</f>
        <v/>
      </c>
      <c r="G1572" t="str">
        <f>IF(ROW(G1572)&lt;=Bidding!$D$11,Raw_hydro_bm!H1572,"")</f>
        <v/>
      </c>
      <c r="H1572" t="str">
        <f>IF(ROW(H1572)&lt;=Bidding!$D$11,Raw_hydro_bm!I1572,"")</f>
        <v/>
      </c>
      <c r="I1572" s="16" t="str">
        <f t="shared" si="24"/>
        <v/>
      </c>
    </row>
    <row r="1573" spans="1:9" x14ac:dyDescent="0.2">
      <c r="A1573" t="str">
        <f>IF(ROW(A1573)&lt;=Bidding!$D$11,Raw_hydro_bm!B1573,"")</f>
        <v/>
      </c>
      <c r="B1573" t="str">
        <f>IF(ROW(B1573)&lt;=Bidding!$D$11,Raw_hydro_bm!C1573,"")</f>
        <v/>
      </c>
      <c r="C1573" t="str">
        <f>IF(ROW(C1573)&lt;=Bidding!$D$11,Raw_hydro_bm!D1573,"")</f>
        <v/>
      </c>
      <c r="D1573" t="str">
        <f>IF(ROW(D1573)&lt;=Bidding!$D$11,Raw_hydro_bm!E1573,"")</f>
        <v/>
      </c>
      <c r="E1573" t="str">
        <f>IF(ROW(E1573)&lt;=Bidding!$D$11,Raw_hydro_bm!F1573,"")</f>
        <v/>
      </c>
      <c r="F1573" t="str">
        <f>IF(ROW(F1573)&lt;=Bidding!$D$11,Raw_hydro_bm!G1573,"")</f>
        <v/>
      </c>
      <c r="G1573" t="str">
        <f>IF(ROW(G1573)&lt;=Bidding!$D$11,Raw_hydro_bm!H1573,"")</f>
        <v/>
      </c>
      <c r="H1573" t="str">
        <f>IF(ROW(H1573)&lt;=Bidding!$D$11,Raw_hydro_bm!I1573,"")</f>
        <v/>
      </c>
      <c r="I1573" s="16" t="str">
        <f t="shared" si="24"/>
        <v/>
      </c>
    </row>
    <row r="1574" spans="1:9" x14ac:dyDescent="0.2">
      <c r="A1574" t="str">
        <f>IF(ROW(A1574)&lt;=Bidding!$D$11,Raw_hydro_bm!B1574,"")</f>
        <v/>
      </c>
      <c r="B1574" t="str">
        <f>IF(ROW(B1574)&lt;=Bidding!$D$11,Raw_hydro_bm!C1574,"")</f>
        <v/>
      </c>
      <c r="C1574" t="str">
        <f>IF(ROW(C1574)&lt;=Bidding!$D$11,Raw_hydro_bm!D1574,"")</f>
        <v/>
      </c>
      <c r="D1574" t="str">
        <f>IF(ROW(D1574)&lt;=Bidding!$D$11,Raw_hydro_bm!E1574,"")</f>
        <v/>
      </c>
      <c r="E1574" t="str">
        <f>IF(ROW(E1574)&lt;=Bidding!$D$11,Raw_hydro_bm!F1574,"")</f>
        <v/>
      </c>
      <c r="F1574" t="str">
        <f>IF(ROW(F1574)&lt;=Bidding!$D$11,Raw_hydro_bm!G1574,"")</f>
        <v/>
      </c>
      <c r="G1574" t="str">
        <f>IF(ROW(G1574)&lt;=Bidding!$D$11,Raw_hydro_bm!H1574,"")</f>
        <v/>
      </c>
      <c r="H1574" t="str">
        <f>IF(ROW(H1574)&lt;=Bidding!$D$11,Raw_hydro_bm!I1574,"")</f>
        <v/>
      </c>
      <c r="I1574" s="16" t="str">
        <f t="shared" si="24"/>
        <v/>
      </c>
    </row>
    <row r="1575" spans="1:9" x14ac:dyDescent="0.2">
      <c r="A1575" t="str">
        <f>IF(ROW(A1575)&lt;=Bidding!$D$11,Raw_hydro_bm!B1575,"")</f>
        <v/>
      </c>
      <c r="B1575" t="str">
        <f>IF(ROW(B1575)&lt;=Bidding!$D$11,Raw_hydro_bm!C1575,"")</f>
        <v/>
      </c>
      <c r="C1575" t="str">
        <f>IF(ROW(C1575)&lt;=Bidding!$D$11,Raw_hydro_bm!D1575,"")</f>
        <v/>
      </c>
      <c r="D1575" t="str">
        <f>IF(ROW(D1575)&lt;=Bidding!$D$11,Raw_hydro_bm!E1575,"")</f>
        <v/>
      </c>
      <c r="E1575" t="str">
        <f>IF(ROW(E1575)&lt;=Bidding!$D$11,Raw_hydro_bm!F1575,"")</f>
        <v/>
      </c>
      <c r="F1575" t="str">
        <f>IF(ROW(F1575)&lt;=Bidding!$D$11,Raw_hydro_bm!G1575,"")</f>
        <v/>
      </c>
      <c r="G1575" t="str">
        <f>IF(ROW(G1575)&lt;=Bidding!$D$11,Raw_hydro_bm!H1575,"")</f>
        <v/>
      </c>
      <c r="H1575" t="str">
        <f>IF(ROW(H1575)&lt;=Bidding!$D$11,Raw_hydro_bm!I1575,"")</f>
        <v/>
      </c>
      <c r="I1575" s="16" t="str">
        <f t="shared" si="24"/>
        <v/>
      </c>
    </row>
    <row r="1576" spans="1:9" x14ac:dyDescent="0.2">
      <c r="A1576" t="str">
        <f>IF(ROW(A1576)&lt;=Bidding!$D$11,Raw_hydro_bm!B1576,"")</f>
        <v/>
      </c>
      <c r="B1576" t="str">
        <f>IF(ROW(B1576)&lt;=Bidding!$D$11,Raw_hydro_bm!C1576,"")</f>
        <v/>
      </c>
      <c r="C1576" t="str">
        <f>IF(ROW(C1576)&lt;=Bidding!$D$11,Raw_hydro_bm!D1576,"")</f>
        <v/>
      </c>
      <c r="D1576" t="str">
        <f>IF(ROW(D1576)&lt;=Bidding!$D$11,Raw_hydro_bm!E1576,"")</f>
        <v/>
      </c>
      <c r="E1576" t="str">
        <f>IF(ROW(E1576)&lt;=Bidding!$D$11,Raw_hydro_bm!F1576,"")</f>
        <v/>
      </c>
      <c r="F1576" t="str">
        <f>IF(ROW(F1576)&lt;=Bidding!$D$11,Raw_hydro_bm!G1576,"")</f>
        <v/>
      </c>
      <c r="G1576" t="str">
        <f>IF(ROW(G1576)&lt;=Bidding!$D$11,Raw_hydro_bm!H1576,"")</f>
        <v/>
      </c>
      <c r="H1576" t="str">
        <f>IF(ROW(H1576)&lt;=Bidding!$D$11,Raw_hydro_bm!I1576,"")</f>
        <v/>
      </c>
      <c r="I1576" s="16" t="str">
        <f t="shared" si="24"/>
        <v/>
      </c>
    </row>
    <row r="1577" spans="1:9" x14ac:dyDescent="0.2">
      <c r="A1577" t="str">
        <f>IF(ROW(A1577)&lt;=Bidding!$D$11,Raw_hydro_bm!B1577,"")</f>
        <v/>
      </c>
      <c r="B1577" t="str">
        <f>IF(ROW(B1577)&lt;=Bidding!$D$11,Raw_hydro_bm!C1577,"")</f>
        <v/>
      </c>
      <c r="C1577" t="str">
        <f>IF(ROW(C1577)&lt;=Bidding!$D$11,Raw_hydro_bm!D1577,"")</f>
        <v/>
      </c>
      <c r="D1577" t="str">
        <f>IF(ROW(D1577)&lt;=Bidding!$D$11,Raw_hydro_bm!E1577,"")</f>
        <v/>
      </c>
      <c r="E1577" t="str">
        <f>IF(ROW(E1577)&lt;=Bidding!$D$11,Raw_hydro_bm!F1577,"")</f>
        <v/>
      </c>
      <c r="F1577" t="str">
        <f>IF(ROW(F1577)&lt;=Bidding!$D$11,Raw_hydro_bm!G1577,"")</f>
        <v/>
      </c>
      <c r="G1577" t="str">
        <f>IF(ROW(G1577)&lt;=Bidding!$D$11,Raw_hydro_bm!H1577,"")</f>
        <v/>
      </c>
      <c r="H1577" t="str">
        <f>IF(ROW(H1577)&lt;=Bidding!$D$11,Raw_hydro_bm!I1577,"")</f>
        <v/>
      </c>
      <c r="I1577" s="16" t="str">
        <f t="shared" si="24"/>
        <v/>
      </c>
    </row>
    <row r="1578" spans="1:9" x14ac:dyDescent="0.2">
      <c r="A1578" t="str">
        <f>IF(ROW(A1578)&lt;=Bidding!$D$11,Raw_hydro_bm!B1578,"")</f>
        <v/>
      </c>
      <c r="B1578" t="str">
        <f>IF(ROW(B1578)&lt;=Bidding!$D$11,Raw_hydro_bm!C1578,"")</f>
        <v/>
      </c>
      <c r="C1578" t="str">
        <f>IF(ROW(C1578)&lt;=Bidding!$D$11,Raw_hydro_bm!D1578,"")</f>
        <v/>
      </c>
      <c r="D1578" t="str">
        <f>IF(ROW(D1578)&lt;=Bidding!$D$11,Raw_hydro_bm!E1578,"")</f>
        <v/>
      </c>
      <c r="E1578" t="str">
        <f>IF(ROW(E1578)&lt;=Bidding!$D$11,Raw_hydro_bm!F1578,"")</f>
        <v/>
      </c>
      <c r="F1578" t="str">
        <f>IF(ROW(F1578)&lt;=Bidding!$D$11,Raw_hydro_bm!G1578,"")</f>
        <v/>
      </c>
      <c r="G1578" t="str">
        <f>IF(ROW(G1578)&lt;=Bidding!$D$11,Raw_hydro_bm!H1578,"")</f>
        <v/>
      </c>
      <c r="H1578" t="str">
        <f>IF(ROW(H1578)&lt;=Bidding!$D$11,Raw_hydro_bm!I1578,"")</f>
        <v/>
      </c>
      <c r="I1578" s="16" t="str">
        <f t="shared" si="24"/>
        <v/>
      </c>
    </row>
    <row r="1579" spans="1:9" x14ac:dyDescent="0.2">
      <c r="A1579" t="str">
        <f>IF(ROW(A1579)&lt;=Bidding!$D$11,Raw_hydro_bm!B1579,"")</f>
        <v/>
      </c>
      <c r="B1579" t="str">
        <f>IF(ROW(B1579)&lt;=Bidding!$D$11,Raw_hydro_bm!C1579,"")</f>
        <v/>
      </c>
      <c r="C1579" t="str">
        <f>IF(ROW(C1579)&lt;=Bidding!$D$11,Raw_hydro_bm!D1579,"")</f>
        <v/>
      </c>
      <c r="D1579" t="str">
        <f>IF(ROW(D1579)&lt;=Bidding!$D$11,Raw_hydro_bm!E1579,"")</f>
        <v/>
      </c>
      <c r="E1579" t="str">
        <f>IF(ROW(E1579)&lt;=Bidding!$D$11,Raw_hydro_bm!F1579,"")</f>
        <v/>
      </c>
      <c r="F1579" t="str">
        <f>IF(ROW(F1579)&lt;=Bidding!$D$11,Raw_hydro_bm!G1579,"")</f>
        <v/>
      </c>
      <c r="G1579" t="str">
        <f>IF(ROW(G1579)&lt;=Bidding!$D$11,Raw_hydro_bm!H1579,"")</f>
        <v/>
      </c>
      <c r="H1579" t="str">
        <f>IF(ROW(H1579)&lt;=Bidding!$D$11,Raw_hydro_bm!I1579,"")</f>
        <v/>
      </c>
      <c r="I1579" s="16" t="str">
        <f t="shared" si="24"/>
        <v/>
      </c>
    </row>
    <row r="1580" spans="1:9" x14ac:dyDescent="0.2">
      <c r="A1580" t="str">
        <f>IF(ROW(A1580)&lt;=Bidding!$D$11,Raw_hydro_bm!B1580,"")</f>
        <v/>
      </c>
      <c r="B1580" t="str">
        <f>IF(ROW(B1580)&lt;=Bidding!$D$11,Raw_hydro_bm!C1580,"")</f>
        <v/>
      </c>
      <c r="C1580" t="str">
        <f>IF(ROW(C1580)&lt;=Bidding!$D$11,Raw_hydro_bm!D1580,"")</f>
        <v/>
      </c>
      <c r="D1580" t="str">
        <f>IF(ROW(D1580)&lt;=Bidding!$D$11,Raw_hydro_bm!E1580,"")</f>
        <v/>
      </c>
      <c r="E1580" t="str">
        <f>IF(ROW(E1580)&lt;=Bidding!$D$11,Raw_hydro_bm!F1580,"")</f>
        <v/>
      </c>
      <c r="F1580" t="str">
        <f>IF(ROW(F1580)&lt;=Bidding!$D$11,Raw_hydro_bm!G1580,"")</f>
        <v/>
      </c>
      <c r="G1580" t="str">
        <f>IF(ROW(G1580)&lt;=Bidding!$D$11,Raw_hydro_bm!H1580,"")</f>
        <v/>
      </c>
      <c r="H1580" t="str">
        <f>IF(ROW(H1580)&lt;=Bidding!$D$11,Raw_hydro_bm!I1580,"")</f>
        <v/>
      </c>
      <c r="I1580" s="16" t="str">
        <f t="shared" si="24"/>
        <v/>
      </c>
    </row>
    <row r="1581" spans="1:9" x14ac:dyDescent="0.2">
      <c r="A1581" t="str">
        <f>IF(ROW(A1581)&lt;=Bidding!$D$11,Raw_hydro_bm!B1581,"")</f>
        <v/>
      </c>
      <c r="B1581" t="str">
        <f>IF(ROW(B1581)&lt;=Bidding!$D$11,Raw_hydro_bm!C1581,"")</f>
        <v/>
      </c>
      <c r="C1581" t="str">
        <f>IF(ROW(C1581)&lt;=Bidding!$D$11,Raw_hydro_bm!D1581,"")</f>
        <v/>
      </c>
      <c r="D1581" t="str">
        <f>IF(ROW(D1581)&lt;=Bidding!$D$11,Raw_hydro_bm!E1581,"")</f>
        <v/>
      </c>
      <c r="E1581" t="str">
        <f>IF(ROW(E1581)&lt;=Bidding!$D$11,Raw_hydro_bm!F1581,"")</f>
        <v/>
      </c>
      <c r="F1581" t="str">
        <f>IF(ROW(F1581)&lt;=Bidding!$D$11,Raw_hydro_bm!G1581,"")</f>
        <v/>
      </c>
      <c r="G1581" t="str">
        <f>IF(ROW(G1581)&lt;=Bidding!$D$11,Raw_hydro_bm!H1581,"")</f>
        <v/>
      </c>
      <c r="H1581" t="str">
        <f>IF(ROW(H1581)&lt;=Bidding!$D$11,Raw_hydro_bm!I1581,"")</f>
        <v/>
      </c>
      <c r="I1581" s="16" t="str">
        <f t="shared" si="24"/>
        <v/>
      </c>
    </row>
    <row r="1582" spans="1:9" x14ac:dyDescent="0.2">
      <c r="A1582" t="str">
        <f>IF(ROW(A1582)&lt;=Bidding!$D$11,Raw_hydro_bm!B1582,"")</f>
        <v/>
      </c>
      <c r="B1582" t="str">
        <f>IF(ROW(B1582)&lt;=Bidding!$D$11,Raw_hydro_bm!C1582,"")</f>
        <v/>
      </c>
      <c r="C1582" t="str">
        <f>IF(ROW(C1582)&lt;=Bidding!$D$11,Raw_hydro_bm!D1582,"")</f>
        <v/>
      </c>
      <c r="D1582" t="str">
        <f>IF(ROW(D1582)&lt;=Bidding!$D$11,Raw_hydro_bm!E1582,"")</f>
        <v/>
      </c>
      <c r="E1582" t="str">
        <f>IF(ROW(E1582)&lt;=Bidding!$D$11,Raw_hydro_bm!F1582,"")</f>
        <v/>
      </c>
      <c r="F1582" t="str">
        <f>IF(ROW(F1582)&lt;=Bidding!$D$11,Raw_hydro_bm!G1582,"")</f>
        <v/>
      </c>
      <c r="G1582" t="str">
        <f>IF(ROW(G1582)&lt;=Bidding!$D$11,Raw_hydro_bm!H1582,"")</f>
        <v/>
      </c>
      <c r="H1582" t="str">
        <f>IF(ROW(H1582)&lt;=Bidding!$D$11,Raw_hydro_bm!I1582,"")</f>
        <v/>
      </c>
      <c r="I1582" s="16" t="str">
        <f t="shared" si="24"/>
        <v/>
      </c>
    </row>
    <row r="1583" spans="1:9" x14ac:dyDescent="0.2">
      <c r="A1583" t="str">
        <f>IF(ROW(A1583)&lt;=Bidding!$D$11,Raw_hydro_bm!B1583,"")</f>
        <v/>
      </c>
      <c r="B1583" t="str">
        <f>IF(ROW(B1583)&lt;=Bidding!$D$11,Raw_hydro_bm!C1583,"")</f>
        <v/>
      </c>
      <c r="C1583" t="str">
        <f>IF(ROW(C1583)&lt;=Bidding!$D$11,Raw_hydro_bm!D1583,"")</f>
        <v/>
      </c>
      <c r="D1583" t="str">
        <f>IF(ROW(D1583)&lt;=Bidding!$D$11,Raw_hydro_bm!E1583,"")</f>
        <v/>
      </c>
      <c r="E1583" t="str">
        <f>IF(ROW(E1583)&lt;=Bidding!$D$11,Raw_hydro_bm!F1583,"")</f>
        <v/>
      </c>
      <c r="F1583" t="str">
        <f>IF(ROW(F1583)&lt;=Bidding!$D$11,Raw_hydro_bm!G1583,"")</f>
        <v/>
      </c>
      <c r="G1583" t="str">
        <f>IF(ROW(G1583)&lt;=Bidding!$D$11,Raw_hydro_bm!H1583,"")</f>
        <v/>
      </c>
      <c r="H1583" t="str">
        <f>IF(ROW(H1583)&lt;=Bidding!$D$11,Raw_hydro_bm!I1583,"")</f>
        <v/>
      </c>
      <c r="I1583" s="16" t="str">
        <f t="shared" si="24"/>
        <v/>
      </c>
    </row>
    <row r="1584" spans="1:9" x14ac:dyDescent="0.2">
      <c r="A1584" t="str">
        <f>IF(ROW(A1584)&lt;=Bidding!$D$11,Raw_hydro_bm!B1584,"")</f>
        <v/>
      </c>
      <c r="B1584" t="str">
        <f>IF(ROW(B1584)&lt;=Bidding!$D$11,Raw_hydro_bm!C1584,"")</f>
        <v/>
      </c>
      <c r="C1584" t="str">
        <f>IF(ROW(C1584)&lt;=Bidding!$D$11,Raw_hydro_bm!D1584,"")</f>
        <v/>
      </c>
      <c r="D1584" t="str">
        <f>IF(ROW(D1584)&lt;=Bidding!$D$11,Raw_hydro_bm!E1584,"")</f>
        <v/>
      </c>
      <c r="E1584" t="str">
        <f>IF(ROW(E1584)&lt;=Bidding!$D$11,Raw_hydro_bm!F1584,"")</f>
        <v/>
      </c>
      <c r="F1584" t="str">
        <f>IF(ROW(F1584)&lt;=Bidding!$D$11,Raw_hydro_bm!G1584,"")</f>
        <v/>
      </c>
      <c r="G1584" t="str">
        <f>IF(ROW(G1584)&lt;=Bidding!$D$11,Raw_hydro_bm!H1584,"")</f>
        <v/>
      </c>
      <c r="H1584" t="str">
        <f>IF(ROW(H1584)&lt;=Bidding!$D$11,Raw_hydro_bm!I1584,"")</f>
        <v/>
      </c>
      <c r="I1584" s="16" t="str">
        <f t="shared" si="24"/>
        <v/>
      </c>
    </row>
    <row r="1585" spans="1:9" x14ac:dyDescent="0.2">
      <c r="A1585" t="str">
        <f>IF(ROW(A1585)&lt;=Bidding!$D$11,Raw_hydro_bm!B1585,"")</f>
        <v/>
      </c>
      <c r="B1585" t="str">
        <f>IF(ROW(B1585)&lt;=Bidding!$D$11,Raw_hydro_bm!C1585,"")</f>
        <v/>
      </c>
      <c r="C1585" t="str">
        <f>IF(ROW(C1585)&lt;=Bidding!$D$11,Raw_hydro_bm!D1585,"")</f>
        <v/>
      </c>
      <c r="D1585" t="str">
        <f>IF(ROW(D1585)&lt;=Bidding!$D$11,Raw_hydro_bm!E1585,"")</f>
        <v/>
      </c>
      <c r="E1585" t="str">
        <f>IF(ROW(E1585)&lt;=Bidding!$D$11,Raw_hydro_bm!F1585,"")</f>
        <v/>
      </c>
      <c r="F1585" t="str">
        <f>IF(ROW(F1585)&lt;=Bidding!$D$11,Raw_hydro_bm!G1585,"")</f>
        <v/>
      </c>
      <c r="G1585" t="str">
        <f>IF(ROW(G1585)&lt;=Bidding!$D$11,Raw_hydro_bm!H1585,"")</f>
        <v/>
      </c>
      <c r="H1585" t="str">
        <f>IF(ROW(H1585)&lt;=Bidding!$D$11,Raw_hydro_bm!I1585,"")</f>
        <v/>
      </c>
      <c r="I1585" s="16" t="str">
        <f t="shared" si="24"/>
        <v/>
      </c>
    </row>
    <row r="1586" spans="1:9" x14ac:dyDescent="0.2">
      <c r="A1586" t="str">
        <f>IF(ROW(A1586)&lt;=Bidding!$D$11,Raw_hydro_bm!B1586,"")</f>
        <v/>
      </c>
      <c r="B1586" t="str">
        <f>IF(ROW(B1586)&lt;=Bidding!$D$11,Raw_hydro_bm!C1586,"")</f>
        <v/>
      </c>
      <c r="C1586" t="str">
        <f>IF(ROW(C1586)&lt;=Bidding!$D$11,Raw_hydro_bm!D1586,"")</f>
        <v/>
      </c>
      <c r="D1586" t="str">
        <f>IF(ROW(D1586)&lt;=Bidding!$D$11,Raw_hydro_bm!E1586,"")</f>
        <v/>
      </c>
      <c r="E1586" t="str">
        <f>IF(ROW(E1586)&lt;=Bidding!$D$11,Raw_hydro_bm!F1586,"")</f>
        <v/>
      </c>
      <c r="F1586" t="str">
        <f>IF(ROW(F1586)&lt;=Bidding!$D$11,Raw_hydro_bm!G1586,"")</f>
        <v/>
      </c>
      <c r="G1586" t="str">
        <f>IF(ROW(G1586)&lt;=Bidding!$D$11,Raw_hydro_bm!H1586,"")</f>
        <v/>
      </c>
      <c r="H1586" t="str">
        <f>IF(ROW(H1586)&lt;=Bidding!$D$11,Raw_hydro_bm!I1586,"")</f>
        <v/>
      </c>
      <c r="I1586" s="16" t="str">
        <f t="shared" si="24"/>
        <v/>
      </c>
    </row>
    <row r="1587" spans="1:9" x14ac:dyDescent="0.2">
      <c r="A1587" t="str">
        <f>IF(ROW(A1587)&lt;=Bidding!$D$11,Raw_hydro_bm!B1587,"")</f>
        <v/>
      </c>
      <c r="B1587" t="str">
        <f>IF(ROW(B1587)&lt;=Bidding!$D$11,Raw_hydro_bm!C1587,"")</f>
        <v/>
      </c>
      <c r="C1587" t="str">
        <f>IF(ROW(C1587)&lt;=Bidding!$D$11,Raw_hydro_bm!D1587,"")</f>
        <v/>
      </c>
      <c r="D1587" t="str">
        <f>IF(ROW(D1587)&lt;=Bidding!$D$11,Raw_hydro_bm!E1587,"")</f>
        <v/>
      </c>
      <c r="E1587" t="str">
        <f>IF(ROW(E1587)&lt;=Bidding!$D$11,Raw_hydro_bm!F1587,"")</f>
        <v/>
      </c>
      <c r="F1587" t="str">
        <f>IF(ROW(F1587)&lt;=Bidding!$D$11,Raw_hydro_bm!G1587,"")</f>
        <v/>
      </c>
      <c r="G1587" t="str">
        <f>IF(ROW(G1587)&lt;=Bidding!$D$11,Raw_hydro_bm!H1587,"")</f>
        <v/>
      </c>
      <c r="H1587" t="str">
        <f>IF(ROW(H1587)&lt;=Bidding!$D$11,Raw_hydro_bm!I1587,"")</f>
        <v/>
      </c>
      <c r="I1587" s="16" t="str">
        <f t="shared" si="24"/>
        <v/>
      </c>
    </row>
    <row r="1588" spans="1:9" x14ac:dyDescent="0.2">
      <c r="A1588" t="str">
        <f>IF(ROW(A1588)&lt;=Bidding!$D$11,Raw_hydro_bm!B1588,"")</f>
        <v/>
      </c>
      <c r="B1588" t="str">
        <f>IF(ROW(B1588)&lt;=Bidding!$D$11,Raw_hydro_bm!C1588,"")</f>
        <v/>
      </c>
      <c r="C1588" t="str">
        <f>IF(ROW(C1588)&lt;=Bidding!$D$11,Raw_hydro_bm!D1588,"")</f>
        <v/>
      </c>
      <c r="D1588" t="str">
        <f>IF(ROW(D1588)&lt;=Bidding!$D$11,Raw_hydro_bm!E1588,"")</f>
        <v/>
      </c>
      <c r="E1588" t="str">
        <f>IF(ROW(E1588)&lt;=Bidding!$D$11,Raw_hydro_bm!F1588,"")</f>
        <v/>
      </c>
      <c r="F1588" t="str">
        <f>IF(ROW(F1588)&lt;=Bidding!$D$11,Raw_hydro_bm!G1588,"")</f>
        <v/>
      </c>
      <c r="G1588" t="str">
        <f>IF(ROW(G1588)&lt;=Bidding!$D$11,Raw_hydro_bm!H1588,"")</f>
        <v/>
      </c>
      <c r="H1588" t="str">
        <f>IF(ROW(H1588)&lt;=Bidding!$D$11,Raw_hydro_bm!I1588,"")</f>
        <v/>
      </c>
      <c r="I1588" s="16" t="str">
        <f t="shared" si="24"/>
        <v/>
      </c>
    </row>
    <row r="1589" spans="1:9" x14ac:dyDescent="0.2">
      <c r="A1589" t="str">
        <f>IF(ROW(A1589)&lt;=Bidding!$D$11,Raw_hydro_bm!B1589,"")</f>
        <v/>
      </c>
      <c r="B1589" t="str">
        <f>IF(ROW(B1589)&lt;=Bidding!$D$11,Raw_hydro_bm!C1589,"")</f>
        <v/>
      </c>
      <c r="C1589" t="str">
        <f>IF(ROW(C1589)&lt;=Bidding!$D$11,Raw_hydro_bm!D1589,"")</f>
        <v/>
      </c>
      <c r="D1589" t="str">
        <f>IF(ROW(D1589)&lt;=Bidding!$D$11,Raw_hydro_bm!E1589,"")</f>
        <v/>
      </c>
      <c r="E1589" t="str">
        <f>IF(ROW(E1589)&lt;=Bidding!$D$11,Raw_hydro_bm!F1589,"")</f>
        <v/>
      </c>
      <c r="F1589" t="str">
        <f>IF(ROW(F1589)&lt;=Bidding!$D$11,Raw_hydro_bm!G1589,"")</f>
        <v/>
      </c>
      <c r="G1589" t="str">
        <f>IF(ROW(G1589)&lt;=Bidding!$D$11,Raw_hydro_bm!H1589,"")</f>
        <v/>
      </c>
      <c r="H1589" t="str">
        <f>IF(ROW(H1589)&lt;=Bidding!$D$11,Raw_hydro_bm!I1589,"")</f>
        <v/>
      </c>
      <c r="I1589" s="16" t="str">
        <f t="shared" si="24"/>
        <v/>
      </c>
    </row>
    <row r="1590" spans="1:9" x14ac:dyDescent="0.2">
      <c r="A1590" t="str">
        <f>IF(ROW(A1590)&lt;=Bidding!$D$11,Raw_hydro_bm!B1590,"")</f>
        <v/>
      </c>
      <c r="B1590" t="str">
        <f>IF(ROW(B1590)&lt;=Bidding!$D$11,Raw_hydro_bm!C1590,"")</f>
        <v/>
      </c>
      <c r="C1590" t="str">
        <f>IF(ROW(C1590)&lt;=Bidding!$D$11,Raw_hydro_bm!D1590,"")</f>
        <v/>
      </c>
      <c r="D1590" t="str">
        <f>IF(ROW(D1590)&lt;=Bidding!$D$11,Raw_hydro_bm!E1590,"")</f>
        <v/>
      </c>
      <c r="E1590" t="str">
        <f>IF(ROW(E1590)&lt;=Bidding!$D$11,Raw_hydro_bm!F1590,"")</f>
        <v/>
      </c>
      <c r="F1590" t="str">
        <f>IF(ROW(F1590)&lt;=Bidding!$D$11,Raw_hydro_bm!G1590,"")</f>
        <v/>
      </c>
      <c r="G1590" t="str">
        <f>IF(ROW(G1590)&lt;=Bidding!$D$11,Raw_hydro_bm!H1590,"")</f>
        <v/>
      </c>
      <c r="H1590" t="str">
        <f>IF(ROW(H1590)&lt;=Bidding!$D$11,Raw_hydro_bm!I1590,"")</f>
        <v/>
      </c>
      <c r="I1590" s="16" t="str">
        <f t="shared" si="24"/>
        <v/>
      </c>
    </row>
    <row r="1591" spans="1:9" x14ac:dyDescent="0.2">
      <c r="A1591" t="str">
        <f>IF(ROW(A1591)&lt;=Bidding!$D$11,Raw_hydro_bm!B1591,"")</f>
        <v/>
      </c>
      <c r="B1591" t="str">
        <f>IF(ROW(B1591)&lt;=Bidding!$D$11,Raw_hydro_bm!C1591,"")</f>
        <v/>
      </c>
      <c r="C1591" t="str">
        <f>IF(ROW(C1591)&lt;=Bidding!$D$11,Raw_hydro_bm!D1591,"")</f>
        <v/>
      </c>
      <c r="D1591" t="str">
        <f>IF(ROW(D1591)&lt;=Bidding!$D$11,Raw_hydro_bm!E1591,"")</f>
        <v/>
      </c>
      <c r="E1591" t="str">
        <f>IF(ROW(E1591)&lt;=Bidding!$D$11,Raw_hydro_bm!F1591,"")</f>
        <v/>
      </c>
      <c r="F1591" t="str">
        <f>IF(ROW(F1591)&lt;=Bidding!$D$11,Raw_hydro_bm!G1591,"")</f>
        <v/>
      </c>
      <c r="G1591" t="str">
        <f>IF(ROW(G1591)&lt;=Bidding!$D$11,Raw_hydro_bm!H1591,"")</f>
        <v/>
      </c>
      <c r="H1591" t="str">
        <f>IF(ROW(H1591)&lt;=Bidding!$D$11,Raw_hydro_bm!I1591,"")</f>
        <v/>
      </c>
      <c r="I1591" s="16" t="str">
        <f t="shared" si="24"/>
        <v/>
      </c>
    </row>
    <row r="1592" spans="1:9" x14ac:dyDescent="0.2">
      <c r="A1592" t="str">
        <f>IF(ROW(A1592)&lt;=Bidding!$D$11,Raw_hydro_bm!B1592,"")</f>
        <v/>
      </c>
      <c r="B1592" t="str">
        <f>IF(ROW(B1592)&lt;=Bidding!$D$11,Raw_hydro_bm!C1592,"")</f>
        <v/>
      </c>
      <c r="C1592" t="str">
        <f>IF(ROW(C1592)&lt;=Bidding!$D$11,Raw_hydro_bm!D1592,"")</f>
        <v/>
      </c>
      <c r="D1592" t="str">
        <f>IF(ROW(D1592)&lt;=Bidding!$D$11,Raw_hydro_bm!E1592,"")</f>
        <v/>
      </c>
      <c r="E1592" t="str">
        <f>IF(ROW(E1592)&lt;=Bidding!$D$11,Raw_hydro_bm!F1592,"")</f>
        <v/>
      </c>
      <c r="F1592" t="str">
        <f>IF(ROW(F1592)&lt;=Bidding!$D$11,Raw_hydro_bm!G1592,"")</f>
        <v/>
      </c>
      <c r="G1592" t="str">
        <f>IF(ROW(G1592)&lt;=Bidding!$D$11,Raw_hydro_bm!H1592,"")</f>
        <v/>
      </c>
      <c r="H1592" t="str">
        <f>IF(ROW(H1592)&lt;=Bidding!$D$11,Raw_hydro_bm!I1592,"")</f>
        <v/>
      </c>
      <c r="I1592" s="16" t="str">
        <f t="shared" si="24"/>
        <v/>
      </c>
    </row>
    <row r="1593" spans="1:9" x14ac:dyDescent="0.2">
      <c r="A1593" t="str">
        <f>IF(ROW(A1593)&lt;=Bidding!$D$11,Raw_hydro_bm!B1593,"")</f>
        <v/>
      </c>
      <c r="B1593" t="str">
        <f>IF(ROW(B1593)&lt;=Bidding!$D$11,Raw_hydro_bm!C1593,"")</f>
        <v/>
      </c>
      <c r="C1593" t="str">
        <f>IF(ROW(C1593)&lt;=Bidding!$D$11,Raw_hydro_bm!D1593,"")</f>
        <v/>
      </c>
      <c r="D1593" t="str">
        <f>IF(ROW(D1593)&lt;=Bidding!$D$11,Raw_hydro_bm!E1593,"")</f>
        <v/>
      </c>
      <c r="E1593" t="str">
        <f>IF(ROW(E1593)&lt;=Bidding!$D$11,Raw_hydro_bm!F1593,"")</f>
        <v/>
      </c>
      <c r="F1593" t="str">
        <f>IF(ROW(F1593)&lt;=Bidding!$D$11,Raw_hydro_bm!G1593,"")</f>
        <v/>
      </c>
      <c r="G1593" t="str">
        <f>IF(ROW(G1593)&lt;=Bidding!$D$11,Raw_hydro_bm!H1593,"")</f>
        <v/>
      </c>
      <c r="H1593" t="str">
        <f>IF(ROW(H1593)&lt;=Bidding!$D$11,Raw_hydro_bm!I1593,"")</f>
        <v/>
      </c>
      <c r="I1593" s="16" t="str">
        <f t="shared" si="24"/>
        <v/>
      </c>
    </row>
    <row r="1594" spans="1:9" x14ac:dyDescent="0.2">
      <c r="A1594" t="str">
        <f>IF(ROW(A1594)&lt;=Bidding!$D$11,Raw_hydro_bm!B1594,"")</f>
        <v/>
      </c>
      <c r="B1594" t="str">
        <f>IF(ROW(B1594)&lt;=Bidding!$D$11,Raw_hydro_bm!C1594,"")</f>
        <v/>
      </c>
      <c r="C1594" t="str">
        <f>IF(ROW(C1594)&lt;=Bidding!$D$11,Raw_hydro_bm!D1594,"")</f>
        <v/>
      </c>
      <c r="D1594" t="str">
        <f>IF(ROW(D1594)&lt;=Bidding!$D$11,Raw_hydro_bm!E1594,"")</f>
        <v/>
      </c>
      <c r="E1594" t="str">
        <f>IF(ROW(E1594)&lt;=Bidding!$D$11,Raw_hydro_bm!F1594,"")</f>
        <v/>
      </c>
      <c r="F1594" t="str">
        <f>IF(ROW(F1594)&lt;=Bidding!$D$11,Raw_hydro_bm!G1594,"")</f>
        <v/>
      </c>
      <c r="G1594" t="str">
        <f>IF(ROW(G1594)&lt;=Bidding!$D$11,Raw_hydro_bm!H1594,"")</f>
        <v/>
      </c>
      <c r="H1594" t="str">
        <f>IF(ROW(H1594)&lt;=Bidding!$D$11,Raw_hydro_bm!I1594,"")</f>
        <v/>
      </c>
      <c r="I1594" s="16" t="str">
        <f t="shared" si="24"/>
        <v/>
      </c>
    </row>
    <row r="1595" spans="1:9" x14ac:dyDescent="0.2">
      <c r="A1595" t="str">
        <f>IF(ROW(A1595)&lt;=Bidding!$D$11,Raw_hydro_bm!B1595,"")</f>
        <v/>
      </c>
      <c r="B1595" t="str">
        <f>IF(ROW(B1595)&lt;=Bidding!$D$11,Raw_hydro_bm!C1595,"")</f>
        <v/>
      </c>
      <c r="C1595" t="str">
        <f>IF(ROW(C1595)&lt;=Bidding!$D$11,Raw_hydro_bm!D1595,"")</f>
        <v/>
      </c>
      <c r="D1595" t="str">
        <f>IF(ROW(D1595)&lt;=Bidding!$D$11,Raw_hydro_bm!E1595,"")</f>
        <v/>
      </c>
      <c r="E1595" t="str">
        <f>IF(ROW(E1595)&lt;=Bidding!$D$11,Raw_hydro_bm!F1595,"")</f>
        <v/>
      </c>
      <c r="F1595" t="str">
        <f>IF(ROW(F1595)&lt;=Bidding!$D$11,Raw_hydro_bm!G1595,"")</f>
        <v/>
      </c>
      <c r="G1595" t="str">
        <f>IF(ROW(G1595)&lt;=Bidding!$D$11,Raw_hydro_bm!H1595,"")</f>
        <v/>
      </c>
      <c r="H1595" t="str">
        <f>IF(ROW(H1595)&lt;=Bidding!$D$11,Raw_hydro_bm!I1595,"")</f>
        <v/>
      </c>
      <c r="I1595" s="16" t="str">
        <f t="shared" si="24"/>
        <v/>
      </c>
    </row>
    <row r="1596" spans="1:9" x14ac:dyDescent="0.2">
      <c r="A1596" t="str">
        <f>IF(ROW(A1596)&lt;=Bidding!$D$11,Raw_hydro_bm!B1596,"")</f>
        <v/>
      </c>
      <c r="B1596" t="str">
        <f>IF(ROW(B1596)&lt;=Bidding!$D$11,Raw_hydro_bm!C1596,"")</f>
        <v/>
      </c>
      <c r="C1596" t="str">
        <f>IF(ROW(C1596)&lt;=Bidding!$D$11,Raw_hydro_bm!D1596,"")</f>
        <v/>
      </c>
      <c r="D1596" t="str">
        <f>IF(ROW(D1596)&lt;=Bidding!$D$11,Raw_hydro_bm!E1596,"")</f>
        <v/>
      </c>
      <c r="E1596" t="str">
        <f>IF(ROW(E1596)&lt;=Bidding!$D$11,Raw_hydro_bm!F1596,"")</f>
        <v/>
      </c>
      <c r="F1596" t="str">
        <f>IF(ROW(F1596)&lt;=Bidding!$D$11,Raw_hydro_bm!G1596,"")</f>
        <v/>
      </c>
      <c r="G1596" t="str">
        <f>IF(ROW(G1596)&lt;=Bidding!$D$11,Raw_hydro_bm!H1596,"")</f>
        <v/>
      </c>
      <c r="H1596" t="str">
        <f>IF(ROW(H1596)&lt;=Bidding!$D$11,Raw_hydro_bm!I1596,"")</f>
        <v/>
      </c>
      <c r="I1596" s="16" t="str">
        <f t="shared" si="24"/>
        <v/>
      </c>
    </row>
    <row r="1597" spans="1:9" x14ac:dyDescent="0.2">
      <c r="A1597" t="str">
        <f>IF(ROW(A1597)&lt;=Bidding!$D$11,Raw_hydro_bm!B1597,"")</f>
        <v/>
      </c>
      <c r="B1597" t="str">
        <f>IF(ROW(B1597)&lt;=Bidding!$D$11,Raw_hydro_bm!C1597,"")</f>
        <v/>
      </c>
      <c r="C1597" t="str">
        <f>IF(ROW(C1597)&lt;=Bidding!$D$11,Raw_hydro_bm!D1597,"")</f>
        <v/>
      </c>
      <c r="D1597" t="str">
        <f>IF(ROW(D1597)&lt;=Bidding!$D$11,Raw_hydro_bm!E1597,"")</f>
        <v/>
      </c>
      <c r="E1597" t="str">
        <f>IF(ROW(E1597)&lt;=Bidding!$D$11,Raw_hydro_bm!F1597,"")</f>
        <v/>
      </c>
      <c r="F1597" t="str">
        <f>IF(ROW(F1597)&lt;=Bidding!$D$11,Raw_hydro_bm!G1597,"")</f>
        <v/>
      </c>
      <c r="G1597" t="str">
        <f>IF(ROW(G1597)&lt;=Bidding!$D$11,Raw_hydro_bm!H1597,"")</f>
        <v/>
      </c>
      <c r="H1597" t="str">
        <f>IF(ROW(H1597)&lt;=Bidding!$D$11,Raw_hydro_bm!I1597,"")</f>
        <v/>
      </c>
      <c r="I1597" s="16" t="str">
        <f t="shared" si="24"/>
        <v/>
      </c>
    </row>
    <row r="1598" spans="1:9" x14ac:dyDescent="0.2">
      <c r="A1598" t="str">
        <f>IF(ROW(A1598)&lt;=Bidding!$D$11,Raw_hydro_bm!B1598,"")</f>
        <v/>
      </c>
      <c r="B1598" t="str">
        <f>IF(ROW(B1598)&lt;=Bidding!$D$11,Raw_hydro_bm!C1598,"")</f>
        <v/>
      </c>
      <c r="C1598" t="str">
        <f>IF(ROW(C1598)&lt;=Bidding!$D$11,Raw_hydro_bm!D1598,"")</f>
        <v/>
      </c>
      <c r="D1598" t="str">
        <f>IF(ROW(D1598)&lt;=Bidding!$D$11,Raw_hydro_bm!E1598,"")</f>
        <v/>
      </c>
      <c r="E1598" t="str">
        <f>IF(ROW(E1598)&lt;=Bidding!$D$11,Raw_hydro_bm!F1598,"")</f>
        <v/>
      </c>
      <c r="F1598" t="str">
        <f>IF(ROW(F1598)&lt;=Bidding!$D$11,Raw_hydro_bm!G1598,"")</f>
        <v/>
      </c>
      <c r="G1598" t="str">
        <f>IF(ROW(G1598)&lt;=Bidding!$D$11,Raw_hydro_bm!H1598,"")</f>
        <v/>
      </c>
      <c r="H1598" t="str">
        <f>IF(ROW(H1598)&lt;=Bidding!$D$11,Raw_hydro_bm!I1598,"")</f>
        <v/>
      </c>
      <c r="I1598" s="16" t="str">
        <f t="shared" si="24"/>
        <v/>
      </c>
    </row>
    <row r="1599" spans="1:9" x14ac:dyDescent="0.2">
      <c r="A1599" t="str">
        <f>IF(ROW(A1599)&lt;=Bidding!$D$11,Raw_hydro_bm!B1599,"")</f>
        <v/>
      </c>
      <c r="B1599" t="str">
        <f>IF(ROW(B1599)&lt;=Bidding!$D$11,Raw_hydro_bm!C1599,"")</f>
        <v/>
      </c>
      <c r="C1599" t="str">
        <f>IF(ROW(C1599)&lt;=Bidding!$D$11,Raw_hydro_bm!D1599,"")</f>
        <v/>
      </c>
      <c r="D1599" t="str">
        <f>IF(ROW(D1599)&lt;=Bidding!$D$11,Raw_hydro_bm!E1599,"")</f>
        <v/>
      </c>
      <c r="E1599" t="str">
        <f>IF(ROW(E1599)&lt;=Bidding!$D$11,Raw_hydro_bm!F1599,"")</f>
        <v/>
      </c>
      <c r="F1599" t="str">
        <f>IF(ROW(F1599)&lt;=Bidding!$D$11,Raw_hydro_bm!G1599,"")</f>
        <v/>
      </c>
      <c r="G1599" t="str">
        <f>IF(ROW(G1599)&lt;=Bidding!$D$11,Raw_hydro_bm!H1599,"")</f>
        <v/>
      </c>
      <c r="H1599" t="str">
        <f>IF(ROW(H1599)&lt;=Bidding!$D$11,Raw_hydro_bm!I1599,"")</f>
        <v/>
      </c>
      <c r="I1599" s="16" t="str">
        <f t="shared" si="24"/>
        <v/>
      </c>
    </row>
    <row r="1600" spans="1:9" x14ac:dyDescent="0.2">
      <c r="A1600" t="str">
        <f>IF(ROW(A1600)&lt;=Bidding!$D$11,Raw_hydro_bm!B1600,"")</f>
        <v/>
      </c>
      <c r="B1600" t="str">
        <f>IF(ROW(B1600)&lt;=Bidding!$D$11,Raw_hydro_bm!C1600,"")</f>
        <v/>
      </c>
      <c r="C1600" t="str">
        <f>IF(ROW(C1600)&lt;=Bidding!$D$11,Raw_hydro_bm!D1600,"")</f>
        <v/>
      </c>
      <c r="D1600" t="str">
        <f>IF(ROW(D1600)&lt;=Bidding!$D$11,Raw_hydro_bm!E1600,"")</f>
        <v/>
      </c>
      <c r="E1600" t="str">
        <f>IF(ROW(E1600)&lt;=Bidding!$D$11,Raw_hydro_bm!F1600,"")</f>
        <v/>
      </c>
      <c r="F1600" t="str">
        <f>IF(ROW(F1600)&lt;=Bidding!$D$11,Raw_hydro_bm!G1600,"")</f>
        <v/>
      </c>
      <c r="G1600" t="str">
        <f>IF(ROW(G1600)&lt;=Bidding!$D$11,Raw_hydro_bm!H1600,"")</f>
        <v/>
      </c>
      <c r="H1600" t="str">
        <f>IF(ROW(H1600)&lt;=Bidding!$D$11,Raw_hydro_bm!I1600,"")</f>
        <v/>
      </c>
      <c r="I1600" s="16" t="str">
        <f t="shared" si="24"/>
        <v/>
      </c>
    </row>
    <row r="1601" spans="1:9" x14ac:dyDescent="0.2">
      <c r="A1601" t="str">
        <f>IF(ROW(A1601)&lt;=Bidding!$D$11,Raw_hydro_bm!B1601,"")</f>
        <v/>
      </c>
      <c r="B1601" t="str">
        <f>IF(ROW(B1601)&lt;=Bidding!$D$11,Raw_hydro_bm!C1601,"")</f>
        <v/>
      </c>
      <c r="C1601" t="str">
        <f>IF(ROW(C1601)&lt;=Bidding!$D$11,Raw_hydro_bm!D1601,"")</f>
        <v/>
      </c>
      <c r="D1601" t="str">
        <f>IF(ROW(D1601)&lt;=Bidding!$D$11,Raw_hydro_bm!E1601,"")</f>
        <v/>
      </c>
      <c r="E1601" t="str">
        <f>IF(ROW(E1601)&lt;=Bidding!$D$11,Raw_hydro_bm!F1601,"")</f>
        <v/>
      </c>
      <c r="F1601" t="str">
        <f>IF(ROW(F1601)&lt;=Bidding!$D$11,Raw_hydro_bm!G1601,"")</f>
        <v/>
      </c>
      <c r="G1601" t="str">
        <f>IF(ROW(G1601)&lt;=Bidding!$D$11,Raw_hydro_bm!H1601,"")</f>
        <v/>
      </c>
      <c r="H1601" t="str">
        <f>IF(ROW(H1601)&lt;=Bidding!$D$11,Raw_hydro_bm!I1601,"")</f>
        <v/>
      </c>
      <c r="I1601" s="16" t="str">
        <f t="shared" si="24"/>
        <v/>
      </c>
    </row>
    <row r="1602" spans="1:9" x14ac:dyDescent="0.2">
      <c r="A1602" t="str">
        <f>IF(ROW(A1602)&lt;=Bidding!$D$11,Raw_hydro_bm!B1602,"")</f>
        <v/>
      </c>
      <c r="B1602" t="str">
        <f>IF(ROW(B1602)&lt;=Bidding!$D$11,Raw_hydro_bm!C1602,"")</f>
        <v/>
      </c>
      <c r="C1602" t="str">
        <f>IF(ROW(C1602)&lt;=Bidding!$D$11,Raw_hydro_bm!D1602,"")</f>
        <v/>
      </c>
      <c r="D1602" t="str">
        <f>IF(ROW(D1602)&lt;=Bidding!$D$11,Raw_hydro_bm!E1602,"")</f>
        <v/>
      </c>
      <c r="E1602" t="str">
        <f>IF(ROW(E1602)&lt;=Bidding!$D$11,Raw_hydro_bm!F1602,"")</f>
        <v/>
      </c>
      <c r="F1602" t="str">
        <f>IF(ROW(F1602)&lt;=Bidding!$D$11,Raw_hydro_bm!G1602,"")</f>
        <v/>
      </c>
      <c r="G1602" t="str">
        <f>IF(ROW(G1602)&lt;=Bidding!$D$11,Raw_hydro_bm!H1602,"")</f>
        <v/>
      </c>
      <c r="H1602" t="str">
        <f>IF(ROW(H1602)&lt;=Bidding!$D$11,Raw_hydro_bm!I1602,"")</f>
        <v/>
      </c>
      <c r="I1602" s="16" t="str">
        <f t="shared" ref="I1602:I1665" si="25">IF(IFERROR(FIND("e",H1602),-1)&lt;0,IFERROR(_xlfn.NUMBERVALUE(LEFT(H1602,FIND(".",H1602)-1))+_xlfn.NUMBERVALUE("0,"&amp;RIGHT(H1602,LEN(H1602)-FIND(".",H1602))),""),0)</f>
        <v/>
      </c>
    </row>
    <row r="1603" spans="1:9" x14ac:dyDescent="0.2">
      <c r="A1603" t="str">
        <f>IF(ROW(A1603)&lt;=Bidding!$D$11,Raw_hydro_bm!B1603,"")</f>
        <v/>
      </c>
      <c r="B1603" t="str">
        <f>IF(ROW(B1603)&lt;=Bidding!$D$11,Raw_hydro_bm!C1603,"")</f>
        <v/>
      </c>
      <c r="C1603" t="str">
        <f>IF(ROW(C1603)&lt;=Bidding!$D$11,Raw_hydro_bm!D1603,"")</f>
        <v/>
      </c>
      <c r="D1603" t="str">
        <f>IF(ROW(D1603)&lt;=Bidding!$D$11,Raw_hydro_bm!E1603,"")</f>
        <v/>
      </c>
      <c r="E1603" t="str">
        <f>IF(ROW(E1603)&lt;=Bidding!$D$11,Raw_hydro_bm!F1603,"")</f>
        <v/>
      </c>
      <c r="F1603" t="str">
        <f>IF(ROW(F1603)&lt;=Bidding!$D$11,Raw_hydro_bm!G1603,"")</f>
        <v/>
      </c>
      <c r="G1603" t="str">
        <f>IF(ROW(G1603)&lt;=Bidding!$D$11,Raw_hydro_bm!H1603,"")</f>
        <v/>
      </c>
      <c r="H1603" t="str">
        <f>IF(ROW(H1603)&lt;=Bidding!$D$11,Raw_hydro_bm!I1603,"")</f>
        <v/>
      </c>
      <c r="I1603" s="16" t="str">
        <f t="shared" si="25"/>
        <v/>
      </c>
    </row>
    <row r="1604" spans="1:9" x14ac:dyDescent="0.2">
      <c r="A1604" t="str">
        <f>IF(ROW(A1604)&lt;=Bidding!$D$11,Raw_hydro_bm!B1604,"")</f>
        <v/>
      </c>
      <c r="B1604" t="str">
        <f>IF(ROW(B1604)&lt;=Bidding!$D$11,Raw_hydro_bm!C1604,"")</f>
        <v/>
      </c>
      <c r="C1604" t="str">
        <f>IF(ROW(C1604)&lt;=Bidding!$D$11,Raw_hydro_bm!D1604,"")</f>
        <v/>
      </c>
      <c r="D1604" t="str">
        <f>IF(ROW(D1604)&lt;=Bidding!$D$11,Raw_hydro_bm!E1604,"")</f>
        <v/>
      </c>
      <c r="E1604" t="str">
        <f>IF(ROW(E1604)&lt;=Bidding!$D$11,Raw_hydro_bm!F1604,"")</f>
        <v/>
      </c>
      <c r="F1604" t="str">
        <f>IF(ROW(F1604)&lt;=Bidding!$D$11,Raw_hydro_bm!G1604,"")</f>
        <v/>
      </c>
      <c r="G1604" t="str">
        <f>IF(ROW(G1604)&lt;=Bidding!$D$11,Raw_hydro_bm!H1604,"")</f>
        <v/>
      </c>
      <c r="H1604" t="str">
        <f>IF(ROW(H1604)&lt;=Bidding!$D$11,Raw_hydro_bm!I1604,"")</f>
        <v/>
      </c>
      <c r="I1604" s="16" t="str">
        <f t="shared" si="25"/>
        <v/>
      </c>
    </row>
    <row r="1605" spans="1:9" x14ac:dyDescent="0.2">
      <c r="A1605" t="str">
        <f>IF(ROW(A1605)&lt;=Bidding!$D$11,Raw_hydro_bm!B1605,"")</f>
        <v/>
      </c>
      <c r="B1605" t="str">
        <f>IF(ROW(B1605)&lt;=Bidding!$D$11,Raw_hydro_bm!C1605,"")</f>
        <v/>
      </c>
      <c r="C1605" t="str">
        <f>IF(ROW(C1605)&lt;=Bidding!$D$11,Raw_hydro_bm!D1605,"")</f>
        <v/>
      </c>
      <c r="D1605" t="str">
        <f>IF(ROW(D1605)&lt;=Bidding!$D$11,Raw_hydro_bm!E1605,"")</f>
        <v/>
      </c>
      <c r="E1605" t="str">
        <f>IF(ROW(E1605)&lt;=Bidding!$D$11,Raw_hydro_bm!F1605,"")</f>
        <v/>
      </c>
      <c r="F1605" t="str">
        <f>IF(ROW(F1605)&lt;=Bidding!$D$11,Raw_hydro_bm!G1605,"")</f>
        <v/>
      </c>
      <c r="G1605" t="str">
        <f>IF(ROW(G1605)&lt;=Bidding!$D$11,Raw_hydro_bm!H1605,"")</f>
        <v/>
      </c>
      <c r="H1605" t="str">
        <f>IF(ROW(H1605)&lt;=Bidding!$D$11,Raw_hydro_bm!I1605,"")</f>
        <v/>
      </c>
      <c r="I1605" s="16" t="str">
        <f t="shared" si="25"/>
        <v/>
      </c>
    </row>
    <row r="1606" spans="1:9" x14ac:dyDescent="0.2">
      <c r="A1606" t="str">
        <f>IF(ROW(A1606)&lt;=Bidding!$D$11,Raw_hydro_bm!B1606,"")</f>
        <v/>
      </c>
      <c r="B1606" t="str">
        <f>IF(ROW(B1606)&lt;=Bidding!$D$11,Raw_hydro_bm!C1606,"")</f>
        <v/>
      </c>
      <c r="C1606" t="str">
        <f>IF(ROW(C1606)&lt;=Bidding!$D$11,Raw_hydro_bm!D1606,"")</f>
        <v/>
      </c>
      <c r="D1606" t="str">
        <f>IF(ROW(D1606)&lt;=Bidding!$D$11,Raw_hydro_bm!E1606,"")</f>
        <v/>
      </c>
      <c r="E1606" t="str">
        <f>IF(ROW(E1606)&lt;=Bidding!$D$11,Raw_hydro_bm!F1606,"")</f>
        <v/>
      </c>
      <c r="F1606" t="str">
        <f>IF(ROW(F1606)&lt;=Bidding!$D$11,Raw_hydro_bm!G1606,"")</f>
        <v/>
      </c>
      <c r="G1606" t="str">
        <f>IF(ROW(G1606)&lt;=Bidding!$D$11,Raw_hydro_bm!H1606,"")</f>
        <v/>
      </c>
      <c r="H1606" t="str">
        <f>IF(ROW(H1606)&lt;=Bidding!$D$11,Raw_hydro_bm!I1606,"")</f>
        <v/>
      </c>
      <c r="I1606" s="16" t="str">
        <f t="shared" si="25"/>
        <v/>
      </c>
    </row>
    <row r="1607" spans="1:9" x14ac:dyDescent="0.2">
      <c r="A1607" t="str">
        <f>IF(ROW(A1607)&lt;=Bidding!$D$11,Raw_hydro_bm!B1607,"")</f>
        <v/>
      </c>
      <c r="B1607" t="str">
        <f>IF(ROW(B1607)&lt;=Bidding!$D$11,Raw_hydro_bm!C1607,"")</f>
        <v/>
      </c>
      <c r="C1607" t="str">
        <f>IF(ROW(C1607)&lt;=Bidding!$D$11,Raw_hydro_bm!D1607,"")</f>
        <v/>
      </c>
      <c r="D1607" t="str">
        <f>IF(ROW(D1607)&lt;=Bidding!$D$11,Raw_hydro_bm!E1607,"")</f>
        <v/>
      </c>
      <c r="E1607" t="str">
        <f>IF(ROW(E1607)&lt;=Bidding!$D$11,Raw_hydro_bm!F1607,"")</f>
        <v/>
      </c>
      <c r="F1607" t="str">
        <f>IF(ROW(F1607)&lt;=Bidding!$D$11,Raw_hydro_bm!G1607,"")</f>
        <v/>
      </c>
      <c r="G1607" t="str">
        <f>IF(ROW(G1607)&lt;=Bidding!$D$11,Raw_hydro_bm!H1607,"")</f>
        <v/>
      </c>
      <c r="H1607" t="str">
        <f>IF(ROW(H1607)&lt;=Bidding!$D$11,Raw_hydro_bm!I1607,"")</f>
        <v/>
      </c>
      <c r="I1607" s="16" t="str">
        <f t="shared" si="25"/>
        <v/>
      </c>
    </row>
    <row r="1608" spans="1:9" x14ac:dyDescent="0.2">
      <c r="A1608" t="str">
        <f>IF(ROW(A1608)&lt;=Bidding!$D$11,Raw_hydro_bm!B1608,"")</f>
        <v/>
      </c>
      <c r="B1608" t="str">
        <f>IF(ROW(B1608)&lt;=Bidding!$D$11,Raw_hydro_bm!C1608,"")</f>
        <v/>
      </c>
      <c r="C1608" t="str">
        <f>IF(ROW(C1608)&lt;=Bidding!$D$11,Raw_hydro_bm!D1608,"")</f>
        <v/>
      </c>
      <c r="D1608" t="str">
        <f>IF(ROW(D1608)&lt;=Bidding!$D$11,Raw_hydro_bm!E1608,"")</f>
        <v/>
      </c>
      <c r="E1608" t="str">
        <f>IF(ROW(E1608)&lt;=Bidding!$D$11,Raw_hydro_bm!F1608,"")</f>
        <v/>
      </c>
      <c r="F1608" t="str">
        <f>IF(ROW(F1608)&lt;=Bidding!$D$11,Raw_hydro_bm!G1608,"")</f>
        <v/>
      </c>
      <c r="G1608" t="str">
        <f>IF(ROW(G1608)&lt;=Bidding!$D$11,Raw_hydro_bm!H1608,"")</f>
        <v/>
      </c>
      <c r="H1608" t="str">
        <f>IF(ROW(H1608)&lt;=Bidding!$D$11,Raw_hydro_bm!I1608,"")</f>
        <v/>
      </c>
      <c r="I1608" s="16" t="str">
        <f t="shared" si="25"/>
        <v/>
      </c>
    </row>
    <row r="1609" spans="1:9" x14ac:dyDescent="0.2">
      <c r="A1609" t="str">
        <f>IF(ROW(A1609)&lt;=Bidding!$D$11,Raw_hydro_bm!B1609,"")</f>
        <v/>
      </c>
      <c r="B1609" t="str">
        <f>IF(ROW(B1609)&lt;=Bidding!$D$11,Raw_hydro_bm!C1609,"")</f>
        <v/>
      </c>
      <c r="C1609" t="str">
        <f>IF(ROW(C1609)&lt;=Bidding!$D$11,Raw_hydro_bm!D1609,"")</f>
        <v/>
      </c>
      <c r="D1609" t="str">
        <f>IF(ROW(D1609)&lt;=Bidding!$D$11,Raw_hydro_bm!E1609,"")</f>
        <v/>
      </c>
      <c r="E1609" t="str">
        <f>IF(ROW(E1609)&lt;=Bidding!$D$11,Raw_hydro_bm!F1609,"")</f>
        <v/>
      </c>
      <c r="F1609" t="str">
        <f>IF(ROW(F1609)&lt;=Bidding!$D$11,Raw_hydro_bm!G1609,"")</f>
        <v/>
      </c>
      <c r="G1609" t="str">
        <f>IF(ROW(G1609)&lt;=Bidding!$D$11,Raw_hydro_bm!H1609,"")</f>
        <v/>
      </c>
      <c r="H1609" t="str">
        <f>IF(ROW(H1609)&lt;=Bidding!$D$11,Raw_hydro_bm!I1609,"")</f>
        <v/>
      </c>
      <c r="I1609" s="16" t="str">
        <f t="shared" si="25"/>
        <v/>
      </c>
    </row>
    <row r="1610" spans="1:9" x14ac:dyDescent="0.2">
      <c r="A1610" t="str">
        <f>IF(ROW(A1610)&lt;=Bidding!$D$11,Raw_hydro_bm!B1610,"")</f>
        <v/>
      </c>
      <c r="B1610" t="str">
        <f>IF(ROW(B1610)&lt;=Bidding!$D$11,Raw_hydro_bm!C1610,"")</f>
        <v/>
      </c>
      <c r="C1610" t="str">
        <f>IF(ROW(C1610)&lt;=Bidding!$D$11,Raw_hydro_bm!D1610,"")</f>
        <v/>
      </c>
      <c r="D1610" t="str">
        <f>IF(ROW(D1610)&lt;=Bidding!$D$11,Raw_hydro_bm!E1610,"")</f>
        <v/>
      </c>
      <c r="E1610" t="str">
        <f>IF(ROW(E1610)&lt;=Bidding!$D$11,Raw_hydro_bm!F1610,"")</f>
        <v/>
      </c>
      <c r="F1610" t="str">
        <f>IF(ROW(F1610)&lt;=Bidding!$D$11,Raw_hydro_bm!G1610,"")</f>
        <v/>
      </c>
      <c r="G1610" t="str">
        <f>IF(ROW(G1610)&lt;=Bidding!$D$11,Raw_hydro_bm!H1610,"")</f>
        <v/>
      </c>
      <c r="H1610" t="str">
        <f>IF(ROW(H1610)&lt;=Bidding!$D$11,Raw_hydro_bm!I1610,"")</f>
        <v/>
      </c>
      <c r="I1610" s="16" t="str">
        <f t="shared" si="25"/>
        <v/>
      </c>
    </row>
    <row r="1611" spans="1:9" x14ac:dyDescent="0.2">
      <c r="A1611" t="str">
        <f>IF(ROW(A1611)&lt;=Bidding!$D$11,Raw_hydro_bm!B1611,"")</f>
        <v/>
      </c>
      <c r="B1611" t="str">
        <f>IF(ROW(B1611)&lt;=Bidding!$D$11,Raw_hydro_bm!C1611,"")</f>
        <v/>
      </c>
      <c r="C1611" t="str">
        <f>IF(ROW(C1611)&lt;=Bidding!$D$11,Raw_hydro_bm!D1611,"")</f>
        <v/>
      </c>
      <c r="D1611" t="str">
        <f>IF(ROW(D1611)&lt;=Bidding!$D$11,Raw_hydro_bm!E1611,"")</f>
        <v/>
      </c>
      <c r="E1611" t="str">
        <f>IF(ROW(E1611)&lt;=Bidding!$D$11,Raw_hydro_bm!F1611,"")</f>
        <v/>
      </c>
      <c r="F1611" t="str">
        <f>IF(ROW(F1611)&lt;=Bidding!$D$11,Raw_hydro_bm!G1611,"")</f>
        <v/>
      </c>
      <c r="G1611" t="str">
        <f>IF(ROW(G1611)&lt;=Bidding!$D$11,Raw_hydro_bm!H1611,"")</f>
        <v/>
      </c>
      <c r="H1611" t="str">
        <f>IF(ROW(H1611)&lt;=Bidding!$D$11,Raw_hydro_bm!I1611,"")</f>
        <v/>
      </c>
      <c r="I1611" s="16" t="str">
        <f t="shared" si="25"/>
        <v/>
      </c>
    </row>
    <row r="1612" spans="1:9" x14ac:dyDescent="0.2">
      <c r="A1612" t="str">
        <f>IF(ROW(A1612)&lt;=Bidding!$D$11,Raw_hydro_bm!B1612,"")</f>
        <v/>
      </c>
      <c r="B1612" t="str">
        <f>IF(ROW(B1612)&lt;=Bidding!$D$11,Raw_hydro_bm!C1612,"")</f>
        <v/>
      </c>
      <c r="C1612" t="str">
        <f>IF(ROW(C1612)&lt;=Bidding!$D$11,Raw_hydro_bm!D1612,"")</f>
        <v/>
      </c>
      <c r="D1612" t="str">
        <f>IF(ROW(D1612)&lt;=Bidding!$D$11,Raw_hydro_bm!E1612,"")</f>
        <v/>
      </c>
      <c r="E1612" t="str">
        <f>IF(ROW(E1612)&lt;=Bidding!$D$11,Raw_hydro_bm!F1612,"")</f>
        <v/>
      </c>
      <c r="F1612" t="str">
        <f>IF(ROW(F1612)&lt;=Bidding!$D$11,Raw_hydro_bm!G1612,"")</f>
        <v/>
      </c>
      <c r="G1612" t="str">
        <f>IF(ROW(G1612)&lt;=Bidding!$D$11,Raw_hydro_bm!H1612,"")</f>
        <v/>
      </c>
      <c r="H1612" t="str">
        <f>IF(ROW(H1612)&lt;=Bidding!$D$11,Raw_hydro_bm!I1612,"")</f>
        <v/>
      </c>
      <c r="I1612" s="16" t="str">
        <f t="shared" si="25"/>
        <v/>
      </c>
    </row>
    <row r="1613" spans="1:9" x14ac:dyDescent="0.2">
      <c r="A1613" t="str">
        <f>IF(ROW(A1613)&lt;=Bidding!$D$11,Raw_hydro_bm!B1613,"")</f>
        <v/>
      </c>
      <c r="B1613" t="str">
        <f>IF(ROW(B1613)&lt;=Bidding!$D$11,Raw_hydro_bm!C1613,"")</f>
        <v/>
      </c>
      <c r="C1613" t="str">
        <f>IF(ROW(C1613)&lt;=Bidding!$D$11,Raw_hydro_bm!D1613,"")</f>
        <v/>
      </c>
      <c r="D1613" t="str">
        <f>IF(ROW(D1613)&lt;=Bidding!$D$11,Raw_hydro_bm!E1613,"")</f>
        <v/>
      </c>
      <c r="E1613" t="str">
        <f>IF(ROW(E1613)&lt;=Bidding!$D$11,Raw_hydro_bm!F1613,"")</f>
        <v/>
      </c>
      <c r="F1613" t="str">
        <f>IF(ROW(F1613)&lt;=Bidding!$D$11,Raw_hydro_bm!G1613,"")</f>
        <v/>
      </c>
      <c r="G1613" t="str">
        <f>IF(ROW(G1613)&lt;=Bidding!$D$11,Raw_hydro_bm!H1613,"")</f>
        <v/>
      </c>
      <c r="H1613" t="str">
        <f>IF(ROW(H1613)&lt;=Bidding!$D$11,Raw_hydro_bm!I1613,"")</f>
        <v/>
      </c>
      <c r="I1613" s="16" t="str">
        <f t="shared" si="25"/>
        <v/>
      </c>
    </row>
    <row r="1614" spans="1:9" x14ac:dyDescent="0.2">
      <c r="A1614" t="str">
        <f>IF(ROW(A1614)&lt;=Bidding!$D$11,Raw_hydro_bm!B1614,"")</f>
        <v/>
      </c>
      <c r="B1614" t="str">
        <f>IF(ROW(B1614)&lt;=Bidding!$D$11,Raw_hydro_bm!C1614,"")</f>
        <v/>
      </c>
      <c r="C1614" t="str">
        <f>IF(ROW(C1614)&lt;=Bidding!$D$11,Raw_hydro_bm!D1614,"")</f>
        <v/>
      </c>
      <c r="D1614" t="str">
        <f>IF(ROW(D1614)&lt;=Bidding!$D$11,Raw_hydro_bm!E1614,"")</f>
        <v/>
      </c>
      <c r="E1614" t="str">
        <f>IF(ROW(E1614)&lt;=Bidding!$D$11,Raw_hydro_bm!F1614,"")</f>
        <v/>
      </c>
      <c r="F1614" t="str">
        <f>IF(ROW(F1614)&lt;=Bidding!$D$11,Raw_hydro_bm!G1614,"")</f>
        <v/>
      </c>
      <c r="G1614" t="str">
        <f>IF(ROW(G1614)&lt;=Bidding!$D$11,Raw_hydro_bm!H1614,"")</f>
        <v/>
      </c>
      <c r="H1614" t="str">
        <f>IF(ROW(H1614)&lt;=Bidding!$D$11,Raw_hydro_bm!I1614,"")</f>
        <v/>
      </c>
      <c r="I1614" s="16" t="str">
        <f t="shared" si="25"/>
        <v/>
      </c>
    </row>
    <row r="1615" spans="1:9" x14ac:dyDescent="0.2">
      <c r="A1615" t="str">
        <f>IF(ROW(A1615)&lt;=Bidding!$D$11,Raw_hydro_bm!B1615,"")</f>
        <v/>
      </c>
      <c r="B1615" t="str">
        <f>IF(ROW(B1615)&lt;=Bidding!$D$11,Raw_hydro_bm!C1615,"")</f>
        <v/>
      </c>
      <c r="C1615" t="str">
        <f>IF(ROW(C1615)&lt;=Bidding!$D$11,Raw_hydro_bm!D1615,"")</f>
        <v/>
      </c>
      <c r="D1615" t="str">
        <f>IF(ROW(D1615)&lt;=Bidding!$D$11,Raw_hydro_bm!E1615,"")</f>
        <v/>
      </c>
      <c r="E1615" t="str">
        <f>IF(ROW(E1615)&lt;=Bidding!$D$11,Raw_hydro_bm!F1615,"")</f>
        <v/>
      </c>
      <c r="F1615" t="str">
        <f>IF(ROW(F1615)&lt;=Bidding!$D$11,Raw_hydro_bm!G1615,"")</f>
        <v/>
      </c>
      <c r="G1615" t="str">
        <f>IF(ROW(G1615)&lt;=Bidding!$D$11,Raw_hydro_bm!H1615,"")</f>
        <v/>
      </c>
      <c r="H1615" t="str">
        <f>IF(ROW(H1615)&lt;=Bidding!$D$11,Raw_hydro_bm!I1615,"")</f>
        <v/>
      </c>
      <c r="I1615" s="16" t="str">
        <f t="shared" si="25"/>
        <v/>
      </c>
    </row>
    <row r="1616" spans="1:9" x14ac:dyDescent="0.2">
      <c r="A1616" t="str">
        <f>IF(ROW(A1616)&lt;=Bidding!$D$11,Raw_hydro_bm!B1616,"")</f>
        <v/>
      </c>
      <c r="B1616" t="str">
        <f>IF(ROW(B1616)&lt;=Bidding!$D$11,Raw_hydro_bm!C1616,"")</f>
        <v/>
      </c>
      <c r="C1616" t="str">
        <f>IF(ROW(C1616)&lt;=Bidding!$D$11,Raw_hydro_bm!D1616,"")</f>
        <v/>
      </c>
      <c r="D1616" t="str">
        <f>IF(ROW(D1616)&lt;=Bidding!$D$11,Raw_hydro_bm!E1616,"")</f>
        <v/>
      </c>
      <c r="E1616" t="str">
        <f>IF(ROW(E1616)&lt;=Bidding!$D$11,Raw_hydro_bm!F1616,"")</f>
        <v/>
      </c>
      <c r="F1616" t="str">
        <f>IF(ROW(F1616)&lt;=Bidding!$D$11,Raw_hydro_bm!G1616,"")</f>
        <v/>
      </c>
      <c r="G1616" t="str">
        <f>IF(ROW(G1616)&lt;=Bidding!$D$11,Raw_hydro_bm!H1616,"")</f>
        <v/>
      </c>
      <c r="H1616" t="str">
        <f>IF(ROW(H1616)&lt;=Bidding!$D$11,Raw_hydro_bm!I1616,"")</f>
        <v/>
      </c>
      <c r="I1616" s="16" t="str">
        <f t="shared" si="25"/>
        <v/>
      </c>
    </row>
    <row r="1617" spans="1:9" x14ac:dyDescent="0.2">
      <c r="A1617" t="str">
        <f>IF(ROW(A1617)&lt;=Bidding!$D$11,Raw_hydro_bm!B1617,"")</f>
        <v/>
      </c>
      <c r="B1617" t="str">
        <f>IF(ROW(B1617)&lt;=Bidding!$D$11,Raw_hydro_bm!C1617,"")</f>
        <v/>
      </c>
      <c r="C1617" t="str">
        <f>IF(ROW(C1617)&lt;=Bidding!$D$11,Raw_hydro_bm!D1617,"")</f>
        <v/>
      </c>
      <c r="D1617" t="str">
        <f>IF(ROW(D1617)&lt;=Bidding!$D$11,Raw_hydro_bm!E1617,"")</f>
        <v/>
      </c>
      <c r="E1617" t="str">
        <f>IF(ROW(E1617)&lt;=Bidding!$D$11,Raw_hydro_bm!F1617,"")</f>
        <v/>
      </c>
      <c r="F1617" t="str">
        <f>IF(ROW(F1617)&lt;=Bidding!$D$11,Raw_hydro_bm!G1617,"")</f>
        <v/>
      </c>
      <c r="G1617" t="str">
        <f>IF(ROW(G1617)&lt;=Bidding!$D$11,Raw_hydro_bm!H1617,"")</f>
        <v/>
      </c>
      <c r="H1617" t="str">
        <f>IF(ROW(H1617)&lt;=Bidding!$D$11,Raw_hydro_bm!I1617,"")</f>
        <v/>
      </c>
      <c r="I1617" s="16" t="str">
        <f t="shared" si="25"/>
        <v/>
      </c>
    </row>
    <row r="1618" spans="1:9" x14ac:dyDescent="0.2">
      <c r="A1618" t="str">
        <f>IF(ROW(A1618)&lt;=Bidding!$D$11,Raw_hydro_bm!B1618,"")</f>
        <v/>
      </c>
      <c r="B1618" t="str">
        <f>IF(ROW(B1618)&lt;=Bidding!$D$11,Raw_hydro_bm!C1618,"")</f>
        <v/>
      </c>
      <c r="C1618" t="str">
        <f>IF(ROW(C1618)&lt;=Bidding!$D$11,Raw_hydro_bm!D1618,"")</f>
        <v/>
      </c>
      <c r="D1618" t="str">
        <f>IF(ROW(D1618)&lt;=Bidding!$D$11,Raw_hydro_bm!E1618,"")</f>
        <v/>
      </c>
      <c r="E1618" t="str">
        <f>IF(ROW(E1618)&lt;=Bidding!$D$11,Raw_hydro_bm!F1618,"")</f>
        <v/>
      </c>
      <c r="F1618" t="str">
        <f>IF(ROW(F1618)&lt;=Bidding!$D$11,Raw_hydro_bm!G1618,"")</f>
        <v/>
      </c>
      <c r="G1618" t="str">
        <f>IF(ROW(G1618)&lt;=Bidding!$D$11,Raw_hydro_bm!H1618,"")</f>
        <v/>
      </c>
      <c r="H1618" t="str">
        <f>IF(ROW(H1618)&lt;=Bidding!$D$11,Raw_hydro_bm!I1618,"")</f>
        <v/>
      </c>
      <c r="I1618" s="16" t="str">
        <f t="shared" si="25"/>
        <v/>
      </c>
    </row>
    <row r="1619" spans="1:9" x14ac:dyDescent="0.2">
      <c r="A1619" t="str">
        <f>IF(ROW(A1619)&lt;=Bidding!$D$11,Raw_hydro_bm!B1619,"")</f>
        <v/>
      </c>
      <c r="B1619" t="str">
        <f>IF(ROW(B1619)&lt;=Bidding!$D$11,Raw_hydro_bm!C1619,"")</f>
        <v/>
      </c>
      <c r="C1619" t="str">
        <f>IF(ROW(C1619)&lt;=Bidding!$D$11,Raw_hydro_bm!D1619,"")</f>
        <v/>
      </c>
      <c r="D1619" t="str">
        <f>IF(ROW(D1619)&lt;=Bidding!$D$11,Raw_hydro_bm!E1619,"")</f>
        <v/>
      </c>
      <c r="E1619" t="str">
        <f>IF(ROW(E1619)&lt;=Bidding!$D$11,Raw_hydro_bm!F1619,"")</f>
        <v/>
      </c>
      <c r="F1619" t="str">
        <f>IF(ROW(F1619)&lt;=Bidding!$D$11,Raw_hydro_bm!G1619,"")</f>
        <v/>
      </c>
      <c r="G1619" t="str">
        <f>IF(ROW(G1619)&lt;=Bidding!$D$11,Raw_hydro_bm!H1619,"")</f>
        <v/>
      </c>
      <c r="H1619" t="str">
        <f>IF(ROW(H1619)&lt;=Bidding!$D$11,Raw_hydro_bm!I1619,"")</f>
        <v/>
      </c>
      <c r="I1619" s="16" t="str">
        <f t="shared" si="25"/>
        <v/>
      </c>
    </row>
    <row r="1620" spans="1:9" x14ac:dyDescent="0.2">
      <c r="A1620" t="str">
        <f>IF(ROW(A1620)&lt;=Bidding!$D$11,Raw_hydro_bm!B1620,"")</f>
        <v/>
      </c>
      <c r="B1620" t="str">
        <f>IF(ROW(B1620)&lt;=Bidding!$D$11,Raw_hydro_bm!C1620,"")</f>
        <v/>
      </c>
      <c r="C1620" t="str">
        <f>IF(ROW(C1620)&lt;=Bidding!$D$11,Raw_hydro_bm!D1620,"")</f>
        <v/>
      </c>
      <c r="D1620" t="str">
        <f>IF(ROW(D1620)&lt;=Bidding!$D$11,Raw_hydro_bm!E1620,"")</f>
        <v/>
      </c>
      <c r="E1620" t="str">
        <f>IF(ROW(E1620)&lt;=Bidding!$D$11,Raw_hydro_bm!F1620,"")</f>
        <v/>
      </c>
      <c r="F1620" t="str">
        <f>IF(ROW(F1620)&lt;=Bidding!$D$11,Raw_hydro_bm!G1620,"")</f>
        <v/>
      </c>
      <c r="G1620" t="str">
        <f>IF(ROW(G1620)&lt;=Bidding!$D$11,Raw_hydro_bm!H1620,"")</f>
        <v/>
      </c>
      <c r="H1620" t="str">
        <f>IF(ROW(H1620)&lt;=Bidding!$D$11,Raw_hydro_bm!I1620,"")</f>
        <v/>
      </c>
      <c r="I1620" s="16" t="str">
        <f t="shared" si="25"/>
        <v/>
      </c>
    </row>
    <row r="1621" spans="1:9" x14ac:dyDescent="0.2">
      <c r="A1621" t="str">
        <f>IF(ROW(A1621)&lt;=Bidding!$D$11,Raw_hydro_bm!B1621,"")</f>
        <v/>
      </c>
      <c r="B1621" t="str">
        <f>IF(ROW(B1621)&lt;=Bidding!$D$11,Raw_hydro_bm!C1621,"")</f>
        <v/>
      </c>
      <c r="C1621" t="str">
        <f>IF(ROW(C1621)&lt;=Bidding!$D$11,Raw_hydro_bm!D1621,"")</f>
        <v/>
      </c>
      <c r="D1621" t="str">
        <f>IF(ROW(D1621)&lt;=Bidding!$D$11,Raw_hydro_bm!E1621,"")</f>
        <v/>
      </c>
      <c r="E1621" t="str">
        <f>IF(ROW(E1621)&lt;=Bidding!$D$11,Raw_hydro_bm!F1621,"")</f>
        <v/>
      </c>
      <c r="F1621" t="str">
        <f>IF(ROW(F1621)&lt;=Bidding!$D$11,Raw_hydro_bm!G1621,"")</f>
        <v/>
      </c>
      <c r="G1621" t="str">
        <f>IF(ROW(G1621)&lt;=Bidding!$D$11,Raw_hydro_bm!H1621,"")</f>
        <v/>
      </c>
      <c r="H1621" t="str">
        <f>IF(ROW(H1621)&lt;=Bidding!$D$11,Raw_hydro_bm!I1621,"")</f>
        <v/>
      </c>
      <c r="I1621" s="16" t="str">
        <f t="shared" si="25"/>
        <v/>
      </c>
    </row>
    <row r="1622" spans="1:9" x14ac:dyDescent="0.2">
      <c r="A1622" t="str">
        <f>IF(ROW(A1622)&lt;=Bidding!$D$11,Raw_hydro_bm!B1622,"")</f>
        <v/>
      </c>
      <c r="B1622" t="str">
        <f>IF(ROW(B1622)&lt;=Bidding!$D$11,Raw_hydro_bm!C1622,"")</f>
        <v/>
      </c>
      <c r="C1622" t="str">
        <f>IF(ROW(C1622)&lt;=Bidding!$D$11,Raw_hydro_bm!D1622,"")</f>
        <v/>
      </c>
      <c r="D1622" t="str">
        <f>IF(ROW(D1622)&lt;=Bidding!$D$11,Raw_hydro_bm!E1622,"")</f>
        <v/>
      </c>
      <c r="E1622" t="str">
        <f>IF(ROW(E1622)&lt;=Bidding!$D$11,Raw_hydro_bm!F1622,"")</f>
        <v/>
      </c>
      <c r="F1622" t="str">
        <f>IF(ROW(F1622)&lt;=Bidding!$D$11,Raw_hydro_bm!G1622,"")</f>
        <v/>
      </c>
      <c r="G1622" t="str">
        <f>IF(ROW(G1622)&lt;=Bidding!$D$11,Raw_hydro_bm!H1622,"")</f>
        <v/>
      </c>
      <c r="H1622" t="str">
        <f>IF(ROW(H1622)&lt;=Bidding!$D$11,Raw_hydro_bm!I1622,"")</f>
        <v/>
      </c>
      <c r="I1622" s="16" t="str">
        <f t="shared" si="25"/>
        <v/>
      </c>
    </row>
    <row r="1623" spans="1:9" x14ac:dyDescent="0.2">
      <c r="A1623" t="str">
        <f>IF(ROW(A1623)&lt;=Bidding!$D$11,Raw_hydro_bm!B1623,"")</f>
        <v/>
      </c>
      <c r="B1623" t="str">
        <f>IF(ROW(B1623)&lt;=Bidding!$D$11,Raw_hydro_bm!C1623,"")</f>
        <v/>
      </c>
      <c r="C1623" t="str">
        <f>IF(ROW(C1623)&lt;=Bidding!$D$11,Raw_hydro_bm!D1623,"")</f>
        <v/>
      </c>
      <c r="D1623" t="str">
        <f>IF(ROW(D1623)&lt;=Bidding!$D$11,Raw_hydro_bm!E1623,"")</f>
        <v/>
      </c>
      <c r="E1623" t="str">
        <f>IF(ROW(E1623)&lt;=Bidding!$D$11,Raw_hydro_bm!F1623,"")</f>
        <v/>
      </c>
      <c r="F1623" t="str">
        <f>IF(ROW(F1623)&lt;=Bidding!$D$11,Raw_hydro_bm!G1623,"")</f>
        <v/>
      </c>
      <c r="G1623" t="str">
        <f>IF(ROW(G1623)&lt;=Bidding!$D$11,Raw_hydro_bm!H1623,"")</f>
        <v/>
      </c>
      <c r="H1623" t="str">
        <f>IF(ROW(H1623)&lt;=Bidding!$D$11,Raw_hydro_bm!I1623,"")</f>
        <v/>
      </c>
      <c r="I1623" s="16" t="str">
        <f t="shared" si="25"/>
        <v/>
      </c>
    </row>
    <row r="1624" spans="1:9" x14ac:dyDescent="0.2">
      <c r="A1624" t="str">
        <f>IF(ROW(A1624)&lt;=Bidding!$D$11,Raw_hydro_bm!B1624,"")</f>
        <v/>
      </c>
      <c r="B1624" t="str">
        <f>IF(ROW(B1624)&lt;=Bidding!$D$11,Raw_hydro_bm!C1624,"")</f>
        <v/>
      </c>
      <c r="C1624" t="str">
        <f>IF(ROW(C1624)&lt;=Bidding!$D$11,Raw_hydro_bm!D1624,"")</f>
        <v/>
      </c>
      <c r="D1624" t="str">
        <f>IF(ROW(D1624)&lt;=Bidding!$D$11,Raw_hydro_bm!E1624,"")</f>
        <v/>
      </c>
      <c r="E1624" t="str">
        <f>IF(ROW(E1624)&lt;=Bidding!$D$11,Raw_hydro_bm!F1624,"")</f>
        <v/>
      </c>
      <c r="F1624" t="str">
        <f>IF(ROW(F1624)&lt;=Bidding!$D$11,Raw_hydro_bm!G1624,"")</f>
        <v/>
      </c>
      <c r="G1624" t="str">
        <f>IF(ROW(G1624)&lt;=Bidding!$D$11,Raw_hydro_bm!H1624,"")</f>
        <v/>
      </c>
      <c r="H1624" t="str">
        <f>IF(ROW(H1624)&lt;=Bidding!$D$11,Raw_hydro_bm!I1624,"")</f>
        <v/>
      </c>
      <c r="I1624" s="16" t="str">
        <f t="shared" si="25"/>
        <v/>
      </c>
    </row>
    <row r="1625" spans="1:9" x14ac:dyDescent="0.2">
      <c r="A1625" t="str">
        <f>IF(ROW(A1625)&lt;=Bidding!$D$11,Raw_hydro_bm!B1625,"")</f>
        <v/>
      </c>
      <c r="B1625" t="str">
        <f>IF(ROW(B1625)&lt;=Bidding!$D$11,Raw_hydro_bm!C1625,"")</f>
        <v/>
      </c>
      <c r="C1625" t="str">
        <f>IF(ROW(C1625)&lt;=Bidding!$D$11,Raw_hydro_bm!D1625,"")</f>
        <v/>
      </c>
      <c r="D1625" t="str">
        <f>IF(ROW(D1625)&lt;=Bidding!$D$11,Raw_hydro_bm!E1625,"")</f>
        <v/>
      </c>
      <c r="E1625" t="str">
        <f>IF(ROW(E1625)&lt;=Bidding!$D$11,Raw_hydro_bm!F1625,"")</f>
        <v/>
      </c>
      <c r="F1625" t="str">
        <f>IF(ROW(F1625)&lt;=Bidding!$D$11,Raw_hydro_bm!G1625,"")</f>
        <v/>
      </c>
      <c r="G1625" t="str">
        <f>IF(ROW(G1625)&lt;=Bidding!$D$11,Raw_hydro_bm!H1625,"")</f>
        <v/>
      </c>
      <c r="H1625" t="str">
        <f>IF(ROW(H1625)&lt;=Bidding!$D$11,Raw_hydro_bm!I1625,"")</f>
        <v/>
      </c>
      <c r="I1625" s="16" t="str">
        <f t="shared" si="25"/>
        <v/>
      </c>
    </row>
    <row r="1626" spans="1:9" x14ac:dyDescent="0.2">
      <c r="A1626" t="str">
        <f>IF(ROW(A1626)&lt;=Bidding!$D$11,Raw_hydro_bm!B1626,"")</f>
        <v/>
      </c>
      <c r="B1626" t="str">
        <f>IF(ROW(B1626)&lt;=Bidding!$D$11,Raw_hydro_bm!C1626,"")</f>
        <v/>
      </c>
      <c r="C1626" t="str">
        <f>IF(ROW(C1626)&lt;=Bidding!$D$11,Raw_hydro_bm!D1626,"")</f>
        <v/>
      </c>
      <c r="D1626" t="str">
        <f>IF(ROW(D1626)&lt;=Bidding!$D$11,Raw_hydro_bm!E1626,"")</f>
        <v/>
      </c>
      <c r="E1626" t="str">
        <f>IF(ROW(E1626)&lt;=Bidding!$D$11,Raw_hydro_bm!F1626,"")</f>
        <v/>
      </c>
      <c r="F1626" t="str">
        <f>IF(ROW(F1626)&lt;=Bidding!$D$11,Raw_hydro_bm!G1626,"")</f>
        <v/>
      </c>
      <c r="G1626" t="str">
        <f>IF(ROW(G1626)&lt;=Bidding!$D$11,Raw_hydro_bm!H1626,"")</f>
        <v/>
      </c>
      <c r="H1626" t="str">
        <f>IF(ROW(H1626)&lt;=Bidding!$D$11,Raw_hydro_bm!I1626,"")</f>
        <v/>
      </c>
      <c r="I1626" s="16" t="str">
        <f t="shared" si="25"/>
        <v/>
      </c>
    </row>
    <row r="1627" spans="1:9" x14ac:dyDescent="0.2">
      <c r="A1627" t="str">
        <f>IF(ROW(A1627)&lt;=Bidding!$D$11,Raw_hydro_bm!B1627,"")</f>
        <v/>
      </c>
      <c r="B1627" t="str">
        <f>IF(ROW(B1627)&lt;=Bidding!$D$11,Raw_hydro_bm!C1627,"")</f>
        <v/>
      </c>
      <c r="C1627" t="str">
        <f>IF(ROW(C1627)&lt;=Bidding!$D$11,Raw_hydro_bm!D1627,"")</f>
        <v/>
      </c>
      <c r="D1627" t="str">
        <f>IF(ROW(D1627)&lt;=Bidding!$D$11,Raw_hydro_bm!E1627,"")</f>
        <v/>
      </c>
      <c r="E1627" t="str">
        <f>IF(ROW(E1627)&lt;=Bidding!$D$11,Raw_hydro_bm!F1627,"")</f>
        <v/>
      </c>
      <c r="F1627" t="str">
        <f>IF(ROW(F1627)&lt;=Bidding!$D$11,Raw_hydro_bm!G1627,"")</f>
        <v/>
      </c>
      <c r="G1627" t="str">
        <f>IF(ROW(G1627)&lt;=Bidding!$D$11,Raw_hydro_bm!H1627,"")</f>
        <v/>
      </c>
      <c r="H1627" t="str">
        <f>IF(ROW(H1627)&lt;=Bidding!$D$11,Raw_hydro_bm!I1627,"")</f>
        <v/>
      </c>
      <c r="I1627" s="16" t="str">
        <f t="shared" si="25"/>
        <v/>
      </c>
    </row>
    <row r="1628" spans="1:9" x14ac:dyDescent="0.2">
      <c r="A1628" t="str">
        <f>IF(ROW(A1628)&lt;=Bidding!$D$11,Raw_hydro_bm!B1628,"")</f>
        <v/>
      </c>
      <c r="B1628" t="str">
        <f>IF(ROW(B1628)&lt;=Bidding!$D$11,Raw_hydro_bm!C1628,"")</f>
        <v/>
      </c>
      <c r="C1628" t="str">
        <f>IF(ROW(C1628)&lt;=Bidding!$D$11,Raw_hydro_bm!D1628,"")</f>
        <v/>
      </c>
      <c r="D1628" t="str">
        <f>IF(ROW(D1628)&lt;=Bidding!$D$11,Raw_hydro_bm!E1628,"")</f>
        <v/>
      </c>
      <c r="E1628" t="str">
        <f>IF(ROW(E1628)&lt;=Bidding!$D$11,Raw_hydro_bm!F1628,"")</f>
        <v/>
      </c>
      <c r="F1628" t="str">
        <f>IF(ROW(F1628)&lt;=Bidding!$D$11,Raw_hydro_bm!G1628,"")</f>
        <v/>
      </c>
      <c r="G1628" t="str">
        <f>IF(ROW(G1628)&lt;=Bidding!$D$11,Raw_hydro_bm!H1628,"")</f>
        <v/>
      </c>
      <c r="H1628" t="str">
        <f>IF(ROW(H1628)&lt;=Bidding!$D$11,Raw_hydro_bm!I1628,"")</f>
        <v/>
      </c>
      <c r="I1628" s="16" t="str">
        <f t="shared" si="25"/>
        <v/>
      </c>
    </row>
    <row r="1629" spans="1:9" x14ac:dyDescent="0.2">
      <c r="A1629" t="str">
        <f>IF(ROW(A1629)&lt;=Bidding!$D$11,Raw_hydro_bm!B1629,"")</f>
        <v/>
      </c>
      <c r="B1629" t="str">
        <f>IF(ROW(B1629)&lt;=Bidding!$D$11,Raw_hydro_bm!C1629,"")</f>
        <v/>
      </c>
      <c r="C1629" t="str">
        <f>IF(ROW(C1629)&lt;=Bidding!$D$11,Raw_hydro_bm!D1629,"")</f>
        <v/>
      </c>
      <c r="D1629" t="str">
        <f>IF(ROW(D1629)&lt;=Bidding!$D$11,Raw_hydro_bm!E1629,"")</f>
        <v/>
      </c>
      <c r="E1629" t="str">
        <f>IF(ROW(E1629)&lt;=Bidding!$D$11,Raw_hydro_bm!F1629,"")</f>
        <v/>
      </c>
      <c r="F1629" t="str">
        <f>IF(ROW(F1629)&lt;=Bidding!$D$11,Raw_hydro_bm!G1629,"")</f>
        <v/>
      </c>
      <c r="G1629" t="str">
        <f>IF(ROW(G1629)&lt;=Bidding!$D$11,Raw_hydro_bm!H1629,"")</f>
        <v/>
      </c>
      <c r="H1629" t="str">
        <f>IF(ROW(H1629)&lt;=Bidding!$D$11,Raw_hydro_bm!I1629,"")</f>
        <v/>
      </c>
      <c r="I1629" s="16" t="str">
        <f t="shared" si="25"/>
        <v/>
      </c>
    </row>
    <row r="1630" spans="1:9" x14ac:dyDescent="0.2">
      <c r="A1630" t="str">
        <f>IF(ROW(A1630)&lt;=Bidding!$D$11,Raw_hydro_bm!B1630,"")</f>
        <v/>
      </c>
      <c r="B1630" t="str">
        <f>IF(ROW(B1630)&lt;=Bidding!$D$11,Raw_hydro_bm!C1630,"")</f>
        <v/>
      </c>
      <c r="C1630" t="str">
        <f>IF(ROW(C1630)&lt;=Bidding!$D$11,Raw_hydro_bm!D1630,"")</f>
        <v/>
      </c>
      <c r="D1630" t="str">
        <f>IF(ROW(D1630)&lt;=Bidding!$D$11,Raw_hydro_bm!E1630,"")</f>
        <v/>
      </c>
      <c r="E1630" t="str">
        <f>IF(ROW(E1630)&lt;=Bidding!$D$11,Raw_hydro_bm!F1630,"")</f>
        <v/>
      </c>
      <c r="F1630" t="str">
        <f>IF(ROW(F1630)&lt;=Bidding!$D$11,Raw_hydro_bm!G1630,"")</f>
        <v/>
      </c>
      <c r="G1630" t="str">
        <f>IF(ROW(G1630)&lt;=Bidding!$D$11,Raw_hydro_bm!H1630,"")</f>
        <v/>
      </c>
      <c r="H1630" t="str">
        <f>IF(ROW(H1630)&lt;=Bidding!$D$11,Raw_hydro_bm!I1630,"")</f>
        <v/>
      </c>
      <c r="I1630" s="16" t="str">
        <f t="shared" si="25"/>
        <v/>
      </c>
    </row>
    <row r="1631" spans="1:9" x14ac:dyDescent="0.2">
      <c r="A1631" t="str">
        <f>IF(ROW(A1631)&lt;=Bidding!$D$11,Raw_hydro_bm!B1631,"")</f>
        <v/>
      </c>
      <c r="B1631" t="str">
        <f>IF(ROW(B1631)&lt;=Bidding!$D$11,Raw_hydro_bm!C1631,"")</f>
        <v/>
      </c>
      <c r="C1631" t="str">
        <f>IF(ROW(C1631)&lt;=Bidding!$D$11,Raw_hydro_bm!D1631,"")</f>
        <v/>
      </c>
      <c r="D1631" t="str">
        <f>IF(ROW(D1631)&lt;=Bidding!$D$11,Raw_hydro_bm!E1631,"")</f>
        <v/>
      </c>
      <c r="E1631" t="str">
        <f>IF(ROW(E1631)&lt;=Bidding!$D$11,Raw_hydro_bm!F1631,"")</f>
        <v/>
      </c>
      <c r="F1631" t="str">
        <f>IF(ROW(F1631)&lt;=Bidding!$D$11,Raw_hydro_bm!G1631,"")</f>
        <v/>
      </c>
      <c r="G1631" t="str">
        <f>IF(ROW(G1631)&lt;=Bidding!$D$11,Raw_hydro_bm!H1631,"")</f>
        <v/>
      </c>
      <c r="H1631" t="str">
        <f>IF(ROW(H1631)&lt;=Bidding!$D$11,Raw_hydro_bm!I1631,"")</f>
        <v/>
      </c>
      <c r="I1631" s="16" t="str">
        <f t="shared" si="25"/>
        <v/>
      </c>
    </row>
    <row r="1632" spans="1:9" x14ac:dyDescent="0.2">
      <c r="A1632" t="str">
        <f>IF(ROW(A1632)&lt;=Bidding!$D$11,Raw_hydro_bm!B1632,"")</f>
        <v/>
      </c>
      <c r="B1632" t="str">
        <f>IF(ROW(B1632)&lt;=Bidding!$D$11,Raw_hydro_bm!C1632,"")</f>
        <v/>
      </c>
      <c r="C1632" t="str">
        <f>IF(ROW(C1632)&lt;=Bidding!$D$11,Raw_hydro_bm!D1632,"")</f>
        <v/>
      </c>
      <c r="D1632" t="str">
        <f>IF(ROW(D1632)&lt;=Bidding!$D$11,Raw_hydro_bm!E1632,"")</f>
        <v/>
      </c>
      <c r="E1632" t="str">
        <f>IF(ROW(E1632)&lt;=Bidding!$D$11,Raw_hydro_bm!F1632,"")</f>
        <v/>
      </c>
      <c r="F1632" t="str">
        <f>IF(ROW(F1632)&lt;=Bidding!$D$11,Raw_hydro_bm!G1632,"")</f>
        <v/>
      </c>
      <c r="G1632" t="str">
        <f>IF(ROW(G1632)&lt;=Bidding!$D$11,Raw_hydro_bm!H1632,"")</f>
        <v/>
      </c>
      <c r="H1632" t="str">
        <f>IF(ROW(H1632)&lt;=Bidding!$D$11,Raw_hydro_bm!I1632,"")</f>
        <v/>
      </c>
      <c r="I1632" s="16" t="str">
        <f t="shared" si="25"/>
        <v/>
      </c>
    </row>
    <row r="1633" spans="1:9" x14ac:dyDescent="0.2">
      <c r="A1633" t="str">
        <f>IF(ROW(A1633)&lt;=Bidding!$D$11,Raw_hydro_bm!B1633,"")</f>
        <v/>
      </c>
      <c r="B1633" t="str">
        <f>IF(ROW(B1633)&lt;=Bidding!$D$11,Raw_hydro_bm!C1633,"")</f>
        <v/>
      </c>
      <c r="C1633" t="str">
        <f>IF(ROW(C1633)&lt;=Bidding!$D$11,Raw_hydro_bm!D1633,"")</f>
        <v/>
      </c>
      <c r="D1633" t="str">
        <f>IF(ROW(D1633)&lt;=Bidding!$D$11,Raw_hydro_bm!E1633,"")</f>
        <v/>
      </c>
      <c r="E1633" t="str">
        <f>IF(ROW(E1633)&lt;=Bidding!$D$11,Raw_hydro_bm!F1633,"")</f>
        <v/>
      </c>
      <c r="F1633" t="str">
        <f>IF(ROW(F1633)&lt;=Bidding!$D$11,Raw_hydro_bm!G1633,"")</f>
        <v/>
      </c>
      <c r="G1633" t="str">
        <f>IF(ROW(G1633)&lt;=Bidding!$D$11,Raw_hydro_bm!H1633,"")</f>
        <v/>
      </c>
      <c r="H1633" t="str">
        <f>IF(ROW(H1633)&lt;=Bidding!$D$11,Raw_hydro_bm!I1633,"")</f>
        <v/>
      </c>
      <c r="I1633" s="16" t="str">
        <f t="shared" si="25"/>
        <v/>
      </c>
    </row>
    <row r="1634" spans="1:9" x14ac:dyDescent="0.2">
      <c r="A1634" t="str">
        <f>IF(ROW(A1634)&lt;=Bidding!$D$11,Raw_hydro_bm!B1634,"")</f>
        <v/>
      </c>
      <c r="B1634" t="str">
        <f>IF(ROW(B1634)&lt;=Bidding!$D$11,Raw_hydro_bm!C1634,"")</f>
        <v/>
      </c>
      <c r="C1634" t="str">
        <f>IF(ROW(C1634)&lt;=Bidding!$D$11,Raw_hydro_bm!D1634,"")</f>
        <v/>
      </c>
      <c r="D1634" t="str">
        <f>IF(ROW(D1634)&lt;=Bidding!$D$11,Raw_hydro_bm!E1634,"")</f>
        <v/>
      </c>
      <c r="E1634" t="str">
        <f>IF(ROW(E1634)&lt;=Bidding!$D$11,Raw_hydro_bm!F1634,"")</f>
        <v/>
      </c>
      <c r="F1634" t="str">
        <f>IF(ROW(F1634)&lt;=Bidding!$D$11,Raw_hydro_bm!G1634,"")</f>
        <v/>
      </c>
      <c r="G1634" t="str">
        <f>IF(ROW(G1634)&lt;=Bidding!$D$11,Raw_hydro_bm!H1634,"")</f>
        <v/>
      </c>
      <c r="H1634" t="str">
        <f>IF(ROW(H1634)&lt;=Bidding!$D$11,Raw_hydro_bm!I1634,"")</f>
        <v/>
      </c>
      <c r="I1634" s="16" t="str">
        <f t="shared" si="25"/>
        <v/>
      </c>
    </row>
    <row r="1635" spans="1:9" x14ac:dyDescent="0.2">
      <c r="A1635" t="str">
        <f>IF(ROW(A1635)&lt;=Bidding!$D$11,Raw_hydro_bm!B1635,"")</f>
        <v/>
      </c>
      <c r="B1635" t="str">
        <f>IF(ROW(B1635)&lt;=Bidding!$D$11,Raw_hydro_bm!C1635,"")</f>
        <v/>
      </c>
      <c r="C1635" t="str">
        <f>IF(ROW(C1635)&lt;=Bidding!$D$11,Raw_hydro_bm!D1635,"")</f>
        <v/>
      </c>
      <c r="D1635" t="str">
        <f>IF(ROW(D1635)&lt;=Bidding!$D$11,Raw_hydro_bm!E1635,"")</f>
        <v/>
      </c>
      <c r="E1635" t="str">
        <f>IF(ROW(E1635)&lt;=Bidding!$D$11,Raw_hydro_bm!F1635,"")</f>
        <v/>
      </c>
      <c r="F1635" t="str">
        <f>IF(ROW(F1635)&lt;=Bidding!$D$11,Raw_hydro_bm!G1635,"")</f>
        <v/>
      </c>
      <c r="G1635" t="str">
        <f>IF(ROW(G1635)&lt;=Bidding!$D$11,Raw_hydro_bm!H1635,"")</f>
        <v/>
      </c>
      <c r="H1635" t="str">
        <f>IF(ROW(H1635)&lt;=Bidding!$D$11,Raw_hydro_bm!I1635,"")</f>
        <v/>
      </c>
      <c r="I1635" s="16" t="str">
        <f t="shared" si="25"/>
        <v/>
      </c>
    </row>
    <row r="1636" spans="1:9" x14ac:dyDescent="0.2">
      <c r="A1636" t="str">
        <f>IF(ROW(A1636)&lt;=Bidding!$D$11,Raw_hydro_bm!B1636,"")</f>
        <v/>
      </c>
      <c r="B1636" t="str">
        <f>IF(ROW(B1636)&lt;=Bidding!$D$11,Raw_hydro_bm!C1636,"")</f>
        <v/>
      </c>
      <c r="C1636" t="str">
        <f>IF(ROW(C1636)&lt;=Bidding!$D$11,Raw_hydro_bm!D1636,"")</f>
        <v/>
      </c>
      <c r="D1636" t="str">
        <f>IF(ROW(D1636)&lt;=Bidding!$D$11,Raw_hydro_bm!E1636,"")</f>
        <v/>
      </c>
      <c r="E1636" t="str">
        <f>IF(ROW(E1636)&lt;=Bidding!$D$11,Raw_hydro_bm!F1636,"")</f>
        <v/>
      </c>
      <c r="F1636" t="str">
        <f>IF(ROW(F1636)&lt;=Bidding!$D$11,Raw_hydro_bm!G1636,"")</f>
        <v/>
      </c>
      <c r="G1636" t="str">
        <f>IF(ROW(G1636)&lt;=Bidding!$D$11,Raw_hydro_bm!H1636,"")</f>
        <v/>
      </c>
      <c r="H1636" t="str">
        <f>IF(ROW(H1636)&lt;=Bidding!$D$11,Raw_hydro_bm!I1636,"")</f>
        <v/>
      </c>
      <c r="I1636" s="16" t="str">
        <f t="shared" si="25"/>
        <v/>
      </c>
    </row>
    <row r="1637" spans="1:9" x14ac:dyDescent="0.2">
      <c r="A1637" t="str">
        <f>IF(ROW(A1637)&lt;=Bidding!$D$11,Raw_hydro_bm!B1637,"")</f>
        <v/>
      </c>
      <c r="B1637" t="str">
        <f>IF(ROW(B1637)&lt;=Bidding!$D$11,Raw_hydro_bm!C1637,"")</f>
        <v/>
      </c>
      <c r="C1637" t="str">
        <f>IF(ROW(C1637)&lt;=Bidding!$D$11,Raw_hydro_bm!D1637,"")</f>
        <v/>
      </c>
      <c r="D1637" t="str">
        <f>IF(ROW(D1637)&lt;=Bidding!$D$11,Raw_hydro_bm!E1637,"")</f>
        <v/>
      </c>
      <c r="E1637" t="str">
        <f>IF(ROW(E1637)&lt;=Bidding!$D$11,Raw_hydro_bm!F1637,"")</f>
        <v/>
      </c>
      <c r="F1637" t="str">
        <f>IF(ROW(F1637)&lt;=Bidding!$D$11,Raw_hydro_bm!G1637,"")</f>
        <v/>
      </c>
      <c r="G1637" t="str">
        <f>IF(ROW(G1637)&lt;=Bidding!$D$11,Raw_hydro_bm!H1637,"")</f>
        <v/>
      </c>
      <c r="H1637" t="str">
        <f>IF(ROW(H1637)&lt;=Bidding!$D$11,Raw_hydro_bm!I1637,"")</f>
        <v/>
      </c>
      <c r="I1637" s="16" t="str">
        <f t="shared" si="25"/>
        <v/>
      </c>
    </row>
    <row r="1638" spans="1:9" x14ac:dyDescent="0.2">
      <c r="A1638" t="str">
        <f>IF(ROW(A1638)&lt;=Bidding!$D$11,Raw_hydro_bm!B1638,"")</f>
        <v/>
      </c>
      <c r="B1638" t="str">
        <f>IF(ROW(B1638)&lt;=Bidding!$D$11,Raw_hydro_bm!C1638,"")</f>
        <v/>
      </c>
      <c r="C1638" t="str">
        <f>IF(ROW(C1638)&lt;=Bidding!$D$11,Raw_hydro_bm!D1638,"")</f>
        <v/>
      </c>
      <c r="D1638" t="str">
        <f>IF(ROW(D1638)&lt;=Bidding!$D$11,Raw_hydro_bm!E1638,"")</f>
        <v/>
      </c>
      <c r="E1638" t="str">
        <f>IF(ROW(E1638)&lt;=Bidding!$D$11,Raw_hydro_bm!F1638,"")</f>
        <v/>
      </c>
      <c r="F1638" t="str">
        <f>IF(ROW(F1638)&lt;=Bidding!$D$11,Raw_hydro_bm!G1638,"")</f>
        <v/>
      </c>
      <c r="G1638" t="str">
        <f>IF(ROW(G1638)&lt;=Bidding!$D$11,Raw_hydro_bm!H1638,"")</f>
        <v/>
      </c>
      <c r="H1638" t="str">
        <f>IF(ROW(H1638)&lt;=Bidding!$D$11,Raw_hydro_bm!I1638,"")</f>
        <v/>
      </c>
      <c r="I1638" s="16" t="str">
        <f t="shared" si="25"/>
        <v/>
      </c>
    </row>
    <row r="1639" spans="1:9" x14ac:dyDescent="0.2">
      <c r="A1639" t="str">
        <f>IF(ROW(A1639)&lt;=Bidding!$D$11,Raw_hydro_bm!B1639,"")</f>
        <v/>
      </c>
      <c r="B1639" t="str">
        <f>IF(ROW(B1639)&lt;=Bidding!$D$11,Raw_hydro_bm!C1639,"")</f>
        <v/>
      </c>
      <c r="C1639" t="str">
        <f>IF(ROW(C1639)&lt;=Bidding!$D$11,Raw_hydro_bm!D1639,"")</f>
        <v/>
      </c>
      <c r="D1639" t="str">
        <f>IF(ROW(D1639)&lt;=Bidding!$D$11,Raw_hydro_bm!E1639,"")</f>
        <v/>
      </c>
      <c r="E1639" t="str">
        <f>IF(ROW(E1639)&lt;=Bidding!$D$11,Raw_hydro_bm!F1639,"")</f>
        <v/>
      </c>
      <c r="F1639" t="str">
        <f>IF(ROW(F1639)&lt;=Bidding!$D$11,Raw_hydro_bm!G1639,"")</f>
        <v/>
      </c>
      <c r="G1639" t="str">
        <f>IF(ROW(G1639)&lt;=Bidding!$D$11,Raw_hydro_bm!H1639,"")</f>
        <v/>
      </c>
      <c r="H1639" t="str">
        <f>IF(ROW(H1639)&lt;=Bidding!$D$11,Raw_hydro_bm!I1639,"")</f>
        <v/>
      </c>
      <c r="I1639" s="16" t="str">
        <f t="shared" si="25"/>
        <v/>
      </c>
    </row>
    <row r="1640" spans="1:9" x14ac:dyDescent="0.2">
      <c r="A1640" t="str">
        <f>IF(ROW(A1640)&lt;=Bidding!$D$11,Raw_hydro_bm!B1640,"")</f>
        <v/>
      </c>
      <c r="B1640" t="str">
        <f>IF(ROW(B1640)&lt;=Bidding!$D$11,Raw_hydro_bm!C1640,"")</f>
        <v/>
      </c>
      <c r="C1640" t="str">
        <f>IF(ROW(C1640)&lt;=Bidding!$D$11,Raw_hydro_bm!D1640,"")</f>
        <v/>
      </c>
      <c r="D1640" t="str">
        <f>IF(ROW(D1640)&lt;=Bidding!$D$11,Raw_hydro_bm!E1640,"")</f>
        <v/>
      </c>
      <c r="E1640" t="str">
        <f>IF(ROW(E1640)&lt;=Bidding!$D$11,Raw_hydro_bm!F1640,"")</f>
        <v/>
      </c>
      <c r="F1640" t="str">
        <f>IF(ROW(F1640)&lt;=Bidding!$D$11,Raw_hydro_bm!G1640,"")</f>
        <v/>
      </c>
      <c r="G1640" t="str">
        <f>IF(ROW(G1640)&lt;=Bidding!$D$11,Raw_hydro_bm!H1640,"")</f>
        <v/>
      </c>
      <c r="H1640" t="str">
        <f>IF(ROW(H1640)&lt;=Bidding!$D$11,Raw_hydro_bm!I1640,"")</f>
        <v/>
      </c>
      <c r="I1640" s="16" t="str">
        <f t="shared" si="25"/>
        <v/>
      </c>
    </row>
    <row r="1641" spans="1:9" x14ac:dyDescent="0.2">
      <c r="A1641" t="str">
        <f>IF(ROW(A1641)&lt;=Bidding!$D$11,Raw_hydro_bm!B1641,"")</f>
        <v/>
      </c>
      <c r="B1641" t="str">
        <f>IF(ROW(B1641)&lt;=Bidding!$D$11,Raw_hydro_bm!C1641,"")</f>
        <v/>
      </c>
      <c r="C1641" t="str">
        <f>IF(ROW(C1641)&lt;=Bidding!$D$11,Raw_hydro_bm!D1641,"")</f>
        <v/>
      </c>
      <c r="D1641" t="str">
        <f>IF(ROW(D1641)&lt;=Bidding!$D$11,Raw_hydro_bm!E1641,"")</f>
        <v/>
      </c>
      <c r="E1641" t="str">
        <f>IF(ROW(E1641)&lt;=Bidding!$D$11,Raw_hydro_bm!F1641,"")</f>
        <v/>
      </c>
      <c r="F1641" t="str">
        <f>IF(ROW(F1641)&lt;=Bidding!$D$11,Raw_hydro_bm!G1641,"")</f>
        <v/>
      </c>
      <c r="G1641" t="str">
        <f>IF(ROW(G1641)&lt;=Bidding!$D$11,Raw_hydro_bm!H1641,"")</f>
        <v/>
      </c>
      <c r="H1641" t="str">
        <f>IF(ROW(H1641)&lt;=Bidding!$D$11,Raw_hydro_bm!I1641,"")</f>
        <v/>
      </c>
      <c r="I1641" s="16" t="str">
        <f t="shared" si="25"/>
        <v/>
      </c>
    </row>
    <row r="1642" spans="1:9" x14ac:dyDescent="0.2">
      <c r="A1642" t="str">
        <f>IF(ROW(A1642)&lt;=Bidding!$D$11,Raw_hydro_bm!B1642,"")</f>
        <v/>
      </c>
      <c r="B1642" t="str">
        <f>IF(ROW(B1642)&lt;=Bidding!$D$11,Raw_hydro_bm!C1642,"")</f>
        <v/>
      </c>
      <c r="C1642" t="str">
        <f>IF(ROW(C1642)&lt;=Bidding!$D$11,Raw_hydro_bm!D1642,"")</f>
        <v/>
      </c>
      <c r="D1642" t="str">
        <f>IF(ROW(D1642)&lt;=Bidding!$D$11,Raw_hydro_bm!E1642,"")</f>
        <v/>
      </c>
      <c r="E1642" t="str">
        <f>IF(ROW(E1642)&lt;=Bidding!$D$11,Raw_hydro_bm!F1642,"")</f>
        <v/>
      </c>
      <c r="F1642" t="str">
        <f>IF(ROW(F1642)&lt;=Bidding!$D$11,Raw_hydro_bm!G1642,"")</f>
        <v/>
      </c>
      <c r="G1642" t="str">
        <f>IF(ROW(G1642)&lt;=Bidding!$D$11,Raw_hydro_bm!H1642,"")</f>
        <v/>
      </c>
      <c r="H1642" t="str">
        <f>IF(ROW(H1642)&lt;=Bidding!$D$11,Raw_hydro_bm!I1642,"")</f>
        <v/>
      </c>
      <c r="I1642" s="16" t="str">
        <f t="shared" si="25"/>
        <v/>
      </c>
    </row>
    <row r="1643" spans="1:9" x14ac:dyDescent="0.2">
      <c r="A1643" t="str">
        <f>IF(ROW(A1643)&lt;=Bidding!$D$11,Raw_hydro_bm!B1643,"")</f>
        <v/>
      </c>
      <c r="B1643" t="str">
        <f>IF(ROW(B1643)&lt;=Bidding!$D$11,Raw_hydro_bm!C1643,"")</f>
        <v/>
      </c>
      <c r="C1643" t="str">
        <f>IF(ROW(C1643)&lt;=Bidding!$D$11,Raw_hydro_bm!D1643,"")</f>
        <v/>
      </c>
      <c r="D1643" t="str">
        <f>IF(ROW(D1643)&lt;=Bidding!$D$11,Raw_hydro_bm!E1643,"")</f>
        <v/>
      </c>
      <c r="E1643" t="str">
        <f>IF(ROW(E1643)&lt;=Bidding!$D$11,Raw_hydro_bm!F1643,"")</f>
        <v/>
      </c>
      <c r="F1643" t="str">
        <f>IF(ROW(F1643)&lt;=Bidding!$D$11,Raw_hydro_bm!G1643,"")</f>
        <v/>
      </c>
      <c r="G1643" t="str">
        <f>IF(ROW(G1643)&lt;=Bidding!$D$11,Raw_hydro_bm!H1643,"")</f>
        <v/>
      </c>
      <c r="H1643" t="str">
        <f>IF(ROW(H1643)&lt;=Bidding!$D$11,Raw_hydro_bm!I1643,"")</f>
        <v/>
      </c>
      <c r="I1643" s="16" t="str">
        <f t="shared" si="25"/>
        <v/>
      </c>
    </row>
    <row r="1644" spans="1:9" x14ac:dyDescent="0.2">
      <c r="A1644" t="str">
        <f>IF(ROW(A1644)&lt;=Bidding!$D$11,Raw_hydro_bm!B1644,"")</f>
        <v/>
      </c>
      <c r="B1644" t="str">
        <f>IF(ROW(B1644)&lt;=Bidding!$D$11,Raw_hydro_bm!C1644,"")</f>
        <v/>
      </c>
      <c r="C1644" t="str">
        <f>IF(ROW(C1644)&lt;=Bidding!$D$11,Raw_hydro_bm!D1644,"")</f>
        <v/>
      </c>
      <c r="D1644" t="str">
        <f>IF(ROW(D1644)&lt;=Bidding!$D$11,Raw_hydro_bm!E1644,"")</f>
        <v/>
      </c>
      <c r="E1644" t="str">
        <f>IF(ROW(E1644)&lt;=Bidding!$D$11,Raw_hydro_bm!F1644,"")</f>
        <v/>
      </c>
      <c r="F1644" t="str">
        <f>IF(ROW(F1644)&lt;=Bidding!$D$11,Raw_hydro_bm!G1644,"")</f>
        <v/>
      </c>
      <c r="G1644" t="str">
        <f>IF(ROW(G1644)&lt;=Bidding!$D$11,Raw_hydro_bm!H1644,"")</f>
        <v/>
      </c>
      <c r="H1644" t="str">
        <f>IF(ROW(H1644)&lt;=Bidding!$D$11,Raw_hydro_bm!I1644,"")</f>
        <v/>
      </c>
      <c r="I1644" s="16" t="str">
        <f t="shared" si="25"/>
        <v/>
      </c>
    </row>
    <row r="1645" spans="1:9" x14ac:dyDescent="0.2">
      <c r="A1645" t="str">
        <f>IF(ROW(A1645)&lt;=Bidding!$D$11,Raw_hydro_bm!B1645,"")</f>
        <v/>
      </c>
      <c r="B1645" t="str">
        <f>IF(ROW(B1645)&lt;=Bidding!$D$11,Raw_hydro_bm!C1645,"")</f>
        <v/>
      </c>
      <c r="C1645" t="str">
        <f>IF(ROW(C1645)&lt;=Bidding!$D$11,Raw_hydro_bm!D1645,"")</f>
        <v/>
      </c>
      <c r="D1645" t="str">
        <f>IF(ROW(D1645)&lt;=Bidding!$D$11,Raw_hydro_bm!E1645,"")</f>
        <v/>
      </c>
      <c r="E1645" t="str">
        <f>IF(ROW(E1645)&lt;=Bidding!$D$11,Raw_hydro_bm!F1645,"")</f>
        <v/>
      </c>
      <c r="F1645" t="str">
        <f>IF(ROW(F1645)&lt;=Bidding!$D$11,Raw_hydro_bm!G1645,"")</f>
        <v/>
      </c>
      <c r="G1645" t="str">
        <f>IF(ROW(G1645)&lt;=Bidding!$D$11,Raw_hydro_bm!H1645,"")</f>
        <v/>
      </c>
      <c r="H1645" t="str">
        <f>IF(ROW(H1645)&lt;=Bidding!$D$11,Raw_hydro_bm!I1645,"")</f>
        <v/>
      </c>
      <c r="I1645" s="16" t="str">
        <f t="shared" si="25"/>
        <v/>
      </c>
    </row>
    <row r="1646" spans="1:9" x14ac:dyDescent="0.2">
      <c r="A1646" t="str">
        <f>IF(ROW(A1646)&lt;=Bidding!$D$11,Raw_hydro_bm!B1646,"")</f>
        <v/>
      </c>
      <c r="B1646" t="str">
        <f>IF(ROW(B1646)&lt;=Bidding!$D$11,Raw_hydro_bm!C1646,"")</f>
        <v/>
      </c>
      <c r="C1646" t="str">
        <f>IF(ROW(C1646)&lt;=Bidding!$D$11,Raw_hydro_bm!D1646,"")</f>
        <v/>
      </c>
      <c r="D1646" t="str">
        <f>IF(ROW(D1646)&lt;=Bidding!$D$11,Raw_hydro_bm!E1646,"")</f>
        <v/>
      </c>
      <c r="E1646" t="str">
        <f>IF(ROW(E1646)&lt;=Bidding!$D$11,Raw_hydro_bm!F1646,"")</f>
        <v/>
      </c>
      <c r="F1646" t="str">
        <f>IF(ROW(F1646)&lt;=Bidding!$D$11,Raw_hydro_bm!G1646,"")</f>
        <v/>
      </c>
      <c r="G1646" t="str">
        <f>IF(ROW(G1646)&lt;=Bidding!$D$11,Raw_hydro_bm!H1646,"")</f>
        <v/>
      </c>
      <c r="H1646" t="str">
        <f>IF(ROW(H1646)&lt;=Bidding!$D$11,Raw_hydro_bm!I1646,"")</f>
        <v/>
      </c>
      <c r="I1646" s="16" t="str">
        <f t="shared" si="25"/>
        <v/>
      </c>
    </row>
    <row r="1647" spans="1:9" x14ac:dyDescent="0.2">
      <c r="A1647" t="str">
        <f>IF(ROW(A1647)&lt;=Bidding!$D$11,Raw_hydro_bm!B1647,"")</f>
        <v/>
      </c>
      <c r="B1647" t="str">
        <f>IF(ROW(B1647)&lt;=Bidding!$D$11,Raw_hydro_bm!C1647,"")</f>
        <v/>
      </c>
      <c r="C1647" t="str">
        <f>IF(ROW(C1647)&lt;=Bidding!$D$11,Raw_hydro_bm!D1647,"")</f>
        <v/>
      </c>
      <c r="D1647" t="str">
        <f>IF(ROW(D1647)&lt;=Bidding!$D$11,Raw_hydro_bm!E1647,"")</f>
        <v/>
      </c>
      <c r="E1647" t="str">
        <f>IF(ROW(E1647)&lt;=Bidding!$D$11,Raw_hydro_bm!F1647,"")</f>
        <v/>
      </c>
      <c r="F1647" t="str">
        <f>IF(ROW(F1647)&lt;=Bidding!$D$11,Raw_hydro_bm!G1647,"")</f>
        <v/>
      </c>
      <c r="G1647" t="str">
        <f>IF(ROW(G1647)&lt;=Bidding!$D$11,Raw_hydro_bm!H1647,"")</f>
        <v/>
      </c>
      <c r="H1647" t="str">
        <f>IF(ROW(H1647)&lt;=Bidding!$D$11,Raw_hydro_bm!I1647,"")</f>
        <v/>
      </c>
      <c r="I1647" s="16" t="str">
        <f t="shared" si="25"/>
        <v/>
      </c>
    </row>
    <row r="1648" spans="1:9" x14ac:dyDescent="0.2">
      <c r="A1648" t="str">
        <f>IF(ROW(A1648)&lt;=Bidding!$D$11,Raw_hydro_bm!B1648,"")</f>
        <v/>
      </c>
      <c r="B1648" t="str">
        <f>IF(ROW(B1648)&lt;=Bidding!$D$11,Raw_hydro_bm!C1648,"")</f>
        <v/>
      </c>
      <c r="C1648" t="str">
        <f>IF(ROW(C1648)&lt;=Bidding!$D$11,Raw_hydro_bm!D1648,"")</f>
        <v/>
      </c>
      <c r="D1648" t="str">
        <f>IF(ROW(D1648)&lt;=Bidding!$D$11,Raw_hydro_bm!E1648,"")</f>
        <v/>
      </c>
      <c r="E1648" t="str">
        <f>IF(ROW(E1648)&lt;=Bidding!$D$11,Raw_hydro_bm!F1648,"")</f>
        <v/>
      </c>
      <c r="F1648" t="str">
        <f>IF(ROW(F1648)&lt;=Bidding!$D$11,Raw_hydro_bm!G1648,"")</f>
        <v/>
      </c>
      <c r="G1648" t="str">
        <f>IF(ROW(G1648)&lt;=Bidding!$D$11,Raw_hydro_bm!H1648,"")</f>
        <v/>
      </c>
      <c r="H1648" t="str">
        <f>IF(ROW(H1648)&lt;=Bidding!$D$11,Raw_hydro_bm!I1648,"")</f>
        <v/>
      </c>
      <c r="I1648" s="16" t="str">
        <f t="shared" si="25"/>
        <v/>
      </c>
    </row>
    <row r="1649" spans="1:9" x14ac:dyDescent="0.2">
      <c r="A1649" t="str">
        <f>IF(ROW(A1649)&lt;=Bidding!$D$11,Raw_hydro_bm!B1649,"")</f>
        <v/>
      </c>
      <c r="B1649" t="str">
        <f>IF(ROW(B1649)&lt;=Bidding!$D$11,Raw_hydro_bm!C1649,"")</f>
        <v/>
      </c>
      <c r="C1649" t="str">
        <f>IF(ROW(C1649)&lt;=Bidding!$D$11,Raw_hydro_bm!D1649,"")</f>
        <v/>
      </c>
      <c r="D1649" t="str">
        <f>IF(ROW(D1649)&lt;=Bidding!$D$11,Raw_hydro_bm!E1649,"")</f>
        <v/>
      </c>
      <c r="E1649" t="str">
        <f>IF(ROW(E1649)&lt;=Bidding!$D$11,Raw_hydro_bm!F1649,"")</f>
        <v/>
      </c>
      <c r="F1649" t="str">
        <f>IF(ROW(F1649)&lt;=Bidding!$D$11,Raw_hydro_bm!G1649,"")</f>
        <v/>
      </c>
      <c r="G1649" t="str">
        <f>IF(ROW(G1649)&lt;=Bidding!$D$11,Raw_hydro_bm!H1649,"")</f>
        <v/>
      </c>
      <c r="H1649" t="str">
        <f>IF(ROW(H1649)&lt;=Bidding!$D$11,Raw_hydro_bm!I1649,"")</f>
        <v/>
      </c>
      <c r="I1649" s="16" t="str">
        <f t="shared" si="25"/>
        <v/>
      </c>
    </row>
    <row r="1650" spans="1:9" x14ac:dyDescent="0.2">
      <c r="A1650" t="str">
        <f>IF(ROW(A1650)&lt;=Bidding!$D$11,Raw_hydro_bm!B1650,"")</f>
        <v/>
      </c>
      <c r="B1650" t="str">
        <f>IF(ROW(B1650)&lt;=Bidding!$D$11,Raw_hydro_bm!C1650,"")</f>
        <v/>
      </c>
      <c r="C1650" t="str">
        <f>IF(ROW(C1650)&lt;=Bidding!$D$11,Raw_hydro_bm!D1650,"")</f>
        <v/>
      </c>
      <c r="D1650" t="str">
        <f>IF(ROW(D1650)&lt;=Bidding!$D$11,Raw_hydro_bm!E1650,"")</f>
        <v/>
      </c>
      <c r="E1650" t="str">
        <f>IF(ROW(E1650)&lt;=Bidding!$D$11,Raw_hydro_bm!F1650,"")</f>
        <v/>
      </c>
      <c r="F1650" t="str">
        <f>IF(ROW(F1650)&lt;=Bidding!$D$11,Raw_hydro_bm!G1650,"")</f>
        <v/>
      </c>
      <c r="G1650" t="str">
        <f>IF(ROW(G1650)&lt;=Bidding!$D$11,Raw_hydro_bm!H1650,"")</f>
        <v/>
      </c>
      <c r="H1650" t="str">
        <f>IF(ROW(H1650)&lt;=Bidding!$D$11,Raw_hydro_bm!I1650,"")</f>
        <v/>
      </c>
      <c r="I1650" s="16" t="str">
        <f t="shared" si="25"/>
        <v/>
      </c>
    </row>
    <row r="1651" spans="1:9" x14ac:dyDescent="0.2">
      <c r="A1651" t="str">
        <f>IF(ROW(A1651)&lt;=Bidding!$D$11,Raw_hydro_bm!B1651,"")</f>
        <v/>
      </c>
      <c r="B1651" t="str">
        <f>IF(ROW(B1651)&lt;=Bidding!$D$11,Raw_hydro_bm!C1651,"")</f>
        <v/>
      </c>
      <c r="C1651" t="str">
        <f>IF(ROW(C1651)&lt;=Bidding!$D$11,Raw_hydro_bm!D1651,"")</f>
        <v/>
      </c>
      <c r="D1651" t="str">
        <f>IF(ROW(D1651)&lt;=Bidding!$D$11,Raw_hydro_bm!E1651,"")</f>
        <v/>
      </c>
      <c r="E1651" t="str">
        <f>IF(ROW(E1651)&lt;=Bidding!$D$11,Raw_hydro_bm!F1651,"")</f>
        <v/>
      </c>
      <c r="F1651" t="str">
        <f>IF(ROW(F1651)&lt;=Bidding!$D$11,Raw_hydro_bm!G1651,"")</f>
        <v/>
      </c>
      <c r="G1651" t="str">
        <f>IF(ROW(G1651)&lt;=Bidding!$D$11,Raw_hydro_bm!H1651,"")</f>
        <v/>
      </c>
      <c r="H1651" t="str">
        <f>IF(ROW(H1651)&lt;=Bidding!$D$11,Raw_hydro_bm!I1651,"")</f>
        <v/>
      </c>
      <c r="I1651" s="16" t="str">
        <f t="shared" si="25"/>
        <v/>
      </c>
    </row>
    <row r="1652" spans="1:9" x14ac:dyDescent="0.2">
      <c r="A1652" t="str">
        <f>IF(ROW(A1652)&lt;=Bidding!$D$11,Raw_hydro_bm!B1652,"")</f>
        <v/>
      </c>
      <c r="B1652" t="str">
        <f>IF(ROW(B1652)&lt;=Bidding!$D$11,Raw_hydro_bm!C1652,"")</f>
        <v/>
      </c>
      <c r="C1652" t="str">
        <f>IF(ROW(C1652)&lt;=Bidding!$D$11,Raw_hydro_bm!D1652,"")</f>
        <v/>
      </c>
      <c r="D1652" t="str">
        <f>IF(ROW(D1652)&lt;=Bidding!$D$11,Raw_hydro_bm!E1652,"")</f>
        <v/>
      </c>
      <c r="E1652" t="str">
        <f>IF(ROW(E1652)&lt;=Bidding!$D$11,Raw_hydro_bm!F1652,"")</f>
        <v/>
      </c>
      <c r="F1652" t="str">
        <f>IF(ROW(F1652)&lt;=Bidding!$D$11,Raw_hydro_bm!G1652,"")</f>
        <v/>
      </c>
      <c r="G1652" t="str">
        <f>IF(ROW(G1652)&lt;=Bidding!$D$11,Raw_hydro_bm!H1652,"")</f>
        <v/>
      </c>
      <c r="H1652" t="str">
        <f>IF(ROW(H1652)&lt;=Bidding!$D$11,Raw_hydro_bm!I1652,"")</f>
        <v/>
      </c>
      <c r="I1652" s="16" t="str">
        <f t="shared" si="25"/>
        <v/>
      </c>
    </row>
    <row r="1653" spans="1:9" x14ac:dyDescent="0.2">
      <c r="A1653" t="str">
        <f>IF(ROW(A1653)&lt;=Bidding!$D$11,Raw_hydro_bm!B1653,"")</f>
        <v/>
      </c>
      <c r="B1653" t="str">
        <f>IF(ROW(B1653)&lt;=Bidding!$D$11,Raw_hydro_bm!C1653,"")</f>
        <v/>
      </c>
      <c r="C1653" t="str">
        <f>IF(ROW(C1653)&lt;=Bidding!$D$11,Raw_hydro_bm!D1653,"")</f>
        <v/>
      </c>
      <c r="D1653" t="str">
        <f>IF(ROW(D1653)&lt;=Bidding!$D$11,Raw_hydro_bm!E1653,"")</f>
        <v/>
      </c>
      <c r="E1653" t="str">
        <f>IF(ROW(E1653)&lt;=Bidding!$D$11,Raw_hydro_bm!F1653,"")</f>
        <v/>
      </c>
      <c r="F1653" t="str">
        <f>IF(ROW(F1653)&lt;=Bidding!$D$11,Raw_hydro_bm!G1653,"")</f>
        <v/>
      </c>
      <c r="G1653" t="str">
        <f>IF(ROW(G1653)&lt;=Bidding!$D$11,Raw_hydro_bm!H1653,"")</f>
        <v/>
      </c>
      <c r="H1653" t="str">
        <f>IF(ROW(H1653)&lt;=Bidding!$D$11,Raw_hydro_bm!I1653,"")</f>
        <v/>
      </c>
      <c r="I1653" s="16" t="str">
        <f t="shared" si="25"/>
        <v/>
      </c>
    </row>
    <row r="1654" spans="1:9" x14ac:dyDescent="0.2">
      <c r="A1654" t="str">
        <f>IF(ROW(A1654)&lt;=Bidding!$D$11,Raw_hydro_bm!B1654,"")</f>
        <v/>
      </c>
      <c r="B1654" t="str">
        <f>IF(ROW(B1654)&lt;=Bidding!$D$11,Raw_hydro_bm!C1654,"")</f>
        <v/>
      </c>
      <c r="C1654" t="str">
        <f>IF(ROW(C1654)&lt;=Bidding!$D$11,Raw_hydro_bm!D1654,"")</f>
        <v/>
      </c>
      <c r="D1654" t="str">
        <f>IF(ROW(D1654)&lt;=Bidding!$D$11,Raw_hydro_bm!E1654,"")</f>
        <v/>
      </c>
      <c r="E1654" t="str">
        <f>IF(ROW(E1654)&lt;=Bidding!$D$11,Raw_hydro_bm!F1654,"")</f>
        <v/>
      </c>
      <c r="F1654" t="str">
        <f>IF(ROW(F1654)&lt;=Bidding!$D$11,Raw_hydro_bm!G1654,"")</f>
        <v/>
      </c>
      <c r="G1654" t="str">
        <f>IF(ROW(G1654)&lt;=Bidding!$D$11,Raw_hydro_bm!H1654,"")</f>
        <v/>
      </c>
      <c r="H1654" t="str">
        <f>IF(ROW(H1654)&lt;=Bidding!$D$11,Raw_hydro_bm!I1654,"")</f>
        <v/>
      </c>
      <c r="I1654" s="16" t="str">
        <f t="shared" si="25"/>
        <v/>
      </c>
    </row>
    <row r="1655" spans="1:9" x14ac:dyDescent="0.2">
      <c r="A1655" t="str">
        <f>IF(ROW(A1655)&lt;=Bidding!$D$11,Raw_hydro_bm!B1655,"")</f>
        <v/>
      </c>
      <c r="B1655" t="str">
        <f>IF(ROW(B1655)&lt;=Bidding!$D$11,Raw_hydro_bm!C1655,"")</f>
        <v/>
      </c>
      <c r="C1655" t="str">
        <f>IF(ROW(C1655)&lt;=Bidding!$D$11,Raw_hydro_bm!D1655,"")</f>
        <v/>
      </c>
      <c r="D1655" t="str">
        <f>IF(ROW(D1655)&lt;=Bidding!$D$11,Raw_hydro_bm!E1655,"")</f>
        <v/>
      </c>
      <c r="E1655" t="str">
        <f>IF(ROW(E1655)&lt;=Bidding!$D$11,Raw_hydro_bm!F1655,"")</f>
        <v/>
      </c>
      <c r="F1655" t="str">
        <f>IF(ROW(F1655)&lt;=Bidding!$D$11,Raw_hydro_bm!G1655,"")</f>
        <v/>
      </c>
      <c r="G1655" t="str">
        <f>IF(ROW(G1655)&lt;=Bidding!$D$11,Raw_hydro_bm!H1655,"")</f>
        <v/>
      </c>
      <c r="H1655" t="str">
        <f>IF(ROW(H1655)&lt;=Bidding!$D$11,Raw_hydro_bm!I1655,"")</f>
        <v/>
      </c>
      <c r="I1655" s="16" t="str">
        <f t="shared" si="25"/>
        <v/>
      </c>
    </row>
    <row r="1656" spans="1:9" x14ac:dyDescent="0.2">
      <c r="A1656" t="str">
        <f>IF(ROW(A1656)&lt;=Bidding!$D$11,Raw_hydro_bm!B1656,"")</f>
        <v/>
      </c>
      <c r="B1656" t="str">
        <f>IF(ROW(B1656)&lt;=Bidding!$D$11,Raw_hydro_bm!C1656,"")</f>
        <v/>
      </c>
      <c r="C1656" t="str">
        <f>IF(ROW(C1656)&lt;=Bidding!$D$11,Raw_hydro_bm!D1656,"")</f>
        <v/>
      </c>
      <c r="D1656" t="str">
        <f>IF(ROW(D1656)&lt;=Bidding!$D$11,Raw_hydro_bm!E1656,"")</f>
        <v/>
      </c>
      <c r="E1656" t="str">
        <f>IF(ROW(E1656)&lt;=Bidding!$D$11,Raw_hydro_bm!F1656,"")</f>
        <v/>
      </c>
      <c r="F1656" t="str">
        <f>IF(ROW(F1656)&lt;=Bidding!$D$11,Raw_hydro_bm!G1656,"")</f>
        <v/>
      </c>
      <c r="G1656" t="str">
        <f>IF(ROW(G1656)&lt;=Bidding!$D$11,Raw_hydro_bm!H1656,"")</f>
        <v/>
      </c>
      <c r="H1656" t="str">
        <f>IF(ROW(H1656)&lt;=Bidding!$D$11,Raw_hydro_bm!I1656,"")</f>
        <v/>
      </c>
      <c r="I1656" s="16" t="str">
        <f t="shared" si="25"/>
        <v/>
      </c>
    </row>
    <row r="1657" spans="1:9" x14ac:dyDescent="0.2">
      <c r="A1657" t="str">
        <f>IF(ROW(A1657)&lt;=Bidding!$D$11,Raw_hydro_bm!B1657,"")</f>
        <v/>
      </c>
      <c r="B1657" t="str">
        <f>IF(ROW(B1657)&lt;=Bidding!$D$11,Raw_hydro_bm!C1657,"")</f>
        <v/>
      </c>
      <c r="C1657" t="str">
        <f>IF(ROW(C1657)&lt;=Bidding!$D$11,Raw_hydro_bm!D1657,"")</f>
        <v/>
      </c>
      <c r="D1657" t="str">
        <f>IF(ROW(D1657)&lt;=Bidding!$D$11,Raw_hydro_bm!E1657,"")</f>
        <v/>
      </c>
      <c r="E1657" t="str">
        <f>IF(ROW(E1657)&lt;=Bidding!$D$11,Raw_hydro_bm!F1657,"")</f>
        <v/>
      </c>
      <c r="F1657" t="str">
        <f>IF(ROW(F1657)&lt;=Bidding!$D$11,Raw_hydro_bm!G1657,"")</f>
        <v/>
      </c>
      <c r="G1657" t="str">
        <f>IF(ROW(G1657)&lt;=Bidding!$D$11,Raw_hydro_bm!H1657,"")</f>
        <v/>
      </c>
      <c r="H1657" t="str">
        <f>IF(ROW(H1657)&lt;=Bidding!$D$11,Raw_hydro_bm!I1657,"")</f>
        <v/>
      </c>
      <c r="I1657" s="16" t="str">
        <f t="shared" si="25"/>
        <v/>
      </c>
    </row>
    <row r="1658" spans="1:9" x14ac:dyDescent="0.2">
      <c r="A1658" t="str">
        <f>IF(ROW(A1658)&lt;=Bidding!$D$11,Raw_hydro_bm!B1658,"")</f>
        <v/>
      </c>
      <c r="B1658" t="str">
        <f>IF(ROW(B1658)&lt;=Bidding!$D$11,Raw_hydro_bm!C1658,"")</f>
        <v/>
      </c>
      <c r="C1658" t="str">
        <f>IF(ROW(C1658)&lt;=Bidding!$D$11,Raw_hydro_bm!D1658,"")</f>
        <v/>
      </c>
      <c r="D1658" t="str">
        <f>IF(ROW(D1658)&lt;=Bidding!$D$11,Raw_hydro_bm!E1658,"")</f>
        <v/>
      </c>
      <c r="E1658" t="str">
        <f>IF(ROW(E1658)&lt;=Bidding!$D$11,Raw_hydro_bm!F1658,"")</f>
        <v/>
      </c>
      <c r="F1658" t="str">
        <f>IF(ROW(F1658)&lt;=Bidding!$D$11,Raw_hydro_bm!G1658,"")</f>
        <v/>
      </c>
      <c r="G1658" t="str">
        <f>IF(ROW(G1658)&lt;=Bidding!$D$11,Raw_hydro_bm!H1658,"")</f>
        <v/>
      </c>
      <c r="H1658" t="str">
        <f>IF(ROW(H1658)&lt;=Bidding!$D$11,Raw_hydro_bm!I1658,"")</f>
        <v/>
      </c>
      <c r="I1658" s="16" t="str">
        <f t="shared" si="25"/>
        <v/>
      </c>
    </row>
    <row r="1659" spans="1:9" x14ac:dyDescent="0.2">
      <c r="A1659" t="str">
        <f>IF(ROW(A1659)&lt;=Bidding!$D$11,Raw_hydro_bm!B1659,"")</f>
        <v/>
      </c>
      <c r="B1659" t="str">
        <f>IF(ROW(B1659)&lt;=Bidding!$D$11,Raw_hydro_bm!C1659,"")</f>
        <v/>
      </c>
      <c r="C1659" t="str">
        <f>IF(ROW(C1659)&lt;=Bidding!$D$11,Raw_hydro_bm!D1659,"")</f>
        <v/>
      </c>
      <c r="D1659" t="str">
        <f>IF(ROW(D1659)&lt;=Bidding!$D$11,Raw_hydro_bm!E1659,"")</f>
        <v/>
      </c>
      <c r="E1659" t="str">
        <f>IF(ROW(E1659)&lt;=Bidding!$D$11,Raw_hydro_bm!F1659,"")</f>
        <v/>
      </c>
      <c r="F1659" t="str">
        <f>IF(ROW(F1659)&lt;=Bidding!$D$11,Raw_hydro_bm!G1659,"")</f>
        <v/>
      </c>
      <c r="G1659" t="str">
        <f>IF(ROW(G1659)&lt;=Bidding!$D$11,Raw_hydro_bm!H1659,"")</f>
        <v/>
      </c>
      <c r="H1659" t="str">
        <f>IF(ROW(H1659)&lt;=Bidding!$D$11,Raw_hydro_bm!I1659,"")</f>
        <v/>
      </c>
      <c r="I1659" s="16" t="str">
        <f t="shared" si="25"/>
        <v/>
      </c>
    </row>
    <row r="1660" spans="1:9" x14ac:dyDescent="0.2">
      <c r="A1660" t="str">
        <f>IF(ROW(A1660)&lt;=Bidding!$D$11,Raw_hydro_bm!B1660,"")</f>
        <v/>
      </c>
      <c r="B1660" t="str">
        <f>IF(ROW(B1660)&lt;=Bidding!$D$11,Raw_hydro_bm!C1660,"")</f>
        <v/>
      </c>
      <c r="C1660" t="str">
        <f>IF(ROW(C1660)&lt;=Bidding!$D$11,Raw_hydro_bm!D1660,"")</f>
        <v/>
      </c>
      <c r="D1660" t="str">
        <f>IF(ROW(D1660)&lt;=Bidding!$D$11,Raw_hydro_bm!E1660,"")</f>
        <v/>
      </c>
      <c r="E1660" t="str">
        <f>IF(ROW(E1660)&lt;=Bidding!$D$11,Raw_hydro_bm!F1660,"")</f>
        <v/>
      </c>
      <c r="F1660" t="str">
        <f>IF(ROW(F1660)&lt;=Bidding!$D$11,Raw_hydro_bm!G1660,"")</f>
        <v/>
      </c>
      <c r="G1660" t="str">
        <f>IF(ROW(G1660)&lt;=Bidding!$D$11,Raw_hydro_bm!H1660,"")</f>
        <v/>
      </c>
      <c r="H1660" t="str">
        <f>IF(ROW(H1660)&lt;=Bidding!$D$11,Raw_hydro_bm!I1660,"")</f>
        <v/>
      </c>
      <c r="I1660" s="16" t="str">
        <f t="shared" si="25"/>
        <v/>
      </c>
    </row>
    <row r="1661" spans="1:9" x14ac:dyDescent="0.2">
      <c r="A1661" t="str">
        <f>IF(ROW(A1661)&lt;=Bidding!$D$11,Raw_hydro_bm!B1661,"")</f>
        <v/>
      </c>
      <c r="B1661" t="str">
        <f>IF(ROW(B1661)&lt;=Bidding!$D$11,Raw_hydro_bm!C1661,"")</f>
        <v/>
      </c>
      <c r="C1661" t="str">
        <f>IF(ROW(C1661)&lt;=Bidding!$D$11,Raw_hydro_bm!D1661,"")</f>
        <v/>
      </c>
      <c r="D1661" t="str">
        <f>IF(ROW(D1661)&lt;=Bidding!$D$11,Raw_hydro_bm!E1661,"")</f>
        <v/>
      </c>
      <c r="E1661" t="str">
        <f>IF(ROW(E1661)&lt;=Bidding!$D$11,Raw_hydro_bm!F1661,"")</f>
        <v/>
      </c>
      <c r="F1661" t="str">
        <f>IF(ROW(F1661)&lt;=Bidding!$D$11,Raw_hydro_bm!G1661,"")</f>
        <v/>
      </c>
      <c r="G1661" t="str">
        <f>IF(ROW(G1661)&lt;=Bidding!$D$11,Raw_hydro_bm!H1661,"")</f>
        <v/>
      </c>
      <c r="H1661" t="str">
        <f>IF(ROW(H1661)&lt;=Bidding!$D$11,Raw_hydro_bm!I1661,"")</f>
        <v/>
      </c>
      <c r="I1661" s="16" t="str">
        <f t="shared" si="25"/>
        <v/>
      </c>
    </row>
    <row r="1662" spans="1:9" x14ac:dyDescent="0.2">
      <c r="A1662" t="str">
        <f>IF(ROW(A1662)&lt;=Bidding!$D$11,Raw_hydro_bm!B1662,"")</f>
        <v/>
      </c>
      <c r="B1662" t="str">
        <f>IF(ROW(B1662)&lt;=Bidding!$D$11,Raw_hydro_bm!C1662,"")</f>
        <v/>
      </c>
      <c r="C1662" t="str">
        <f>IF(ROW(C1662)&lt;=Bidding!$D$11,Raw_hydro_bm!D1662,"")</f>
        <v/>
      </c>
      <c r="D1662" t="str">
        <f>IF(ROW(D1662)&lt;=Bidding!$D$11,Raw_hydro_bm!E1662,"")</f>
        <v/>
      </c>
      <c r="E1662" t="str">
        <f>IF(ROW(E1662)&lt;=Bidding!$D$11,Raw_hydro_bm!F1662,"")</f>
        <v/>
      </c>
      <c r="F1662" t="str">
        <f>IF(ROW(F1662)&lt;=Bidding!$D$11,Raw_hydro_bm!G1662,"")</f>
        <v/>
      </c>
      <c r="G1662" t="str">
        <f>IF(ROW(G1662)&lt;=Bidding!$D$11,Raw_hydro_bm!H1662,"")</f>
        <v/>
      </c>
      <c r="H1662" t="str">
        <f>IF(ROW(H1662)&lt;=Bidding!$D$11,Raw_hydro_bm!I1662,"")</f>
        <v/>
      </c>
      <c r="I1662" s="16" t="str">
        <f t="shared" si="25"/>
        <v/>
      </c>
    </row>
    <row r="1663" spans="1:9" x14ac:dyDescent="0.2">
      <c r="A1663" t="str">
        <f>IF(ROW(A1663)&lt;=Bidding!$D$11,Raw_hydro_bm!B1663,"")</f>
        <v/>
      </c>
      <c r="B1663" t="str">
        <f>IF(ROW(B1663)&lt;=Bidding!$D$11,Raw_hydro_bm!C1663,"")</f>
        <v/>
      </c>
      <c r="C1663" t="str">
        <f>IF(ROW(C1663)&lt;=Bidding!$D$11,Raw_hydro_bm!D1663,"")</f>
        <v/>
      </c>
      <c r="D1663" t="str">
        <f>IF(ROW(D1663)&lt;=Bidding!$D$11,Raw_hydro_bm!E1663,"")</f>
        <v/>
      </c>
      <c r="E1663" t="str">
        <f>IF(ROW(E1663)&lt;=Bidding!$D$11,Raw_hydro_bm!F1663,"")</f>
        <v/>
      </c>
      <c r="F1663" t="str">
        <f>IF(ROW(F1663)&lt;=Bidding!$D$11,Raw_hydro_bm!G1663,"")</f>
        <v/>
      </c>
      <c r="G1663" t="str">
        <f>IF(ROW(G1663)&lt;=Bidding!$D$11,Raw_hydro_bm!H1663,"")</f>
        <v/>
      </c>
      <c r="H1663" t="str">
        <f>IF(ROW(H1663)&lt;=Bidding!$D$11,Raw_hydro_bm!I1663,"")</f>
        <v/>
      </c>
      <c r="I1663" s="16" t="str">
        <f t="shared" si="25"/>
        <v/>
      </c>
    </row>
    <row r="1664" spans="1:9" x14ac:dyDescent="0.2">
      <c r="A1664" t="str">
        <f>IF(ROW(A1664)&lt;=Bidding!$D$11,Raw_hydro_bm!B1664,"")</f>
        <v/>
      </c>
      <c r="B1664" t="str">
        <f>IF(ROW(B1664)&lt;=Bidding!$D$11,Raw_hydro_bm!C1664,"")</f>
        <v/>
      </c>
      <c r="C1664" t="str">
        <f>IF(ROW(C1664)&lt;=Bidding!$D$11,Raw_hydro_bm!D1664,"")</f>
        <v/>
      </c>
      <c r="D1664" t="str">
        <f>IF(ROW(D1664)&lt;=Bidding!$D$11,Raw_hydro_bm!E1664,"")</f>
        <v/>
      </c>
      <c r="E1664" t="str">
        <f>IF(ROW(E1664)&lt;=Bidding!$D$11,Raw_hydro_bm!F1664,"")</f>
        <v/>
      </c>
      <c r="F1664" t="str">
        <f>IF(ROW(F1664)&lt;=Bidding!$D$11,Raw_hydro_bm!G1664,"")</f>
        <v/>
      </c>
      <c r="G1664" t="str">
        <f>IF(ROW(G1664)&lt;=Bidding!$D$11,Raw_hydro_bm!H1664,"")</f>
        <v/>
      </c>
      <c r="H1664" t="str">
        <f>IF(ROW(H1664)&lt;=Bidding!$D$11,Raw_hydro_bm!I1664,"")</f>
        <v/>
      </c>
      <c r="I1664" s="16" t="str">
        <f t="shared" si="25"/>
        <v/>
      </c>
    </row>
    <row r="1665" spans="1:9" x14ac:dyDescent="0.2">
      <c r="A1665" t="str">
        <f>IF(ROW(A1665)&lt;=Bidding!$D$11,Raw_hydro_bm!B1665,"")</f>
        <v/>
      </c>
      <c r="B1665" t="str">
        <f>IF(ROW(B1665)&lt;=Bidding!$D$11,Raw_hydro_bm!C1665,"")</f>
        <v/>
      </c>
      <c r="C1665" t="str">
        <f>IF(ROW(C1665)&lt;=Bidding!$D$11,Raw_hydro_bm!D1665,"")</f>
        <v/>
      </c>
      <c r="D1665" t="str">
        <f>IF(ROW(D1665)&lt;=Bidding!$D$11,Raw_hydro_bm!E1665,"")</f>
        <v/>
      </c>
      <c r="E1665" t="str">
        <f>IF(ROW(E1665)&lt;=Bidding!$D$11,Raw_hydro_bm!F1665,"")</f>
        <v/>
      </c>
      <c r="F1665" t="str">
        <f>IF(ROW(F1665)&lt;=Bidding!$D$11,Raw_hydro_bm!G1665,"")</f>
        <v/>
      </c>
      <c r="G1665" t="str">
        <f>IF(ROW(G1665)&lt;=Bidding!$D$11,Raw_hydro_bm!H1665,"")</f>
        <v/>
      </c>
      <c r="H1665" t="str">
        <f>IF(ROW(H1665)&lt;=Bidding!$D$11,Raw_hydro_bm!I1665,"")</f>
        <v/>
      </c>
      <c r="I1665" s="16" t="str">
        <f t="shared" si="25"/>
        <v/>
      </c>
    </row>
    <row r="1666" spans="1:9" x14ac:dyDescent="0.2">
      <c r="A1666" t="str">
        <f>IF(ROW(A1666)&lt;=Bidding!$D$11,Raw_hydro_bm!B1666,"")</f>
        <v/>
      </c>
      <c r="B1666" t="str">
        <f>IF(ROW(B1666)&lt;=Bidding!$D$11,Raw_hydro_bm!C1666,"")</f>
        <v/>
      </c>
      <c r="C1666" t="str">
        <f>IF(ROW(C1666)&lt;=Bidding!$D$11,Raw_hydro_bm!D1666,"")</f>
        <v/>
      </c>
      <c r="D1666" t="str">
        <f>IF(ROW(D1666)&lt;=Bidding!$D$11,Raw_hydro_bm!E1666,"")</f>
        <v/>
      </c>
      <c r="E1666" t="str">
        <f>IF(ROW(E1666)&lt;=Bidding!$D$11,Raw_hydro_bm!F1666,"")</f>
        <v/>
      </c>
      <c r="F1666" t="str">
        <f>IF(ROW(F1666)&lt;=Bidding!$D$11,Raw_hydro_bm!G1666,"")</f>
        <v/>
      </c>
      <c r="G1666" t="str">
        <f>IF(ROW(G1666)&lt;=Bidding!$D$11,Raw_hydro_bm!H1666,"")</f>
        <v/>
      </c>
      <c r="H1666" t="str">
        <f>IF(ROW(H1666)&lt;=Bidding!$D$11,Raw_hydro_bm!I1666,"")</f>
        <v/>
      </c>
      <c r="I1666" s="16" t="str">
        <f t="shared" ref="I1666:I1729" si="26">IF(IFERROR(FIND("e",H1666),-1)&lt;0,IFERROR(_xlfn.NUMBERVALUE(LEFT(H1666,FIND(".",H1666)-1))+_xlfn.NUMBERVALUE("0,"&amp;RIGHT(H1666,LEN(H1666)-FIND(".",H1666))),""),0)</f>
        <v/>
      </c>
    </row>
    <row r="1667" spans="1:9" x14ac:dyDescent="0.2">
      <c r="A1667" t="str">
        <f>IF(ROW(A1667)&lt;=Bidding!$D$11,Raw_hydro_bm!B1667,"")</f>
        <v/>
      </c>
      <c r="B1667" t="str">
        <f>IF(ROW(B1667)&lt;=Bidding!$D$11,Raw_hydro_bm!C1667,"")</f>
        <v/>
      </c>
      <c r="C1667" t="str">
        <f>IF(ROW(C1667)&lt;=Bidding!$D$11,Raw_hydro_bm!D1667,"")</f>
        <v/>
      </c>
      <c r="D1667" t="str">
        <f>IF(ROW(D1667)&lt;=Bidding!$D$11,Raw_hydro_bm!E1667,"")</f>
        <v/>
      </c>
      <c r="E1667" t="str">
        <f>IF(ROW(E1667)&lt;=Bidding!$D$11,Raw_hydro_bm!F1667,"")</f>
        <v/>
      </c>
      <c r="F1667" t="str">
        <f>IF(ROW(F1667)&lt;=Bidding!$D$11,Raw_hydro_bm!G1667,"")</f>
        <v/>
      </c>
      <c r="G1667" t="str">
        <f>IF(ROW(G1667)&lt;=Bidding!$D$11,Raw_hydro_bm!H1667,"")</f>
        <v/>
      </c>
      <c r="H1667" t="str">
        <f>IF(ROW(H1667)&lt;=Bidding!$D$11,Raw_hydro_bm!I1667,"")</f>
        <v/>
      </c>
      <c r="I1667" s="16" t="str">
        <f t="shared" si="26"/>
        <v/>
      </c>
    </row>
    <row r="1668" spans="1:9" x14ac:dyDescent="0.2">
      <c r="A1668" t="str">
        <f>IF(ROW(A1668)&lt;=Bidding!$D$11,Raw_hydro_bm!B1668,"")</f>
        <v/>
      </c>
      <c r="B1668" t="str">
        <f>IF(ROW(B1668)&lt;=Bidding!$D$11,Raw_hydro_bm!C1668,"")</f>
        <v/>
      </c>
      <c r="C1668" t="str">
        <f>IF(ROW(C1668)&lt;=Bidding!$D$11,Raw_hydro_bm!D1668,"")</f>
        <v/>
      </c>
      <c r="D1668" t="str">
        <f>IF(ROW(D1668)&lt;=Bidding!$D$11,Raw_hydro_bm!E1668,"")</f>
        <v/>
      </c>
      <c r="E1668" t="str">
        <f>IF(ROW(E1668)&lt;=Bidding!$D$11,Raw_hydro_bm!F1668,"")</f>
        <v/>
      </c>
      <c r="F1668" t="str">
        <f>IF(ROW(F1668)&lt;=Bidding!$D$11,Raw_hydro_bm!G1668,"")</f>
        <v/>
      </c>
      <c r="G1668" t="str">
        <f>IF(ROW(G1668)&lt;=Bidding!$D$11,Raw_hydro_bm!H1668,"")</f>
        <v/>
      </c>
      <c r="H1668" t="str">
        <f>IF(ROW(H1668)&lt;=Bidding!$D$11,Raw_hydro_bm!I1668,"")</f>
        <v/>
      </c>
      <c r="I1668" s="16" t="str">
        <f t="shared" si="26"/>
        <v/>
      </c>
    </row>
    <row r="1669" spans="1:9" x14ac:dyDescent="0.2">
      <c r="A1669" t="str">
        <f>IF(ROW(A1669)&lt;=Bidding!$D$11,Raw_hydro_bm!B1669,"")</f>
        <v/>
      </c>
      <c r="B1669" t="str">
        <f>IF(ROW(B1669)&lt;=Bidding!$D$11,Raw_hydro_bm!C1669,"")</f>
        <v/>
      </c>
      <c r="C1669" t="str">
        <f>IF(ROW(C1669)&lt;=Bidding!$D$11,Raw_hydro_bm!D1669,"")</f>
        <v/>
      </c>
      <c r="D1669" t="str">
        <f>IF(ROW(D1669)&lt;=Bidding!$D$11,Raw_hydro_bm!E1669,"")</f>
        <v/>
      </c>
      <c r="E1669" t="str">
        <f>IF(ROW(E1669)&lt;=Bidding!$D$11,Raw_hydro_bm!F1669,"")</f>
        <v/>
      </c>
      <c r="F1669" t="str">
        <f>IF(ROW(F1669)&lt;=Bidding!$D$11,Raw_hydro_bm!G1669,"")</f>
        <v/>
      </c>
      <c r="G1669" t="str">
        <f>IF(ROW(G1669)&lt;=Bidding!$D$11,Raw_hydro_bm!H1669,"")</f>
        <v/>
      </c>
      <c r="H1669" t="str">
        <f>IF(ROW(H1669)&lt;=Bidding!$D$11,Raw_hydro_bm!I1669,"")</f>
        <v/>
      </c>
      <c r="I1669" s="16" t="str">
        <f t="shared" si="26"/>
        <v/>
      </c>
    </row>
    <row r="1670" spans="1:9" x14ac:dyDescent="0.2">
      <c r="A1670" t="str">
        <f>IF(ROW(A1670)&lt;=Bidding!$D$11,Raw_hydro_bm!B1670,"")</f>
        <v/>
      </c>
      <c r="B1670" t="str">
        <f>IF(ROW(B1670)&lt;=Bidding!$D$11,Raw_hydro_bm!C1670,"")</f>
        <v/>
      </c>
      <c r="C1670" t="str">
        <f>IF(ROW(C1670)&lt;=Bidding!$D$11,Raw_hydro_bm!D1670,"")</f>
        <v/>
      </c>
      <c r="D1670" t="str">
        <f>IF(ROW(D1670)&lt;=Bidding!$D$11,Raw_hydro_bm!E1670,"")</f>
        <v/>
      </c>
      <c r="E1670" t="str">
        <f>IF(ROW(E1670)&lt;=Bidding!$D$11,Raw_hydro_bm!F1670,"")</f>
        <v/>
      </c>
      <c r="F1670" t="str">
        <f>IF(ROW(F1670)&lt;=Bidding!$D$11,Raw_hydro_bm!G1670,"")</f>
        <v/>
      </c>
      <c r="G1670" t="str">
        <f>IF(ROW(G1670)&lt;=Bidding!$D$11,Raw_hydro_bm!H1670,"")</f>
        <v/>
      </c>
      <c r="H1670" t="str">
        <f>IF(ROW(H1670)&lt;=Bidding!$D$11,Raw_hydro_bm!I1670,"")</f>
        <v/>
      </c>
      <c r="I1670" s="16" t="str">
        <f t="shared" si="26"/>
        <v/>
      </c>
    </row>
    <row r="1671" spans="1:9" x14ac:dyDescent="0.2">
      <c r="A1671" t="str">
        <f>IF(ROW(A1671)&lt;=Bidding!$D$11,Raw_hydro_bm!B1671,"")</f>
        <v/>
      </c>
      <c r="B1671" t="str">
        <f>IF(ROW(B1671)&lt;=Bidding!$D$11,Raw_hydro_bm!C1671,"")</f>
        <v/>
      </c>
      <c r="C1671" t="str">
        <f>IF(ROW(C1671)&lt;=Bidding!$D$11,Raw_hydro_bm!D1671,"")</f>
        <v/>
      </c>
      <c r="D1671" t="str">
        <f>IF(ROW(D1671)&lt;=Bidding!$D$11,Raw_hydro_bm!E1671,"")</f>
        <v/>
      </c>
      <c r="E1671" t="str">
        <f>IF(ROW(E1671)&lt;=Bidding!$D$11,Raw_hydro_bm!F1671,"")</f>
        <v/>
      </c>
      <c r="F1671" t="str">
        <f>IF(ROW(F1671)&lt;=Bidding!$D$11,Raw_hydro_bm!G1671,"")</f>
        <v/>
      </c>
      <c r="G1671" t="str">
        <f>IF(ROW(G1671)&lt;=Bidding!$D$11,Raw_hydro_bm!H1671,"")</f>
        <v/>
      </c>
      <c r="H1671" t="str">
        <f>IF(ROW(H1671)&lt;=Bidding!$D$11,Raw_hydro_bm!I1671,"")</f>
        <v/>
      </c>
      <c r="I1671" s="16" t="str">
        <f t="shared" si="26"/>
        <v/>
      </c>
    </row>
    <row r="1672" spans="1:9" x14ac:dyDescent="0.2">
      <c r="A1672" t="str">
        <f>IF(ROW(A1672)&lt;=Bidding!$D$11,Raw_hydro_bm!B1672,"")</f>
        <v/>
      </c>
      <c r="B1672" t="str">
        <f>IF(ROW(B1672)&lt;=Bidding!$D$11,Raw_hydro_bm!C1672,"")</f>
        <v/>
      </c>
      <c r="C1672" t="str">
        <f>IF(ROW(C1672)&lt;=Bidding!$D$11,Raw_hydro_bm!D1672,"")</f>
        <v/>
      </c>
      <c r="D1672" t="str">
        <f>IF(ROW(D1672)&lt;=Bidding!$D$11,Raw_hydro_bm!E1672,"")</f>
        <v/>
      </c>
      <c r="E1672" t="str">
        <f>IF(ROW(E1672)&lt;=Bidding!$D$11,Raw_hydro_bm!F1672,"")</f>
        <v/>
      </c>
      <c r="F1672" t="str">
        <f>IF(ROW(F1672)&lt;=Bidding!$D$11,Raw_hydro_bm!G1672,"")</f>
        <v/>
      </c>
      <c r="G1672" t="str">
        <f>IF(ROW(G1672)&lt;=Bidding!$D$11,Raw_hydro_bm!H1672,"")</f>
        <v/>
      </c>
      <c r="H1672" t="str">
        <f>IF(ROW(H1672)&lt;=Bidding!$D$11,Raw_hydro_bm!I1672,"")</f>
        <v/>
      </c>
      <c r="I1672" s="16" t="str">
        <f t="shared" si="26"/>
        <v/>
      </c>
    </row>
    <row r="1673" spans="1:9" x14ac:dyDescent="0.2">
      <c r="A1673" t="str">
        <f>IF(ROW(A1673)&lt;=Bidding!$D$11,Raw_hydro_bm!B1673,"")</f>
        <v/>
      </c>
      <c r="B1673" t="str">
        <f>IF(ROW(B1673)&lt;=Bidding!$D$11,Raw_hydro_bm!C1673,"")</f>
        <v/>
      </c>
      <c r="C1673" t="str">
        <f>IF(ROW(C1673)&lt;=Bidding!$D$11,Raw_hydro_bm!D1673,"")</f>
        <v/>
      </c>
      <c r="D1673" t="str">
        <f>IF(ROW(D1673)&lt;=Bidding!$D$11,Raw_hydro_bm!E1673,"")</f>
        <v/>
      </c>
      <c r="E1673" t="str">
        <f>IF(ROW(E1673)&lt;=Bidding!$D$11,Raw_hydro_bm!F1673,"")</f>
        <v/>
      </c>
      <c r="F1673" t="str">
        <f>IF(ROW(F1673)&lt;=Bidding!$D$11,Raw_hydro_bm!G1673,"")</f>
        <v/>
      </c>
      <c r="G1673" t="str">
        <f>IF(ROW(G1673)&lt;=Bidding!$D$11,Raw_hydro_bm!H1673,"")</f>
        <v/>
      </c>
      <c r="H1673" t="str">
        <f>IF(ROW(H1673)&lt;=Bidding!$D$11,Raw_hydro_bm!I1673,"")</f>
        <v/>
      </c>
      <c r="I1673" s="16" t="str">
        <f t="shared" si="26"/>
        <v/>
      </c>
    </row>
    <row r="1674" spans="1:9" x14ac:dyDescent="0.2">
      <c r="A1674" t="str">
        <f>IF(ROW(A1674)&lt;=Bidding!$D$11,Raw_hydro_bm!B1674,"")</f>
        <v/>
      </c>
      <c r="B1674" t="str">
        <f>IF(ROW(B1674)&lt;=Bidding!$D$11,Raw_hydro_bm!C1674,"")</f>
        <v/>
      </c>
      <c r="C1674" t="str">
        <f>IF(ROW(C1674)&lt;=Bidding!$D$11,Raw_hydro_bm!D1674,"")</f>
        <v/>
      </c>
      <c r="D1674" t="str">
        <f>IF(ROW(D1674)&lt;=Bidding!$D$11,Raw_hydro_bm!E1674,"")</f>
        <v/>
      </c>
      <c r="E1674" t="str">
        <f>IF(ROW(E1674)&lt;=Bidding!$D$11,Raw_hydro_bm!F1674,"")</f>
        <v/>
      </c>
      <c r="F1674" t="str">
        <f>IF(ROW(F1674)&lt;=Bidding!$D$11,Raw_hydro_bm!G1674,"")</f>
        <v/>
      </c>
      <c r="G1674" t="str">
        <f>IF(ROW(G1674)&lt;=Bidding!$D$11,Raw_hydro_bm!H1674,"")</f>
        <v/>
      </c>
      <c r="H1674" t="str">
        <f>IF(ROW(H1674)&lt;=Bidding!$D$11,Raw_hydro_bm!I1674,"")</f>
        <v/>
      </c>
      <c r="I1674" s="16" t="str">
        <f t="shared" si="26"/>
        <v/>
      </c>
    </row>
    <row r="1675" spans="1:9" x14ac:dyDescent="0.2">
      <c r="A1675" t="str">
        <f>IF(ROW(A1675)&lt;=Bidding!$D$11,Raw_hydro_bm!B1675,"")</f>
        <v/>
      </c>
      <c r="B1675" t="str">
        <f>IF(ROW(B1675)&lt;=Bidding!$D$11,Raw_hydro_bm!C1675,"")</f>
        <v/>
      </c>
      <c r="C1675" t="str">
        <f>IF(ROW(C1675)&lt;=Bidding!$D$11,Raw_hydro_bm!D1675,"")</f>
        <v/>
      </c>
      <c r="D1675" t="str">
        <f>IF(ROW(D1675)&lt;=Bidding!$D$11,Raw_hydro_bm!E1675,"")</f>
        <v/>
      </c>
      <c r="E1675" t="str">
        <f>IF(ROW(E1675)&lt;=Bidding!$D$11,Raw_hydro_bm!F1675,"")</f>
        <v/>
      </c>
      <c r="F1675" t="str">
        <f>IF(ROW(F1675)&lt;=Bidding!$D$11,Raw_hydro_bm!G1675,"")</f>
        <v/>
      </c>
      <c r="G1675" t="str">
        <f>IF(ROW(G1675)&lt;=Bidding!$D$11,Raw_hydro_bm!H1675,"")</f>
        <v/>
      </c>
      <c r="H1675" t="str">
        <f>IF(ROW(H1675)&lt;=Bidding!$D$11,Raw_hydro_bm!I1675,"")</f>
        <v/>
      </c>
      <c r="I1675" s="16" t="str">
        <f t="shared" si="26"/>
        <v/>
      </c>
    </row>
    <row r="1676" spans="1:9" x14ac:dyDescent="0.2">
      <c r="A1676" t="str">
        <f>IF(ROW(A1676)&lt;=Bidding!$D$11,Raw_hydro_bm!B1676,"")</f>
        <v/>
      </c>
      <c r="B1676" t="str">
        <f>IF(ROW(B1676)&lt;=Bidding!$D$11,Raw_hydro_bm!C1676,"")</f>
        <v/>
      </c>
      <c r="C1676" t="str">
        <f>IF(ROW(C1676)&lt;=Bidding!$D$11,Raw_hydro_bm!D1676,"")</f>
        <v/>
      </c>
      <c r="D1676" t="str">
        <f>IF(ROW(D1676)&lt;=Bidding!$D$11,Raw_hydro_bm!E1676,"")</f>
        <v/>
      </c>
      <c r="E1676" t="str">
        <f>IF(ROW(E1676)&lt;=Bidding!$D$11,Raw_hydro_bm!F1676,"")</f>
        <v/>
      </c>
      <c r="F1676" t="str">
        <f>IF(ROW(F1676)&lt;=Bidding!$D$11,Raw_hydro_bm!G1676,"")</f>
        <v/>
      </c>
      <c r="G1676" t="str">
        <f>IF(ROW(G1676)&lt;=Bidding!$D$11,Raw_hydro_bm!H1676,"")</f>
        <v/>
      </c>
      <c r="H1676" t="str">
        <f>IF(ROW(H1676)&lt;=Bidding!$D$11,Raw_hydro_bm!I1676,"")</f>
        <v/>
      </c>
      <c r="I1676" s="16" t="str">
        <f t="shared" si="26"/>
        <v/>
      </c>
    </row>
    <row r="1677" spans="1:9" x14ac:dyDescent="0.2">
      <c r="A1677" t="str">
        <f>IF(ROW(A1677)&lt;=Bidding!$D$11,Raw_hydro_bm!B1677,"")</f>
        <v/>
      </c>
      <c r="B1677" t="str">
        <f>IF(ROW(B1677)&lt;=Bidding!$D$11,Raw_hydro_bm!C1677,"")</f>
        <v/>
      </c>
      <c r="C1677" t="str">
        <f>IF(ROW(C1677)&lt;=Bidding!$D$11,Raw_hydro_bm!D1677,"")</f>
        <v/>
      </c>
      <c r="D1677" t="str">
        <f>IF(ROW(D1677)&lt;=Bidding!$D$11,Raw_hydro_bm!E1677,"")</f>
        <v/>
      </c>
      <c r="E1677" t="str">
        <f>IF(ROW(E1677)&lt;=Bidding!$D$11,Raw_hydro_bm!F1677,"")</f>
        <v/>
      </c>
      <c r="F1677" t="str">
        <f>IF(ROW(F1677)&lt;=Bidding!$D$11,Raw_hydro_bm!G1677,"")</f>
        <v/>
      </c>
      <c r="G1677" t="str">
        <f>IF(ROW(G1677)&lt;=Bidding!$D$11,Raw_hydro_bm!H1677,"")</f>
        <v/>
      </c>
      <c r="H1677" t="str">
        <f>IF(ROW(H1677)&lt;=Bidding!$D$11,Raw_hydro_bm!I1677,"")</f>
        <v/>
      </c>
      <c r="I1677" s="16" t="str">
        <f t="shared" si="26"/>
        <v/>
      </c>
    </row>
    <row r="1678" spans="1:9" x14ac:dyDescent="0.2">
      <c r="A1678" t="str">
        <f>IF(ROW(A1678)&lt;=Bidding!$D$11,Raw_hydro_bm!B1678,"")</f>
        <v/>
      </c>
      <c r="B1678" t="str">
        <f>IF(ROW(B1678)&lt;=Bidding!$D$11,Raw_hydro_bm!C1678,"")</f>
        <v/>
      </c>
      <c r="C1678" t="str">
        <f>IF(ROW(C1678)&lt;=Bidding!$D$11,Raw_hydro_bm!D1678,"")</f>
        <v/>
      </c>
      <c r="D1678" t="str">
        <f>IF(ROW(D1678)&lt;=Bidding!$D$11,Raw_hydro_bm!E1678,"")</f>
        <v/>
      </c>
      <c r="E1678" t="str">
        <f>IF(ROW(E1678)&lt;=Bidding!$D$11,Raw_hydro_bm!F1678,"")</f>
        <v/>
      </c>
      <c r="F1678" t="str">
        <f>IF(ROW(F1678)&lt;=Bidding!$D$11,Raw_hydro_bm!G1678,"")</f>
        <v/>
      </c>
      <c r="G1678" t="str">
        <f>IF(ROW(G1678)&lt;=Bidding!$D$11,Raw_hydro_bm!H1678,"")</f>
        <v/>
      </c>
      <c r="H1678" t="str">
        <f>IF(ROW(H1678)&lt;=Bidding!$D$11,Raw_hydro_bm!I1678,"")</f>
        <v/>
      </c>
      <c r="I1678" s="16" t="str">
        <f t="shared" si="26"/>
        <v/>
      </c>
    </row>
    <row r="1679" spans="1:9" x14ac:dyDescent="0.2">
      <c r="A1679" t="str">
        <f>IF(ROW(A1679)&lt;=Bidding!$D$11,Raw_hydro_bm!B1679,"")</f>
        <v/>
      </c>
      <c r="B1679" t="str">
        <f>IF(ROW(B1679)&lt;=Bidding!$D$11,Raw_hydro_bm!C1679,"")</f>
        <v/>
      </c>
      <c r="C1679" t="str">
        <f>IF(ROW(C1679)&lt;=Bidding!$D$11,Raw_hydro_bm!D1679,"")</f>
        <v/>
      </c>
      <c r="D1679" t="str">
        <f>IF(ROW(D1679)&lt;=Bidding!$D$11,Raw_hydro_bm!E1679,"")</f>
        <v/>
      </c>
      <c r="E1679" t="str">
        <f>IF(ROW(E1679)&lt;=Bidding!$D$11,Raw_hydro_bm!F1679,"")</f>
        <v/>
      </c>
      <c r="F1679" t="str">
        <f>IF(ROW(F1679)&lt;=Bidding!$D$11,Raw_hydro_bm!G1679,"")</f>
        <v/>
      </c>
      <c r="G1679" t="str">
        <f>IF(ROW(G1679)&lt;=Bidding!$D$11,Raw_hydro_bm!H1679,"")</f>
        <v/>
      </c>
      <c r="H1679" t="str">
        <f>IF(ROW(H1679)&lt;=Bidding!$D$11,Raw_hydro_bm!I1679,"")</f>
        <v/>
      </c>
      <c r="I1679" s="16" t="str">
        <f t="shared" si="26"/>
        <v/>
      </c>
    </row>
    <row r="1680" spans="1:9" x14ac:dyDescent="0.2">
      <c r="A1680" t="str">
        <f>IF(ROW(A1680)&lt;=Bidding!$D$11,Raw_hydro_bm!B1680,"")</f>
        <v/>
      </c>
      <c r="B1680" t="str">
        <f>IF(ROW(B1680)&lt;=Bidding!$D$11,Raw_hydro_bm!C1680,"")</f>
        <v/>
      </c>
      <c r="C1680" t="str">
        <f>IF(ROW(C1680)&lt;=Bidding!$D$11,Raw_hydro_bm!D1680,"")</f>
        <v/>
      </c>
      <c r="D1680" t="str">
        <f>IF(ROW(D1680)&lt;=Bidding!$D$11,Raw_hydro_bm!E1680,"")</f>
        <v/>
      </c>
      <c r="E1680" t="str">
        <f>IF(ROW(E1680)&lt;=Bidding!$D$11,Raw_hydro_bm!F1680,"")</f>
        <v/>
      </c>
      <c r="F1680" t="str">
        <f>IF(ROW(F1680)&lt;=Bidding!$D$11,Raw_hydro_bm!G1680,"")</f>
        <v/>
      </c>
      <c r="G1680" t="str">
        <f>IF(ROW(G1680)&lt;=Bidding!$D$11,Raw_hydro_bm!H1680,"")</f>
        <v/>
      </c>
      <c r="H1680" t="str">
        <f>IF(ROW(H1680)&lt;=Bidding!$D$11,Raw_hydro_bm!I1680,"")</f>
        <v/>
      </c>
      <c r="I1680" s="16" t="str">
        <f t="shared" si="26"/>
        <v/>
      </c>
    </row>
    <row r="1681" spans="1:9" x14ac:dyDescent="0.2">
      <c r="A1681" t="str">
        <f>IF(ROW(A1681)&lt;=Bidding!$D$11,Raw_hydro_bm!B1681,"")</f>
        <v/>
      </c>
      <c r="B1681" t="str">
        <f>IF(ROW(B1681)&lt;=Bidding!$D$11,Raw_hydro_bm!C1681,"")</f>
        <v/>
      </c>
      <c r="C1681" t="str">
        <f>IF(ROW(C1681)&lt;=Bidding!$D$11,Raw_hydro_bm!D1681,"")</f>
        <v/>
      </c>
      <c r="D1681" t="str">
        <f>IF(ROW(D1681)&lt;=Bidding!$D$11,Raw_hydro_bm!E1681,"")</f>
        <v/>
      </c>
      <c r="E1681" t="str">
        <f>IF(ROW(E1681)&lt;=Bidding!$D$11,Raw_hydro_bm!F1681,"")</f>
        <v/>
      </c>
      <c r="F1681" t="str">
        <f>IF(ROW(F1681)&lt;=Bidding!$D$11,Raw_hydro_bm!G1681,"")</f>
        <v/>
      </c>
      <c r="G1681" t="str">
        <f>IF(ROW(G1681)&lt;=Bidding!$D$11,Raw_hydro_bm!H1681,"")</f>
        <v/>
      </c>
      <c r="H1681" t="str">
        <f>IF(ROW(H1681)&lt;=Bidding!$D$11,Raw_hydro_bm!I1681,"")</f>
        <v/>
      </c>
      <c r="I1681" s="16" t="str">
        <f t="shared" si="26"/>
        <v/>
      </c>
    </row>
    <row r="1682" spans="1:9" x14ac:dyDescent="0.2">
      <c r="A1682" t="str">
        <f>IF(ROW(A1682)&lt;=Bidding!$D$11,Raw_hydro_bm!B1682,"")</f>
        <v/>
      </c>
      <c r="B1682" t="str">
        <f>IF(ROW(B1682)&lt;=Bidding!$D$11,Raw_hydro_bm!C1682,"")</f>
        <v/>
      </c>
      <c r="C1682" t="str">
        <f>IF(ROW(C1682)&lt;=Bidding!$D$11,Raw_hydro_bm!D1682,"")</f>
        <v/>
      </c>
      <c r="D1682" t="str">
        <f>IF(ROW(D1682)&lt;=Bidding!$D$11,Raw_hydro_bm!E1682,"")</f>
        <v/>
      </c>
      <c r="E1682" t="str">
        <f>IF(ROW(E1682)&lt;=Bidding!$D$11,Raw_hydro_bm!F1682,"")</f>
        <v/>
      </c>
      <c r="F1682" t="str">
        <f>IF(ROW(F1682)&lt;=Bidding!$D$11,Raw_hydro_bm!G1682,"")</f>
        <v/>
      </c>
      <c r="G1682" t="str">
        <f>IF(ROW(G1682)&lt;=Bidding!$D$11,Raw_hydro_bm!H1682,"")</f>
        <v/>
      </c>
      <c r="H1682" t="str">
        <f>IF(ROW(H1682)&lt;=Bidding!$D$11,Raw_hydro_bm!I1682,"")</f>
        <v/>
      </c>
      <c r="I1682" s="16" t="str">
        <f t="shared" si="26"/>
        <v/>
      </c>
    </row>
    <row r="1683" spans="1:9" x14ac:dyDescent="0.2">
      <c r="A1683" t="str">
        <f>IF(ROW(A1683)&lt;=Bidding!$D$11,Raw_hydro_bm!B1683,"")</f>
        <v/>
      </c>
      <c r="B1683" t="str">
        <f>IF(ROW(B1683)&lt;=Bidding!$D$11,Raw_hydro_bm!C1683,"")</f>
        <v/>
      </c>
      <c r="C1683" t="str">
        <f>IF(ROW(C1683)&lt;=Bidding!$D$11,Raw_hydro_bm!D1683,"")</f>
        <v/>
      </c>
      <c r="D1683" t="str">
        <f>IF(ROW(D1683)&lt;=Bidding!$D$11,Raw_hydro_bm!E1683,"")</f>
        <v/>
      </c>
      <c r="E1683" t="str">
        <f>IF(ROW(E1683)&lt;=Bidding!$D$11,Raw_hydro_bm!F1683,"")</f>
        <v/>
      </c>
      <c r="F1683" t="str">
        <f>IF(ROW(F1683)&lt;=Bidding!$D$11,Raw_hydro_bm!G1683,"")</f>
        <v/>
      </c>
      <c r="G1683" t="str">
        <f>IF(ROW(G1683)&lt;=Bidding!$D$11,Raw_hydro_bm!H1683,"")</f>
        <v/>
      </c>
      <c r="H1683" t="str">
        <f>IF(ROW(H1683)&lt;=Bidding!$D$11,Raw_hydro_bm!I1683,"")</f>
        <v/>
      </c>
      <c r="I1683" s="16" t="str">
        <f t="shared" si="26"/>
        <v/>
      </c>
    </row>
    <row r="1684" spans="1:9" x14ac:dyDescent="0.2">
      <c r="A1684" t="str">
        <f>IF(ROW(A1684)&lt;=Bidding!$D$11,Raw_hydro_bm!B1684,"")</f>
        <v/>
      </c>
      <c r="B1684" t="str">
        <f>IF(ROW(B1684)&lt;=Bidding!$D$11,Raw_hydro_bm!C1684,"")</f>
        <v/>
      </c>
      <c r="C1684" t="str">
        <f>IF(ROW(C1684)&lt;=Bidding!$D$11,Raw_hydro_bm!D1684,"")</f>
        <v/>
      </c>
      <c r="D1684" t="str">
        <f>IF(ROW(D1684)&lt;=Bidding!$D$11,Raw_hydro_bm!E1684,"")</f>
        <v/>
      </c>
      <c r="E1684" t="str">
        <f>IF(ROW(E1684)&lt;=Bidding!$D$11,Raw_hydro_bm!F1684,"")</f>
        <v/>
      </c>
      <c r="F1684" t="str">
        <f>IF(ROW(F1684)&lt;=Bidding!$D$11,Raw_hydro_bm!G1684,"")</f>
        <v/>
      </c>
      <c r="G1684" t="str">
        <f>IF(ROW(G1684)&lt;=Bidding!$D$11,Raw_hydro_bm!H1684,"")</f>
        <v/>
      </c>
      <c r="H1684" t="str">
        <f>IF(ROW(H1684)&lt;=Bidding!$D$11,Raw_hydro_bm!I1684,"")</f>
        <v/>
      </c>
      <c r="I1684" s="16" t="str">
        <f t="shared" si="26"/>
        <v/>
      </c>
    </row>
    <row r="1685" spans="1:9" x14ac:dyDescent="0.2">
      <c r="A1685" t="str">
        <f>IF(ROW(A1685)&lt;=Bidding!$D$11,Raw_hydro_bm!B1685,"")</f>
        <v/>
      </c>
      <c r="B1685" t="str">
        <f>IF(ROW(B1685)&lt;=Bidding!$D$11,Raw_hydro_bm!C1685,"")</f>
        <v/>
      </c>
      <c r="C1685" t="str">
        <f>IF(ROW(C1685)&lt;=Bidding!$D$11,Raw_hydro_bm!D1685,"")</f>
        <v/>
      </c>
      <c r="D1685" t="str">
        <f>IF(ROW(D1685)&lt;=Bidding!$D$11,Raw_hydro_bm!E1685,"")</f>
        <v/>
      </c>
      <c r="E1685" t="str">
        <f>IF(ROW(E1685)&lt;=Bidding!$D$11,Raw_hydro_bm!F1685,"")</f>
        <v/>
      </c>
      <c r="F1685" t="str">
        <f>IF(ROW(F1685)&lt;=Bidding!$D$11,Raw_hydro_bm!G1685,"")</f>
        <v/>
      </c>
      <c r="G1685" t="str">
        <f>IF(ROW(G1685)&lt;=Bidding!$D$11,Raw_hydro_bm!H1685,"")</f>
        <v/>
      </c>
      <c r="H1685" t="str">
        <f>IF(ROW(H1685)&lt;=Bidding!$D$11,Raw_hydro_bm!I1685,"")</f>
        <v/>
      </c>
      <c r="I1685" s="16" t="str">
        <f t="shared" si="26"/>
        <v/>
      </c>
    </row>
    <row r="1686" spans="1:9" x14ac:dyDescent="0.2">
      <c r="A1686" t="str">
        <f>IF(ROW(A1686)&lt;=Bidding!$D$11,Raw_hydro_bm!B1686,"")</f>
        <v/>
      </c>
      <c r="B1686" t="str">
        <f>IF(ROW(B1686)&lt;=Bidding!$D$11,Raw_hydro_bm!C1686,"")</f>
        <v/>
      </c>
      <c r="C1686" t="str">
        <f>IF(ROW(C1686)&lt;=Bidding!$D$11,Raw_hydro_bm!D1686,"")</f>
        <v/>
      </c>
      <c r="D1686" t="str">
        <f>IF(ROW(D1686)&lt;=Bidding!$D$11,Raw_hydro_bm!E1686,"")</f>
        <v/>
      </c>
      <c r="E1686" t="str">
        <f>IF(ROW(E1686)&lt;=Bidding!$D$11,Raw_hydro_bm!F1686,"")</f>
        <v/>
      </c>
      <c r="F1686" t="str">
        <f>IF(ROW(F1686)&lt;=Bidding!$D$11,Raw_hydro_bm!G1686,"")</f>
        <v/>
      </c>
      <c r="G1686" t="str">
        <f>IF(ROW(G1686)&lt;=Bidding!$D$11,Raw_hydro_bm!H1686,"")</f>
        <v/>
      </c>
      <c r="H1686" t="str">
        <f>IF(ROW(H1686)&lt;=Bidding!$D$11,Raw_hydro_bm!I1686,"")</f>
        <v/>
      </c>
      <c r="I1686" s="16" t="str">
        <f t="shared" si="26"/>
        <v/>
      </c>
    </row>
    <row r="1687" spans="1:9" x14ac:dyDescent="0.2">
      <c r="A1687" t="str">
        <f>IF(ROW(A1687)&lt;=Bidding!$D$11,Raw_hydro_bm!B1687,"")</f>
        <v/>
      </c>
      <c r="B1687" t="str">
        <f>IF(ROW(B1687)&lt;=Bidding!$D$11,Raw_hydro_bm!C1687,"")</f>
        <v/>
      </c>
      <c r="C1687" t="str">
        <f>IF(ROW(C1687)&lt;=Bidding!$D$11,Raw_hydro_bm!D1687,"")</f>
        <v/>
      </c>
      <c r="D1687" t="str">
        <f>IF(ROW(D1687)&lt;=Bidding!$D$11,Raw_hydro_bm!E1687,"")</f>
        <v/>
      </c>
      <c r="E1687" t="str">
        <f>IF(ROW(E1687)&lt;=Bidding!$D$11,Raw_hydro_bm!F1687,"")</f>
        <v/>
      </c>
      <c r="F1687" t="str">
        <f>IF(ROW(F1687)&lt;=Bidding!$D$11,Raw_hydro_bm!G1687,"")</f>
        <v/>
      </c>
      <c r="G1687" t="str">
        <f>IF(ROW(G1687)&lt;=Bidding!$D$11,Raw_hydro_bm!H1687,"")</f>
        <v/>
      </c>
      <c r="H1687" t="str">
        <f>IF(ROW(H1687)&lt;=Bidding!$D$11,Raw_hydro_bm!I1687,"")</f>
        <v/>
      </c>
      <c r="I1687" s="16" t="str">
        <f t="shared" si="26"/>
        <v/>
      </c>
    </row>
    <row r="1688" spans="1:9" x14ac:dyDescent="0.2">
      <c r="A1688" t="str">
        <f>IF(ROW(A1688)&lt;=Bidding!$D$11,Raw_hydro_bm!B1688,"")</f>
        <v/>
      </c>
      <c r="B1688" t="str">
        <f>IF(ROW(B1688)&lt;=Bidding!$D$11,Raw_hydro_bm!C1688,"")</f>
        <v/>
      </c>
      <c r="C1688" t="str">
        <f>IF(ROW(C1688)&lt;=Bidding!$D$11,Raw_hydro_bm!D1688,"")</f>
        <v/>
      </c>
      <c r="D1688" t="str">
        <f>IF(ROW(D1688)&lt;=Bidding!$D$11,Raw_hydro_bm!E1688,"")</f>
        <v/>
      </c>
      <c r="E1688" t="str">
        <f>IF(ROW(E1688)&lt;=Bidding!$D$11,Raw_hydro_bm!F1688,"")</f>
        <v/>
      </c>
      <c r="F1688" t="str">
        <f>IF(ROW(F1688)&lt;=Bidding!$D$11,Raw_hydro_bm!G1688,"")</f>
        <v/>
      </c>
      <c r="G1688" t="str">
        <f>IF(ROW(G1688)&lt;=Bidding!$D$11,Raw_hydro_bm!H1688,"")</f>
        <v/>
      </c>
      <c r="H1688" t="str">
        <f>IF(ROW(H1688)&lt;=Bidding!$D$11,Raw_hydro_bm!I1688,"")</f>
        <v/>
      </c>
      <c r="I1688" s="16" t="str">
        <f t="shared" si="26"/>
        <v/>
      </c>
    </row>
    <row r="1689" spans="1:9" x14ac:dyDescent="0.2">
      <c r="A1689" t="str">
        <f>IF(ROW(A1689)&lt;=Bidding!$D$11,Raw_hydro_bm!B1689,"")</f>
        <v/>
      </c>
      <c r="B1689" t="str">
        <f>IF(ROW(B1689)&lt;=Bidding!$D$11,Raw_hydro_bm!C1689,"")</f>
        <v/>
      </c>
      <c r="C1689" t="str">
        <f>IF(ROW(C1689)&lt;=Bidding!$D$11,Raw_hydro_bm!D1689,"")</f>
        <v/>
      </c>
      <c r="D1689" t="str">
        <f>IF(ROW(D1689)&lt;=Bidding!$D$11,Raw_hydro_bm!E1689,"")</f>
        <v/>
      </c>
      <c r="E1689" t="str">
        <f>IF(ROW(E1689)&lt;=Bidding!$D$11,Raw_hydro_bm!F1689,"")</f>
        <v/>
      </c>
      <c r="F1689" t="str">
        <f>IF(ROW(F1689)&lt;=Bidding!$D$11,Raw_hydro_bm!G1689,"")</f>
        <v/>
      </c>
      <c r="G1689" t="str">
        <f>IF(ROW(G1689)&lt;=Bidding!$D$11,Raw_hydro_bm!H1689,"")</f>
        <v/>
      </c>
      <c r="H1689" t="str">
        <f>IF(ROW(H1689)&lt;=Bidding!$D$11,Raw_hydro_bm!I1689,"")</f>
        <v/>
      </c>
      <c r="I1689" s="16" t="str">
        <f t="shared" si="26"/>
        <v/>
      </c>
    </row>
    <row r="1690" spans="1:9" x14ac:dyDescent="0.2">
      <c r="A1690" t="str">
        <f>IF(ROW(A1690)&lt;=Bidding!$D$11,Raw_hydro_bm!B1690,"")</f>
        <v/>
      </c>
      <c r="B1690" t="str">
        <f>IF(ROW(B1690)&lt;=Bidding!$D$11,Raw_hydro_bm!C1690,"")</f>
        <v/>
      </c>
      <c r="C1690" t="str">
        <f>IF(ROW(C1690)&lt;=Bidding!$D$11,Raw_hydro_bm!D1690,"")</f>
        <v/>
      </c>
      <c r="D1690" t="str">
        <f>IF(ROW(D1690)&lt;=Bidding!$D$11,Raw_hydro_bm!E1690,"")</f>
        <v/>
      </c>
      <c r="E1690" t="str">
        <f>IF(ROW(E1690)&lt;=Bidding!$D$11,Raw_hydro_bm!F1690,"")</f>
        <v/>
      </c>
      <c r="F1690" t="str">
        <f>IF(ROW(F1690)&lt;=Bidding!$D$11,Raw_hydro_bm!G1690,"")</f>
        <v/>
      </c>
      <c r="G1690" t="str">
        <f>IF(ROW(G1690)&lt;=Bidding!$D$11,Raw_hydro_bm!H1690,"")</f>
        <v/>
      </c>
      <c r="H1690" t="str">
        <f>IF(ROW(H1690)&lt;=Bidding!$D$11,Raw_hydro_bm!I1690,"")</f>
        <v/>
      </c>
      <c r="I1690" s="16" t="str">
        <f t="shared" si="26"/>
        <v/>
      </c>
    </row>
    <row r="1691" spans="1:9" x14ac:dyDescent="0.2">
      <c r="A1691" t="str">
        <f>IF(ROW(A1691)&lt;=Bidding!$D$11,Raw_hydro_bm!B1691,"")</f>
        <v/>
      </c>
      <c r="B1691" t="str">
        <f>IF(ROW(B1691)&lt;=Bidding!$D$11,Raw_hydro_bm!C1691,"")</f>
        <v/>
      </c>
      <c r="C1691" t="str">
        <f>IF(ROW(C1691)&lt;=Bidding!$D$11,Raw_hydro_bm!D1691,"")</f>
        <v/>
      </c>
      <c r="D1691" t="str">
        <f>IF(ROW(D1691)&lt;=Bidding!$D$11,Raw_hydro_bm!E1691,"")</f>
        <v/>
      </c>
      <c r="E1691" t="str">
        <f>IF(ROW(E1691)&lt;=Bidding!$D$11,Raw_hydro_bm!F1691,"")</f>
        <v/>
      </c>
      <c r="F1691" t="str">
        <f>IF(ROW(F1691)&lt;=Bidding!$D$11,Raw_hydro_bm!G1691,"")</f>
        <v/>
      </c>
      <c r="G1691" t="str">
        <f>IF(ROW(G1691)&lt;=Bidding!$D$11,Raw_hydro_bm!H1691,"")</f>
        <v/>
      </c>
      <c r="H1691" t="str">
        <f>IF(ROW(H1691)&lt;=Bidding!$D$11,Raw_hydro_bm!I1691,"")</f>
        <v/>
      </c>
      <c r="I1691" s="16" t="str">
        <f t="shared" si="26"/>
        <v/>
      </c>
    </row>
    <row r="1692" spans="1:9" x14ac:dyDescent="0.2">
      <c r="A1692" t="str">
        <f>IF(ROW(A1692)&lt;=Bidding!$D$11,Raw_hydro_bm!B1692,"")</f>
        <v/>
      </c>
      <c r="B1692" t="str">
        <f>IF(ROW(B1692)&lt;=Bidding!$D$11,Raw_hydro_bm!C1692,"")</f>
        <v/>
      </c>
      <c r="C1692" t="str">
        <f>IF(ROW(C1692)&lt;=Bidding!$D$11,Raw_hydro_bm!D1692,"")</f>
        <v/>
      </c>
      <c r="D1692" t="str">
        <f>IF(ROW(D1692)&lt;=Bidding!$D$11,Raw_hydro_bm!E1692,"")</f>
        <v/>
      </c>
      <c r="E1692" t="str">
        <f>IF(ROW(E1692)&lt;=Bidding!$D$11,Raw_hydro_bm!F1692,"")</f>
        <v/>
      </c>
      <c r="F1692" t="str">
        <f>IF(ROW(F1692)&lt;=Bidding!$D$11,Raw_hydro_bm!G1692,"")</f>
        <v/>
      </c>
      <c r="G1692" t="str">
        <f>IF(ROW(G1692)&lt;=Bidding!$D$11,Raw_hydro_bm!H1692,"")</f>
        <v/>
      </c>
      <c r="H1692" t="str">
        <f>IF(ROW(H1692)&lt;=Bidding!$D$11,Raw_hydro_bm!I1692,"")</f>
        <v/>
      </c>
      <c r="I1692" s="16" t="str">
        <f t="shared" si="26"/>
        <v/>
      </c>
    </row>
    <row r="1693" spans="1:9" x14ac:dyDescent="0.2">
      <c r="A1693" t="str">
        <f>IF(ROW(A1693)&lt;=Bidding!$D$11,Raw_hydro_bm!B1693,"")</f>
        <v/>
      </c>
      <c r="B1693" t="str">
        <f>IF(ROW(B1693)&lt;=Bidding!$D$11,Raw_hydro_bm!C1693,"")</f>
        <v/>
      </c>
      <c r="C1693" t="str">
        <f>IF(ROW(C1693)&lt;=Bidding!$D$11,Raw_hydro_bm!D1693,"")</f>
        <v/>
      </c>
      <c r="D1693" t="str">
        <f>IF(ROW(D1693)&lt;=Bidding!$D$11,Raw_hydro_bm!E1693,"")</f>
        <v/>
      </c>
      <c r="E1693" t="str">
        <f>IF(ROW(E1693)&lt;=Bidding!$D$11,Raw_hydro_bm!F1693,"")</f>
        <v/>
      </c>
      <c r="F1693" t="str">
        <f>IF(ROW(F1693)&lt;=Bidding!$D$11,Raw_hydro_bm!G1693,"")</f>
        <v/>
      </c>
      <c r="G1693" t="str">
        <f>IF(ROW(G1693)&lt;=Bidding!$D$11,Raw_hydro_bm!H1693,"")</f>
        <v/>
      </c>
      <c r="H1693" t="str">
        <f>IF(ROW(H1693)&lt;=Bidding!$D$11,Raw_hydro_bm!I1693,"")</f>
        <v/>
      </c>
      <c r="I1693" s="16" t="str">
        <f t="shared" si="26"/>
        <v/>
      </c>
    </row>
    <row r="1694" spans="1:9" x14ac:dyDescent="0.2">
      <c r="A1694" t="str">
        <f>IF(ROW(A1694)&lt;=Bidding!$D$11,Raw_hydro_bm!B1694,"")</f>
        <v/>
      </c>
      <c r="B1694" t="str">
        <f>IF(ROW(B1694)&lt;=Bidding!$D$11,Raw_hydro_bm!C1694,"")</f>
        <v/>
      </c>
      <c r="C1694" t="str">
        <f>IF(ROW(C1694)&lt;=Bidding!$D$11,Raw_hydro_bm!D1694,"")</f>
        <v/>
      </c>
      <c r="D1694" t="str">
        <f>IF(ROW(D1694)&lt;=Bidding!$D$11,Raw_hydro_bm!E1694,"")</f>
        <v/>
      </c>
      <c r="E1694" t="str">
        <f>IF(ROW(E1694)&lt;=Bidding!$D$11,Raw_hydro_bm!F1694,"")</f>
        <v/>
      </c>
      <c r="F1694" t="str">
        <f>IF(ROW(F1694)&lt;=Bidding!$D$11,Raw_hydro_bm!G1694,"")</f>
        <v/>
      </c>
      <c r="G1694" t="str">
        <f>IF(ROW(G1694)&lt;=Bidding!$D$11,Raw_hydro_bm!H1694,"")</f>
        <v/>
      </c>
      <c r="H1694" t="str">
        <f>IF(ROW(H1694)&lt;=Bidding!$D$11,Raw_hydro_bm!I1694,"")</f>
        <v/>
      </c>
      <c r="I1694" s="16" t="str">
        <f t="shared" si="26"/>
        <v/>
      </c>
    </row>
    <row r="1695" spans="1:9" x14ac:dyDescent="0.2">
      <c r="A1695" t="str">
        <f>IF(ROW(A1695)&lt;=Bidding!$D$11,Raw_hydro_bm!B1695,"")</f>
        <v/>
      </c>
      <c r="B1695" t="str">
        <f>IF(ROW(B1695)&lt;=Bidding!$D$11,Raw_hydro_bm!C1695,"")</f>
        <v/>
      </c>
      <c r="C1695" t="str">
        <f>IF(ROW(C1695)&lt;=Bidding!$D$11,Raw_hydro_bm!D1695,"")</f>
        <v/>
      </c>
      <c r="D1695" t="str">
        <f>IF(ROW(D1695)&lt;=Bidding!$D$11,Raw_hydro_bm!E1695,"")</f>
        <v/>
      </c>
      <c r="E1695" t="str">
        <f>IF(ROW(E1695)&lt;=Bidding!$D$11,Raw_hydro_bm!F1695,"")</f>
        <v/>
      </c>
      <c r="F1695" t="str">
        <f>IF(ROW(F1695)&lt;=Bidding!$D$11,Raw_hydro_bm!G1695,"")</f>
        <v/>
      </c>
      <c r="G1695" t="str">
        <f>IF(ROW(G1695)&lt;=Bidding!$D$11,Raw_hydro_bm!H1695,"")</f>
        <v/>
      </c>
      <c r="H1695" t="str">
        <f>IF(ROW(H1695)&lt;=Bidding!$D$11,Raw_hydro_bm!I1695,"")</f>
        <v/>
      </c>
      <c r="I1695" s="16" t="str">
        <f t="shared" si="26"/>
        <v/>
      </c>
    </row>
    <row r="1696" spans="1:9" x14ac:dyDescent="0.2">
      <c r="A1696" t="str">
        <f>IF(ROW(A1696)&lt;=Bidding!$D$11,Raw_hydro_bm!B1696,"")</f>
        <v/>
      </c>
      <c r="B1696" t="str">
        <f>IF(ROW(B1696)&lt;=Bidding!$D$11,Raw_hydro_bm!C1696,"")</f>
        <v/>
      </c>
      <c r="C1696" t="str">
        <f>IF(ROW(C1696)&lt;=Bidding!$D$11,Raw_hydro_bm!D1696,"")</f>
        <v/>
      </c>
      <c r="D1696" t="str">
        <f>IF(ROW(D1696)&lt;=Bidding!$D$11,Raw_hydro_bm!E1696,"")</f>
        <v/>
      </c>
      <c r="E1696" t="str">
        <f>IF(ROW(E1696)&lt;=Bidding!$D$11,Raw_hydro_bm!F1696,"")</f>
        <v/>
      </c>
      <c r="F1696" t="str">
        <f>IF(ROW(F1696)&lt;=Bidding!$D$11,Raw_hydro_bm!G1696,"")</f>
        <v/>
      </c>
      <c r="G1696" t="str">
        <f>IF(ROW(G1696)&lt;=Bidding!$D$11,Raw_hydro_bm!H1696,"")</f>
        <v/>
      </c>
      <c r="H1696" t="str">
        <f>IF(ROW(H1696)&lt;=Bidding!$D$11,Raw_hydro_bm!I1696,"")</f>
        <v/>
      </c>
      <c r="I1696" s="16" t="str">
        <f t="shared" si="26"/>
        <v/>
      </c>
    </row>
    <row r="1697" spans="1:9" x14ac:dyDescent="0.2">
      <c r="A1697" t="str">
        <f>IF(ROW(A1697)&lt;=Bidding!$D$11,Raw_hydro_bm!B1697,"")</f>
        <v/>
      </c>
      <c r="B1697" t="str">
        <f>IF(ROW(B1697)&lt;=Bidding!$D$11,Raw_hydro_bm!C1697,"")</f>
        <v/>
      </c>
      <c r="C1697" t="str">
        <f>IF(ROW(C1697)&lt;=Bidding!$D$11,Raw_hydro_bm!D1697,"")</f>
        <v/>
      </c>
      <c r="D1697" t="str">
        <f>IF(ROW(D1697)&lt;=Bidding!$D$11,Raw_hydro_bm!E1697,"")</f>
        <v/>
      </c>
      <c r="E1697" t="str">
        <f>IF(ROW(E1697)&lt;=Bidding!$D$11,Raw_hydro_bm!F1697,"")</f>
        <v/>
      </c>
      <c r="F1697" t="str">
        <f>IF(ROW(F1697)&lt;=Bidding!$D$11,Raw_hydro_bm!G1697,"")</f>
        <v/>
      </c>
      <c r="G1697" t="str">
        <f>IF(ROW(G1697)&lt;=Bidding!$D$11,Raw_hydro_bm!H1697,"")</f>
        <v/>
      </c>
      <c r="H1697" t="str">
        <f>IF(ROW(H1697)&lt;=Bidding!$D$11,Raw_hydro_bm!I1697,"")</f>
        <v/>
      </c>
      <c r="I1697" s="16" t="str">
        <f t="shared" si="26"/>
        <v/>
      </c>
    </row>
    <row r="1698" spans="1:9" x14ac:dyDescent="0.2">
      <c r="A1698" t="str">
        <f>IF(ROW(A1698)&lt;=Bidding!$D$11,Raw_hydro_bm!B1698,"")</f>
        <v/>
      </c>
      <c r="B1698" t="str">
        <f>IF(ROW(B1698)&lt;=Bidding!$D$11,Raw_hydro_bm!C1698,"")</f>
        <v/>
      </c>
      <c r="C1698" t="str">
        <f>IF(ROW(C1698)&lt;=Bidding!$D$11,Raw_hydro_bm!D1698,"")</f>
        <v/>
      </c>
      <c r="D1698" t="str">
        <f>IF(ROW(D1698)&lt;=Bidding!$D$11,Raw_hydro_bm!E1698,"")</f>
        <v/>
      </c>
      <c r="E1698" t="str">
        <f>IF(ROW(E1698)&lt;=Bidding!$D$11,Raw_hydro_bm!F1698,"")</f>
        <v/>
      </c>
      <c r="F1698" t="str">
        <f>IF(ROW(F1698)&lt;=Bidding!$D$11,Raw_hydro_bm!G1698,"")</f>
        <v/>
      </c>
      <c r="G1698" t="str">
        <f>IF(ROW(G1698)&lt;=Bidding!$D$11,Raw_hydro_bm!H1698,"")</f>
        <v/>
      </c>
      <c r="H1698" t="str">
        <f>IF(ROW(H1698)&lt;=Bidding!$D$11,Raw_hydro_bm!I1698,"")</f>
        <v/>
      </c>
      <c r="I1698" s="16" t="str">
        <f t="shared" si="26"/>
        <v/>
      </c>
    </row>
    <row r="1699" spans="1:9" x14ac:dyDescent="0.2">
      <c r="A1699" t="str">
        <f>IF(ROW(A1699)&lt;=Bidding!$D$11,Raw_hydro_bm!B1699,"")</f>
        <v/>
      </c>
      <c r="B1699" t="str">
        <f>IF(ROW(B1699)&lt;=Bidding!$D$11,Raw_hydro_bm!C1699,"")</f>
        <v/>
      </c>
      <c r="C1699" t="str">
        <f>IF(ROW(C1699)&lt;=Bidding!$D$11,Raw_hydro_bm!D1699,"")</f>
        <v/>
      </c>
      <c r="D1699" t="str">
        <f>IF(ROW(D1699)&lt;=Bidding!$D$11,Raw_hydro_bm!E1699,"")</f>
        <v/>
      </c>
      <c r="E1699" t="str">
        <f>IF(ROW(E1699)&lt;=Bidding!$D$11,Raw_hydro_bm!F1699,"")</f>
        <v/>
      </c>
      <c r="F1699" t="str">
        <f>IF(ROW(F1699)&lt;=Bidding!$D$11,Raw_hydro_bm!G1699,"")</f>
        <v/>
      </c>
      <c r="G1699" t="str">
        <f>IF(ROW(G1699)&lt;=Bidding!$D$11,Raw_hydro_bm!H1699,"")</f>
        <v/>
      </c>
      <c r="H1699" t="str">
        <f>IF(ROW(H1699)&lt;=Bidding!$D$11,Raw_hydro_bm!I1699,"")</f>
        <v/>
      </c>
      <c r="I1699" s="16" t="str">
        <f t="shared" si="26"/>
        <v/>
      </c>
    </row>
    <row r="1700" spans="1:9" x14ac:dyDescent="0.2">
      <c r="A1700" t="str">
        <f>IF(ROW(A1700)&lt;=Bidding!$D$11,Raw_hydro_bm!B1700,"")</f>
        <v/>
      </c>
      <c r="B1700" t="str">
        <f>IF(ROW(B1700)&lt;=Bidding!$D$11,Raw_hydro_bm!C1700,"")</f>
        <v/>
      </c>
      <c r="C1700" t="str">
        <f>IF(ROW(C1700)&lt;=Bidding!$D$11,Raw_hydro_bm!D1700,"")</f>
        <v/>
      </c>
      <c r="D1700" t="str">
        <f>IF(ROW(D1700)&lt;=Bidding!$D$11,Raw_hydro_bm!E1700,"")</f>
        <v/>
      </c>
      <c r="E1700" t="str">
        <f>IF(ROW(E1700)&lt;=Bidding!$D$11,Raw_hydro_bm!F1700,"")</f>
        <v/>
      </c>
      <c r="F1700" t="str">
        <f>IF(ROW(F1700)&lt;=Bidding!$D$11,Raw_hydro_bm!G1700,"")</f>
        <v/>
      </c>
      <c r="G1700" t="str">
        <f>IF(ROW(G1700)&lt;=Bidding!$D$11,Raw_hydro_bm!H1700,"")</f>
        <v/>
      </c>
      <c r="H1700" t="str">
        <f>IF(ROW(H1700)&lt;=Bidding!$D$11,Raw_hydro_bm!I1700,"")</f>
        <v/>
      </c>
      <c r="I1700" s="16" t="str">
        <f t="shared" si="26"/>
        <v/>
      </c>
    </row>
    <row r="1701" spans="1:9" x14ac:dyDescent="0.2">
      <c r="A1701" t="str">
        <f>IF(ROW(A1701)&lt;=Bidding!$D$11,Raw_hydro_bm!B1701,"")</f>
        <v/>
      </c>
      <c r="B1701" t="str">
        <f>IF(ROW(B1701)&lt;=Bidding!$D$11,Raw_hydro_bm!C1701,"")</f>
        <v/>
      </c>
      <c r="C1701" t="str">
        <f>IF(ROW(C1701)&lt;=Bidding!$D$11,Raw_hydro_bm!D1701,"")</f>
        <v/>
      </c>
      <c r="D1701" t="str">
        <f>IF(ROW(D1701)&lt;=Bidding!$D$11,Raw_hydro_bm!E1701,"")</f>
        <v/>
      </c>
      <c r="E1701" t="str">
        <f>IF(ROW(E1701)&lt;=Bidding!$D$11,Raw_hydro_bm!F1701,"")</f>
        <v/>
      </c>
      <c r="F1701" t="str">
        <f>IF(ROW(F1701)&lt;=Bidding!$D$11,Raw_hydro_bm!G1701,"")</f>
        <v/>
      </c>
      <c r="G1701" t="str">
        <f>IF(ROW(G1701)&lt;=Bidding!$D$11,Raw_hydro_bm!H1701,"")</f>
        <v/>
      </c>
      <c r="H1701" t="str">
        <f>IF(ROW(H1701)&lt;=Bidding!$D$11,Raw_hydro_bm!I1701,"")</f>
        <v/>
      </c>
      <c r="I1701" s="16" t="str">
        <f t="shared" si="26"/>
        <v/>
      </c>
    </row>
    <row r="1702" spans="1:9" x14ac:dyDescent="0.2">
      <c r="A1702" t="str">
        <f>IF(ROW(A1702)&lt;=Bidding!$D$11,Raw_hydro_bm!B1702,"")</f>
        <v/>
      </c>
      <c r="B1702" t="str">
        <f>IF(ROW(B1702)&lt;=Bidding!$D$11,Raw_hydro_bm!C1702,"")</f>
        <v/>
      </c>
      <c r="C1702" t="str">
        <f>IF(ROW(C1702)&lt;=Bidding!$D$11,Raw_hydro_bm!D1702,"")</f>
        <v/>
      </c>
      <c r="D1702" t="str">
        <f>IF(ROW(D1702)&lt;=Bidding!$D$11,Raw_hydro_bm!E1702,"")</f>
        <v/>
      </c>
      <c r="E1702" t="str">
        <f>IF(ROW(E1702)&lt;=Bidding!$D$11,Raw_hydro_bm!F1702,"")</f>
        <v/>
      </c>
      <c r="F1702" t="str">
        <f>IF(ROW(F1702)&lt;=Bidding!$D$11,Raw_hydro_bm!G1702,"")</f>
        <v/>
      </c>
      <c r="G1702" t="str">
        <f>IF(ROW(G1702)&lt;=Bidding!$D$11,Raw_hydro_bm!H1702,"")</f>
        <v/>
      </c>
      <c r="H1702" t="str">
        <f>IF(ROW(H1702)&lt;=Bidding!$D$11,Raw_hydro_bm!I1702,"")</f>
        <v/>
      </c>
      <c r="I1702" s="16" t="str">
        <f t="shared" si="26"/>
        <v/>
      </c>
    </row>
    <row r="1703" spans="1:9" x14ac:dyDescent="0.2">
      <c r="A1703" t="str">
        <f>IF(ROW(A1703)&lt;=Bidding!$D$11,Raw_hydro_bm!B1703,"")</f>
        <v/>
      </c>
      <c r="B1703" t="str">
        <f>IF(ROW(B1703)&lt;=Bidding!$D$11,Raw_hydro_bm!C1703,"")</f>
        <v/>
      </c>
      <c r="C1703" t="str">
        <f>IF(ROW(C1703)&lt;=Bidding!$D$11,Raw_hydro_bm!D1703,"")</f>
        <v/>
      </c>
      <c r="D1703" t="str">
        <f>IF(ROW(D1703)&lt;=Bidding!$D$11,Raw_hydro_bm!E1703,"")</f>
        <v/>
      </c>
      <c r="E1703" t="str">
        <f>IF(ROW(E1703)&lt;=Bidding!$D$11,Raw_hydro_bm!F1703,"")</f>
        <v/>
      </c>
      <c r="F1703" t="str">
        <f>IF(ROW(F1703)&lt;=Bidding!$D$11,Raw_hydro_bm!G1703,"")</f>
        <v/>
      </c>
      <c r="G1703" t="str">
        <f>IF(ROW(G1703)&lt;=Bidding!$D$11,Raw_hydro_bm!H1703,"")</f>
        <v/>
      </c>
      <c r="H1703" t="str">
        <f>IF(ROW(H1703)&lt;=Bidding!$D$11,Raw_hydro_bm!I1703,"")</f>
        <v/>
      </c>
      <c r="I1703" s="16" t="str">
        <f t="shared" si="26"/>
        <v/>
      </c>
    </row>
    <row r="1704" spans="1:9" x14ac:dyDescent="0.2">
      <c r="A1704" t="str">
        <f>IF(ROW(A1704)&lt;=Bidding!$D$11,Raw_hydro_bm!B1704,"")</f>
        <v/>
      </c>
      <c r="B1704" t="str">
        <f>IF(ROW(B1704)&lt;=Bidding!$D$11,Raw_hydro_bm!C1704,"")</f>
        <v/>
      </c>
      <c r="C1704" t="str">
        <f>IF(ROW(C1704)&lt;=Bidding!$D$11,Raw_hydro_bm!D1704,"")</f>
        <v/>
      </c>
      <c r="D1704" t="str">
        <f>IF(ROW(D1704)&lt;=Bidding!$D$11,Raw_hydro_bm!E1704,"")</f>
        <v/>
      </c>
      <c r="E1704" t="str">
        <f>IF(ROW(E1704)&lt;=Bidding!$D$11,Raw_hydro_bm!F1704,"")</f>
        <v/>
      </c>
      <c r="F1704" t="str">
        <f>IF(ROW(F1704)&lt;=Bidding!$D$11,Raw_hydro_bm!G1704,"")</f>
        <v/>
      </c>
      <c r="G1704" t="str">
        <f>IF(ROW(G1704)&lt;=Bidding!$D$11,Raw_hydro_bm!H1704,"")</f>
        <v/>
      </c>
      <c r="H1704" t="str">
        <f>IF(ROW(H1704)&lt;=Bidding!$D$11,Raw_hydro_bm!I1704,"")</f>
        <v/>
      </c>
      <c r="I1704" s="16" t="str">
        <f t="shared" si="26"/>
        <v/>
      </c>
    </row>
    <row r="1705" spans="1:9" x14ac:dyDescent="0.2">
      <c r="A1705" t="str">
        <f>IF(ROW(A1705)&lt;=Bidding!$D$11,Raw_hydro_bm!B1705,"")</f>
        <v/>
      </c>
      <c r="B1705" t="str">
        <f>IF(ROW(B1705)&lt;=Bidding!$D$11,Raw_hydro_bm!C1705,"")</f>
        <v/>
      </c>
      <c r="C1705" t="str">
        <f>IF(ROW(C1705)&lt;=Bidding!$D$11,Raw_hydro_bm!D1705,"")</f>
        <v/>
      </c>
      <c r="D1705" t="str">
        <f>IF(ROW(D1705)&lt;=Bidding!$D$11,Raw_hydro_bm!E1705,"")</f>
        <v/>
      </c>
      <c r="E1705" t="str">
        <f>IF(ROW(E1705)&lt;=Bidding!$D$11,Raw_hydro_bm!F1705,"")</f>
        <v/>
      </c>
      <c r="F1705" t="str">
        <f>IF(ROW(F1705)&lt;=Bidding!$D$11,Raw_hydro_bm!G1705,"")</f>
        <v/>
      </c>
      <c r="G1705" t="str">
        <f>IF(ROW(G1705)&lt;=Bidding!$D$11,Raw_hydro_bm!H1705,"")</f>
        <v/>
      </c>
      <c r="H1705" t="str">
        <f>IF(ROW(H1705)&lt;=Bidding!$D$11,Raw_hydro_bm!I1705,"")</f>
        <v/>
      </c>
      <c r="I1705" s="16" t="str">
        <f t="shared" si="26"/>
        <v/>
      </c>
    </row>
    <row r="1706" spans="1:9" x14ac:dyDescent="0.2">
      <c r="A1706" t="str">
        <f>IF(ROW(A1706)&lt;=Bidding!$D$11,Raw_hydro_bm!B1706,"")</f>
        <v/>
      </c>
      <c r="B1706" t="str">
        <f>IF(ROW(B1706)&lt;=Bidding!$D$11,Raw_hydro_bm!C1706,"")</f>
        <v/>
      </c>
      <c r="C1706" t="str">
        <f>IF(ROW(C1706)&lt;=Bidding!$D$11,Raw_hydro_bm!D1706,"")</f>
        <v/>
      </c>
      <c r="D1706" t="str">
        <f>IF(ROW(D1706)&lt;=Bidding!$D$11,Raw_hydro_bm!E1706,"")</f>
        <v/>
      </c>
      <c r="E1706" t="str">
        <f>IF(ROW(E1706)&lt;=Bidding!$D$11,Raw_hydro_bm!F1706,"")</f>
        <v/>
      </c>
      <c r="F1706" t="str">
        <f>IF(ROW(F1706)&lt;=Bidding!$D$11,Raw_hydro_bm!G1706,"")</f>
        <v/>
      </c>
      <c r="G1706" t="str">
        <f>IF(ROW(G1706)&lt;=Bidding!$D$11,Raw_hydro_bm!H1706,"")</f>
        <v/>
      </c>
      <c r="H1706" t="str">
        <f>IF(ROW(H1706)&lt;=Bidding!$D$11,Raw_hydro_bm!I1706,"")</f>
        <v/>
      </c>
      <c r="I1706" s="16" t="str">
        <f t="shared" si="26"/>
        <v/>
      </c>
    </row>
    <row r="1707" spans="1:9" x14ac:dyDescent="0.2">
      <c r="A1707" t="str">
        <f>IF(ROW(A1707)&lt;=Bidding!$D$11,Raw_hydro_bm!B1707,"")</f>
        <v/>
      </c>
      <c r="B1707" t="str">
        <f>IF(ROW(B1707)&lt;=Bidding!$D$11,Raw_hydro_bm!C1707,"")</f>
        <v/>
      </c>
      <c r="C1707" t="str">
        <f>IF(ROW(C1707)&lt;=Bidding!$D$11,Raw_hydro_bm!D1707,"")</f>
        <v/>
      </c>
      <c r="D1707" t="str">
        <f>IF(ROW(D1707)&lt;=Bidding!$D$11,Raw_hydro_bm!E1707,"")</f>
        <v/>
      </c>
      <c r="E1707" t="str">
        <f>IF(ROW(E1707)&lt;=Bidding!$D$11,Raw_hydro_bm!F1707,"")</f>
        <v/>
      </c>
      <c r="F1707" t="str">
        <f>IF(ROW(F1707)&lt;=Bidding!$D$11,Raw_hydro_bm!G1707,"")</f>
        <v/>
      </c>
      <c r="G1707" t="str">
        <f>IF(ROW(G1707)&lt;=Bidding!$D$11,Raw_hydro_bm!H1707,"")</f>
        <v/>
      </c>
      <c r="H1707" t="str">
        <f>IF(ROW(H1707)&lt;=Bidding!$D$11,Raw_hydro_bm!I1707,"")</f>
        <v/>
      </c>
      <c r="I1707" s="16" t="str">
        <f t="shared" si="26"/>
        <v/>
      </c>
    </row>
    <row r="1708" spans="1:9" x14ac:dyDescent="0.2">
      <c r="A1708" t="str">
        <f>IF(ROW(A1708)&lt;=Bidding!$D$11,Raw_hydro_bm!B1708,"")</f>
        <v/>
      </c>
      <c r="B1708" t="str">
        <f>IF(ROW(B1708)&lt;=Bidding!$D$11,Raw_hydro_bm!C1708,"")</f>
        <v/>
      </c>
      <c r="C1708" t="str">
        <f>IF(ROW(C1708)&lt;=Bidding!$D$11,Raw_hydro_bm!D1708,"")</f>
        <v/>
      </c>
      <c r="D1708" t="str">
        <f>IF(ROW(D1708)&lt;=Bidding!$D$11,Raw_hydro_bm!E1708,"")</f>
        <v/>
      </c>
      <c r="E1708" t="str">
        <f>IF(ROW(E1708)&lt;=Bidding!$D$11,Raw_hydro_bm!F1708,"")</f>
        <v/>
      </c>
      <c r="F1708" t="str">
        <f>IF(ROW(F1708)&lt;=Bidding!$D$11,Raw_hydro_bm!G1708,"")</f>
        <v/>
      </c>
      <c r="G1708" t="str">
        <f>IF(ROW(G1708)&lt;=Bidding!$D$11,Raw_hydro_bm!H1708,"")</f>
        <v/>
      </c>
      <c r="H1708" t="str">
        <f>IF(ROW(H1708)&lt;=Bidding!$D$11,Raw_hydro_bm!I1708,"")</f>
        <v/>
      </c>
      <c r="I1708" s="16" t="str">
        <f t="shared" si="26"/>
        <v/>
      </c>
    </row>
    <row r="1709" spans="1:9" x14ac:dyDescent="0.2">
      <c r="A1709" t="str">
        <f>IF(ROW(A1709)&lt;=Bidding!$D$11,Raw_hydro_bm!B1709,"")</f>
        <v/>
      </c>
      <c r="B1709" t="str">
        <f>IF(ROW(B1709)&lt;=Bidding!$D$11,Raw_hydro_bm!C1709,"")</f>
        <v/>
      </c>
      <c r="C1709" t="str">
        <f>IF(ROW(C1709)&lt;=Bidding!$D$11,Raw_hydro_bm!D1709,"")</f>
        <v/>
      </c>
      <c r="D1709" t="str">
        <f>IF(ROW(D1709)&lt;=Bidding!$D$11,Raw_hydro_bm!E1709,"")</f>
        <v/>
      </c>
      <c r="E1709" t="str">
        <f>IF(ROW(E1709)&lt;=Bidding!$D$11,Raw_hydro_bm!F1709,"")</f>
        <v/>
      </c>
      <c r="F1709" t="str">
        <f>IF(ROW(F1709)&lt;=Bidding!$D$11,Raw_hydro_bm!G1709,"")</f>
        <v/>
      </c>
      <c r="G1709" t="str">
        <f>IF(ROW(G1709)&lt;=Bidding!$D$11,Raw_hydro_bm!H1709,"")</f>
        <v/>
      </c>
      <c r="H1709" t="str">
        <f>IF(ROW(H1709)&lt;=Bidding!$D$11,Raw_hydro_bm!I1709,"")</f>
        <v/>
      </c>
      <c r="I1709" s="16" t="str">
        <f t="shared" si="26"/>
        <v/>
      </c>
    </row>
    <row r="1710" spans="1:9" x14ac:dyDescent="0.2">
      <c r="A1710" t="str">
        <f>IF(ROW(A1710)&lt;=Bidding!$D$11,Raw_hydro_bm!B1710,"")</f>
        <v/>
      </c>
      <c r="B1710" t="str">
        <f>IF(ROW(B1710)&lt;=Bidding!$D$11,Raw_hydro_bm!C1710,"")</f>
        <v/>
      </c>
      <c r="C1710" t="str">
        <f>IF(ROW(C1710)&lt;=Bidding!$D$11,Raw_hydro_bm!D1710,"")</f>
        <v/>
      </c>
      <c r="D1710" t="str">
        <f>IF(ROW(D1710)&lt;=Bidding!$D$11,Raw_hydro_bm!E1710,"")</f>
        <v/>
      </c>
      <c r="E1710" t="str">
        <f>IF(ROW(E1710)&lt;=Bidding!$D$11,Raw_hydro_bm!F1710,"")</f>
        <v/>
      </c>
      <c r="F1710" t="str">
        <f>IF(ROW(F1710)&lt;=Bidding!$D$11,Raw_hydro_bm!G1710,"")</f>
        <v/>
      </c>
      <c r="G1710" t="str">
        <f>IF(ROW(G1710)&lt;=Bidding!$D$11,Raw_hydro_bm!H1710,"")</f>
        <v/>
      </c>
      <c r="H1710" t="str">
        <f>IF(ROW(H1710)&lt;=Bidding!$D$11,Raw_hydro_bm!I1710,"")</f>
        <v/>
      </c>
      <c r="I1710" s="16" t="str">
        <f t="shared" si="26"/>
        <v/>
      </c>
    </row>
    <row r="1711" spans="1:9" x14ac:dyDescent="0.2">
      <c r="A1711" t="str">
        <f>IF(ROW(A1711)&lt;=Bidding!$D$11,Raw_hydro_bm!B1711,"")</f>
        <v/>
      </c>
      <c r="B1711" t="str">
        <f>IF(ROW(B1711)&lt;=Bidding!$D$11,Raw_hydro_bm!C1711,"")</f>
        <v/>
      </c>
      <c r="C1711" t="str">
        <f>IF(ROW(C1711)&lt;=Bidding!$D$11,Raw_hydro_bm!D1711,"")</f>
        <v/>
      </c>
      <c r="D1711" t="str">
        <f>IF(ROW(D1711)&lt;=Bidding!$D$11,Raw_hydro_bm!E1711,"")</f>
        <v/>
      </c>
      <c r="E1711" t="str">
        <f>IF(ROW(E1711)&lt;=Bidding!$D$11,Raw_hydro_bm!F1711,"")</f>
        <v/>
      </c>
      <c r="F1711" t="str">
        <f>IF(ROW(F1711)&lt;=Bidding!$D$11,Raw_hydro_bm!G1711,"")</f>
        <v/>
      </c>
      <c r="G1711" t="str">
        <f>IF(ROW(G1711)&lt;=Bidding!$D$11,Raw_hydro_bm!H1711,"")</f>
        <v/>
      </c>
      <c r="H1711" t="str">
        <f>IF(ROW(H1711)&lt;=Bidding!$D$11,Raw_hydro_bm!I1711,"")</f>
        <v/>
      </c>
      <c r="I1711" s="16" t="str">
        <f t="shared" si="26"/>
        <v/>
      </c>
    </row>
    <row r="1712" spans="1:9" x14ac:dyDescent="0.2">
      <c r="A1712" t="str">
        <f>IF(ROW(A1712)&lt;=Bidding!$D$11,Raw_hydro_bm!B1712,"")</f>
        <v/>
      </c>
      <c r="B1712" t="str">
        <f>IF(ROW(B1712)&lt;=Bidding!$D$11,Raw_hydro_bm!C1712,"")</f>
        <v/>
      </c>
      <c r="C1712" t="str">
        <f>IF(ROW(C1712)&lt;=Bidding!$D$11,Raw_hydro_bm!D1712,"")</f>
        <v/>
      </c>
      <c r="D1712" t="str">
        <f>IF(ROW(D1712)&lt;=Bidding!$D$11,Raw_hydro_bm!E1712,"")</f>
        <v/>
      </c>
      <c r="E1712" t="str">
        <f>IF(ROW(E1712)&lt;=Bidding!$D$11,Raw_hydro_bm!F1712,"")</f>
        <v/>
      </c>
      <c r="F1712" t="str">
        <f>IF(ROW(F1712)&lt;=Bidding!$D$11,Raw_hydro_bm!G1712,"")</f>
        <v/>
      </c>
      <c r="G1712" t="str">
        <f>IF(ROW(G1712)&lt;=Bidding!$D$11,Raw_hydro_bm!H1712,"")</f>
        <v/>
      </c>
      <c r="H1712" t="str">
        <f>IF(ROW(H1712)&lt;=Bidding!$D$11,Raw_hydro_bm!I1712,"")</f>
        <v/>
      </c>
      <c r="I1712" s="16" t="str">
        <f t="shared" si="26"/>
        <v/>
      </c>
    </row>
    <row r="1713" spans="1:9" x14ac:dyDescent="0.2">
      <c r="A1713" t="str">
        <f>IF(ROW(A1713)&lt;=Bidding!$D$11,Raw_hydro_bm!B1713,"")</f>
        <v/>
      </c>
      <c r="B1713" t="str">
        <f>IF(ROW(B1713)&lt;=Bidding!$D$11,Raw_hydro_bm!C1713,"")</f>
        <v/>
      </c>
      <c r="C1713" t="str">
        <f>IF(ROW(C1713)&lt;=Bidding!$D$11,Raw_hydro_bm!D1713,"")</f>
        <v/>
      </c>
      <c r="D1713" t="str">
        <f>IF(ROW(D1713)&lt;=Bidding!$D$11,Raw_hydro_bm!E1713,"")</f>
        <v/>
      </c>
      <c r="E1713" t="str">
        <f>IF(ROW(E1713)&lt;=Bidding!$D$11,Raw_hydro_bm!F1713,"")</f>
        <v/>
      </c>
      <c r="F1713" t="str">
        <f>IF(ROW(F1713)&lt;=Bidding!$D$11,Raw_hydro_bm!G1713,"")</f>
        <v/>
      </c>
      <c r="G1713" t="str">
        <f>IF(ROW(G1713)&lt;=Bidding!$D$11,Raw_hydro_bm!H1713,"")</f>
        <v/>
      </c>
      <c r="H1713" t="str">
        <f>IF(ROW(H1713)&lt;=Bidding!$D$11,Raw_hydro_bm!I1713,"")</f>
        <v/>
      </c>
      <c r="I1713" s="16" t="str">
        <f t="shared" si="26"/>
        <v/>
      </c>
    </row>
    <row r="1714" spans="1:9" x14ac:dyDescent="0.2">
      <c r="A1714" t="str">
        <f>IF(ROW(A1714)&lt;=Bidding!$D$11,Raw_hydro_bm!B1714,"")</f>
        <v/>
      </c>
      <c r="B1714" t="str">
        <f>IF(ROW(B1714)&lt;=Bidding!$D$11,Raw_hydro_bm!C1714,"")</f>
        <v/>
      </c>
      <c r="C1714" t="str">
        <f>IF(ROW(C1714)&lt;=Bidding!$D$11,Raw_hydro_bm!D1714,"")</f>
        <v/>
      </c>
      <c r="D1714" t="str">
        <f>IF(ROW(D1714)&lt;=Bidding!$D$11,Raw_hydro_bm!E1714,"")</f>
        <v/>
      </c>
      <c r="E1714" t="str">
        <f>IF(ROW(E1714)&lt;=Bidding!$D$11,Raw_hydro_bm!F1714,"")</f>
        <v/>
      </c>
      <c r="F1714" t="str">
        <f>IF(ROW(F1714)&lt;=Bidding!$D$11,Raw_hydro_bm!G1714,"")</f>
        <v/>
      </c>
      <c r="G1714" t="str">
        <f>IF(ROW(G1714)&lt;=Bidding!$D$11,Raw_hydro_bm!H1714,"")</f>
        <v/>
      </c>
      <c r="H1714" t="str">
        <f>IF(ROW(H1714)&lt;=Bidding!$D$11,Raw_hydro_bm!I1714,"")</f>
        <v/>
      </c>
      <c r="I1714" s="16" t="str">
        <f t="shared" si="26"/>
        <v/>
      </c>
    </row>
    <row r="1715" spans="1:9" x14ac:dyDescent="0.2">
      <c r="A1715" t="str">
        <f>IF(ROW(A1715)&lt;=Bidding!$D$11,Raw_hydro_bm!B1715,"")</f>
        <v/>
      </c>
      <c r="B1715" t="str">
        <f>IF(ROW(B1715)&lt;=Bidding!$D$11,Raw_hydro_bm!C1715,"")</f>
        <v/>
      </c>
      <c r="C1715" t="str">
        <f>IF(ROW(C1715)&lt;=Bidding!$D$11,Raw_hydro_bm!D1715,"")</f>
        <v/>
      </c>
      <c r="D1715" t="str">
        <f>IF(ROW(D1715)&lt;=Bidding!$D$11,Raw_hydro_bm!E1715,"")</f>
        <v/>
      </c>
      <c r="E1715" t="str">
        <f>IF(ROW(E1715)&lt;=Bidding!$D$11,Raw_hydro_bm!F1715,"")</f>
        <v/>
      </c>
      <c r="F1715" t="str">
        <f>IF(ROW(F1715)&lt;=Bidding!$D$11,Raw_hydro_bm!G1715,"")</f>
        <v/>
      </c>
      <c r="G1715" t="str">
        <f>IF(ROW(G1715)&lt;=Bidding!$D$11,Raw_hydro_bm!H1715,"")</f>
        <v/>
      </c>
      <c r="H1715" t="str">
        <f>IF(ROW(H1715)&lt;=Bidding!$D$11,Raw_hydro_bm!I1715,"")</f>
        <v/>
      </c>
      <c r="I1715" s="16" t="str">
        <f t="shared" si="26"/>
        <v/>
      </c>
    </row>
    <row r="1716" spans="1:9" x14ac:dyDescent="0.2">
      <c r="A1716" t="str">
        <f>IF(ROW(A1716)&lt;=Bidding!$D$11,Raw_hydro_bm!B1716,"")</f>
        <v/>
      </c>
      <c r="B1716" t="str">
        <f>IF(ROW(B1716)&lt;=Bidding!$D$11,Raw_hydro_bm!C1716,"")</f>
        <v/>
      </c>
      <c r="C1716" t="str">
        <f>IF(ROW(C1716)&lt;=Bidding!$D$11,Raw_hydro_bm!D1716,"")</f>
        <v/>
      </c>
      <c r="D1716" t="str">
        <f>IF(ROW(D1716)&lt;=Bidding!$D$11,Raw_hydro_bm!E1716,"")</f>
        <v/>
      </c>
      <c r="E1716" t="str">
        <f>IF(ROW(E1716)&lt;=Bidding!$D$11,Raw_hydro_bm!F1716,"")</f>
        <v/>
      </c>
      <c r="F1716" t="str">
        <f>IF(ROW(F1716)&lt;=Bidding!$D$11,Raw_hydro_bm!G1716,"")</f>
        <v/>
      </c>
      <c r="G1716" t="str">
        <f>IF(ROW(G1716)&lt;=Bidding!$D$11,Raw_hydro_bm!H1716,"")</f>
        <v/>
      </c>
      <c r="H1716" t="str">
        <f>IF(ROW(H1716)&lt;=Bidding!$D$11,Raw_hydro_bm!I1716,"")</f>
        <v/>
      </c>
      <c r="I1716" s="16" t="str">
        <f t="shared" si="26"/>
        <v/>
      </c>
    </row>
    <row r="1717" spans="1:9" x14ac:dyDescent="0.2">
      <c r="A1717" t="str">
        <f>IF(ROW(A1717)&lt;=Bidding!$D$11,Raw_hydro_bm!B1717,"")</f>
        <v/>
      </c>
      <c r="B1717" t="str">
        <f>IF(ROW(B1717)&lt;=Bidding!$D$11,Raw_hydro_bm!C1717,"")</f>
        <v/>
      </c>
      <c r="C1717" t="str">
        <f>IF(ROW(C1717)&lt;=Bidding!$D$11,Raw_hydro_bm!D1717,"")</f>
        <v/>
      </c>
      <c r="D1717" t="str">
        <f>IF(ROW(D1717)&lt;=Bidding!$D$11,Raw_hydro_bm!E1717,"")</f>
        <v/>
      </c>
      <c r="E1717" t="str">
        <f>IF(ROW(E1717)&lt;=Bidding!$D$11,Raw_hydro_bm!F1717,"")</f>
        <v/>
      </c>
      <c r="F1717" t="str">
        <f>IF(ROW(F1717)&lt;=Bidding!$D$11,Raw_hydro_bm!G1717,"")</f>
        <v/>
      </c>
      <c r="G1717" t="str">
        <f>IF(ROW(G1717)&lt;=Bidding!$D$11,Raw_hydro_bm!H1717,"")</f>
        <v/>
      </c>
      <c r="H1717" t="str">
        <f>IF(ROW(H1717)&lt;=Bidding!$D$11,Raw_hydro_bm!I1717,"")</f>
        <v/>
      </c>
      <c r="I1717" s="16" t="str">
        <f t="shared" si="26"/>
        <v/>
      </c>
    </row>
    <row r="1718" spans="1:9" x14ac:dyDescent="0.2">
      <c r="A1718" t="str">
        <f>IF(ROW(A1718)&lt;=Bidding!$D$11,Raw_hydro_bm!B1718,"")</f>
        <v/>
      </c>
      <c r="B1718" t="str">
        <f>IF(ROW(B1718)&lt;=Bidding!$D$11,Raw_hydro_bm!C1718,"")</f>
        <v/>
      </c>
      <c r="C1718" t="str">
        <f>IF(ROW(C1718)&lt;=Bidding!$D$11,Raw_hydro_bm!D1718,"")</f>
        <v/>
      </c>
      <c r="D1718" t="str">
        <f>IF(ROW(D1718)&lt;=Bidding!$D$11,Raw_hydro_bm!E1718,"")</f>
        <v/>
      </c>
      <c r="E1718" t="str">
        <f>IF(ROW(E1718)&lt;=Bidding!$D$11,Raw_hydro_bm!F1718,"")</f>
        <v/>
      </c>
      <c r="F1718" t="str">
        <f>IF(ROW(F1718)&lt;=Bidding!$D$11,Raw_hydro_bm!G1718,"")</f>
        <v/>
      </c>
      <c r="G1718" t="str">
        <f>IF(ROW(G1718)&lt;=Bidding!$D$11,Raw_hydro_bm!H1718,"")</f>
        <v/>
      </c>
      <c r="H1718" t="str">
        <f>IF(ROW(H1718)&lt;=Bidding!$D$11,Raw_hydro_bm!I1718,"")</f>
        <v/>
      </c>
      <c r="I1718" s="16" t="str">
        <f t="shared" si="26"/>
        <v/>
      </c>
    </row>
    <row r="1719" spans="1:9" x14ac:dyDescent="0.2">
      <c r="A1719" t="str">
        <f>IF(ROW(A1719)&lt;=Bidding!$D$11,Raw_hydro_bm!B1719,"")</f>
        <v/>
      </c>
      <c r="B1719" t="str">
        <f>IF(ROW(B1719)&lt;=Bidding!$D$11,Raw_hydro_bm!C1719,"")</f>
        <v/>
      </c>
      <c r="C1719" t="str">
        <f>IF(ROW(C1719)&lt;=Bidding!$D$11,Raw_hydro_bm!D1719,"")</f>
        <v/>
      </c>
      <c r="D1719" t="str">
        <f>IF(ROW(D1719)&lt;=Bidding!$D$11,Raw_hydro_bm!E1719,"")</f>
        <v/>
      </c>
      <c r="E1719" t="str">
        <f>IF(ROW(E1719)&lt;=Bidding!$D$11,Raw_hydro_bm!F1719,"")</f>
        <v/>
      </c>
      <c r="F1719" t="str">
        <f>IF(ROW(F1719)&lt;=Bidding!$D$11,Raw_hydro_bm!G1719,"")</f>
        <v/>
      </c>
      <c r="G1719" t="str">
        <f>IF(ROW(G1719)&lt;=Bidding!$D$11,Raw_hydro_bm!H1719,"")</f>
        <v/>
      </c>
      <c r="H1719" t="str">
        <f>IF(ROW(H1719)&lt;=Bidding!$D$11,Raw_hydro_bm!I1719,"")</f>
        <v/>
      </c>
      <c r="I1719" s="16" t="str">
        <f t="shared" si="26"/>
        <v/>
      </c>
    </row>
    <row r="1720" spans="1:9" x14ac:dyDescent="0.2">
      <c r="A1720" t="str">
        <f>IF(ROW(A1720)&lt;=Bidding!$D$11,Raw_hydro_bm!B1720,"")</f>
        <v/>
      </c>
      <c r="B1720" t="str">
        <f>IF(ROW(B1720)&lt;=Bidding!$D$11,Raw_hydro_bm!C1720,"")</f>
        <v/>
      </c>
      <c r="C1720" t="str">
        <f>IF(ROW(C1720)&lt;=Bidding!$D$11,Raw_hydro_bm!D1720,"")</f>
        <v/>
      </c>
      <c r="D1720" t="str">
        <f>IF(ROW(D1720)&lt;=Bidding!$D$11,Raw_hydro_bm!E1720,"")</f>
        <v/>
      </c>
      <c r="E1720" t="str">
        <f>IF(ROW(E1720)&lt;=Bidding!$D$11,Raw_hydro_bm!F1720,"")</f>
        <v/>
      </c>
      <c r="F1720" t="str">
        <f>IF(ROW(F1720)&lt;=Bidding!$D$11,Raw_hydro_bm!G1720,"")</f>
        <v/>
      </c>
      <c r="G1720" t="str">
        <f>IF(ROW(G1720)&lt;=Bidding!$D$11,Raw_hydro_bm!H1720,"")</f>
        <v/>
      </c>
      <c r="H1720" t="str">
        <f>IF(ROW(H1720)&lt;=Bidding!$D$11,Raw_hydro_bm!I1720,"")</f>
        <v/>
      </c>
      <c r="I1720" s="16" t="str">
        <f t="shared" si="26"/>
        <v/>
      </c>
    </row>
    <row r="1721" spans="1:9" x14ac:dyDescent="0.2">
      <c r="A1721" t="str">
        <f>IF(ROW(A1721)&lt;=Bidding!$D$11,Raw_hydro_bm!B1721,"")</f>
        <v/>
      </c>
      <c r="B1721" t="str">
        <f>IF(ROW(B1721)&lt;=Bidding!$D$11,Raw_hydro_bm!C1721,"")</f>
        <v/>
      </c>
      <c r="C1721" t="str">
        <f>IF(ROW(C1721)&lt;=Bidding!$D$11,Raw_hydro_bm!D1721,"")</f>
        <v/>
      </c>
      <c r="D1721" t="str">
        <f>IF(ROW(D1721)&lt;=Bidding!$D$11,Raw_hydro_bm!E1721,"")</f>
        <v/>
      </c>
      <c r="E1721" t="str">
        <f>IF(ROW(E1721)&lt;=Bidding!$D$11,Raw_hydro_bm!F1721,"")</f>
        <v/>
      </c>
      <c r="F1721" t="str">
        <f>IF(ROW(F1721)&lt;=Bidding!$D$11,Raw_hydro_bm!G1721,"")</f>
        <v/>
      </c>
      <c r="G1721" t="str">
        <f>IF(ROW(G1721)&lt;=Bidding!$D$11,Raw_hydro_bm!H1721,"")</f>
        <v/>
      </c>
      <c r="H1721" t="str">
        <f>IF(ROW(H1721)&lt;=Bidding!$D$11,Raw_hydro_bm!I1721,"")</f>
        <v/>
      </c>
      <c r="I1721" s="16" t="str">
        <f t="shared" si="26"/>
        <v/>
      </c>
    </row>
    <row r="1722" spans="1:9" x14ac:dyDescent="0.2">
      <c r="A1722" t="str">
        <f>IF(ROW(A1722)&lt;=Bidding!$D$11,Raw_hydro_bm!B1722,"")</f>
        <v/>
      </c>
      <c r="B1722" t="str">
        <f>IF(ROW(B1722)&lt;=Bidding!$D$11,Raw_hydro_bm!C1722,"")</f>
        <v/>
      </c>
      <c r="C1722" t="str">
        <f>IF(ROW(C1722)&lt;=Bidding!$D$11,Raw_hydro_bm!D1722,"")</f>
        <v/>
      </c>
      <c r="D1722" t="str">
        <f>IF(ROW(D1722)&lt;=Bidding!$D$11,Raw_hydro_bm!E1722,"")</f>
        <v/>
      </c>
      <c r="E1722" t="str">
        <f>IF(ROW(E1722)&lt;=Bidding!$D$11,Raw_hydro_bm!F1722,"")</f>
        <v/>
      </c>
      <c r="F1722" t="str">
        <f>IF(ROW(F1722)&lt;=Bidding!$D$11,Raw_hydro_bm!G1722,"")</f>
        <v/>
      </c>
      <c r="G1722" t="str">
        <f>IF(ROW(G1722)&lt;=Bidding!$D$11,Raw_hydro_bm!H1722,"")</f>
        <v/>
      </c>
      <c r="H1722" t="str">
        <f>IF(ROW(H1722)&lt;=Bidding!$D$11,Raw_hydro_bm!I1722,"")</f>
        <v/>
      </c>
      <c r="I1722" s="16" t="str">
        <f t="shared" si="26"/>
        <v/>
      </c>
    </row>
    <row r="1723" spans="1:9" x14ac:dyDescent="0.2">
      <c r="A1723" t="str">
        <f>IF(ROW(A1723)&lt;=Bidding!$D$11,Raw_hydro_bm!B1723,"")</f>
        <v/>
      </c>
      <c r="B1723" t="str">
        <f>IF(ROW(B1723)&lt;=Bidding!$D$11,Raw_hydro_bm!C1723,"")</f>
        <v/>
      </c>
      <c r="C1723" t="str">
        <f>IF(ROW(C1723)&lt;=Bidding!$D$11,Raw_hydro_bm!D1723,"")</f>
        <v/>
      </c>
      <c r="D1723" t="str">
        <f>IF(ROW(D1723)&lt;=Bidding!$D$11,Raw_hydro_bm!E1723,"")</f>
        <v/>
      </c>
      <c r="E1723" t="str">
        <f>IF(ROW(E1723)&lt;=Bidding!$D$11,Raw_hydro_bm!F1723,"")</f>
        <v/>
      </c>
      <c r="F1723" t="str">
        <f>IF(ROW(F1723)&lt;=Bidding!$D$11,Raw_hydro_bm!G1723,"")</f>
        <v/>
      </c>
      <c r="G1723" t="str">
        <f>IF(ROW(G1723)&lt;=Bidding!$D$11,Raw_hydro_bm!H1723,"")</f>
        <v/>
      </c>
      <c r="H1723" t="str">
        <f>IF(ROW(H1723)&lt;=Bidding!$D$11,Raw_hydro_bm!I1723,"")</f>
        <v/>
      </c>
      <c r="I1723" s="16" t="str">
        <f t="shared" si="26"/>
        <v/>
      </c>
    </row>
    <row r="1724" spans="1:9" x14ac:dyDescent="0.2">
      <c r="A1724" t="str">
        <f>IF(ROW(A1724)&lt;=Bidding!$D$11,Raw_hydro_bm!B1724,"")</f>
        <v/>
      </c>
      <c r="B1724" t="str">
        <f>IF(ROW(B1724)&lt;=Bidding!$D$11,Raw_hydro_bm!C1724,"")</f>
        <v/>
      </c>
      <c r="C1724" t="str">
        <f>IF(ROW(C1724)&lt;=Bidding!$D$11,Raw_hydro_bm!D1724,"")</f>
        <v/>
      </c>
      <c r="D1724" t="str">
        <f>IF(ROW(D1724)&lt;=Bidding!$D$11,Raw_hydro_bm!E1724,"")</f>
        <v/>
      </c>
      <c r="E1724" t="str">
        <f>IF(ROW(E1724)&lt;=Bidding!$D$11,Raw_hydro_bm!F1724,"")</f>
        <v/>
      </c>
      <c r="F1724" t="str">
        <f>IF(ROW(F1724)&lt;=Bidding!$D$11,Raw_hydro_bm!G1724,"")</f>
        <v/>
      </c>
      <c r="G1724" t="str">
        <f>IF(ROW(G1724)&lt;=Bidding!$D$11,Raw_hydro_bm!H1724,"")</f>
        <v/>
      </c>
      <c r="H1724" t="str">
        <f>IF(ROW(H1724)&lt;=Bidding!$D$11,Raw_hydro_bm!I1724,"")</f>
        <v/>
      </c>
      <c r="I1724" s="16" t="str">
        <f t="shared" si="26"/>
        <v/>
      </c>
    </row>
    <row r="1725" spans="1:9" x14ac:dyDescent="0.2">
      <c r="A1725" t="str">
        <f>IF(ROW(A1725)&lt;=Bidding!$D$11,Raw_hydro_bm!B1725,"")</f>
        <v/>
      </c>
      <c r="B1725" t="str">
        <f>IF(ROW(B1725)&lt;=Bidding!$D$11,Raw_hydro_bm!C1725,"")</f>
        <v/>
      </c>
      <c r="C1725" t="str">
        <f>IF(ROW(C1725)&lt;=Bidding!$D$11,Raw_hydro_bm!D1725,"")</f>
        <v/>
      </c>
      <c r="D1725" t="str">
        <f>IF(ROW(D1725)&lt;=Bidding!$D$11,Raw_hydro_bm!E1725,"")</f>
        <v/>
      </c>
      <c r="E1725" t="str">
        <f>IF(ROW(E1725)&lt;=Bidding!$D$11,Raw_hydro_bm!F1725,"")</f>
        <v/>
      </c>
      <c r="F1725" t="str">
        <f>IF(ROW(F1725)&lt;=Bidding!$D$11,Raw_hydro_bm!G1725,"")</f>
        <v/>
      </c>
      <c r="G1725" t="str">
        <f>IF(ROW(G1725)&lt;=Bidding!$D$11,Raw_hydro_bm!H1725,"")</f>
        <v/>
      </c>
      <c r="H1725" t="str">
        <f>IF(ROW(H1725)&lt;=Bidding!$D$11,Raw_hydro_bm!I1725,"")</f>
        <v/>
      </c>
      <c r="I1725" s="16" t="str">
        <f t="shared" si="26"/>
        <v/>
      </c>
    </row>
    <row r="1726" spans="1:9" x14ac:dyDescent="0.2">
      <c r="A1726" t="str">
        <f>IF(ROW(A1726)&lt;=Bidding!$D$11,Raw_hydro_bm!B1726,"")</f>
        <v/>
      </c>
      <c r="B1726" t="str">
        <f>IF(ROW(B1726)&lt;=Bidding!$D$11,Raw_hydro_bm!C1726,"")</f>
        <v/>
      </c>
      <c r="C1726" t="str">
        <f>IF(ROW(C1726)&lt;=Bidding!$D$11,Raw_hydro_bm!D1726,"")</f>
        <v/>
      </c>
      <c r="D1726" t="str">
        <f>IF(ROW(D1726)&lt;=Bidding!$D$11,Raw_hydro_bm!E1726,"")</f>
        <v/>
      </c>
      <c r="E1726" t="str">
        <f>IF(ROW(E1726)&lt;=Bidding!$D$11,Raw_hydro_bm!F1726,"")</f>
        <v/>
      </c>
      <c r="F1726" t="str">
        <f>IF(ROW(F1726)&lt;=Bidding!$D$11,Raw_hydro_bm!G1726,"")</f>
        <v/>
      </c>
      <c r="G1726" t="str">
        <f>IF(ROW(G1726)&lt;=Bidding!$D$11,Raw_hydro_bm!H1726,"")</f>
        <v/>
      </c>
      <c r="H1726" t="str">
        <f>IF(ROW(H1726)&lt;=Bidding!$D$11,Raw_hydro_bm!I1726,"")</f>
        <v/>
      </c>
      <c r="I1726" s="16" t="str">
        <f t="shared" si="26"/>
        <v/>
      </c>
    </row>
    <row r="1727" spans="1:9" x14ac:dyDescent="0.2">
      <c r="A1727" t="str">
        <f>IF(ROW(A1727)&lt;=Bidding!$D$11,Raw_hydro_bm!B1727,"")</f>
        <v/>
      </c>
      <c r="B1727" t="str">
        <f>IF(ROW(B1727)&lt;=Bidding!$D$11,Raw_hydro_bm!C1727,"")</f>
        <v/>
      </c>
      <c r="C1727" t="str">
        <f>IF(ROW(C1727)&lt;=Bidding!$D$11,Raw_hydro_bm!D1727,"")</f>
        <v/>
      </c>
      <c r="D1727" t="str">
        <f>IF(ROW(D1727)&lt;=Bidding!$D$11,Raw_hydro_bm!E1727,"")</f>
        <v/>
      </c>
      <c r="E1727" t="str">
        <f>IF(ROW(E1727)&lt;=Bidding!$D$11,Raw_hydro_bm!F1727,"")</f>
        <v/>
      </c>
      <c r="F1727" t="str">
        <f>IF(ROW(F1727)&lt;=Bidding!$D$11,Raw_hydro_bm!G1727,"")</f>
        <v/>
      </c>
      <c r="G1727" t="str">
        <f>IF(ROW(G1727)&lt;=Bidding!$D$11,Raw_hydro_bm!H1727,"")</f>
        <v/>
      </c>
      <c r="H1727" t="str">
        <f>IF(ROW(H1727)&lt;=Bidding!$D$11,Raw_hydro_bm!I1727,"")</f>
        <v/>
      </c>
      <c r="I1727" s="16" t="str">
        <f t="shared" si="26"/>
        <v/>
      </c>
    </row>
    <row r="1728" spans="1:9" x14ac:dyDescent="0.2">
      <c r="A1728" t="str">
        <f>IF(ROW(A1728)&lt;=Bidding!$D$11,Raw_hydro_bm!B1728,"")</f>
        <v/>
      </c>
      <c r="B1728" t="str">
        <f>IF(ROW(B1728)&lt;=Bidding!$D$11,Raw_hydro_bm!C1728,"")</f>
        <v/>
      </c>
      <c r="C1728" t="str">
        <f>IF(ROW(C1728)&lt;=Bidding!$D$11,Raw_hydro_bm!D1728,"")</f>
        <v/>
      </c>
      <c r="D1728" t="str">
        <f>IF(ROW(D1728)&lt;=Bidding!$D$11,Raw_hydro_bm!E1728,"")</f>
        <v/>
      </c>
      <c r="E1728" t="str">
        <f>IF(ROW(E1728)&lt;=Bidding!$D$11,Raw_hydro_bm!F1728,"")</f>
        <v/>
      </c>
      <c r="F1728" t="str">
        <f>IF(ROW(F1728)&lt;=Bidding!$D$11,Raw_hydro_bm!G1728,"")</f>
        <v/>
      </c>
      <c r="G1728" t="str">
        <f>IF(ROW(G1728)&lt;=Bidding!$D$11,Raw_hydro_bm!H1728,"")</f>
        <v/>
      </c>
      <c r="H1728" t="str">
        <f>IF(ROW(H1728)&lt;=Bidding!$D$11,Raw_hydro_bm!I1728,"")</f>
        <v/>
      </c>
      <c r="I1728" s="16" t="str">
        <f t="shared" si="26"/>
        <v/>
      </c>
    </row>
    <row r="1729" spans="1:9" x14ac:dyDescent="0.2">
      <c r="A1729" t="str">
        <f>IF(ROW(A1729)&lt;=Bidding!$D$11,Raw_hydro_bm!B1729,"")</f>
        <v/>
      </c>
      <c r="B1729" t="str">
        <f>IF(ROW(B1729)&lt;=Bidding!$D$11,Raw_hydro_bm!C1729,"")</f>
        <v/>
      </c>
      <c r="C1729" t="str">
        <f>IF(ROW(C1729)&lt;=Bidding!$D$11,Raw_hydro_bm!D1729,"")</f>
        <v/>
      </c>
      <c r="D1729" t="str">
        <f>IF(ROW(D1729)&lt;=Bidding!$D$11,Raw_hydro_bm!E1729,"")</f>
        <v/>
      </c>
      <c r="E1729" t="str">
        <f>IF(ROW(E1729)&lt;=Bidding!$D$11,Raw_hydro_bm!F1729,"")</f>
        <v/>
      </c>
      <c r="F1729" t="str">
        <f>IF(ROW(F1729)&lt;=Bidding!$D$11,Raw_hydro_bm!G1729,"")</f>
        <v/>
      </c>
      <c r="G1729" t="str">
        <f>IF(ROW(G1729)&lt;=Bidding!$D$11,Raw_hydro_bm!H1729,"")</f>
        <v/>
      </c>
      <c r="H1729" t="str">
        <f>IF(ROW(H1729)&lt;=Bidding!$D$11,Raw_hydro_bm!I1729,"")</f>
        <v/>
      </c>
      <c r="I1729" s="16" t="str">
        <f t="shared" si="26"/>
        <v/>
      </c>
    </row>
    <row r="1730" spans="1:9" x14ac:dyDescent="0.2">
      <c r="A1730" t="str">
        <f>IF(ROW(A1730)&lt;=Bidding!$D$11,Raw_hydro_bm!B1730,"")</f>
        <v/>
      </c>
      <c r="B1730" t="str">
        <f>IF(ROW(B1730)&lt;=Bidding!$D$11,Raw_hydro_bm!C1730,"")</f>
        <v/>
      </c>
      <c r="C1730" t="str">
        <f>IF(ROW(C1730)&lt;=Bidding!$D$11,Raw_hydro_bm!D1730,"")</f>
        <v/>
      </c>
      <c r="D1730" t="str">
        <f>IF(ROW(D1730)&lt;=Bidding!$D$11,Raw_hydro_bm!E1730,"")</f>
        <v/>
      </c>
      <c r="E1730" t="str">
        <f>IF(ROW(E1730)&lt;=Bidding!$D$11,Raw_hydro_bm!F1730,"")</f>
        <v/>
      </c>
      <c r="F1730" t="str">
        <f>IF(ROW(F1730)&lt;=Bidding!$D$11,Raw_hydro_bm!G1730,"")</f>
        <v/>
      </c>
      <c r="G1730" t="str">
        <f>IF(ROW(G1730)&lt;=Bidding!$D$11,Raw_hydro_bm!H1730,"")</f>
        <v/>
      </c>
      <c r="H1730" t="str">
        <f>IF(ROW(H1730)&lt;=Bidding!$D$11,Raw_hydro_bm!I1730,"")</f>
        <v/>
      </c>
      <c r="I1730" s="16" t="str">
        <f t="shared" ref="I1730:I1793" si="27">IF(IFERROR(FIND("e",H1730),-1)&lt;0,IFERROR(_xlfn.NUMBERVALUE(LEFT(H1730,FIND(".",H1730)-1))+_xlfn.NUMBERVALUE("0,"&amp;RIGHT(H1730,LEN(H1730)-FIND(".",H1730))),""),0)</f>
        <v/>
      </c>
    </row>
    <row r="1731" spans="1:9" x14ac:dyDescent="0.2">
      <c r="A1731" t="str">
        <f>IF(ROW(A1731)&lt;=Bidding!$D$11,Raw_hydro_bm!B1731,"")</f>
        <v/>
      </c>
      <c r="B1731" t="str">
        <f>IF(ROW(B1731)&lt;=Bidding!$D$11,Raw_hydro_bm!C1731,"")</f>
        <v/>
      </c>
      <c r="C1731" t="str">
        <f>IF(ROW(C1731)&lt;=Bidding!$D$11,Raw_hydro_bm!D1731,"")</f>
        <v/>
      </c>
      <c r="D1731" t="str">
        <f>IF(ROW(D1731)&lt;=Bidding!$D$11,Raw_hydro_bm!E1731,"")</f>
        <v/>
      </c>
      <c r="E1731" t="str">
        <f>IF(ROW(E1731)&lt;=Bidding!$D$11,Raw_hydro_bm!F1731,"")</f>
        <v/>
      </c>
      <c r="F1731" t="str">
        <f>IF(ROW(F1731)&lt;=Bidding!$D$11,Raw_hydro_bm!G1731,"")</f>
        <v/>
      </c>
      <c r="G1731" t="str">
        <f>IF(ROW(G1731)&lt;=Bidding!$D$11,Raw_hydro_bm!H1731,"")</f>
        <v/>
      </c>
      <c r="H1731" t="str">
        <f>IF(ROW(H1731)&lt;=Bidding!$D$11,Raw_hydro_bm!I1731,"")</f>
        <v/>
      </c>
      <c r="I1731" s="16" t="str">
        <f t="shared" si="27"/>
        <v/>
      </c>
    </row>
    <row r="1732" spans="1:9" x14ac:dyDescent="0.2">
      <c r="A1732" t="str">
        <f>IF(ROW(A1732)&lt;=Bidding!$D$11,Raw_hydro_bm!B1732,"")</f>
        <v/>
      </c>
      <c r="B1732" t="str">
        <f>IF(ROW(B1732)&lt;=Bidding!$D$11,Raw_hydro_bm!C1732,"")</f>
        <v/>
      </c>
      <c r="C1732" t="str">
        <f>IF(ROW(C1732)&lt;=Bidding!$D$11,Raw_hydro_bm!D1732,"")</f>
        <v/>
      </c>
      <c r="D1732" t="str">
        <f>IF(ROW(D1732)&lt;=Bidding!$D$11,Raw_hydro_bm!E1732,"")</f>
        <v/>
      </c>
      <c r="E1732" t="str">
        <f>IF(ROW(E1732)&lt;=Bidding!$D$11,Raw_hydro_bm!F1732,"")</f>
        <v/>
      </c>
      <c r="F1732" t="str">
        <f>IF(ROW(F1732)&lt;=Bidding!$D$11,Raw_hydro_bm!G1732,"")</f>
        <v/>
      </c>
      <c r="G1732" t="str">
        <f>IF(ROW(G1732)&lt;=Bidding!$D$11,Raw_hydro_bm!H1732,"")</f>
        <v/>
      </c>
      <c r="H1732" t="str">
        <f>IF(ROW(H1732)&lt;=Bidding!$D$11,Raw_hydro_bm!I1732,"")</f>
        <v/>
      </c>
      <c r="I1732" s="16" t="str">
        <f t="shared" si="27"/>
        <v/>
      </c>
    </row>
    <row r="1733" spans="1:9" x14ac:dyDescent="0.2">
      <c r="A1733" t="str">
        <f>IF(ROW(A1733)&lt;=Bidding!$D$11,Raw_hydro_bm!B1733,"")</f>
        <v/>
      </c>
      <c r="B1733" t="str">
        <f>IF(ROW(B1733)&lt;=Bidding!$D$11,Raw_hydro_bm!C1733,"")</f>
        <v/>
      </c>
      <c r="C1733" t="str">
        <f>IF(ROW(C1733)&lt;=Bidding!$D$11,Raw_hydro_bm!D1733,"")</f>
        <v/>
      </c>
      <c r="D1733" t="str">
        <f>IF(ROW(D1733)&lt;=Bidding!$D$11,Raw_hydro_bm!E1733,"")</f>
        <v/>
      </c>
      <c r="E1733" t="str">
        <f>IF(ROW(E1733)&lt;=Bidding!$D$11,Raw_hydro_bm!F1733,"")</f>
        <v/>
      </c>
      <c r="F1733" t="str">
        <f>IF(ROW(F1733)&lt;=Bidding!$D$11,Raw_hydro_bm!G1733,"")</f>
        <v/>
      </c>
      <c r="G1733" t="str">
        <f>IF(ROW(G1733)&lt;=Bidding!$D$11,Raw_hydro_bm!H1733,"")</f>
        <v/>
      </c>
      <c r="H1733" t="str">
        <f>IF(ROW(H1733)&lt;=Bidding!$D$11,Raw_hydro_bm!I1733,"")</f>
        <v/>
      </c>
      <c r="I1733" s="16" t="str">
        <f t="shared" si="27"/>
        <v/>
      </c>
    </row>
    <row r="1734" spans="1:9" x14ac:dyDescent="0.2">
      <c r="A1734" t="str">
        <f>IF(ROW(A1734)&lt;=Bidding!$D$11,Raw_hydro_bm!B1734,"")</f>
        <v/>
      </c>
      <c r="B1734" t="str">
        <f>IF(ROW(B1734)&lt;=Bidding!$D$11,Raw_hydro_bm!C1734,"")</f>
        <v/>
      </c>
      <c r="C1734" t="str">
        <f>IF(ROW(C1734)&lt;=Bidding!$D$11,Raw_hydro_bm!D1734,"")</f>
        <v/>
      </c>
      <c r="D1734" t="str">
        <f>IF(ROW(D1734)&lt;=Bidding!$D$11,Raw_hydro_bm!E1734,"")</f>
        <v/>
      </c>
      <c r="E1734" t="str">
        <f>IF(ROW(E1734)&lt;=Bidding!$D$11,Raw_hydro_bm!F1734,"")</f>
        <v/>
      </c>
      <c r="F1734" t="str">
        <f>IF(ROW(F1734)&lt;=Bidding!$D$11,Raw_hydro_bm!G1734,"")</f>
        <v/>
      </c>
      <c r="G1734" t="str">
        <f>IF(ROW(G1734)&lt;=Bidding!$D$11,Raw_hydro_bm!H1734,"")</f>
        <v/>
      </c>
      <c r="H1734" t="str">
        <f>IF(ROW(H1734)&lt;=Bidding!$D$11,Raw_hydro_bm!I1734,"")</f>
        <v/>
      </c>
      <c r="I1734" s="16" t="str">
        <f t="shared" si="27"/>
        <v/>
      </c>
    </row>
    <row r="1735" spans="1:9" x14ac:dyDescent="0.2">
      <c r="A1735" t="str">
        <f>IF(ROW(A1735)&lt;=Bidding!$D$11,Raw_hydro_bm!B1735,"")</f>
        <v/>
      </c>
      <c r="B1735" t="str">
        <f>IF(ROW(B1735)&lt;=Bidding!$D$11,Raw_hydro_bm!C1735,"")</f>
        <v/>
      </c>
      <c r="C1735" t="str">
        <f>IF(ROW(C1735)&lt;=Bidding!$D$11,Raw_hydro_bm!D1735,"")</f>
        <v/>
      </c>
      <c r="D1735" t="str">
        <f>IF(ROW(D1735)&lt;=Bidding!$D$11,Raw_hydro_bm!E1735,"")</f>
        <v/>
      </c>
      <c r="E1735" t="str">
        <f>IF(ROW(E1735)&lt;=Bidding!$D$11,Raw_hydro_bm!F1735,"")</f>
        <v/>
      </c>
      <c r="F1735" t="str">
        <f>IF(ROW(F1735)&lt;=Bidding!$D$11,Raw_hydro_bm!G1735,"")</f>
        <v/>
      </c>
      <c r="G1735" t="str">
        <f>IF(ROW(G1735)&lt;=Bidding!$D$11,Raw_hydro_bm!H1735,"")</f>
        <v/>
      </c>
      <c r="H1735" t="str">
        <f>IF(ROW(H1735)&lt;=Bidding!$D$11,Raw_hydro_bm!I1735,"")</f>
        <v/>
      </c>
      <c r="I1735" s="16" t="str">
        <f t="shared" si="27"/>
        <v/>
      </c>
    </row>
    <row r="1736" spans="1:9" x14ac:dyDescent="0.2">
      <c r="A1736" t="str">
        <f>IF(ROW(A1736)&lt;=Bidding!$D$11,Raw_hydro_bm!B1736,"")</f>
        <v/>
      </c>
      <c r="B1736" t="str">
        <f>IF(ROW(B1736)&lt;=Bidding!$D$11,Raw_hydro_bm!C1736,"")</f>
        <v/>
      </c>
      <c r="C1736" t="str">
        <f>IF(ROW(C1736)&lt;=Bidding!$D$11,Raw_hydro_bm!D1736,"")</f>
        <v/>
      </c>
      <c r="D1736" t="str">
        <f>IF(ROW(D1736)&lt;=Bidding!$D$11,Raw_hydro_bm!E1736,"")</f>
        <v/>
      </c>
      <c r="E1736" t="str">
        <f>IF(ROW(E1736)&lt;=Bidding!$D$11,Raw_hydro_bm!F1736,"")</f>
        <v/>
      </c>
      <c r="F1736" t="str">
        <f>IF(ROW(F1736)&lt;=Bidding!$D$11,Raw_hydro_bm!G1736,"")</f>
        <v/>
      </c>
      <c r="G1736" t="str">
        <f>IF(ROW(G1736)&lt;=Bidding!$D$11,Raw_hydro_bm!H1736,"")</f>
        <v/>
      </c>
      <c r="H1736" t="str">
        <f>IF(ROW(H1736)&lt;=Bidding!$D$11,Raw_hydro_bm!I1736,"")</f>
        <v/>
      </c>
      <c r="I1736" s="16" t="str">
        <f t="shared" si="27"/>
        <v/>
      </c>
    </row>
    <row r="1737" spans="1:9" x14ac:dyDescent="0.2">
      <c r="A1737" t="str">
        <f>IF(ROW(A1737)&lt;=Bidding!$D$11,Raw_hydro_bm!B1737,"")</f>
        <v/>
      </c>
      <c r="B1737" t="str">
        <f>IF(ROW(B1737)&lt;=Bidding!$D$11,Raw_hydro_bm!C1737,"")</f>
        <v/>
      </c>
      <c r="C1737" t="str">
        <f>IF(ROW(C1737)&lt;=Bidding!$D$11,Raw_hydro_bm!D1737,"")</f>
        <v/>
      </c>
      <c r="D1737" t="str">
        <f>IF(ROW(D1737)&lt;=Bidding!$D$11,Raw_hydro_bm!E1737,"")</f>
        <v/>
      </c>
      <c r="E1737" t="str">
        <f>IF(ROW(E1737)&lt;=Bidding!$D$11,Raw_hydro_bm!F1737,"")</f>
        <v/>
      </c>
      <c r="F1737" t="str">
        <f>IF(ROW(F1737)&lt;=Bidding!$D$11,Raw_hydro_bm!G1737,"")</f>
        <v/>
      </c>
      <c r="G1737" t="str">
        <f>IF(ROW(G1737)&lt;=Bidding!$D$11,Raw_hydro_bm!H1737,"")</f>
        <v/>
      </c>
      <c r="H1737" t="str">
        <f>IF(ROW(H1737)&lt;=Bidding!$D$11,Raw_hydro_bm!I1737,"")</f>
        <v/>
      </c>
      <c r="I1737" s="16" t="str">
        <f t="shared" si="27"/>
        <v/>
      </c>
    </row>
    <row r="1738" spans="1:9" x14ac:dyDescent="0.2">
      <c r="A1738" t="str">
        <f>IF(ROW(A1738)&lt;=Bidding!$D$11,Raw_hydro_bm!B1738,"")</f>
        <v/>
      </c>
      <c r="B1738" t="str">
        <f>IF(ROW(B1738)&lt;=Bidding!$D$11,Raw_hydro_bm!C1738,"")</f>
        <v/>
      </c>
      <c r="C1738" t="str">
        <f>IF(ROW(C1738)&lt;=Bidding!$D$11,Raw_hydro_bm!D1738,"")</f>
        <v/>
      </c>
      <c r="D1738" t="str">
        <f>IF(ROW(D1738)&lt;=Bidding!$D$11,Raw_hydro_bm!E1738,"")</f>
        <v/>
      </c>
      <c r="E1738" t="str">
        <f>IF(ROW(E1738)&lt;=Bidding!$D$11,Raw_hydro_bm!F1738,"")</f>
        <v/>
      </c>
      <c r="F1738" t="str">
        <f>IF(ROW(F1738)&lt;=Bidding!$D$11,Raw_hydro_bm!G1738,"")</f>
        <v/>
      </c>
      <c r="G1738" t="str">
        <f>IF(ROW(G1738)&lt;=Bidding!$D$11,Raw_hydro_bm!H1738,"")</f>
        <v/>
      </c>
      <c r="H1738" t="str">
        <f>IF(ROW(H1738)&lt;=Bidding!$D$11,Raw_hydro_bm!I1738,"")</f>
        <v/>
      </c>
      <c r="I1738" s="16" t="str">
        <f t="shared" si="27"/>
        <v/>
      </c>
    </row>
    <row r="1739" spans="1:9" x14ac:dyDescent="0.2">
      <c r="A1739" t="str">
        <f>IF(ROW(A1739)&lt;=Bidding!$D$11,Raw_hydro_bm!B1739,"")</f>
        <v/>
      </c>
      <c r="B1739" t="str">
        <f>IF(ROW(B1739)&lt;=Bidding!$D$11,Raw_hydro_bm!C1739,"")</f>
        <v/>
      </c>
      <c r="C1739" t="str">
        <f>IF(ROW(C1739)&lt;=Bidding!$D$11,Raw_hydro_bm!D1739,"")</f>
        <v/>
      </c>
      <c r="D1739" t="str">
        <f>IF(ROW(D1739)&lt;=Bidding!$D$11,Raw_hydro_bm!E1739,"")</f>
        <v/>
      </c>
      <c r="E1739" t="str">
        <f>IF(ROW(E1739)&lt;=Bidding!$D$11,Raw_hydro_bm!F1739,"")</f>
        <v/>
      </c>
      <c r="F1739" t="str">
        <f>IF(ROW(F1739)&lt;=Bidding!$D$11,Raw_hydro_bm!G1739,"")</f>
        <v/>
      </c>
      <c r="G1739" t="str">
        <f>IF(ROW(G1739)&lt;=Bidding!$D$11,Raw_hydro_bm!H1739,"")</f>
        <v/>
      </c>
      <c r="H1739" t="str">
        <f>IF(ROW(H1739)&lt;=Bidding!$D$11,Raw_hydro_bm!I1739,"")</f>
        <v/>
      </c>
      <c r="I1739" s="16" t="str">
        <f t="shared" si="27"/>
        <v/>
      </c>
    </row>
    <row r="1740" spans="1:9" x14ac:dyDescent="0.2">
      <c r="A1740" t="str">
        <f>IF(ROW(A1740)&lt;=Bidding!$D$11,Raw_hydro_bm!B1740,"")</f>
        <v/>
      </c>
      <c r="B1740" t="str">
        <f>IF(ROW(B1740)&lt;=Bidding!$D$11,Raw_hydro_bm!C1740,"")</f>
        <v/>
      </c>
      <c r="C1740" t="str">
        <f>IF(ROW(C1740)&lt;=Bidding!$D$11,Raw_hydro_bm!D1740,"")</f>
        <v/>
      </c>
      <c r="D1740" t="str">
        <f>IF(ROW(D1740)&lt;=Bidding!$D$11,Raw_hydro_bm!E1740,"")</f>
        <v/>
      </c>
      <c r="E1740" t="str">
        <f>IF(ROW(E1740)&lt;=Bidding!$D$11,Raw_hydro_bm!F1740,"")</f>
        <v/>
      </c>
      <c r="F1740" t="str">
        <f>IF(ROW(F1740)&lt;=Bidding!$D$11,Raw_hydro_bm!G1740,"")</f>
        <v/>
      </c>
      <c r="G1740" t="str">
        <f>IF(ROW(G1740)&lt;=Bidding!$D$11,Raw_hydro_bm!H1740,"")</f>
        <v/>
      </c>
      <c r="H1740" t="str">
        <f>IF(ROW(H1740)&lt;=Bidding!$D$11,Raw_hydro_bm!I1740,"")</f>
        <v/>
      </c>
      <c r="I1740" s="16" t="str">
        <f t="shared" si="27"/>
        <v/>
      </c>
    </row>
    <row r="1741" spans="1:9" x14ac:dyDescent="0.2">
      <c r="A1741" t="str">
        <f>IF(ROW(A1741)&lt;=Bidding!$D$11,Raw_hydro_bm!B1741,"")</f>
        <v/>
      </c>
      <c r="B1741" t="str">
        <f>IF(ROW(B1741)&lt;=Bidding!$D$11,Raw_hydro_bm!C1741,"")</f>
        <v/>
      </c>
      <c r="C1741" t="str">
        <f>IF(ROW(C1741)&lt;=Bidding!$D$11,Raw_hydro_bm!D1741,"")</f>
        <v/>
      </c>
      <c r="D1741" t="str">
        <f>IF(ROW(D1741)&lt;=Bidding!$D$11,Raw_hydro_bm!E1741,"")</f>
        <v/>
      </c>
      <c r="E1741" t="str">
        <f>IF(ROW(E1741)&lt;=Bidding!$D$11,Raw_hydro_bm!F1741,"")</f>
        <v/>
      </c>
      <c r="F1741" t="str">
        <f>IF(ROW(F1741)&lt;=Bidding!$D$11,Raw_hydro_bm!G1741,"")</f>
        <v/>
      </c>
      <c r="G1741" t="str">
        <f>IF(ROW(G1741)&lt;=Bidding!$D$11,Raw_hydro_bm!H1741,"")</f>
        <v/>
      </c>
      <c r="H1741" t="str">
        <f>IF(ROW(H1741)&lt;=Bidding!$D$11,Raw_hydro_bm!I1741,"")</f>
        <v/>
      </c>
      <c r="I1741" s="16" t="str">
        <f t="shared" si="27"/>
        <v/>
      </c>
    </row>
    <row r="1742" spans="1:9" x14ac:dyDescent="0.2">
      <c r="A1742" t="str">
        <f>IF(ROW(A1742)&lt;=Bidding!$D$11,Raw_hydro_bm!B1742,"")</f>
        <v/>
      </c>
      <c r="B1742" t="str">
        <f>IF(ROW(B1742)&lt;=Bidding!$D$11,Raw_hydro_bm!C1742,"")</f>
        <v/>
      </c>
      <c r="C1742" t="str">
        <f>IF(ROW(C1742)&lt;=Bidding!$D$11,Raw_hydro_bm!D1742,"")</f>
        <v/>
      </c>
      <c r="D1742" t="str">
        <f>IF(ROW(D1742)&lt;=Bidding!$D$11,Raw_hydro_bm!E1742,"")</f>
        <v/>
      </c>
      <c r="E1742" t="str">
        <f>IF(ROW(E1742)&lt;=Bidding!$D$11,Raw_hydro_bm!F1742,"")</f>
        <v/>
      </c>
      <c r="F1742" t="str">
        <f>IF(ROW(F1742)&lt;=Bidding!$D$11,Raw_hydro_bm!G1742,"")</f>
        <v/>
      </c>
      <c r="G1742" t="str">
        <f>IF(ROW(G1742)&lt;=Bidding!$D$11,Raw_hydro_bm!H1742,"")</f>
        <v/>
      </c>
      <c r="H1742" t="str">
        <f>IF(ROW(H1742)&lt;=Bidding!$D$11,Raw_hydro_bm!I1742,"")</f>
        <v/>
      </c>
      <c r="I1742" s="16" t="str">
        <f t="shared" si="27"/>
        <v/>
      </c>
    </row>
    <row r="1743" spans="1:9" x14ac:dyDescent="0.2">
      <c r="A1743" t="str">
        <f>IF(ROW(A1743)&lt;=Bidding!$D$11,Raw_hydro_bm!B1743,"")</f>
        <v/>
      </c>
      <c r="B1743" t="str">
        <f>IF(ROW(B1743)&lt;=Bidding!$D$11,Raw_hydro_bm!C1743,"")</f>
        <v/>
      </c>
      <c r="C1743" t="str">
        <f>IF(ROW(C1743)&lt;=Bidding!$D$11,Raw_hydro_bm!D1743,"")</f>
        <v/>
      </c>
      <c r="D1743" t="str">
        <f>IF(ROW(D1743)&lt;=Bidding!$D$11,Raw_hydro_bm!E1743,"")</f>
        <v/>
      </c>
      <c r="E1743" t="str">
        <f>IF(ROW(E1743)&lt;=Bidding!$D$11,Raw_hydro_bm!F1743,"")</f>
        <v/>
      </c>
      <c r="F1743" t="str">
        <f>IF(ROW(F1743)&lt;=Bidding!$D$11,Raw_hydro_bm!G1743,"")</f>
        <v/>
      </c>
      <c r="G1743" t="str">
        <f>IF(ROW(G1743)&lt;=Bidding!$D$11,Raw_hydro_bm!H1743,"")</f>
        <v/>
      </c>
      <c r="H1743" t="str">
        <f>IF(ROW(H1743)&lt;=Bidding!$D$11,Raw_hydro_bm!I1743,"")</f>
        <v/>
      </c>
      <c r="I1743" s="16" t="str">
        <f t="shared" si="27"/>
        <v/>
      </c>
    </row>
    <row r="1744" spans="1:9" x14ac:dyDescent="0.2">
      <c r="A1744" t="str">
        <f>IF(ROW(A1744)&lt;=Bidding!$D$11,Raw_hydro_bm!B1744,"")</f>
        <v/>
      </c>
      <c r="B1744" t="str">
        <f>IF(ROW(B1744)&lt;=Bidding!$D$11,Raw_hydro_bm!C1744,"")</f>
        <v/>
      </c>
      <c r="C1744" t="str">
        <f>IF(ROW(C1744)&lt;=Bidding!$D$11,Raw_hydro_bm!D1744,"")</f>
        <v/>
      </c>
      <c r="D1744" t="str">
        <f>IF(ROW(D1744)&lt;=Bidding!$D$11,Raw_hydro_bm!E1744,"")</f>
        <v/>
      </c>
      <c r="E1744" t="str">
        <f>IF(ROW(E1744)&lt;=Bidding!$D$11,Raw_hydro_bm!F1744,"")</f>
        <v/>
      </c>
      <c r="F1744" t="str">
        <f>IF(ROW(F1744)&lt;=Bidding!$D$11,Raw_hydro_bm!G1744,"")</f>
        <v/>
      </c>
      <c r="G1744" t="str">
        <f>IF(ROW(G1744)&lt;=Bidding!$D$11,Raw_hydro_bm!H1744,"")</f>
        <v/>
      </c>
      <c r="H1744" t="str">
        <f>IF(ROW(H1744)&lt;=Bidding!$D$11,Raw_hydro_bm!I1744,"")</f>
        <v/>
      </c>
      <c r="I1744" s="16" t="str">
        <f t="shared" si="27"/>
        <v/>
      </c>
    </row>
    <row r="1745" spans="1:9" x14ac:dyDescent="0.2">
      <c r="A1745" t="str">
        <f>IF(ROW(A1745)&lt;=Bidding!$D$11,Raw_hydro_bm!B1745,"")</f>
        <v/>
      </c>
      <c r="B1745" t="str">
        <f>IF(ROW(B1745)&lt;=Bidding!$D$11,Raw_hydro_bm!C1745,"")</f>
        <v/>
      </c>
      <c r="C1745" t="str">
        <f>IF(ROW(C1745)&lt;=Bidding!$D$11,Raw_hydro_bm!D1745,"")</f>
        <v/>
      </c>
      <c r="D1745" t="str">
        <f>IF(ROW(D1745)&lt;=Bidding!$D$11,Raw_hydro_bm!E1745,"")</f>
        <v/>
      </c>
      <c r="E1745" t="str">
        <f>IF(ROW(E1745)&lt;=Bidding!$D$11,Raw_hydro_bm!F1745,"")</f>
        <v/>
      </c>
      <c r="F1745" t="str">
        <f>IF(ROW(F1745)&lt;=Bidding!$D$11,Raw_hydro_bm!G1745,"")</f>
        <v/>
      </c>
      <c r="G1745" t="str">
        <f>IF(ROW(G1745)&lt;=Bidding!$D$11,Raw_hydro_bm!H1745,"")</f>
        <v/>
      </c>
      <c r="H1745" t="str">
        <f>IF(ROW(H1745)&lt;=Bidding!$D$11,Raw_hydro_bm!I1745,"")</f>
        <v/>
      </c>
      <c r="I1745" s="16" t="str">
        <f t="shared" si="27"/>
        <v/>
      </c>
    </row>
    <row r="1746" spans="1:9" x14ac:dyDescent="0.2">
      <c r="A1746" t="str">
        <f>IF(ROW(A1746)&lt;=Bidding!$D$11,Raw_hydro_bm!B1746,"")</f>
        <v/>
      </c>
      <c r="B1746" t="str">
        <f>IF(ROW(B1746)&lt;=Bidding!$D$11,Raw_hydro_bm!C1746,"")</f>
        <v/>
      </c>
      <c r="C1746" t="str">
        <f>IF(ROW(C1746)&lt;=Bidding!$D$11,Raw_hydro_bm!D1746,"")</f>
        <v/>
      </c>
      <c r="D1746" t="str">
        <f>IF(ROW(D1746)&lt;=Bidding!$D$11,Raw_hydro_bm!E1746,"")</f>
        <v/>
      </c>
      <c r="E1746" t="str">
        <f>IF(ROW(E1746)&lt;=Bidding!$D$11,Raw_hydro_bm!F1746,"")</f>
        <v/>
      </c>
      <c r="F1746" t="str">
        <f>IF(ROW(F1746)&lt;=Bidding!$D$11,Raw_hydro_bm!G1746,"")</f>
        <v/>
      </c>
      <c r="G1746" t="str">
        <f>IF(ROW(G1746)&lt;=Bidding!$D$11,Raw_hydro_bm!H1746,"")</f>
        <v/>
      </c>
      <c r="H1746" t="str">
        <f>IF(ROW(H1746)&lt;=Bidding!$D$11,Raw_hydro_bm!I1746,"")</f>
        <v/>
      </c>
      <c r="I1746" s="16" t="str">
        <f t="shared" si="27"/>
        <v/>
      </c>
    </row>
    <row r="1747" spans="1:9" x14ac:dyDescent="0.2">
      <c r="A1747" t="str">
        <f>IF(ROW(A1747)&lt;=Bidding!$D$11,Raw_hydro_bm!B1747,"")</f>
        <v/>
      </c>
      <c r="B1747" t="str">
        <f>IF(ROW(B1747)&lt;=Bidding!$D$11,Raw_hydro_bm!C1747,"")</f>
        <v/>
      </c>
      <c r="C1747" t="str">
        <f>IF(ROW(C1747)&lt;=Bidding!$D$11,Raw_hydro_bm!D1747,"")</f>
        <v/>
      </c>
      <c r="D1747" t="str">
        <f>IF(ROW(D1747)&lt;=Bidding!$D$11,Raw_hydro_bm!E1747,"")</f>
        <v/>
      </c>
      <c r="E1747" t="str">
        <f>IF(ROW(E1747)&lt;=Bidding!$D$11,Raw_hydro_bm!F1747,"")</f>
        <v/>
      </c>
      <c r="F1747" t="str">
        <f>IF(ROW(F1747)&lt;=Bidding!$D$11,Raw_hydro_bm!G1747,"")</f>
        <v/>
      </c>
      <c r="G1747" t="str">
        <f>IF(ROW(G1747)&lt;=Bidding!$D$11,Raw_hydro_bm!H1747,"")</f>
        <v/>
      </c>
      <c r="H1747" t="str">
        <f>IF(ROW(H1747)&lt;=Bidding!$D$11,Raw_hydro_bm!I1747,"")</f>
        <v/>
      </c>
      <c r="I1747" s="16" t="str">
        <f t="shared" si="27"/>
        <v/>
      </c>
    </row>
    <row r="1748" spans="1:9" x14ac:dyDescent="0.2">
      <c r="A1748" t="str">
        <f>IF(ROW(A1748)&lt;=Bidding!$D$11,Raw_hydro_bm!B1748,"")</f>
        <v/>
      </c>
      <c r="B1748" t="str">
        <f>IF(ROW(B1748)&lt;=Bidding!$D$11,Raw_hydro_bm!C1748,"")</f>
        <v/>
      </c>
      <c r="C1748" t="str">
        <f>IF(ROW(C1748)&lt;=Bidding!$D$11,Raw_hydro_bm!D1748,"")</f>
        <v/>
      </c>
      <c r="D1748" t="str">
        <f>IF(ROW(D1748)&lt;=Bidding!$D$11,Raw_hydro_bm!E1748,"")</f>
        <v/>
      </c>
      <c r="E1748" t="str">
        <f>IF(ROW(E1748)&lt;=Bidding!$D$11,Raw_hydro_bm!F1748,"")</f>
        <v/>
      </c>
      <c r="F1748" t="str">
        <f>IF(ROW(F1748)&lt;=Bidding!$D$11,Raw_hydro_bm!G1748,"")</f>
        <v/>
      </c>
      <c r="G1748" t="str">
        <f>IF(ROW(G1748)&lt;=Bidding!$D$11,Raw_hydro_bm!H1748,"")</f>
        <v/>
      </c>
      <c r="H1748" t="str">
        <f>IF(ROW(H1748)&lt;=Bidding!$D$11,Raw_hydro_bm!I1748,"")</f>
        <v/>
      </c>
      <c r="I1748" s="16" t="str">
        <f t="shared" si="27"/>
        <v/>
      </c>
    </row>
    <row r="1749" spans="1:9" x14ac:dyDescent="0.2">
      <c r="A1749" t="str">
        <f>IF(ROW(A1749)&lt;=Bidding!$D$11,Raw_hydro_bm!B1749,"")</f>
        <v/>
      </c>
      <c r="B1749" t="str">
        <f>IF(ROW(B1749)&lt;=Bidding!$D$11,Raw_hydro_bm!C1749,"")</f>
        <v/>
      </c>
      <c r="C1749" t="str">
        <f>IF(ROW(C1749)&lt;=Bidding!$D$11,Raw_hydro_bm!D1749,"")</f>
        <v/>
      </c>
      <c r="D1749" t="str">
        <f>IF(ROW(D1749)&lt;=Bidding!$D$11,Raw_hydro_bm!E1749,"")</f>
        <v/>
      </c>
      <c r="E1749" t="str">
        <f>IF(ROW(E1749)&lt;=Bidding!$D$11,Raw_hydro_bm!F1749,"")</f>
        <v/>
      </c>
      <c r="F1749" t="str">
        <f>IF(ROW(F1749)&lt;=Bidding!$D$11,Raw_hydro_bm!G1749,"")</f>
        <v/>
      </c>
      <c r="G1749" t="str">
        <f>IF(ROW(G1749)&lt;=Bidding!$D$11,Raw_hydro_bm!H1749,"")</f>
        <v/>
      </c>
      <c r="H1749" t="str">
        <f>IF(ROW(H1749)&lt;=Bidding!$D$11,Raw_hydro_bm!I1749,"")</f>
        <v/>
      </c>
      <c r="I1749" s="16" t="str">
        <f t="shared" si="27"/>
        <v/>
      </c>
    </row>
    <row r="1750" spans="1:9" x14ac:dyDescent="0.2">
      <c r="A1750" t="str">
        <f>IF(ROW(A1750)&lt;=Bidding!$D$11,Raw_hydro_bm!B1750,"")</f>
        <v/>
      </c>
      <c r="B1750" t="str">
        <f>IF(ROW(B1750)&lt;=Bidding!$D$11,Raw_hydro_bm!C1750,"")</f>
        <v/>
      </c>
      <c r="C1750" t="str">
        <f>IF(ROW(C1750)&lt;=Bidding!$D$11,Raw_hydro_bm!D1750,"")</f>
        <v/>
      </c>
      <c r="D1750" t="str">
        <f>IF(ROW(D1750)&lt;=Bidding!$D$11,Raw_hydro_bm!E1750,"")</f>
        <v/>
      </c>
      <c r="E1750" t="str">
        <f>IF(ROW(E1750)&lt;=Bidding!$D$11,Raw_hydro_bm!F1750,"")</f>
        <v/>
      </c>
      <c r="F1750" t="str">
        <f>IF(ROW(F1750)&lt;=Bidding!$D$11,Raw_hydro_bm!G1750,"")</f>
        <v/>
      </c>
      <c r="G1750" t="str">
        <f>IF(ROW(G1750)&lt;=Bidding!$D$11,Raw_hydro_bm!H1750,"")</f>
        <v/>
      </c>
      <c r="H1750" t="str">
        <f>IF(ROW(H1750)&lt;=Bidding!$D$11,Raw_hydro_bm!I1750,"")</f>
        <v/>
      </c>
      <c r="I1750" s="16" t="str">
        <f t="shared" si="27"/>
        <v/>
      </c>
    </row>
    <row r="1751" spans="1:9" x14ac:dyDescent="0.2">
      <c r="A1751" t="str">
        <f>IF(ROW(A1751)&lt;=Bidding!$D$11,Raw_hydro_bm!B1751,"")</f>
        <v/>
      </c>
      <c r="B1751" t="str">
        <f>IF(ROW(B1751)&lt;=Bidding!$D$11,Raw_hydro_bm!C1751,"")</f>
        <v/>
      </c>
      <c r="C1751" t="str">
        <f>IF(ROW(C1751)&lt;=Bidding!$D$11,Raw_hydro_bm!D1751,"")</f>
        <v/>
      </c>
      <c r="D1751" t="str">
        <f>IF(ROW(D1751)&lt;=Bidding!$D$11,Raw_hydro_bm!E1751,"")</f>
        <v/>
      </c>
      <c r="E1751" t="str">
        <f>IF(ROW(E1751)&lt;=Bidding!$D$11,Raw_hydro_bm!F1751,"")</f>
        <v/>
      </c>
      <c r="F1751" t="str">
        <f>IF(ROW(F1751)&lt;=Bidding!$D$11,Raw_hydro_bm!G1751,"")</f>
        <v/>
      </c>
      <c r="G1751" t="str">
        <f>IF(ROW(G1751)&lt;=Bidding!$D$11,Raw_hydro_bm!H1751,"")</f>
        <v/>
      </c>
      <c r="H1751" t="str">
        <f>IF(ROW(H1751)&lt;=Bidding!$D$11,Raw_hydro_bm!I1751,"")</f>
        <v/>
      </c>
      <c r="I1751" s="16" t="str">
        <f t="shared" si="27"/>
        <v/>
      </c>
    </row>
    <row r="1752" spans="1:9" x14ac:dyDescent="0.2">
      <c r="A1752" t="str">
        <f>IF(ROW(A1752)&lt;=Bidding!$D$11,Raw_hydro_bm!B1752,"")</f>
        <v/>
      </c>
      <c r="B1752" t="str">
        <f>IF(ROW(B1752)&lt;=Bidding!$D$11,Raw_hydro_bm!C1752,"")</f>
        <v/>
      </c>
      <c r="C1752" t="str">
        <f>IF(ROW(C1752)&lt;=Bidding!$D$11,Raw_hydro_bm!D1752,"")</f>
        <v/>
      </c>
      <c r="D1752" t="str">
        <f>IF(ROW(D1752)&lt;=Bidding!$D$11,Raw_hydro_bm!E1752,"")</f>
        <v/>
      </c>
      <c r="E1752" t="str">
        <f>IF(ROW(E1752)&lt;=Bidding!$D$11,Raw_hydro_bm!F1752,"")</f>
        <v/>
      </c>
      <c r="F1752" t="str">
        <f>IF(ROW(F1752)&lt;=Bidding!$D$11,Raw_hydro_bm!G1752,"")</f>
        <v/>
      </c>
      <c r="G1752" t="str">
        <f>IF(ROW(G1752)&lt;=Bidding!$D$11,Raw_hydro_bm!H1752,"")</f>
        <v/>
      </c>
      <c r="H1752" t="str">
        <f>IF(ROW(H1752)&lt;=Bidding!$D$11,Raw_hydro_bm!I1752,"")</f>
        <v/>
      </c>
      <c r="I1752" s="16" t="str">
        <f t="shared" si="27"/>
        <v/>
      </c>
    </row>
    <row r="1753" spans="1:9" x14ac:dyDescent="0.2">
      <c r="A1753" t="str">
        <f>IF(ROW(A1753)&lt;=Bidding!$D$11,Raw_hydro_bm!B1753,"")</f>
        <v/>
      </c>
      <c r="B1753" t="str">
        <f>IF(ROW(B1753)&lt;=Bidding!$D$11,Raw_hydro_bm!C1753,"")</f>
        <v/>
      </c>
      <c r="C1753" t="str">
        <f>IF(ROW(C1753)&lt;=Bidding!$D$11,Raw_hydro_bm!D1753,"")</f>
        <v/>
      </c>
      <c r="D1753" t="str">
        <f>IF(ROW(D1753)&lt;=Bidding!$D$11,Raw_hydro_bm!E1753,"")</f>
        <v/>
      </c>
      <c r="E1753" t="str">
        <f>IF(ROW(E1753)&lt;=Bidding!$D$11,Raw_hydro_bm!F1753,"")</f>
        <v/>
      </c>
      <c r="F1753" t="str">
        <f>IF(ROW(F1753)&lt;=Bidding!$D$11,Raw_hydro_bm!G1753,"")</f>
        <v/>
      </c>
      <c r="G1753" t="str">
        <f>IF(ROW(G1753)&lt;=Bidding!$D$11,Raw_hydro_bm!H1753,"")</f>
        <v/>
      </c>
      <c r="H1753" t="str">
        <f>IF(ROW(H1753)&lt;=Bidding!$D$11,Raw_hydro_bm!I1753,"")</f>
        <v/>
      </c>
      <c r="I1753" s="16" t="str">
        <f t="shared" si="27"/>
        <v/>
      </c>
    </row>
    <row r="1754" spans="1:9" x14ac:dyDescent="0.2">
      <c r="A1754" t="str">
        <f>IF(ROW(A1754)&lt;=Bidding!$D$11,Raw_hydro_bm!B1754,"")</f>
        <v/>
      </c>
      <c r="B1754" t="str">
        <f>IF(ROW(B1754)&lt;=Bidding!$D$11,Raw_hydro_bm!C1754,"")</f>
        <v/>
      </c>
      <c r="C1754" t="str">
        <f>IF(ROW(C1754)&lt;=Bidding!$D$11,Raw_hydro_bm!D1754,"")</f>
        <v/>
      </c>
      <c r="D1754" t="str">
        <f>IF(ROW(D1754)&lt;=Bidding!$D$11,Raw_hydro_bm!E1754,"")</f>
        <v/>
      </c>
      <c r="E1754" t="str">
        <f>IF(ROW(E1754)&lt;=Bidding!$D$11,Raw_hydro_bm!F1754,"")</f>
        <v/>
      </c>
      <c r="F1754" t="str">
        <f>IF(ROW(F1754)&lt;=Bidding!$D$11,Raw_hydro_bm!G1754,"")</f>
        <v/>
      </c>
      <c r="G1754" t="str">
        <f>IF(ROW(G1754)&lt;=Bidding!$D$11,Raw_hydro_bm!H1754,"")</f>
        <v/>
      </c>
      <c r="H1754" t="str">
        <f>IF(ROW(H1754)&lt;=Bidding!$D$11,Raw_hydro_bm!I1754,"")</f>
        <v/>
      </c>
      <c r="I1754" s="16" t="str">
        <f t="shared" si="27"/>
        <v/>
      </c>
    </row>
    <row r="1755" spans="1:9" x14ac:dyDescent="0.2">
      <c r="A1755" t="str">
        <f>IF(ROW(A1755)&lt;=Bidding!$D$11,Raw_hydro_bm!B1755,"")</f>
        <v/>
      </c>
      <c r="B1755" t="str">
        <f>IF(ROW(B1755)&lt;=Bidding!$D$11,Raw_hydro_bm!C1755,"")</f>
        <v/>
      </c>
      <c r="C1755" t="str">
        <f>IF(ROW(C1755)&lt;=Bidding!$D$11,Raw_hydro_bm!D1755,"")</f>
        <v/>
      </c>
      <c r="D1755" t="str">
        <f>IF(ROW(D1755)&lt;=Bidding!$D$11,Raw_hydro_bm!E1755,"")</f>
        <v/>
      </c>
      <c r="E1755" t="str">
        <f>IF(ROW(E1755)&lt;=Bidding!$D$11,Raw_hydro_bm!F1755,"")</f>
        <v/>
      </c>
      <c r="F1755" t="str">
        <f>IF(ROW(F1755)&lt;=Bidding!$D$11,Raw_hydro_bm!G1755,"")</f>
        <v/>
      </c>
      <c r="G1755" t="str">
        <f>IF(ROW(G1755)&lt;=Bidding!$D$11,Raw_hydro_bm!H1755,"")</f>
        <v/>
      </c>
      <c r="H1755" t="str">
        <f>IF(ROW(H1755)&lt;=Bidding!$D$11,Raw_hydro_bm!I1755,"")</f>
        <v/>
      </c>
      <c r="I1755" s="16" t="str">
        <f t="shared" si="27"/>
        <v/>
      </c>
    </row>
    <row r="1756" spans="1:9" x14ac:dyDescent="0.2">
      <c r="A1756" t="str">
        <f>IF(ROW(A1756)&lt;=Bidding!$D$11,Raw_hydro_bm!B1756,"")</f>
        <v/>
      </c>
      <c r="B1756" t="str">
        <f>IF(ROW(B1756)&lt;=Bidding!$D$11,Raw_hydro_bm!C1756,"")</f>
        <v/>
      </c>
      <c r="C1756" t="str">
        <f>IF(ROW(C1756)&lt;=Bidding!$D$11,Raw_hydro_bm!D1756,"")</f>
        <v/>
      </c>
      <c r="D1756" t="str">
        <f>IF(ROW(D1756)&lt;=Bidding!$D$11,Raw_hydro_bm!E1756,"")</f>
        <v/>
      </c>
      <c r="E1756" t="str">
        <f>IF(ROW(E1756)&lt;=Bidding!$D$11,Raw_hydro_bm!F1756,"")</f>
        <v/>
      </c>
      <c r="F1756" t="str">
        <f>IF(ROW(F1756)&lt;=Bidding!$D$11,Raw_hydro_bm!G1756,"")</f>
        <v/>
      </c>
      <c r="G1756" t="str">
        <f>IF(ROW(G1756)&lt;=Bidding!$D$11,Raw_hydro_bm!H1756,"")</f>
        <v/>
      </c>
      <c r="H1756" t="str">
        <f>IF(ROW(H1756)&lt;=Bidding!$D$11,Raw_hydro_bm!I1756,"")</f>
        <v/>
      </c>
      <c r="I1756" s="16" t="str">
        <f t="shared" si="27"/>
        <v/>
      </c>
    </row>
    <row r="1757" spans="1:9" x14ac:dyDescent="0.2">
      <c r="A1757" t="str">
        <f>IF(ROW(A1757)&lt;=Bidding!$D$11,Raw_hydro_bm!B1757,"")</f>
        <v/>
      </c>
      <c r="B1757" t="str">
        <f>IF(ROW(B1757)&lt;=Bidding!$D$11,Raw_hydro_bm!C1757,"")</f>
        <v/>
      </c>
      <c r="C1757" t="str">
        <f>IF(ROW(C1757)&lt;=Bidding!$D$11,Raw_hydro_bm!D1757,"")</f>
        <v/>
      </c>
      <c r="D1757" t="str">
        <f>IF(ROW(D1757)&lt;=Bidding!$D$11,Raw_hydro_bm!E1757,"")</f>
        <v/>
      </c>
      <c r="E1757" t="str">
        <f>IF(ROW(E1757)&lt;=Bidding!$D$11,Raw_hydro_bm!F1757,"")</f>
        <v/>
      </c>
      <c r="F1757" t="str">
        <f>IF(ROW(F1757)&lt;=Bidding!$D$11,Raw_hydro_bm!G1757,"")</f>
        <v/>
      </c>
      <c r="G1757" t="str">
        <f>IF(ROW(G1757)&lt;=Bidding!$D$11,Raw_hydro_bm!H1757,"")</f>
        <v/>
      </c>
      <c r="H1757" t="str">
        <f>IF(ROW(H1757)&lt;=Bidding!$D$11,Raw_hydro_bm!I1757,"")</f>
        <v/>
      </c>
      <c r="I1757" s="16" t="str">
        <f t="shared" si="27"/>
        <v/>
      </c>
    </row>
    <row r="1758" spans="1:9" x14ac:dyDescent="0.2">
      <c r="A1758" t="str">
        <f>IF(ROW(A1758)&lt;=Bidding!$D$11,Raw_hydro_bm!B1758,"")</f>
        <v/>
      </c>
      <c r="B1758" t="str">
        <f>IF(ROW(B1758)&lt;=Bidding!$D$11,Raw_hydro_bm!C1758,"")</f>
        <v/>
      </c>
      <c r="C1758" t="str">
        <f>IF(ROW(C1758)&lt;=Bidding!$D$11,Raw_hydro_bm!D1758,"")</f>
        <v/>
      </c>
      <c r="D1758" t="str">
        <f>IF(ROW(D1758)&lt;=Bidding!$D$11,Raw_hydro_bm!E1758,"")</f>
        <v/>
      </c>
      <c r="E1758" t="str">
        <f>IF(ROW(E1758)&lt;=Bidding!$D$11,Raw_hydro_bm!F1758,"")</f>
        <v/>
      </c>
      <c r="F1758" t="str">
        <f>IF(ROW(F1758)&lt;=Bidding!$D$11,Raw_hydro_bm!G1758,"")</f>
        <v/>
      </c>
      <c r="G1758" t="str">
        <f>IF(ROW(G1758)&lt;=Bidding!$D$11,Raw_hydro_bm!H1758,"")</f>
        <v/>
      </c>
      <c r="H1758" t="str">
        <f>IF(ROW(H1758)&lt;=Bidding!$D$11,Raw_hydro_bm!I1758,"")</f>
        <v/>
      </c>
      <c r="I1758" s="16" t="str">
        <f t="shared" si="27"/>
        <v/>
      </c>
    </row>
    <row r="1759" spans="1:9" x14ac:dyDescent="0.2">
      <c r="A1759" t="str">
        <f>IF(ROW(A1759)&lt;=Bidding!$D$11,Raw_hydro_bm!B1759,"")</f>
        <v/>
      </c>
      <c r="B1759" t="str">
        <f>IF(ROW(B1759)&lt;=Bidding!$D$11,Raw_hydro_bm!C1759,"")</f>
        <v/>
      </c>
      <c r="C1759" t="str">
        <f>IF(ROW(C1759)&lt;=Bidding!$D$11,Raw_hydro_bm!D1759,"")</f>
        <v/>
      </c>
      <c r="D1759" t="str">
        <f>IF(ROW(D1759)&lt;=Bidding!$D$11,Raw_hydro_bm!E1759,"")</f>
        <v/>
      </c>
      <c r="E1759" t="str">
        <f>IF(ROW(E1759)&lt;=Bidding!$D$11,Raw_hydro_bm!F1759,"")</f>
        <v/>
      </c>
      <c r="F1759" t="str">
        <f>IF(ROW(F1759)&lt;=Bidding!$D$11,Raw_hydro_bm!G1759,"")</f>
        <v/>
      </c>
      <c r="G1759" t="str">
        <f>IF(ROW(G1759)&lt;=Bidding!$D$11,Raw_hydro_bm!H1759,"")</f>
        <v/>
      </c>
      <c r="H1759" t="str">
        <f>IF(ROW(H1759)&lt;=Bidding!$D$11,Raw_hydro_bm!I1759,"")</f>
        <v/>
      </c>
      <c r="I1759" s="16" t="str">
        <f t="shared" si="27"/>
        <v/>
      </c>
    </row>
    <row r="1760" spans="1:9" x14ac:dyDescent="0.2">
      <c r="A1760" t="str">
        <f>IF(ROW(A1760)&lt;=Bidding!$D$11,Raw_hydro_bm!B1760,"")</f>
        <v/>
      </c>
      <c r="B1760" t="str">
        <f>IF(ROW(B1760)&lt;=Bidding!$D$11,Raw_hydro_bm!C1760,"")</f>
        <v/>
      </c>
      <c r="C1760" t="str">
        <f>IF(ROW(C1760)&lt;=Bidding!$D$11,Raw_hydro_bm!D1760,"")</f>
        <v/>
      </c>
      <c r="D1760" t="str">
        <f>IF(ROW(D1760)&lt;=Bidding!$D$11,Raw_hydro_bm!E1760,"")</f>
        <v/>
      </c>
      <c r="E1760" t="str">
        <f>IF(ROW(E1760)&lt;=Bidding!$D$11,Raw_hydro_bm!F1760,"")</f>
        <v/>
      </c>
      <c r="F1760" t="str">
        <f>IF(ROW(F1760)&lt;=Bidding!$D$11,Raw_hydro_bm!G1760,"")</f>
        <v/>
      </c>
      <c r="G1760" t="str">
        <f>IF(ROW(G1760)&lt;=Bidding!$D$11,Raw_hydro_bm!H1760,"")</f>
        <v/>
      </c>
      <c r="H1760" t="str">
        <f>IF(ROW(H1760)&lt;=Bidding!$D$11,Raw_hydro_bm!I1760,"")</f>
        <v/>
      </c>
      <c r="I1760" s="16" t="str">
        <f t="shared" si="27"/>
        <v/>
      </c>
    </row>
    <row r="1761" spans="1:9" x14ac:dyDescent="0.2">
      <c r="A1761" t="str">
        <f>IF(ROW(A1761)&lt;=Bidding!$D$11,Raw_hydro_bm!B1761,"")</f>
        <v/>
      </c>
      <c r="B1761" t="str">
        <f>IF(ROW(B1761)&lt;=Bidding!$D$11,Raw_hydro_bm!C1761,"")</f>
        <v/>
      </c>
      <c r="C1761" t="str">
        <f>IF(ROW(C1761)&lt;=Bidding!$D$11,Raw_hydro_bm!D1761,"")</f>
        <v/>
      </c>
      <c r="D1761" t="str">
        <f>IF(ROW(D1761)&lt;=Bidding!$D$11,Raw_hydro_bm!E1761,"")</f>
        <v/>
      </c>
      <c r="E1761" t="str">
        <f>IF(ROW(E1761)&lt;=Bidding!$D$11,Raw_hydro_bm!F1761,"")</f>
        <v/>
      </c>
      <c r="F1761" t="str">
        <f>IF(ROW(F1761)&lt;=Bidding!$D$11,Raw_hydro_bm!G1761,"")</f>
        <v/>
      </c>
      <c r="G1761" t="str">
        <f>IF(ROW(G1761)&lt;=Bidding!$D$11,Raw_hydro_bm!H1761,"")</f>
        <v/>
      </c>
      <c r="H1761" t="str">
        <f>IF(ROW(H1761)&lt;=Bidding!$D$11,Raw_hydro_bm!I1761,"")</f>
        <v/>
      </c>
      <c r="I1761" s="16" t="str">
        <f t="shared" si="27"/>
        <v/>
      </c>
    </row>
    <row r="1762" spans="1:9" x14ac:dyDescent="0.2">
      <c r="A1762" t="str">
        <f>IF(ROW(A1762)&lt;=Bidding!$D$11,Raw_hydro_bm!B1762,"")</f>
        <v/>
      </c>
      <c r="B1762" t="str">
        <f>IF(ROW(B1762)&lt;=Bidding!$D$11,Raw_hydro_bm!C1762,"")</f>
        <v/>
      </c>
      <c r="C1762" t="str">
        <f>IF(ROW(C1762)&lt;=Bidding!$D$11,Raw_hydro_bm!D1762,"")</f>
        <v/>
      </c>
      <c r="D1762" t="str">
        <f>IF(ROW(D1762)&lt;=Bidding!$D$11,Raw_hydro_bm!E1762,"")</f>
        <v/>
      </c>
      <c r="E1762" t="str">
        <f>IF(ROW(E1762)&lt;=Bidding!$D$11,Raw_hydro_bm!F1762,"")</f>
        <v/>
      </c>
      <c r="F1762" t="str">
        <f>IF(ROW(F1762)&lt;=Bidding!$D$11,Raw_hydro_bm!G1762,"")</f>
        <v/>
      </c>
      <c r="G1762" t="str">
        <f>IF(ROW(G1762)&lt;=Bidding!$D$11,Raw_hydro_bm!H1762,"")</f>
        <v/>
      </c>
      <c r="H1762" t="str">
        <f>IF(ROW(H1762)&lt;=Bidding!$D$11,Raw_hydro_bm!I1762,"")</f>
        <v/>
      </c>
      <c r="I1762" s="16" t="str">
        <f t="shared" si="27"/>
        <v/>
      </c>
    </row>
    <row r="1763" spans="1:9" x14ac:dyDescent="0.2">
      <c r="A1763" t="str">
        <f>IF(ROW(A1763)&lt;=Bidding!$D$11,Raw_hydro_bm!B1763,"")</f>
        <v/>
      </c>
      <c r="B1763" t="str">
        <f>IF(ROW(B1763)&lt;=Bidding!$D$11,Raw_hydro_bm!C1763,"")</f>
        <v/>
      </c>
      <c r="C1763" t="str">
        <f>IF(ROW(C1763)&lt;=Bidding!$D$11,Raw_hydro_bm!D1763,"")</f>
        <v/>
      </c>
      <c r="D1763" t="str">
        <f>IF(ROW(D1763)&lt;=Bidding!$D$11,Raw_hydro_bm!E1763,"")</f>
        <v/>
      </c>
      <c r="E1763" t="str">
        <f>IF(ROW(E1763)&lt;=Bidding!$D$11,Raw_hydro_bm!F1763,"")</f>
        <v/>
      </c>
      <c r="F1763" t="str">
        <f>IF(ROW(F1763)&lt;=Bidding!$D$11,Raw_hydro_bm!G1763,"")</f>
        <v/>
      </c>
      <c r="G1763" t="str">
        <f>IF(ROW(G1763)&lt;=Bidding!$D$11,Raw_hydro_bm!H1763,"")</f>
        <v/>
      </c>
      <c r="H1763" t="str">
        <f>IF(ROW(H1763)&lt;=Bidding!$D$11,Raw_hydro_bm!I1763,"")</f>
        <v/>
      </c>
      <c r="I1763" s="16" t="str">
        <f t="shared" si="27"/>
        <v/>
      </c>
    </row>
    <row r="1764" spans="1:9" x14ac:dyDescent="0.2">
      <c r="A1764" t="str">
        <f>IF(ROW(A1764)&lt;=Bidding!$D$11,Raw_hydro_bm!B1764,"")</f>
        <v/>
      </c>
      <c r="B1764" t="str">
        <f>IF(ROW(B1764)&lt;=Bidding!$D$11,Raw_hydro_bm!C1764,"")</f>
        <v/>
      </c>
      <c r="C1764" t="str">
        <f>IF(ROW(C1764)&lt;=Bidding!$D$11,Raw_hydro_bm!D1764,"")</f>
        <v/>
      </c>
      <c r="D1764" t="str">
        <f>IF(ROW(D1764)&lt;=Bidding!$D$11,Raw_hydro_bm!E1764,"")</f>
        <v/>
      </c>
      <c r="E1764" t="str">
        <f>IF(ROW(E1764)&lt;=Bidding!$D$11,Raw_hydro_bm!F1764,"")</f>
        <v/>
      </c>
      <c r="F1764" t="str">
        <f>IF(ROW(F1764)&lt;=Bidding!$D$11,Raw_hydro_bm!G1764,"")</f>
        <v/>
      </c>
      <c r="G1764" t="str">
        <f>IF(ROW(G1764)&lt;=Bidding!$D$11,Raw_hydro_bm!H1764,"")</f>
        <v/>
      </c>
      <c r="H1764" t="str">
        <f>IF(ROW(H1764)&lt;=Bidding!$D$11,Raw_hydro_bm!I1764,"")</f>
        <v/>
      </c>
      <c r="I1764" s="16" t="str">
        <f t="shared" si="27"/>
        <v/>
      </c>
    </row>
    <row r="1765" spans="1:9" x14ac:dyDescent="0.2">
      <c r="A1765" t="str">
        <f>IF(ROW(A1765)&lt;=Bidding!$D$11,Raw_hydro_bm!B1765,"")</f>
        <v/>
      </c>
      <c r="B1765" t="str">
        <f>IF(ROW(B1765)&lt;=Bidding!$D$11,Raw_hydro_bm!C1765,"")</f>
        <v/>
      </c>
      <c r="C1765" t="str">
        <f>IF(ROW(C1765)&lt;=Bidding!$D$11,Raw_hydro_bm!D1765,"")</f>
        <v/>
      </c>
      <c r="D1765" t="str">
        <f>IF(ROW(D1765)&lt;=Bidding!$D$11,Raw_hydro_bm!E1765,"")</f>
        <v/>
      </c>
      <c r="E1765" t="str">
        <f>IF(ROW(E1765)&lt;=Bidding!$D$11,Raw_hydro_bm!F1765,"")</f>
        <v/>
      </c>
      <c r="F1765" t="str">
        <f>IF(ROW(F1765)&lt;=Bidding!$D$11,Raw_hydro_bm!G1765,"")</f>
        <v/>
      </c>
      <c r="G1765" t="str">
        <f>IF(ROW(G1765)&lt;=Bidding!$D$11,Raw_hydro_bm!H1765,"")</f>
        <v/>
      </c>
      <c r="H1765" t="str">
        <f>IF(ROW(H1765)&lt;=Bidding!$D$11,Raw_hydro_bm!I1765,"")</f>
        <v/>
      </c>
      <c r="I1765" s="16" t="str">
        <f t="shared" si="27"/>
        <v/>
      </c>
    </row>
    <row r="1766" spans="1:9" x14ac:dyDescent="0.2">
      <c r="A1766" t="str">
        <f>IF(ROW(A1766)&lt;=Bidding!$D$11,Raw_hydro_bm!B1766,"")</f>
        <v/>
      </c>
      <c r="B1766" t="str">
        <f>IF(ROW(B1766)&lt;=Bidding!$D$11,Raw_hydro_bm!C1766,"")</f>
        <v/>
      </c>
      <c r="C1766" t="str">
        <f>IF(ROW(C1766)&lt;=Bidding!$D$11,Raw_hydro_bm!D1766,"")</f>
        <v/>
      </c>
      <c r="D1766" t="str">
        <f>IF(ROW(D1766)&lt;=Bidding!$D$11,Raw_hydro_bm!E1766,"")</f>
        <v/>
      </c>
      <c r="E1766" t="str">
        <f>IF(ROW(E1766)&lt;=Bidding!$D$11,Raw_hydro_bm!F1766,"")</f>
        <v/>
      </c>
      <c r="F1766" t="str">
        <f>IF(ROW(F1766)&lt;=Bidding!$D$11,Raw_hydro_bm!G1766,"")</f>
        <v/>
      </c>
      <c r="G1766" t="str">
        <f>IF(ROW(G1766)&lt;=Bidding!$D$11,Raw_hydro_bm!H1766,"")</f>
        <v/>
      </c>
      <c r="H1766" t="str">
        <f>IF(ROW(H1766)&lt;=Bidding!$D$11,Raw_hydro_bm!I1766,"")</f>
        <v/>
      </c>
      <c r="I1766" s="16" t="str">
        <f t="shared" si="27"/>
        <v/>
      </c>
    </row>
    <row r="1767" spans="1:9" x14ac:dyDescent="0.2">
      <c r="A1767" t="str">
        <f>IF(ROW(A1767)&lt;=Bidding!$D$11,Raw_hydro_bm!B1767,"")</f>
        <v/>
      </c>
      <c r="B1767" t="str">
        <f>IF(ROW(B1767)&lt;=Bidding!$D$11,Raw_hydro_bm!C1767,"")</f>
        <v/>
      </c>
      <c r="C1767" t="str">
        <f>IF(ROW(C1767)&lt;=Bidding!$D$11,Raw_hydro_bm!D1767,"")</f>
        <v/>
      </c>
      <c r="D1767" t="str">
        <f>IF(ROW(D1767)&lt;=Bidding!$D$11,Raw_hydro_bm!E1767,"")</f>
        <v/>
      </c>
      <c r="E1767" t="str">
        <f>IF(ROW(E1767)&lt;=Bidding!$D$11,Raw_hydro_bm!F1767,"")</f>
        <v/>
      </c>
      <c r="F1767" t="str">
        <f>IF(ROW(F1767)&lt;=Bidding!$D$11,Raw_hydro_bm!G1767,"")</f>
        <v/>
      </c>
      <c r="G1767" t="str">
        <f>IF(ROW(G1767)&lt;=Bidding!$D$11,Raw_hydro_bm!H1767,"")</f>
        <v/>
      </c>
      <c r="H1767" t="str">
        <f>IF(ROW(H1767)&lt;=Bidding!$D$11,Raw_hydro_bm!I1767,"")</f>
        <v/>
      </c>
      <c r="I1767" s="16" t="str">
        <f t="shared" si="27"/>
        <v/>
      </c>
    </row>
    <row r="1768" spans="1:9" x14ac:dyDescent="0.2">
      <c r="A1768" t="str">
        <f>IF(ROW(A1768)&lt;=Bidding!$D$11,Raw_hydro_bm!B1768,"")</f>
        <v/>
      </c>
      <c r="B1768" t="str">
        <f>IF(ROW(B1768)&lt;=Bidding!$D$11,Raw_hydro_bm!C1768,"")</f>
        <v/>
      </c>
      <c r="C1768" t="str">
        <f>IF(ROW(C1768)&lt;=Bidding!$D$11,Raw_hydro_bm!D1768,"")</f>
        <v/>
      </c>
      <c r="D1768" t="str">
        <f>IF(ROW(D1768)&lt;=Bidding!$D$11,Raw_hydro_bm!E1768,"")</f>
        <v/>
      </c>
      <c r="E1768" t="str">
        <f>IF(ROW(E1768)&lt;=Bidding!$D$11,Raw_hydro_bm!F1768,"")</f>
        <v/>
      </c>
      <c r="F1768" t="str">
        <f>IF(ROW(F1768)&lt;=Bidding!$D$11,Raw_hydro_bm!G1768,"")</f>
        <v/>
      </c>
      <c r="G1768" t="str">
        <f>IF(ROW(G1768)&lt;=Bidding!$D$11,Raw_hydro_bm!H1768,"")</f>
        <v/>
      </c>
      <c r="H1768" t="str">
        <f>IF(ROW(H1768)&lt;=Bidding!$D$11,Raw_hydro_bm!I1768,"")</f>
        <v/>
      </c>
      <c r="I1768" s="16" t="str">
        <f t="shared" si="27"/>
        <v/>
      </c>
    </row>
    <row r="1769" spans="1:9" x14ac:dyDescent="0.2">
      <c r="A1769" t="str">
        <f>IF(ROW(A1769)&lt;=Bidding!$D$11,Raw_hydro_bm!B1769,"")</f>
        <v/>
      </c>
      <c r="B1769" t="str">
        <f>IF(ROW(B1769)&lt;=Bidding!$D$11,Raw_hydro_bm!C1769,"")</f>
        <v/>
      </c>
      <c r="C1769" t="str">
        <f>IF(ROW(C1769)&lt;=Bidding!$D$11,Raw_hydro_bm!D1769,"")</f>
        <v/>
      </c>
      <c r="D1769" t="str">
        <f>IF(ROW(D1769)&lt;=Bidding!$D$11,Raw_hydro_bm!E1769,"")</f>
        <v/>
      </c>
      <c r="E1769" t="str">
        <f>IF(ROW(E1769)&lt;=Bidding!$D$11,Raw_hydro_bm!F1769,"")</f>
        <v/>
      </c>
      <c r="F1769" t="str">
        <f>IF(ROW(F1769)&lt;=Bidding!$D$11,Raw_hydro_bm!G1769,"")</f>
        <v/>
      </c>
      <c r="G1769" t="str">
        <f>IF(ROW(G1769)&lt;=Bidding!$D$11,Raw_hydro_bm!H1769,"")</f>
        <v/>
      </c>
      <c r="H1769" t="str">
        <f>IF(ROW(H1769)&lt;=Bidding!$D$11,Raw_hydro_bm!I1769,"")</f>
        <v/>
      </c>
      <c r="I1769" s="16" t="str">
        <f t="shared" si="27"/>
        <v/>
      </c>
    </row>
    <row r="1770" spans="1:9" x14ac:dyDescent="0.2">
      <c r="A1770" t="str">
        <f>IF(ROW(A1770)&lt;=Bidding!$D$11,Raw_hydro_bm!B1770,"")</f>
        <v/>
      </c>
      <c r="B1770" t="str">
        <f>IF(ROW(B1770)&lt;=Bidding!$D$11,Raw_hydro_bm!C1770,"")</f>
        <v/>
      </c>
      <c r="C1770" t="str">
        <f>IF(ROW(C1770)&lt;=Bidding!$D$11,Raw_hydro_bm!D1770,"")</f>
        <v/>
      </c>
      <c r="D1770" t="str">
        <f>IF(ROW(D1770)&lt;=Bidding!$D$11,Raw_hydro_bm!E1770,"")</f>
        <v/>
      </c>
      <c r="E1770" t="str">
        <f>IF(ROW(E1770)&lt;=Bidding!$D$11,Raw_hydro_bm!F1770,"")</f>
        <v/>
      </c>
      <c r="F1770" t="str">
        <f>IF(ROW(F1770)&lt;=Bidding!$D$11,Raw_hydro_bm!G1770,"")</f>
        <v/>
      </c>
      <c r="G1770" t="str">
        <f>IF(ROW(G1770)&lt;=Bidding!$D$11,Raw_hydro_bm!H1770,"")</f>
        <v/>
      </c>
      <c r="H1770" t="str">
        <f>IF(ROW(H1770)&lt;=Bidding!$D$11,Raw_hydro_bm!I1770,"")</f>
        <v/>
      </c>
      <c r="I1770" s="16" t="str">
        <f t="shared" si="27"/>
        <v/>
      </c>
    </row>
    <row r="1771" spans="1:9" x14ac:dyDescent="0.2">
      <c r="A1771" t="str">
        <f>IF(ROW(A1771)&lt;=Bidding!$D$11,Raw_hydro_bm!B1771,"")</f>
        <v/>
      </c>
      <c r="B1771" t="str">
        <f>IF(ROW(B1771)&lt;=Bidding!$D$11,Raw_hydro_bm!C1771,"")</f>
        <v/>
      </c>
      <c r="C1771" t="str">
        <f>IF(ROW(C1771)&lt;=Bidding!$D$11,Raw_hydro_bm!D1771,"")</f>
        <v/>
      </c>
      <c r="D1771" t="str">
        <f>IF(ROW(D1771)&lt;=Bidding!$D$11,Raw_hydro_bm!E1771,"")</f>
        <v/>
      </c>
      <c r="E1771" t="str">
        <f>IF(ROW(E1771)&lt;=Bidding!$D$11,Raw_hydro_bm!F1771,"")</f>
        <v/>
      </c>
      <c r="F1771" t="str">
        <f>IF(ROW(F1771)&lt;=Bidding!$D$11,Raw_hydro_bm!G1771,"")</f>
        <v/>
      </c>
      <c r="G1771" t="str">
        <f>IF(ROW(G1771)&lt;=Bidding!$D$11,Raw_hydro_bm!H1771,"")</f>
        <v/>
      </c>
      <c r="H1771" t="str">
        <f>IF(ROW(H1771)&lt;=Bidding!$D$11,Raw_hydro_bm!I1771,"")</f>
        <v/>
      </c>
      <c r="I1771" s="16" t="str">
        <f t="shared" si="27"/>
        <v/>
      </c>
    </row>
    <row r="1772" spans="1:9" x14ac:dyDescent="0.2">
      <c r="A1772" t="str">
        <f>IF(ROW(A1772)&lt;=Bidding!$D$11,Raw_hydro_bm!B1772,"")</f>
        <v/>
      </c>
      <c r="B1772" t="str">
        <f>IF(ROW(B1772)&lt;=Bidding!$D$11,Raw_hydro_bm!C1772,"")</f>
        <v/>
      </c>
      <c r="C1772" t="str">
        <f>IF(ROW(C1772)&lt;=Bidding!$D$11,Raw_hydro_bm!D1772,"")</f>
        <v/>
      </c>
      <c r="D1772" t="str">
        <f>IF(ROW(D1772)&lt;=Bidding!$D$11,Raw_hydro_bm!E1772,"")</f>
        <v/>
      </c>
      <c r="E1772" t="str">
        <f>IF(ROW(E1772)&lt;=Bidding!$D$11,Raw_hydro_bm!F1772,"")</f>
        <v/>
      </c>
      <c r="F1772" t="str">
        <f>IF(ROW(F1772)&lt;=Bidding!$D$11,Raw_hydro_bm!G1772,"")</f>
        <v/>
      </c>
      <c r="G1772" t="str">
        <f>IF(ROW(G1772)&lt;=Bidding!$D$11,Raw_hydro_bm!H1772,"")</f>
        <v/>
      </c>
      <c r="H1772" t="str">
        <f>IF(ROW(H1772)&lt;=Bidding!$D$11,Raw_hydro_bm!I1772,"")</f>
        <v/>
      </c>
      <c r="I1772" s="16" t="str">
        <f t="shared" si="27"/>
        <v/>
      </c>
    </row>
    <row r="1773" spans="1:9" x14ac:dyDescent="0.2">
      <c r="A1773" t="str">
        <f>IF(ROW(A1773)&lt;=Bidding!$D$11,Raw_hydro_bm!B1773,"")</f>
        <v/>
      </c>
      <c r="B1773" t="str">
        <f>IF(ROW(B1773)&lt;=Bidding!$D$11,Raw_hydro_bm!C1773,"")</f>
        <v/>
      </c>
      <c r="C1773" t="str">
        <f>IF(ROW(C1773)&lt;=Bidding!$D$11,Raw_hydro_bm!D1773,"")</f>
        <v/>
      </c>
      <c r="D1773" t="str">
        <f>IF(ROW(D1773)&lt;=Bidding!$D$11,Raw_hydro_bm!E1773,"")</f>
        <v/>
      </c>
      <c r="E1773" t="str">
        <f>IF(ROW(E1773)&lt;=Bidding!$D$11,Raw_hydro_bm!F1773,"")</f>
        <v/>
      </c>
      <c r="F1773" t="str">
        <f>IF(ROW(F1773)&lt;=Bidding!$D$11,Raw_hydro_bm!G1773,"")</f>
        <v/>
      </c>
      <c r="G1773" t="str">
        <f>IF(ROW(G1773)&lt;=Bidding!$D$11,Raw_hydro_bm!H1773,"")</f>
        <v/>
      </c>
      <c r="H1773" t="str">
        <f>IF(ROW(H1773)&lt;=Bidding!$D$11,Raw_hydro_bm!I1773,"")</f>
        <v/>
      </c>
      <c r="I1773" s="16" t="str">
        <f t="shared" si="27"/>
        <v/>
      </c>
    </row>
    <row r="1774" spans="1:9" x14ac:dyDescent="0.2">
      <c r="A1774" t="str">
        <f>IF(ROW(A1774)&lt;=Bidding!$D$11,Raw_hydro_bm!B1774,"")</f>
        <v/>
      </c>
      <c r="B1774" t="str">
        <f>IF(ROW(B1774)&lt;=Bidding!$D$11,Raw_hydro_bm!C1774,"")</f>
        <v/>
      </c>
      <c r="C1774" t="str">
        <f>IF(ROW(C1774)&lt;=Bidding!$D$11,Raw_hydro_bm!D1774,"")</f>
        <v/>
      </c>
      <c r="D1774" t="str">
        <f>IF(ROW(D1774)&lt;=Bidding!$D$11,Raw_hydro_bm!E1774,"")</f>
        <v/>
      </c>
      <c r="E1774" t="str">
        <f>IF(ROW(E1774)&lt;=Bidding!$D$11,Raw_hydro_bm!F1774,"")</f>
        <v/>
      </c>
      <c r="F1774" t="str">
        <f>IF(ROW(F1774)&lt;=Bidding!$D$11,Raw_hydro_bm!G1774,"")</f>
        <v/>
      </c>
      <c r="G1774" t="str">
        <f>IF(ROW(G1774)&lt;=Bidding!$D$11,Raw_hydro_bm!H1774,"")</f>
        <v/>
      </c>
      <c r="H1774" t="str">
        <f>IF(ROW(H1774)&lt;=Bidding!$D$11,Raw_hydro_bm!I1774,"")</f>
        <v/>
      </c>
      <c r="I1774" s="16" t="str">
        <f t="shared" si="27"/>
        <v/>
      </c>
    </row>
    <row r="1775" spans="1:9" x14ac:dyDescent="0.2">
      <c r="A1775" t="str">
        <f>IF(ROW(A1775)&lt;=Bidding!$D$11,Raw_hydro_bm!B1775,"")</f>
        <v/>
      </c>
      <c r="B1775" t="str">
        <f>IF(ROW(B1775)&lt;=Bidding!$D$11,Raw_hydro_bm!C1775,"")</f>
        <v/>
      </c>
      <c r="C1775" t="str">
        <f>IF(ROW(C1775)&lt;=Bidding!$D$11,Raw_hydro_bm!D1775,"")</f>
        <v/>
      </c>
      <c r="D1775" t="str">
        <f>IF(ROW(D1775)&lt;=Bidding!$D$11,Raw_hydro_bm!E1775,"")</f>
        <v/>
      </c>
      <c r="E1775" t="str">
        <f>IF(ROW(E1775)&lt;=Bidding!$D$11,Raw_hydro_bm!F1775,"")</f>
        <v/>
      </c>
      <c r="F1775" t="str">
        <f>IF(ROW(F1775)&lt;=Bidding!$D$11,Raw_hydro_bm!G1775,"")</f>
        <v/>
      </c>
      <c r="G1775" t="str">
        <f>IF(ROW(G1775)&lt;=Bidding!$D$11,Raw_hydro_bm!H1775,"")</f>
        <v/>
      </c>
      <c r="H1775" t="str">
        <f>IF(ROW(H1775)&lt;=Bidding!$D$11,Raw_hydro_bm!I1775,"")</f>
        <v/>
      </c>
      <c r="I1775" s="16" t="str">
        <f t="shared" si="27"/>
        <v/>
      </c>
    </row>
    <row r="1776" spans="1:9" x14ac:dyDescent="0.2">
      <c r="A1776" t="str">
        <f>IF(ROW(A1776)&lt;=Bidding!$D$11,Raw_hydro_bm!B1776,"")</f>
        <v/>
      </c>
      <c r="B1776" t="str">
        <f>IF(ROW(B1776)&lt;=Bidding!$D$11,Raw_hydro_bm!C1776,"")</f>
        <v/>
      </c>
      <c r="C1776" t="str">
        <f>IF(ROW(C1776)&lt;=Bidding!$D$11,Raw_hydro_bm!D1776,"")</f>
        <v/>
      </c>
      <c r="D1776" t="str">
        <f>IF(ROW(D1776)&lt;=Bidding!$D$11,Raw_hydro_bm!E1776,"")</f>
        <v/>
      </c>
      <c r="E1776" t="str">
        <f>IF(ROW(E1776)&lt;=Bidding!$D$11,Raw_hydro_bm!F1776,"")</f>
        <v/>
      </c>
      <c r="F1776" t="str">
        <f>IF(ROW(F1776)&lt;=Bidding!$D$11,Raw_hydro_bm!G1776,"")</f>
        <v/>
      </c>
      <c r="G1776" t="str">
        <f>IF(ROW(G1776)&lt;=Bidding!$D$11,Raw_hydro_bm!H1776,"")</f>
        <v/>
      </c>
      <c r="H1776" t="str">
        <f>IF(ROW(H1776)&lt;=Bidding!$D$11,Raw_hydro_bm!I1776,"")</f>
        <v/>
      </c>
      <c r="I1776" s="16" t="str">
        <f t="shared" si="27"/>
        <v/>
      </c>
    </row>
    <row r="1777" spans="1:9" x14ac:dyDescent="0.2">
      <c r="A1777" t="str">
        <f>IF(ROW(A1777)&lt;=Bidding!$D$11,Raw_hydro_bm!B1777,"")</f>
        <v/>
      </c>
      <c r="B1777" t="str">
        <f>IF(ROW(B1777)&lt;=Bidding!$D$11,Raw_hydro_bm!C1777,"")</f>
        <v/>
      </c>
      <c r="C1777" t="str">
        <f>IF(ROW(C1777)&lt;=Bidding!$D$11,Raw_hydro_bm!D1777,"")</f>
        <v/>
      </c>
      <c r="D1777" t="str">
        <f>IF(ROW(D1777)&lt;=Bidding!$D$11,Raw_hydro_bm!E1777,"")</f>
        <v/>
      </c>
      <c r="E1777" t="str">
        <f>IF(ROW(E1777)&lt;=Bidding!$D$11,Raw_hydro_bm!F1777,"")</f>
        <v/>
      </c>
      <c r="F1777" t="str">
        <f>IF(ROW(F1777)&lt;=Bidding!$D$11,Raw_hydro_bm!G1777,"")</f>
        <v/>
      </c>
      <c r="G1777" t="str">
        <f>IF(ROW(G1777)&lt;=Bidding!$D$11,Raw_hydro_bm!H1777,"")</f>
        <v/>
      </c>
      <c r="H1777" t="str">
        <f>IF(ROW(H1777)&lt;=Bidding!$D$11,Raw_hydro_bm!I1777,"")</f>
        <v/>
      </c>
      <c r="I1777" s="16" t="str">
        <f t="shared" si="27"/>
        <v/>
      </c>
    </row>
    <row r="1778" spans="1:9" x14ac:dyDescent="0.2">
      <c r="A1778" t="str">
        <f>IF(ROW(A1778)&lt;=Bidding!$D$11,Raw_hydro_bm!B1778,"")</f>
        <v/>
      </c>
      <c r="B1778" t="str">
        <f>IF(ROW(B1778)&lt;=Bidding!$D$11,Raw_hydro_bm!C1778,"")</f>
        <v/>
      </c>
      <c r="C1778" t="str">
        <f>IF(ROW(C1778)&lt;=Bidding!$D$11,Raw_hydro_bm!D1778,"")</f>
        <v/>
      </c>
      <c r="D1778" t="str">
        <f>IF(ROW(D1778)&lt;=Bidding!$D$11,Raw_hydro_bm!E1778,"")</f>
        <v/>
      </c>
      <c r="E1778" t="str">
        <f>IF(ROW(E1778)&lt;=Bidding!$D$11,Raw_hydro_bm!F1778,"")</f>
        <v/>
      </c>
      <c r="F1778" t="str">
        <f>IF(ROW(F1778)&lt;=Bidding!$D$11,Raw_hydro_bm!G1778,"")</f>
        <v/>
      </c>
      <c r="G1778" t="str">
        <f>IF(ROW(G1778)&lt;=Bidding!$D$11,Raw_hydro_bm!H1778,"")</f>
        <v/>
      </c>
      <c r="H1778" t="str">
        <f>IF(ROW(H1778)&lt;=Bidding!$D$11,Raw_hydro_bm!I1778,"")</f>
        <v/>
      </c>
      <c r="I1778" s="16" t="str">
        <f t="shared" si="27"/>
        <v/>
      </c>
    </row>
    <row r="1779" spans="1:9" x14ac:dyDescent="0.2">
      <c r="A1779" t="str">
        <f>IF(ROW(A1779)&lt;=Bidding!$D$11,Raw_hydro_bm!B1779,"")</f>
        <v/>
      </c>
      <c r="B1779" t="str">
        <f>IF(ROW(B1779)&lt;=Bidding!$D$11,Raw_hydro_bm!C1779,"")</f>
        <v/>
      </c>
      <c r="C1779" t="str">
        <f>IF(ROW(C1779)&lt;=Bidding!$D$11,Raw_hydro_bm!D1779,"")</f>
        <v/>
      </c>
      <c r="D1779" t="str">
        <f>IF(ROW(D1779)&lt;=Bidding!$D$11,Raw_hydro_bm!E1779,"")</f>
        <v/>
      </c>
      <c r="E1779" t="str">
        <f>IF(ROW(E1779)&lt;=Bidding!$D$11,Raw_hydro_bm!F1779,"")</f>
        <v/>
      </c>
      <c r="F1779" t="str">
        <f>IF(ROW(F1779)&lt;=Bidding!$D$11,Raw_hydro_bm!G1779,"")</f>
        <v/>
      </c>
      <c r="G1779" t="str">
        <f>IF(ROW(G1779)&lt;=Bidding!$D$11,Raw_hydro_bm!H1779,"")</f>
        <v/>
      </c>
      <c r="H1779" t="str">
        <f>IF(ROW(H1779)&lt;=Bidding!$D$11,Raw_hydro_bm!I1779,"")</f>
        <v/>
      </c>
      <c r="I1779" s="16" t="str">
        <f t="shared" si="27"/>
        <v/>
      </c>
    </row>
    <row r="1780" spans="1:9" x14ac:dyDescent="0.2">
      <c r="A1780" t="str">
        <f>IF(ROW(A1780)&lt;=Bidding!$D$11,Raw_hydro_bm!B1780,"")</f>
        <v/>
      </c>
      <c r="B1780" t="str">
        <f>IF(ROW(B1780)&lt;=Bidding!$D$11,Raw_hydro_bm!C1780,"")</f>
        <v/>
      </c>
      <c r="C1780" t="str">
        <f>IF(ROW(C1780)&lt;=Bidding!$D$11,Raw_hydro_bm!D1780,"")</f>
        <v/>
      </c>
      <c r="D1780" t="str">
        <f>IF(ROW(D1780)&lt;=Bidding!$D$11,Raw_hydro_bm!E1780,"")</f>
        <v/>
      </c>
      <c r="E1780" t="str">
        <f>IF(ROW(E1780)&lt;=Bidding!$D$11,Raw_hydro_bm!F1780,"")</f>
        <v/>
      </c>
      <c r="F1780" t="str">
        <f>IF(ROW(F1780)&lt;=Bidding!$D$11,Raw_hydro_bm!G1780,"")</f>
        <v/>
      </c>
      <c r="G1780" t="str">
        <f>IF(ROW(G1780)&lt;=Bidding!$D$11,Raw_hydro_bm!H1780,"")</f>
        <v/>
      </c>
      <c r="H1780" t="str">
        <f>IF(ROW(H1780)&lt;=Bidding!$D$11,Raw_hydro_bm!I1780,"")</f>
        <v/>
      </c>
      <c r="I1780" s="16" t="str">
        <f t="shared" si="27"/>
        <v/>
      </c>
    </row>
    <row r="1781" spans="1:9" x14ac:dyDescent="0.2">
      <c r="A1781" t="str">
        <f>IF(ROW(A1781)&lt;=Bidding!$D$11,Raw_hydro_bm!B1781,"")</f>
        <v/>
      </c>
      <c r="B1781" t="str">
        <f>IF(ROW(B1781)&lt;=Bidding!$D$11,Raw_hydro_bm!C1781,"")</f>
        <v/>
      </c>
      <c r="C1781" t="str">
        <f>IF(ROW(C1781)&lt;=Bidding!$D$11,Raw_hydro_bm!D1781,"")</f>
        <v/>
      </c>
      <c r="D1781" t="str">
        <f>IF(ROW(D1781)&lt;=Bidding!$D$11,Raw_hydro_bm!E1781,"")</f>
        <v/>
      </c>
      <c r="E1781" t="str">
        <f>IF(ROW(E1781)&lt;=Bidding!$D$11,Raw_hydro_bm!F1781,"")</f>
        <v/>
      </c>
      <c r="F1781" t="str">
        <f>IF(ROW(F1781)&lt;=Bidding!$D$11,Raw_hydro_bm!G1781,"")</f>
        <v/>
      </c>
      <c r="G1781" t="str">
        <f>IF(ROW(G1781)&lt;=Bidding!$D$11,Raw_hydro_bm!H1781,"")</f>
        <v/>
      </c>
      <c r="H1781" t="str">
        <f>IF(ROW(H1781)&lt;=Bidding!$D$11,Raw_hydro_bm!I1781,"")</f>
        <v/>
      </c>
      <c r="I1781" s="16" t="str">
        <f t="shared" si="27"/>
        <v/>
      </c>
    </row>
    <row r="1782" spans="1:9" x14ac:dyDescent="0.2">
      <c r="A1782" t="str">
        <f>IF(ROW(A1782)&lt;=Bidding!$D$11,Raw_hydro_bm!B1782,"")</f>
        <v/>
      </c>
      <c r="B1782" t="str">
        <f>IF(ROW(B1782)&lt;=Bidding!$D$11,Raw_hydro_bm!C1782,"")</f>
        <v/>
      </c>
      <c r="C1782" t="str">
        <f>IF(ROW(C1782)&lt;=Bidding!$D$11,Raw_hydro_bm!D1782,"")</f>
        <v/>
      </c>
      <c r="D1782" t="str">
        <f>IF(ROW(D1782)&lt;=Bidding!$D$11,Raw_hydro_bm!E1782,"")</f>
        <v/>
      </c>
      <c r="E1782" t="str">
        <f>IF(ROW(E1782)&lt;=Bidding!$D$11,Raw_hydro_bm!F1782,"")</f>
        <v/>
      </c>
      <c r="F1782" t="str">
        <f>IF(ROW(F1782)&lt;=Bidding!$D$11,Raw_hydro_bm!G1782,"")</f>
        <v/>
      </c>
      <c r="G1782" t="str">
        <f>IF(ROW(G1782)&lt;=Bidding!$D$11,Raw_hydro_bm!H1782,"")</f>
        <v/>
      </c>
      <c r="H1782" t="str">
        <f>IF(ROW(H1782)&lt;=Bidding!$D$11,Raw_hydro_bm!I1782,"")</f>
        <v/>
      </c>
      <c r="I1782" s="16" t="str">
        <f t="shared" si="27"/>
        <v/>
      </c>
    </row>
    <row r="1783" spans="1:9" x14ac:dyDescent="0.2">
      <c r="A1783" t="str">
        <f>IF(ROW(A1783)&lt;=Bidding!$D$11,Raw_hydro_bm!B1783,"")</f>
        <v/>
      </c>
      <c r="B1783" t="str">
        <f>IF(ROW(B1783)&lt;=Bidding!$D$11,Raw_hydro_bm!C1783,"")</f>
        <v/>
      </c>
      <c r="C1783" t="str">
        <f>IF(ROW(C1783)&lt;=Bidding!$D$11,Raw_hydro_bm!D1783,"")</f>
        <v/>
      </c>
      <c r="D1783" t="str">
        <f>IF(ROW(D1783)&lt;=Bidding!$D$11,Raw_hydro_bm!E1783,"")</f>
        <v/>
      </c>
      <c r="E1783" t="str">
        <f>IF(ROW(E1783)&lt;=Bidding!$D$11,Raw_hydro_bm!F1783,"")</f>
        <v/>
      </c>
      <c r="F1783" t="str">
        <f>IF(ROW(F1783)&lt;=Bidding!$D$11,Raw_hydro_bm!G1783,"")</f>
        <v/>
      </c>
      <c r="G1783" t="str">
        <f>IF(ROW(G1783)&lt;=Bidding!$D$11,Raw_hydro_bm!H1783,"")</f>
        <v/>
      </c>
      <c r="H1783" t="str">
        <f>IF(ROW(H1783)&lt;=Bidding!$D$11,Raw_hydro_bm!I1783,"")</f>
        <v/>
      </c>
      <c r="I1783" s="16" t="str">
        <f t="shared" si="27"/>
        <v/>
      </c>
    </row>
    <row r="1784" spans="1:9" x14ac:dyDescent="0.2">
      <c r="A1784" t="str">
        <f>IF(ROW(A1784)&lt;=Bidding!$D$11,Raw_hydro_bm!B1784,"")</f>
        <v/>
      </c>
      <c r="B1784" t="str">
        <f>IF(ROW(B1784)&lt;=Bidding!$D$11,Raw_hydro_bm!C1784,"")</f>
        <v/>
      </c>
      <c r="C1784" t="str">
        <f>IF(ROW(C1784)&lt;=Bidding!$D$11,Raw_hydro_bm!D1784,"")</f>
        <v/>
      </c>
      <c r="D1784" t="str">
        <f>IF(ROW(D1784)&lt;=Bidding!$D$11,Raw_hydro_bm!E1784,"")</f>
        <v/>
      </c>
      <c r="E1784" t="str">
        <f>IF(ROW(E1784)&lt;=Bidding!$D$11,Raw_hydro_bm!F1784,"")</f>
        <v/>
      </c>
      <c r="F1784" t="str">
        <f>IF(ROW(F1784)&lt;=Bidding!$D$11,Raw_hydro_bm!G1784,"")</f>
        <v/>
      </c>
      <c r="G1784" t="str">
        <f>IF(ROW(G1784)&lt;=Bidding!$D$11,Raw_hydro_bm!H1784,"")</f>
        <v/>
      </c>
      <c r="H1784" t="str">
        <f>IF(ROW(H1784)&lt;=Bidding!$D$11,Raw_hydro_bm!I1784,"")</f>
        <v/>
      </c>
      <c r="I1784" s="16" t="str">
        <f t="shared" si="27"/>
        <v/>
      </c>
    </row>
    <row r="1785" spans="1:9" x14ac:dyDescent="0.2">
      <c r="A1785" t="str">
        <f>IF(ROW(A1785)&lt;=Bidding!$D$11,Raw_hydro_bm!B1785,"")</f>
        <v/>
      </c>
      <c r="B1785" t="str">
        <f>IF(ROW(B1785)&lt;=Bidding!$D$11,Raw_hydro_bm!C1785,"")</f>
        <v/>
      </c>
      <c r="C1785" t="str">
        <f>IF(ROW(C1785)&lt;=Bidding!$D$11,Raw_hydro_bm!D1785,"")</f>
        <v/>
      </c>
      <c r="D1785" t="str">
        <f>IF(ROW(D1785)&lt;=Bidding!$D$11,Raw_hydro_bm!E1785,"")</f>
        <v/>
      </c>
      <c r="E1785" t="str">
        <f>IF(ROW(E1785)&lt;=Bidding!$D$11,Raw_hydro_bm!F1785,"")</f>
        <v/>
      </c>
      <c r="F1785" t="str">
        <f>IF(ROW(F1785)&lt;=Bidding!$D$11,Raw_hydro_bm!G1785,"")</f>
        <v/>
      </c>
      <c r="G1785" t="str">
        <f>IF(ROW(G1785)&lt;=Bidding!$D$11,Raw_hydro_bm!H1785,"")</f>
        <v/>
      </c>
      <c r="H1785" t="str">
        <f>IF(ROW(H1785)&lt;=Bidding!$D$11,Raw_hydro_bm!I1785,"")</f>
        <v/>
      </c>
      <c r="I1785" s="16" t="str">
        <f t="shared" si="27"/>
        <v/>
      </c>
    </row>
    <row r="1786" spans="1:9" x14ac:dyDescent="0.2">
      <c r="A1786" t="str">
        <f>IF(ROW(A1786)&lt;=Bidding!$D$11,Raw_hydro_bm!B1786,"")</f>
        <v/>
      </c>
      <c r="B1786" t="str">
        <f>IF(ROW(B1786)&lt;=Bidding!$D$11,Raw_hydro_bm!C1786,"")</f>
        <v/>
      </c>
      <c r="C1786" t="str">
        <f>IF(ROW(C1786)&lt;=Bidding!$D$11,Raw_hydro_bm!D1786,"")</f>
        <v/>
      </c>
      <c r="D1786" t="str">
        <f>IF(ROW(D1786)&lt;=Bidding!$D$11,Raw_hydro_bm!E1786,"")</f>
        <v/>
      </c>
      <c r="E1786" t="str">
        <f>IF(ROW(E1786)&lt;=Bidding!$D$11,Raw_hydro_bm!F1786,"")</f>
        <v/>
      </c>
      <c r="F1786" t="str">
        <f>IF(ROW(F1786)&lt;=Bidding!$D$11,Raw_hydro_bm!G1786,"")</f>
        <v/>
      </c>
      <c r="G1786" t="str">
        <f>IF(ROW(G1786)&lt;=Bidding!$D$11,Raw_hydro_bm!H1786,"")</f>
        <v/>
      </c>
      <c r="H1786" t="str">
        <f>IF(ROW(H1786)&lt;=Bidding!$D$11,Raw_hydro_bm!I1786,"")</f>
        <v/>
      </c>
      <c r="I1786" s="16" t="str">
        <f t="shared" si="27"/>
        <v/>
      </c>
    </row>
    <row r="1787" spans="1:9" x14ac:dyDescent="0.2">
      <c r="A1787" t="str">
        <f>IF(ROW(A1787)&lt;=Bidding!$D$11,Raw_hydro_bm!B1787,"")</f>
        <v/>
      </c>
      <c r="B1787" t="str">
        <f>IF(ROW(B1787)&lt;=Bidding!$D$11,Raw_hydro_bm!C1787,"")</f>
        <v/>
      </c>
      <c r="C1787" t="str">
        <f>IF(ROW(C1787)&lt;=Bidding!$D$11,Raw_hydro_bm!D1787,"")</f>
        <v/>
      </c>
      <c r="D1787" t="str">
        <f>IF(ROW(D1787)&lt;=Bidding!$D$11,Raw_hydro_bm!E1787,"")</f>
        <v/>
      </c>
      <c r="E1787" t="str">
        <f>IF(ROW(E1787)&lt;=Bidding!$D$11,Raw_hydro_bm!F1787,"")</f>
        <v/>
      </c>
      <c r="F1787" t="str">
        <f>IF(ROW(F1787)&lt;=Bidding!$D$11,Raw_hydro_bm!G1787,"")</f>
        <v/>
      </c>
      <c r="G1787" t="str">
        <f>IF(ROW(G1787)&lt;=Bidding!$D$11,Raw_hydro_bm!H1787,"")</f>
        <v/>
      </c>
      <c r="H1787" t="str">
        <f>IF(ROW(H1787)&lt;=Bidding!$D$11,Raw_hydro_bm!I1787,"")</f>
        <v/>
      </c>
      <c r="I1787" s="16" t="str">
        <f t="shared" si="27"/>
        <v/>
      </c>
    </row>
    <row r="1788" spans="1:9" x14ac:dyDescent="0.2">
      <c r="A1788" t="str">
        <f>IF(ROW(A1788)&lt;=Bidding!$D$11,Raw_hydro_bm!B1788,"")</f>
        <v/>
      </c>
      <c r="B1788" t="str">
        <f>IF(ROW(B1788)&lt;=Bidding!$D$11,Raw_hydro_bm!C1788,"")</f>
        <v/>
      </c>
      <c r="C1788" t="str">
        <f>IF(ROW(C1788)&lt;=Bidding!$D$11,Raw_hydro_bm!D1788,"")</f>
        <v/>
      </c>
      <c r="D1788" t="str">
        <f>IF(ROW(D1788)&lt;=Bidding!$D$11,Raw_hydro_bm!E1788,"")</f>
        <v/>
      </c>
      <c r="E1788" t="str">
        <f>IF(ROW(E1788)&lt;=Bidding!$D$11,Raw_hydro_bm!F1788,"")</f>
        <v/>
      </c>
      <c r="F1788" t="str">
        <f>IF(ROW(F1788)&lt;=Bidding!$D$11,Raw_hydro_bm!G1788,"")</f>
        <v/>
      </c>
      <c r="G1788" t="str">
        <f>IF(ROW(G1788)&lt;=Bidding!$D$11,Raw_hydro_bm!H1788,"")</f>
        <v/>
      </c>
      <c r="H1788" t="str">
        <f>IF(ROW(H1788)&lt;=Bidding!$D$11,Raw_hydro_bm!I1788,"")</f>
        <v/>
      </c>
      <c r="I1788" s="16" t="str">
        <f t="shared" si="27"/>
        <v/>
      </c>
    </row>
    <row r="1789" spans="1:9" x14ac:dyDescent="0.2">
      <c r="A1789" t="str">
        <f>IF(ROW(A1789)&lt;=Bidding!$D$11,Raw_hydro_bm!B1789,"")</f>
        <v/>
      </c>
      <c r="B1789" t="str">
        <f>IF(ROW(B1789)&lt;=Bidding!$D$11,Raw_hydro_bm!C1789,"")</f>
        <v/>
      </c>
      <c r="C1789" t="str">
        <f>IF(ROW(C1789)&lt;=Bidding!$D$11,Raw_hydro_bm!D1789,"")</f>
        <v/>
      </c>
      <c r="D1789" t="str">
        <f>IF(ROW(D1789)&lt;=Bidding!$D$11,Raw_hydro_bm!E1789,"")</f>
        <v/>
      </c>
      <c r="E1789" t="str">
        <f>IF(ROW(E1789)&lt;=Bidding!$D$11,Raw_hydro_bm!F1789,"")</f>
        <v/>
      </c>
      <c r="F1789" t="str">
        <f>IF(ROW(F1789)&lt;=Bidding!$D$11,Raw_hydro_bm!G1789,"")</f>
        <v/>
      </c>
      <c r="G1789" t="str">
        <f>IF(ROW(G1789)&lt;=Bidding!$D$11,Raw_hydro_bm!H1789,"")</f>
        <v/>
      </c>
      <c r="H1789" t="str">
        <f>IF(ROW(H1789)&lt;=Bidding!$D$11,Raw_hydro_bm!I1789,"")</f>
        <v/>
      </c>
      <c r="I1789" s="16" t="str">
        <f t="shared" si="27"/>
        <v/>
      </c>
    </row>
    <row r="1790" spans="1:9" x14ac:dyDescent="0.2">
      <c r="A1790" t="str">
        <f>IF(ROW(A1790)&lt;=Bidding!$D$11,Raw_hydro_bm!B1790,"")</f>
        <v/>
      </c>
      <c r="B1790" t="str">
        <f>IF(ROW(B1790)&lt;=Bidding!$D$11,Raw_hydro_bm!C1790,"")</f>
        <v/>
      </c>
      <c r="C1790" t="str">
        <f>IF(ROW(C1790)&lt;=Bidding!$D$11,Raw_hydro_bm!D1790,"")</f>
        <v/>
      </c>
      <c r="D1790" t="str">
        <f>IF(ROW(D1790)&lt;=Bidding!$D$11,Raw_hydro_bm!E1790,"")</f>
        <v/>
      </c>
      <c r="E1790" t="str">
        <f>IF(ROW(E1790)&lt;=Bidding!$D$11,Raw_hydro_bm!F1790,"")</f>
        <v/>
      </c>
      <c r="F1790" t="str">
        <f>IF(ROW(F1790)&lt;=Bidding!$D$11,Raw_hydro_bm!G1790,"")</f>
        <v/>
      </c>
      <c r="G1790" t="str">
        <f>IF(ROW(G1790)&lt;=Bidding!$D$11,Raw_hydro_bm!H1790,"")</f>
        <v/>
      </c>
      <c r="H1790" t="str">
        <f>IF(ROW(H1790)&lt;=Bidding!$D$11,Raw_hydro_bm!I1790,"")</f>
        <v/>
      </c>
      <c r="I1790" s="16" t="str">
        <f t="shared" si="27"/>
        <v/>
      </c>
    </row>
    <row r="1791" spans="1:9" x14ac:dyDescent="0.2">
      <c r="A1791" t="str">
        <f>IF(ROW(A1791)&lt;=Bidding!$D$11,Raw_hydro_bm!B1791,"")</f>
        <v/>
      </c>
      <c r="B1791" t="str">
        <f>IF(ROW(B1791)&lt;=Bidding!$D$11,Raw_hydro_bm!C1791,"")</f>
        <v/>
      </c>
      <c r="C1791" t="str">
        <f>IF(ROW(C1791)&lt;=Bidding!$D$11,Raw_hydro_bm!D1791,"")</f>
        <v/>
      </c>
      <c r="D1791" t="str">
        <f>IF(ROW(D1791)&lt;=Bidding!$D$11,Raw_hydro_bm!E1791,"")</f>
        <v/>
      </c>
      <c r="E1791" t="str">
        <f>IF(ROW(E1791)&lt;=Bidding!$D$11,Raw_hydro_bm!F1791,"")</f>
        <v/>
      </c>
      <c r="F1791" t="str">
        <f>IF(ROW(F1791)&lt;=Bidding!$D$11,Raw_hydro_bm!G1791,"")</f>
        <v/>
      </c>
      <c r="G1791" t="str">
        <f>IF(ROW(G1791)&lt;=Bidding!$D$11,Raw_hydro_bm!H1791,"")</f>
        <v/>
      </c>
      <c r="H1791" t="str">
        <f>IF(ROW(H1791)&lt;=Bidding!$D$11,Raw_hydro_bm!I1791,"")</f>
        <v/>
      </c>
      <c r="I1791" s="16" t="str">
        <f t="shared" si="27"/>
        <v/>
      </c>
    </row>
    <row r="1792" spans="1:9" x14ac:dyDescent="0.2">
      <c r="A1792" t="str">
        <f>IF(ROW(A1792)&lt;=Bidding!$D$11,Raw_hydro_bm!B1792,"")</f>
        <v/>
      </c>
      <c r="B1792" t="str">
        <f>IF(ROW(B1792)&lt;=Bidding!$D$11,Raw_hydro_bm!C1792,"")</f>
        <v/>
      </c>
      <c r="C1792" t="str">
        <f>IF(ROW(C1792)&lt;=Bidding!$D$11,Raw_hydro_bm!D1792,"")</f>
        <v/>
      </c>
      <c r="D1792" t="str">
        <f>IF(ROW(D1792)&lt;=Bidding!$D$11,Raw_hydro_bm!E1792,"")</f>
        <v/>
      </c>
      <c r="E1792" t="str">
        <f>IF(ROW(E1792)&lt;=Bidding!$D$11,Raw_hydro_bm!F1792,"")</f>
        <v/>
      </c>
      <c r="F1792" t="str">
        <f>IF(ROW(F1792)&lt;=Bidding!$D$11,Raw_hydro_bm!G1792,"")</f>
        <v/>
      </c>
      <c r="G1792" t="str">
        <f>IF(ROW(G1792)&lt;=Bidding!$D$11,Raw_hydro_bm!H1792,"")</f>
        <v/>
      </c>
      <c r="H1792" t="str">
        <f>IF(ROW(H1792)&lt;=Bidding!$D$11,Raw_hydro_bm!I1792,"")</f>
        <v/>
      </c>
      <c r="I1792" s="16" t="str">
        <f t="shared" si="27"/>
        <v/>
      </c>
    </row>
    <row r="1793" spans="1:9" x14ac:dyDescent="0.2">
      <c r="A1793" t="str">
        <f>IF(ROW(A1793)&lt;=Bidding!$D$11,Raw_hydro_bm!B1793,"")</f>
        <v/>
      </c>
      <c r="B1793" t="str">
        <f>IF(ROW(B1793)&lt;=Bidding!$D$11,Raw_hydro_bm!C1793,"")</f>
        <v/>
      </c>
      <c r="C1793" t="str">
        <f>IF(ROW(C1793)&lt;=Bidding!$D$11,Raw_hydro_bm!D1793,"")</f>
        <v/>
      </c>
      <c r="D1793" t="str">
        <f>IF(ROW(D1793)&lt;=Bidding!$D$11,Raw_hydro_bm!E1793,"")</f>
        <v/>
      </c>
      <c r="E1793" t="str">
        <f>IF(ROW(E1793)&lt;=Bidding!$D$11,Raw_hydro_bm!F1793,"")</f>
        <v/>
      </c>
      <c r="F1793" t="str">
        <f>IF(ROW(F1793)&lt;=Bidding!$D$11,Raw_hydro_bm!G1793,"")</f>
        <v/>
      </c>
      <c r="G1793" t="str">
        <f>IF(ROW(G1793)&lt;=Bidding!$D$11,Raw_hydro_bm!H1793,"")</f>
        <v/>
      </c>
      <c r="H1793" t="str">
        <f>IF(ROW(H1793)&lt;=Bidding!$D$11,Raw_hydro_bm!I1793,"")</f>
        <v/>
      </c>
      <c r="I1793" s="16" t="str">
        <f t="shared" si="27"/>
        <v/>
      </c>
    </row>
    <row r="1794" spans="1:9" x14ac:dyDescent="0.2">
      <c r="A1794" t="str">
        <f>IF(ROW(A1794)&lt;=Bidding!$D$11,Raw_hydro_bm!B1794,"")</f>
        <v/>
      </c>
      <c r="B1794" t="str">
        <f>IF(ROW(B1794)&lt;=Bidding!$D$11,Raw_hydro_bm!C1794,"")</f>
        <v/>
      </c>
      <c r="C1794" t="str">
        <f>IF(ROW(C1794)&lt;=Bidding!$D$11,Raw_hydro_bm!D1794,"")</f>
        <v/>
      </c>
      <c r="D1794" t="str">
        <f>IF(ROW(D1794)&lt;=Bidding!$D$11,Raw_hydro_bm!E1794,"")</f>
        <v/>
      </c>
      <c r="E1794" t="str">
        <f>IF(ROW(E1794)&lt;=Bidding!$D$11,Raw_hydro_bm!F1794,"")</f>
        <v/>
      </c>
      <c r="F1794" t="str">
        <f>IF(ROW(F1794)&lt;=Bidding!$D$11,Raw_hydro_bm!G1794,"")</f>
        <v/>
      </c>
      <c r="G1794" t="str">
        <f>IF(ROW(G1794)&lt;=Bidding!$D$11,Raw_hydro_bm!H1794,"")</f>
        <v/>
      </c>
      <c r="H1794" t="str">
        <f>IF(ROW(H1794)&lt;=Bidding!$D$11,Raw_hydro_bm!I1794,"")</f>
        <v/>
      </c>
      <c r="I1794" s="16" t="str">
        <f t="shared" ref="I1794:I1857" si="28">IF(IFERROR(FIND("e",H1794),-1)&lt;0,IFERROR(_xlfn.NUMBERVALUE(LEFT(H1794,FIND(".",H1794)-1))+_xlfn.NUMBERVALUE("0,"&amp;RIGHT(H1794,LEN(H1794)-FIND(".",H1794))),""),0)</f>
        <v/>
      </c>
    </row>
    <row r="1795" spans="1:9" x14ac:dyDescent="0.2">
      <c r="A1795" t="str">
        <f>IF(ROW(A1795)&lt;=Bidding!$D$11,Raw_hydro_bm!B1795,"")</f>
        <v/>
      </c>
      <c r="B1795" t="str">
        <f>IF(ROW(B1795)&lt;=Bidding!$D$11,Raw_hydro_bm!C1795,"")</f>
        <v/>
      </c>
      <c r="C1795" t="str">
        <f>IF(ROW(C1795)&lt;=Bidding!$D$11,Raw_hydro_bm!D1795,"")</f>
        <v/>
      </c>
      <c r="D1795" t="str">
        <f>IF(ROW(D1795)&lt;=Bidding!$D$11,Raw_hydro_bm!E1795,"")</f>
        <v/>
      </c>
      <c r="E1795" t="str">
        <f>IF(ROW(E1795)&lt;=Bidding!$D$11,Raw_hydro_bm!F1795,"")</f>
        <v/>
      </c>
      <c r="F1795" t="str">
        <f>IF(ROW(F1795)&lt;=Bidding!$D$11,Raw_hydro_bm!G1795,"")</f>
        <v/>
      </c>
      <c r="G1795" t="str">
        <f>IF(ROW(G1795)&lt;=Bidding!$D$11,Raw_hydro_bm!H1795,"")</f>
        <v/>
      </c>
      <c r="H1795" t="str">
        <f>IF(ROW(H1795)&lt;=Bidding!$D$11,Raw_hydro_bm!I1795,"")</f>
        <v/>
      </c>
      <c r="I1795" s="16" t="str">
        <f t="shared" si="28"/>
        <v/>
      </c>
    </row>
    <row r="1796" spans="1:9" x14ac:dyDescent="0.2">
      <c r="A1796" t="str">
        <f>IF(ROW(A1796)&lt;=Bidding!$D$11,Raw_hydro_bm!B1796,"")</f>
        <v/>
      </c>
      <c r="B1796" t="str">
        <f>IF(ROW(B1796)&lt;=Bidding!$D$11,Raw_hydro_bm!C1796,"")</f>
        <v/>
      </c>
      <c r="C1796" t="str">
        <f>IF(ROW(C1796)&lt;=Bidding!$D$11,Raw_hydro_bm!D1796,"")</f>
        <v/>
      </c>
      <c r="D1796" t="str">
        <f>IF(ROW(D1796)&lt;=Bidding!$D$11,Raw_hydro_bm!E1796,"")</f>
        <v/>
      </c>
      <c r="E1796" t="str">
        <f>IF(ROW(E1796)&lt;=Bidding!$D$11,Raw_hydro_bm!F1796,"")</f>
        <v/>
      </c>
      <c r="F1796" t="str">
        <f>IF(ROW(F1796)&lt;=Bidding!$D$11,Raw_hydro_bm!G1796,"")</f>
        <v/>
      </c>
      <c r="G1796" t="str">
        <f>IF(ROW(G1796)&lt;=Bidding!$D$11,Raw_hydro_bm!H1796,"")</f>
        <v/>
      </c>
      <c r="H1796" t="str">
        <f>IF(ROW(H1796)&lt;=Bidding!$D$11,Raw_hydro_bm!I1796,"")</f>
        <v/>
      </c>
      <c r="I1796" s="16" t="str">
        <f t="shared" si="28"/>
        <v/>
      </c>
    </row>
    <row r="1797" spans="1:9" x14ac:dyDescent="0.2">
      <c r="A1797" t="str">
        <f>IF(ROW(A1797)&lt;=Bidding!$D$11,Raw_hydro_bm!B1797,"")</f>
        <v/>
      </c>
      <c r="B1797" t="str">
        <f>IF(ROW(B1797)&lt;=Bidding!$D$11,Raw_hydro_bm!C1797,"")</f>
        <v/>
      </c>
      <c r="C1797" t="str">
        <f>IF(ROW(C1797)&lt;=Bidding!$D$11,Raw_hydro_bm!D1797,"")</f>
        <v/>
      </c>
      <c r="D1797" t="str">
        <f>IF(ROW(D1797)&lt;=Bidding!$D$11,Raw_hydro_bm!E1797,"")</f>
        <v/>
      </c>
      <c r="E1797" t="str">
        <f>IF(ROW(E1797)&lt;=Bidding!$D$11,Raw_hydro_bm!F1797,"")</f>
        <v/>
      </c>
      <c r="F1797" t="str">
        <f>IF(ROW(F1797)&lt;=Bidding!$D$11,Raw_hydro_bm!G1797,"")</f>
        <v/>
      </c>
      <c r="G1797" t="str">
        <f>IF(ROW(G1797)&lt;=Bidding!$D$11,Raw_hydro_bm!H1797,"")</f>
        <v/>
      </c>
      <c r="H1797" t="str">
        <f>IF(ROW(H1797)&lt;=Bidding!$D$11,Raw_hydro_bm!I1797,"")</f>
        <v/>
      </c>
      <c r="I1797" s="16" t="str">
        <f t="shared" si="28"/>
        <v/>
      </c>
    </row>
    <row r="1798" spans="1:9" x14ac:dyDescent="0.2">
      <c r="A1798" t="str">
        <f>IF(ROW(A1798)&lt;=Bidding!$D$11,Raw_hydro_bm!B1798,"")</f>
        <v/>
      </c>
      <c r="B1798" t="str">
        <f>IF(ROW(B1798)&lt;=Bidding!$D$11,Raw_hydro_bm!C1798,"")</f>
        <v/>
      </c>
      <c r="C1798" t="str">
        <f>IF(ROW(C1798)&lt;=Bidding!$D$11,Raw_hydro_bm!D1798,"")</f>
        <v/>
      </c>
      <c r="D1798" t="str">
        <f>IF(ROW(D1798)&lt;=Bidding!$D$11,Raw_hydro_bm!E1798,"")</f>
        <v/>
      </c>
      <c r="E1798" t="str">
        <f>IF(ROW(E1798)&lt;=Bidding!$D$11,Raw_hydro_bm!F1798,"")</f>
        <v/>
      </c>
      <c r="F1798" t="str">
        <f>IF(ROW(F1798)&lt;=Bidding!$D$11,Raw_hydro_bm!G1798,"")</f>
        <v/>
      </c>
      <c r="G1798" t="str">
        <f>IF(ROW(G1798)&lt;=Bidding!$D$11,Raw_hydro_bm!H1798,"")</f>
        <v/>
      </c>
      <c r="H1798" t="str">
        <f>IF(ROW(H1798)&lt;=Bidding!$D$11,Raw_hydro_bm!I1798,"")</f>
        <v/>
      </c>
      <c r="I1798" s="16" t="str">
        <f t="shared" si="28"/>
        <v/>
      </c>
    </row>
    <row r="1799" spans="1:9" x14ac:dyDescent="0.2">
      <c r="A1799" t="str">
        <f>IF(ROW(A1799)&lt;=Bidding!$D$11,Raw_hydro_bm!B1799,"")</f>
        <v/>
      </c>
      <c r="B1799" t="str">
        <f>IF(ROW(B1799)&lt;=Bidding!$D$11,Raw_hydro_bm!C1799,"")</f>
        <v/>
      </c>
      <c r="C1799" t="str">
        <f>IF(ROW(C1799)&lt;=Bidding!$D$11,Raw_hydro_bm!D1799,"")</f>
        <v/>
      </c>
      <c r="D1799" t="str">
        <f>IF(ROW(D1799)&lt;=Bidding!$D$11,Raw_hydro_bm!E1799,"")</f>
        <v/>
      </c>
      <c r="E1799" t="str">
        <f>IF(ROW(E1799)&lt;=Bidding!$D$11,Raw_hydro_bm!F1799,"")</f>
        <v/>
      </c>
      <c r="F1799" t="str">
        <f>IF(ROW(F1799)&lt;=Bidding!$D$11,Raw_hydro_bm!G1799,"")</f>
        <v/>
      </c>
      <c r="G1799" t="str">
        <f>IF(ROW(G1799)&lt;=Bidding!$D$11,Raw_hydro_bm!H1799,"")</f>
        <v/>
      </c>
      <c r="H1799" t="str">
        <f>IF(ROW(H1799)&lt;=Bidding!$D$11,Raw_hydro_bm!I1799,"")</f>
        <v/>
      </c>
      <c r="I1799" s="16" t="str">
        <f t="shared" si="28"/>
        <v/>
      </c>
    </row>
    <row r="1800" spans="1:9" x14ac:dyDescent="0.2">
      <c r="A1800" t="str">
        <f>IF(ROW(A1800)&lt;=Bidding!$D$11,Raw_hydro_bm!B1800,"")</f>
        <v/>
      </c>
      <c r="B1800" t="str">
        <f>IF(ROW(B1800)&lt;=Bidding!$D$11,Raw_hydro_bm!C1800,"")</f>
        <v/>
      </c>
      <c r="C1800" t="str">
        <f>IF(ROW(C1800)&lt;=Bidding!$D$11,Raw_hydro_bm!D1800,"")</f>
        <v/>
      </c>
      <c r="D1800" t="str">
        <f>IF(ROW(D1800)&lt;=Bidding!$D$11,Raw_hydro_bm!E1800,"")</f>
        <v/>
      </c>
      <c r="E1800" t="str">
        <f>IF(ROW(E1800)&lt;=Bidding!$D$11,Raw_hydro_bm!F1800,"")</f>
        <v/>
      </c>
      <c r="F1800" t="str">
        <f>IF(ROW(F1800)&lt;=Bidding!$D$11,Raw_hydro_bm!G1800,"")</f>
        <v/>
      </c>
      <c r="G1800" t="str">
        <f>IF(ROW(G1800)&lt;=Bidding!$D$11,Raw_hydro_bm!H1800,"")</f>
        <v/>
      </c>
      <c r="H1800" t="str">
        <f>IF(ROW(H1800)&lt;=Bidding!$D$11,Raw_hydro_bm!I1800,"")</f>
        <v/>
      </c>
      <c r="I1800" s="16" t="str">
        <f t="shared" si="28"/>
        <v/>
      </c>
    </row>
    <row r="1801" spans="1:9" x14ac:dyDescent="0.2">
      <c r="A1801" t="str">
        <f>IF(ROW(A1801)&lt;=Bidding!$D$11,Raw_hydro_bm!B1801,"")</f>
        <v/>
      </c>
      <c r="B1801" t="str">
        <f>IF(ROW(B1801)&lt;=Bidding!$D$11,Raw_hydro_bm!C1801,"")</f>
        <v/>
      </c>
      <c r="C1801" t="str">
        <f>IF(ROW(C1801)&lt;=Bidding!$D$11,Raw_hydro_bm!D1801,"")</f>
        <v/>
      </c>
      <c r="D1801" t="str">
        <f>IF(ROW(D1801)&lt;=Bidding!$D$11,Raw_hydro_bm!E1801,"")</f>
        <v/>
      </c>
      <c r="E1801" t="str">
        <f>IF(ROW(E1801)&lt;=Bidding!$D$11,Raw_hydro_bm!F1801,"")</f>
        <v/>
      </c>
      <c r="F1801" t="str">
        <f>IF(ROW(F1801)&lt;=Bidding!$D$11,Raw_hydro_bm!G1801,"")</f>
        <v/>
      </c>
      <c r="G1801" t="str">
        <f>IF(ROW(G1801)&lt;=Bidding!$D$11,Raw_hydro_bm!H1801,"")</f>
        <v/>
      </c>
      <c r="H1801" t="str">
        <f>IF(ROW(H1801)&lt;=Bidding!$D$11,Raw_hydro_bm!I1801,"")</f>
        <v/>
      </c>
      <c r="I1801" s="16" t="str">
        <f t="shared" si="28"/>
        <v/>
      </c>
    </row>
    <row r="1802" spans="1:9" x14ac:dyDescent="0.2">
      <c r="A1802" t="str">
        <f>IF(ROW(A1802)&lt;=Bidding!$D$11,Raw_hydro_bm!B1802,"")</f>
        <v/>
      </c>
      <c r="B1802" t="str">
        <f>IF(ROW(B1802)&lt;=Bidding!$D$11,Raw_hydro_bm!C1802,"")</f>
        <v/>
      </c>
      <c r="C1802" t="str">
        <f>IF(ROW(C1802)&lt;=Bidding!$D$11,Raw_hydro_bm!D1802,"")</f>
        <v/>
      </c>
      <c r="D1802" t="str">
        <f>IF(ROW(D1802)&lt;=Bidding!$D$11,Raw_hydro_bm!E1802,"")</f>
        <v/>
      </c>
      <c r="E1802" t="str">
        <f>IF(ROW(E1802)&lt;=Bidding!$D$11,Raw_hydro_bm!F1802,"")</f>
        <v/>
      </c>
      <c r="F1802" t="str">
        <f>IF(ROW(F1802)&lt;=Bidding!$D$11,Raw_hydro_bm!G1802,"")</f>
        <v/>
      </c>
      <c r="G1802" t="str">
        <f>IF(ROW(G1802)&lt;=Bidding!$D$11,Raw_hydro_bm!H1802,"")</f>
        <v/>
      </c>
      <c r="H1802" t="str">
        <f>IF(ROW(H1802)&lt;=Bidding!$D$11,Raw_hydro_bm!I1802,"")</f>
        <v/>
      </c>
      <c r="I1802" s="16" t="str">
        <f t="shared" si="28"/>
        <v/>
      </c>
    </row>
    <row r="1803" spans="1:9" x14ac:dyDescent="0.2">
      <c r="A1803" t="str">
        <f>IF(ROW(A1803)&lt;=Bidding!$D$11,Raw_hydro_bm!B1803,"")</f>
        <v/>
      </c>
      <c r="B1803" t="str">
        <f>IF(ROW(B1803)&lt;=Bidding!$D$11,Raw_hydro_bm!C1803,"")</f>
        <v/>
      </c>
      <c r="C1803" t="str">
        <f>IF(ROW(C1803)&lt;=Bidding!$D$11,Raw_hydro_bm!D1803,"")</f>
        <v/>
      </c>
      <c r="D1803" t="str">
        <f>IF(ROW(D1803)&lt;=Bidding!$D$11,Raw_hydro_bm!E1803,"")</f>
        <v/>
      </c>
      <c r="E1803" t="str">
        <f>IF(ROW(E1803)&lt;=Bidding!$D$11,Raw_hydro_bm!F1803,"")</f>
        <v/>
      </c>
      <c r="F1803" t="str">
        <f>IF(ROW(F1803)&lt;=Bidding!$D$11,Raw_hydro_bm!G1803,"")</f>
        <v/>
      </c>
      <c r="G1803" t="str">
        <f>IF(ROW(G1803)&lt;=Bidding!$D$11,Raw_hydro_bm!H1803,"")</f>
        <v/>
      </c>
      <c r="H1803" t="str">
        <f>IF(ROW(H1803)&lt;=Bidding!$D$11,Raw_hydro_bm!I1803,"")</f>
        <v/>
      </c>
      <c r="I1803" s="16" t="str">
        <f t="shared" si="28"/>
        <v/>
      </c>
    </row>
    <row r="1804" spans="1:9" x14ac:dyDescent="0.2">
      <c r="A1804" t="str">
        <f>IF(ROW(A1804)&lt;=Bidding!$D$11,Raw_hydro_bm!B1804,"")</f>
        <v/>
      </c>
      <c r="B1804" t="str">
        <f>IF(ROW(B1804)&lt;=Bidding!$D$11,Raw_hydro_bm!C1804,"")</f>
        <v/>
      </c>
      <c r="C1804" t="str">
        <f>IF(ROW(C1804)&lt;=Bidding!$D$11,Raw_hydro_bm!D1804,"")</f>
        <v/>
      </c>
      <c r="D1804" t="str">
        <f>IF(ROW(D1804)&lt;=Bidding!$D$11,Raw_hydro_bm!E1804,"")</f>
        <v/>
      </c>
      <c r="E1804" t="str">
        <f>IF(ROW(E1804)&lt;=Bidding!$D$11,Raw_hydro_bm!F1804,"")</f>
        <v/>
      </c>
      <c r="F1804" t="str">
        <f>IF(ROW(F1804)&lt;=Bidding!$D$11,Raw_hydro_bm!G1804,"")</f>
        <v/>
      </c>
      <c r="G1804" t="str">
        <f>IF(ROW(G1804)&lt;=Bidding!$D$11,Raw_hydro_bm!H1804,"")</f>
        <v/>
      </c>
      <c r="H1804" t="str">
        <f>IF(ROW(H1804)&lt;=Bidding!$D$11,Raw_hydro_bm!I1804,"")</f>
        <v/>
      </c>
      <c r="I1804" s="16" t="str">
        <f t="shared" si="28"/>
        <v/>
      </c>
    </row>
    <row r="1805" spans="1:9" x14ac:dyDescent="0.2">
      <c r="A1805" t="str">
        <f>IF(ROW(A1805)&lt;=Bidding!$D$11,Raw_hydro_bm!B1805,"")</f>
        <v/>
      </c>
      <c r="B1805" t="str">
        <f>IF(ROW(B1805)&lt;=Bidding!$D$11,Raw_hydro_bm!C1805,"")</f>
        <v/>
      </c>
      <c r="C1805" t="str">
        <f>IF(ROW(C1805)&lt;=Bidding!$D$11,Raw_hydro_bm!D1805,"")</f>
        <v/>
      </c>
      <c r="D1805" t="str">
        <f>IF(ROW(D1805)&lt;=Bidding!$D$11,Raw_hydro_bm!E1805,"")</f>
        <v/>
      </c>
      <c r="E1805" t="str">
        <f>IF(ROW(E1805)&lt;=Bidding!$D$11,Raw_hydro_bm!F1805,"")</f>
        <v/>
      </c>
      <c r="F1805" t="str">
        <f>IF(ROW(F1805)&lt;=Bidding!$D$11,Raw_hydro_bm!G1805,"")</f>
        <v/>
      </c>
      <c r="G1805" t="str">
        <f>IF(ROW(G1805)&lt;=Bidding!$D$11,Raw_hydro_bm!H1805,"")</f>
        <v/>
      </c>
      <c r="H1805" t="str">
        <f>IF(ROW(H1805)&lt;=Bidding!$D$11,Raw_hydro_bm!I1805,"")</f>
        <v/>
      </c>
      <c r="I1805" s="16" t="str">
        <f t="shared" si="28"/>
        <v/>
      </c>
    </row>
    <row r="1806" spans="1:9" x14ac:dyDescent="0.2">
      <c r="A1806" t="str">
        <f>IF(ROW(A1806)&lt;=Bidding!$D$11,Raw_hydro_bm!B1806,"")</f>
        <v/>
      </c>
      <c r="B1806" t="str">
        <f>IF(ROW(B1806)&lt;=Bidding!$D$11,Raw_hydro_bm!C1806,"")</f>
        <v/>
      </c>
      <c r="C1806" t="str">
        <f>IF(ROW(C1806)&lt;=Bidding!$D$11,Raw_hydro_bm!D1806,"")</f>
        <v/>
      </c>
      <c r="D1806" t="str">
        <f>IF(ROW(D1806)&lt;=Bidding!$D$11,Raw_hydro_bm!E1806,"")</f>
        <v/>
      </c>
      <c r="E1806" t="str">
        <f>IF(ROW(E1806)&lt;=Bidding!$D$11,Raw_hydro_bm!F1806,"")</f>
        <v/>
      </c>
      <c r="F1806" t="str">
        <f>IF(ROW(F1806)&lt;=Bidding!$D$11,Raw_hydro_bm!G1806,"")</f>
        <v/>
      </c>
      <c r="G1806" t="str">
        <f>IF(ROW(G1806)&lt;=Bidding!$D$11,Raw_hydro_bm!H1806,"")</f>
        <v/>
      </c>
      <c r="H1806" t="str">
        <f>IF(ROW(H1806)&lt;=Bidding!$D$11,Raw_hydro_bm!I1806,"")</f>
        <v/>
      </c>
      <c r="I1806" s="16" t="str">
        <f t="shared" si="28"/>
        <v/>
      </c>
    </row>
    <row r="1807" spans="1:9" x14ac:dyDescent="0.2">
      <c r="A1807" t="str">
        <f>IF(ROW(A1807)&lt;=Bidding!$D$11,Raw_hydro_bm!B1807,"")</f>
        <v/>
      </c>
      <c r="B1807" t="str">
        <f>IF(ROW(B1807)&lt;=Bidding!$D$11,Raw_hydro_bm!C1807,"")</f>
        <v/>
      </c>
      <c r="C1807" t="str">
        <f>IF(ROW(C1807)&lt;=Bidding!$D$11,Raw_hydro_bm!D1807,"")</f>
        <v/>
      </c>
      <c r="D1807" t="str">
        <f>IF(ROW(D1807)&lt;=Bidding!$D$11,Raw_hydro_bm!E1807,"")</f>
        <v/>
      </c>
      <c r="E1807" t="str">
        <f>IF(ROW(E1807)&lt;=Bidding!$D$11,Raw_hydro_bm!F1807,"")</f>
        <v/>
      </c>
      <c r="F1807" t="str">
        <f>IF(ROW(F1807)&lt;=Bidding!$D$11,Raw_hydro_bm!G1807,"")</f>
        <v/>
      </c>
      <c r="G1807" t="str">
        <f>IF(ROW(G1807)&lt;=Bidding!$D$11,Raw_hydro_bm!H1807,"")</f>
        <v/>
      </c>
      <c r="H1807" t="str">
        <f>IF(ROW(H1807)&lt;=Bidding!$D$11,Raw_hydro_bm!I1807,"")</f>
        <v/>
      </c>
      <c r="I1807" s="16" t="str">
        <f t="shared" si="28"/>
        <v/>
      </c>
    </row>
    <row r="1808" spans="1:9" x14ac:dyDescent="0.2">
      <c r="A1808" t="str">
        <f>IF(ROW(A1808)&lt;=Bidding!$D$11,Raw_hydro_bm!B1808,"")</f>
        <v/>
      </c>
      <c r="B1808" t="str">
        <f>IF(ROW(B1808)&lt;=Bidding!$D$11,Raw_hydro_bm!C1808,"")</f>
        <v/>
      </c>
      <c r="C1808" t="str">
        <f>IF(ROW(C1808)&lt;=Bidding!$D$11,Raw_hydro_bm!D1808,"")</f>
        <v/>
      </c>
      <c r="D1808" t="str">
        <f>IF(ROW(D1808)&lt;=Bidding!$D$11,Raw_hydro_bm!E1808,"")</f>
        <v/>
      </c>
      <c r="E1808" t="str">
        <f>IF(ROW(E1808)&lt;=Bidding!$D$11,Raw_hydro_bm!F1808,"")</f>
        <v/>
      </c>
      <c r="F1808" t="str">
        <f>IF(ROW(F1808)&lt;=Bidding!$D$11,Raw_hydro_bm!G1808,"")</f>
        <v/>
      </c>
      <c r="G1808" t="str">
        <f>IF(ROW(G1808)&lt;=Bidding!$D$11,Raw_hydro_bm!H1808,"")</f>
        <v/>
      </c>
      <c r="H1808" t="str">
        <f>IF(ROW(H1808)&lt;=Bidding!$D$11,Raw_hydro_bm!I1808,"")</f>
        <v/>
      </c>
      <c r="I1808" s="16" t="str">
        <f t="shared" si="28"/>
        <v/>
      </c>
    </row>
    <row r="1809" spans="1:9" x14ac:dyDescent="0.2">
      <c r="A1809" t="str">
        <f>IF(ROW(A1809)&lt;=Bidding!$D$11,Raw_hydro_bm!B1809,"")</f>
        <v/>
      </c>
      <c r="B1809" t="str">
        <f>IF(ROW(B1809)&lt;=Bidding!$D$11,Raw_hydro_bm!C1809,"")</f>
        <v/>
      </c>
      <c r="C1809" t="str">
        <f>IF(ROW(C1809)&lt;=Bidding!$D$11,Raw_hydro_bm!D1809,"")</f>
        <v/>
      </c>
      <c r="D1809" t="str">
        <f>IF(ROW(D1809)&lt;=Bidding!$D$11,Raw_hydro_bm!E1809,"")</f>
        <v/>
      </c>
      <c r="E1809" t="str">
        <f>IF(ROW(E1809)&lt;=Bidding!$D$11,Raw_hydro_bm!F1809,"")</f>
        <v/>
      </c>
      <c r="F1809" t="str">
        <f>IF(ROW(F1809)&lt;=Bidding!$D$11,Raw_hydro_bm!G1809,"")</f>
        <v/>
      </c>
      <c r="G1809" t="str">
        <f>IF(ROW(G1809)&lt;=Bidding!$D$11,Raw_hydro_bm!H1809,"")</f>
        <v/>
      </c>
      <c r="H1809" t="str">
        <f>IF(ROW(H1809)&lt;=Bidding!$D$11,Raw_hydro_bm!I1809,"")</f>
        <v/>
      </c>
      <c r="I1809" s="16" t="str">
        <f t="shared" si="28"/>
        <v/>
      </c>
    </row>
    <row r="1810" spans="1:9" x14ac:dyDescent="0.2">
      <c r="A1810" t="str">
        <f>IF(ROW(A1810)&lt;=Bidding!$D$11,Raw_hydro_bm!B1810,"")</f>
        <v/>
      </c>
      <c r="B1810" t="str">
        <f>IF(ROW(B1810)&lt;=Bidding!$D$11,Raw_hydro_bm!C1810,"")</f>
        <v/>
      </c>
      <c r="C1810" t="str">
        <f>IF(ROW(C1810)&lt;=Bidding!$D$11,Raw_hydro_bm!D1810,"")</f>
        <v/>
      </c>
      <c r="D1810" t="str">
        <f>IF(ROW(D1810)&lt;=Bidding!$D$11,Raw_hydro_bm!E1810,"")</f>
        <v/>
      </c>
      <c r="E1810" t="str">
        <f>IF(ROW(E1810)&lt;=Bidding!$D$11,Raw_hydro_bm!F1810,"")</f>
        <v/>
      </c>
      <c r="F1810" t="str">
        <f>IF(ROW(F1810)&lt;=Bidding!$D$11,Raw_hydro_bm!G1810,"")</f>
        <v/>
      </c>
      <c r="G1810" t="str">
        <f>IF(ROW(G1810)&lt;=Bidding!$D$11,Raw_hydro_bm!H1810,"")</f>
        <v/>
      </c>
      <c r="H1810" t="str">
        <f>IF(ROW(H1810)&lt;=Bidding!$D$11,Raw_hydro_bm!I1810,"")</f>
        <v/>
      </c>
      <c r="I1810" s="16" t="str">
        <f t="shared" si="28"/>
        <v/>
      </c>
    </row>
    <row r="1811" spans="1:9" x14ac:dyDescent="0.2">
      <c r="A1811" t="str">
        <f>IF(ROW(A1811)&lt;=Bidding!$D$11,Raw_hydro_bm!B1811,"")</f>
        <v/>
      </c>
      <c r="B1811" t="str">
        <f>IF(ROW(B1811)&lt;=Bidding!$D$11,Raw_hydro_bm!C1811,"")</f>
        <v/>
      </c>
      <c r="C1811" t="str">
        <f>IF(ROW(C1811)&lt;=Bidding!$D$11,Raw_hydro_bm!D1811,"")</f>
        <v/>
      </c>
      <c r="D1811" t="str">
        <f>IF(ROW(D1811)&lt;=Bidding!$D$11,Raw_hydro_bm!E1811,"")</f>
        <v/>
      </c>
      <c r="E1811" t="str">
        <f>IF(ROW(E1811)&lt;=Bidding!$D$11,Raw_hydro_bm!F1811,"")</f>
        <v/>
      </c>
      <c r="F1811" t="str">
        <f>IF(ROW(F1811)&lt;=Bidding!$D$11,Raw_hydro_bm!G1811,"")</f>
        <v/>
      </c>
      <c r="G1811" t="str">
        <f>IF(ROW(G1811)&lt;=Bidding!$D$11,Raw_hydro_bm!H1811,"")</f>
        <v/>
      </c>
      <c r="H1811" t="str">
        <f>IF(ROW(H1811)&lt;=Bidding!$D$11,Raw_hydro_bm!I1811,"")</f>
        <v/>
      </c>
      <c r="I1811" s="16" t="str">
        <f t="shared" si="28"/>
        <v/>
      </c>
    </row>
    <row r="1812" spans="1:9" x14ac:dyDescent="0.2">
      <c r="A1812" t="str">
        <f>IF(ROW(A1812)&lt;=Bidding!$D$11,Raw_hydro_bm!B1812,"")</f>
        <v/>
      </c>
      <c r="B1812" t="str">
        <f>IF(ROW(B1812)&lt;=Bidding!$D$11,Raw_hydro_bm!C1812,"")</f>
        <v/>
      </c>
      <c r="C1812" t="str">
        <f>IF(ROW(C1812)&lt;=Bidding!$D$11,Raw_hydro_bm!D1812,"")</f>
        <v/>
      </c>
      <c r="D1812" t="str">
        <f>IF(ROW(D1812)&lt;=Bidding!$D$11,Raw_hydro_bm!E1812,"")</f>
        <v/>
      </c>
      <c r="E1812" t="str">
        <f>IF(ROW(E1812)&lt;=Bidding!$D$11,Raw_hydro_bm!F1812,"")</f>
        <v/>
      </c>
      <c r="F1812" t="str">
        <f>IF(ROW(F1812)&lt;=Bidding!$D$11,Raw_hydro_bm!G1812,"")</f>
        <v/>
      </c>
      <c r="G1812" t="str">
        <f>IF(ROW(G1812)&lt;=Bidding!$D$11,Raw_hydro_bm!H1812,"")</f>
        <v/>
      </c>
      <c r="H1812" t="str">
        <f>IF(ROW(H1812)&lt;=Bidding!$D$11,Raw_hydro_bm!I1812,"")</f>
        <v/>
      </c>
      <c r="I1812" s="16" t="str">
        <f t="shared" si="28"/>
        <v/>
      </c>
    </row>
    <row r="1813" spans="1:9" x14ac:dyDescent="0.2">
      <c r="A1813" t="str">
        <f>IF(ROW(A1813)&lt;=Bidding!$D$11,Raw_hydro_bm!B1813,"")</f>
        <v/>
      </c>
      <c r="B1813" t="str">
        <f>IF(ROW(B1813)&lt;=Bidding!$D$11,Raw_hydro_bm!C1813,"")</f>
        <v/>
      </c>
      <c r="C1813" t="str">
        <f>IF(ROW(C1813)&lt;=Bidding!$D$11,Raw_hydro_bm!D1813,"")</f>
        <v/>
      </c>
      <c r="D1813" t="str">
        <f>IF(ROW(D1813)&lt;=Bidding!$D$11,Raw_hydro_bm!E1813,"")</f>
        <v/>
      </c>
      <c r="E1813" t="str">
        <f>IF(ROW(E1813)&lt;=Bidding!$D$11,Raw_hydro_bm!F1813,"")</f>
        <v/>
      </c>
      <c r="F1813" t="str">
        <f>IF(ROW(F1813)&lt;=Bidding!$D$11,Raw_hydro_bm!G1813,"")</f>
        <v/>
      </c>
      <c r="G1813" t="str">
        <f>IF(ROW(G1813)&lt;=Bidding!$D$11,Raw_hydro_bm!H1813,"")</f>
        <v/>
      </c>
      <c r="H1813" t="str">
        <f>IF(ROW(H1813)&lt;=Bidding!$D$11,Raw_hydro_bm!I1813,"")</f>
        <v/>
      </c>
      <c r="I1813" s="16" t="str">
        <f t="shared" si="28"/>
        <v/>
      </c>
    </row>
    <row r="1814" spans="1:9" x14ac:dyDescent="0.2">
      <c r="A1814" t="str">
        <f>IF(ROW(A1814)&lt;=Bidding!$D$11,Raw_hydro_bm!B1814,"")</f>
        <v/>
      </c>
      <c r="B1814" t="str">
        <f>IF(ROW(B1814)&lt;=Bidding!$D$11,Raw_hydro_bm!C1814,"")</f>
        <v/>
      </c>
      <c r="C1814" t="str">
        <f>IF(ROW(C1814)&lt;=Bidding!$D$11,Raw_hydro_bm!D1814,"")</f>
        <v/>
      </c>
      <c r="D1814" t="str">
        <f>IF(ROW(D1814)&lt;=Bidding!$D$11,Raw_hydro_bm!E1814,"")</f>
        <v/>
      </c>
      <c r="E1814" t="str">
        <f>IF(ROW(E1814)&lt;=Bidding!$D$11,Raw_hydro_bm!F1814,"")</f>
        <v/>
      </c>
      <c r="F1814" t="str">
        <f>IF(ROW(F1814)&lt;=Bidding!$D$11,Raw_hydro_bm!G1814,"")</f>
        <v/>
      </c>
      <c r="G1814" t="str">
        <f>IF(ROW(G1814)&lt;=Bidding!$D$11,Raw_hydro_bm!H1814,"")</f>
        <v/>
      </c>
      <c r="H1814" t="str">
        <f>IF(ROW(H1814)&lt;=Bidding!$D$11,Raw_hydro_bm!I1814,"")</f>
        <v/>
      </c>
      <c r="I1814" s="16" t="str">
        <f t="shared" si="28"/>
        <v/>
      </c>
    </row>
    <row r="1815" spans="1:9" x14ac:dyDescent="0.2">
      <c r="A1815" t="str">
        <f>IF(ROW(A1815)&lt;=Bidding!$D$11,Raw_hydro_bm!B1815,"")</f>
        <v/>
      </c>
      <c r="B1815" t="str">
        <f>IF(ROW(B1815)&lt;=Bidding!$D$11,Raw_hydro_bm!C1815,"")</f>
        <v/>
      </c>
      <c r="C1815" t="str">
        <f>IF(ROW(C1815)&lt;=Bidding!$D$11,Raw_hydro_bm!D1815,"")</f>
        <v/>
      </c>
      <c r="D1815" t="str">
        <f>IF(ROW(D1815)&lt;=Bidding!$D$11,Raw_hydro_bm!E1815,"")</f>
        <v/>
      </c>
      <c r="E1815" t="str">
        <f>IF(ROW(E1815)&lt;=Bidding!$D$11,Raw_hydro_bm!F1815,"")</f>
        <v/>
      </c>
      <c r="F1815" t="str">
        <f>IF(ROW(F1815)&lt;=Bidding!$D$11,Raw_hydro_bm!G1815,"")</f>
        <v/>
      </c>
      <c r="G1815" t="str">
        <f>IF(ROW(G1815)&lt;=Bidding!$D$11,Raw_hydro_bm!H1815,"")</f>
        <v/>
      </c>
      <c r="H1815" t="str">
        <f>IF(ROW(H1815)&lt;=Bidding!$D$11,Raw_hydro_bm!I1815,"")</f>
        <v/>
      </c>
      <c r="I1815" s="16" t="str">
        <f t="shared" si="28"/>
        <v/>
      </c>
    </row>
    <row r="1816" spans="1:9" x14ac:dyDescent="0.2">
      <c r="A1816" t="str">
        <f>IF(ROW(A1816)&lt;=Bidding!$D$11,Raw_hydro_bm!B1816,"")</f>
        <v/>
      </c>
      <c r="B1816" t="str">
        <f>IF(ROW(B1816)&lt;=Bidding!$D$11,Raw_hydro_bm!C1816,"")</f>
        <v/>
      </c>
      <c r="C1816" t="str">
        <f>IF(ROW(C1816)&lt;=Bidding!$D$11,Raw_hydro_bm!D1816,"")</f>
        <v/>
      </c>
      <c r="D1816" t="str">
        <f>IF(ROW(D1816)&lt;=Bidding!$D$11,Raw_hydro_bm!E1816,"")</f>
        <v/>
      </c>
      <c r="E1816" t="str">
        <f>IF(ROW(E1816)&lt;=Bidding!$D$11,Raw_hydro_bm!F1816,"")</f>
        <v/>
      </c>
      <c r="F1816" t="str">
        <f>IF(ROW(F1816)&lt;=Bidding!$D$11,Raw_hydro_bm!G1816,"")</f>
        <v/>
      </c>
      <c r="G1816" t="str">
        <f>IF(ROW(G1816)&lt;=Bidding!$D$11,Raw_hydro_bm!H1816,"")</f>
        <v/>
      </c>
      <c r="H1816" t="str">
        <f>IF(ROW(H1816)&lt;=Bidding!$D$11,Raw_hydro_bm!I1816,"")</f>
        <v/>
      </c>
      <c r="I1816" s="16" t="str">
        <f t="shared" si="28"/>
        <v/>
      </c>
    </row>
    <row r="1817" spans="1:9" x14ac:dyDescent="0.2">
      <c r="A1817" t="str">
        <f>IF(ROW(A1817)&lt;=Bidding!$D$11,Raw_hydro_bm!B1817,"")</f>
        <v/>
      </c>
      <c r="B1817" t="str">
        <f>IF(ROW(B1817)&lt;=Bidding!$D$11,Raw_hydro_bm!C1817,"")</f>
        <v/>
      </c>
      <c r="C1817" t="str">
        <f>IF(ROW(C1817)&lt;=Bidding!$D$11,Raw_hydro_bm!D1817,"")</f>
        <v/>
      </c>
      <c r="D1817" t="str">
        <f>IF(ROW(D1817)&lt;=Bidding!$D$11,Raw_hydro_bm!E1817,"")</f>
        <v/>
      </c>
      <c r="E1817" t="str">
        <f>IF(ROW(E1817)&lt;=Bidding!$D$11,Raw_hydro_bm!F1817,"")</f>
        <v/>
      </c>
      <c r="F1817" t="str">
        <f>IF(ROW(F1817)&lt;=Bidding!$D$11,Raw_hydro_bm!G1817,"")</f>
        <v/>
      </c>
      <c r="G1817" t="str">
        <f>IF(ROW(G1817)&lt;=Bidding!$D$11,Raw_hydro_bm!H1817,"")</f>
        <v/>
      </c>
      <c r="H1817" t="str">
        <f>IF(ROW(H1817)&lt;=Bidding!$D$11,Raw_hydro_bm!I1817,"")</f>
        <v/>
      </c>
      <c r="I1817" s="16" t="str">
        <f t="shared" si="28"/>
        <v/>
      </c>
    </row>
    <row r="1818" spans="1:9" x14ac:dyDescent="0.2">
      <c r="A1818" t="str">
        <f>IF(ROW(A1818)&lt;=Bidding!$D$11,Raw_hydro_bm!B1818,"")</f>
        <v/>
      </c>
      <c r="B1818" t="str">
        <f>IF(ROW(B1818)&lt;=Bidding!$D$11,Raw_hydro_bm!C1818,"")</f>
        <v/>
      </c>
      <c r="C1818" t="str">
        <f>IF(ROW(C1818)&lt;=Bidding!$D$11,Raw_hydro_bm!D1818,"")</f>
        <v/>
      </c>
      <c r="D1818" t="str">
        <f>IF(ROW(D1818)&lt;=Bidding!$D$11,Raw_hydro_bm!E1818,"")</f>
        <v/>
      </c>
      <c r="E1818" t="str">
        <f>IF(ROW(E1818)&lt;=Bidding!$D$11,Raw_hydro_bm!F1818,"")</f>
        <v/>
      </c>
      <c r="F1818" t="str">
        <f>IF(ROW(F1818)&lt;=Bidding!$D$11,Raw_hydro_bm!G1818,"")</f>
        <v/>
      </c>
      <c r="G1818" t="str">
        <f>IF(ROW(G1818)&lt;=Bidding!$D$11,Raw_hydro_bm!H1818,"")</f>
        <v/>
      </c>
      <c r="H1818" t="str">
        <f>IF(ROW(H1818)&lt;=Bidding!$D$11,Raw_hydro_bm!I1818,"")</f>
        <v/>
      </c>
      <c r="I1818" s="16" t="str">
        <f t="shared" si="28"/>
        <v/>
      </c>
    </row>
    <row r="1819" spans="1:9" x14ac:dyDescent="0.2">
      <c r="A1819" t="str">
        <f>IF(ROW(A1819)&lt;=Bidding!$D$11,Raw_hydro_bm!B1819,"")</f>
        <v/>
      </c>
      <c r="B1819" t="str">
        <f>IF(ROW(B1819)&lt;=Bidding!$D$11,Raw_hydro_bm!C1819,"")</f>
        <v/>
      </c>
      <c r="C1819" t="str">
        <f>IF(ROW(C1819)&lt;=Bidding!$D$11,Raw_hydro_bm!D1819,"")</f>
        <v/>
      </c>
      <c r="D1819" t="str">
        <f>IF(ROW(D1819)&lt;=Bidding!$D$11,Raw_hydro_bm!E1819,"")</f>
        <v/>
      </c>
      <c r="E1819" t="str">
        <f>IF(ROW(E1819)&lt;=Bidding!$D$11,Raw_hydro_bm!F1819,"")</f>
        <v/>
      </c>
      <c r="F1819" t="str">
        <f>IF(ROW(F1819)&lt;=Bidding!$D$11,Raw_hydro_bm!G1819,"")</f>
        <v/>
      </c>
      <c r="G1819" t="str">
        <f>IF(ROW(G1819)&lt;=Bidding!$D$11,Raw_hydro_bm!H1819,"")</f>
        <v/>
      </c>
      <c r="H1819" t="str">
        <f>IF(ROW(H1819)&lt;=Bidding!$D$11,Raw_hydro_bm!I1819,"")</f>
        <v/>
      </c>
      <c r="I1819" s="16" t="str">
        <f t="shared" si="28"/>
        <v/>
      </c>
    </row>
    <row r="1820" spans="1:9" x14ac:dyDescent="0.2">
      <c r="A1820" t="str">
        <f>IF(ROW(A1820)&lt;=Bidding!$D$11,Raw_hydro_bm!B1820,"")</f>
        <v/>
      </c>
      <c r="B1820" t="str">
        <f>IF(ROW(B1820)&lt;=Bidding!$D$11,Raw_hydro_bm!C1820,"")</f>
        <v/>
      </c>
      <c r="C1820" t="str">
        <f>IF(ROW(C1820)&lt;=Bidding!$D$11,Raw_hydro_bm!D1820,"")</f>
        <v/>
      </c>
      <c r="D1820" t="str">
        <f>IF(ROW(D1820)&lt;=Bidding!$D$11,Raw_hydro_bm!E1820,"")</f>
        <v/>
      </c>
      <c r="E1820" t="str">
        <f>IF(ROW(E1820)&lt;=Bidding!$D$11,Raw_hydro_bm!F1820,"")</f>
        <v/>
      </c>
      <c r="F1820" t="str">
        <f>IF(ROW(F1820)&lt;=Bidding!$D$11,Raw_hydro_bm!G1820,"")</f>
        <v/>
      </c>
      <c r="G1820" t="str">
        <f>IF(ROW(G1820)&lt;=Bidding!$D$11,Raw_hydro_bm!H1820,"")</f>
        <v/>
      </c>
      <c r="H1820" t="str">
        <f>IF(ROW(H1820)&lt;=Bidding!$D$11,Raw_hydro_bm!I1820,"")</f>
        <v/>
      </c>
      <c r="I1820" s="16" t="str">
        <f t="shared" si="28"/>
        <v/>
      </c>
    </row>
    <row r="1821" spans="1:9" x14ac:dyDescent="0.2">
      <c r="A1821" t="str">
        <f>IF(ROW(A1821)&lt;=Bidding!$D$11,Raw_hydro_bm!B1821,"")</f>
        <v/>
      </c>
      <c r="B1821" t="str">
        <f>IF(ROW(B1821)&lt;=Bidding!$D$11,Raw_hydro_bm!C1821,"")</f>
        <v/>
      </c>
      <c r="C1821" t="str">
        <f>IF(ROW(C1821)&lt;=Bidding!$D$11,Raw_hydro_bm!D1821,"")</f>
        <v/>
      </c>
      <c r="D1821" t="str">
        <f>IF(ROW(D1821)&lt;=Bidding!$D$11,Raw_hydro_bm!E1821,"")</f>
        <v/>
      </c>
      <c r="E1821" t="str">
        <f>IF(ROW(E1821)&lt;=Bidding!$D$11,Raw_hydro_bm!F1821,"")</f>
        <v/>
      </c>
      <c r="F1821" t="str">
        <f>IF(ROW(F1821)&lt;=Bidding!$D$11,Raw_hydro_bm!G1821,"")</f>
        <v/>
      </c>
      <c r="G1821" t="str">
        <f>IF(ROW(G1821)&lt;=Bidding!$D$11,Raw_hydro_bm!H1821,"")</f>
        <v/>
      </c>
      <c r="H1821" t="str">
        <f>IF(ROW(H1821)&lt;=Bidding!$D$11,Raw_hydro_bm!I1821,"")</f>
        <v/>
      </c>
      <c r="I1821" s="16" t="str">
        <f t="shared" si="28"/>
        <v/>
      </c>
    </row>
    <row r="1822" spans="1:9" x14ac:dyDescent="0.2">
      <c r="A1822" t="str">
        <f>IF(ROW(A1822)&lt;=Bidding!$D$11,Raw_hydro_bm!B1822,"")</f>
        <v/>
      </c>
      <c r="B1822" t="str">
        <f>IF(ROW(B1822)&lt;=Bidding!$D$11,Raw_hydro_bm!C1822,"")</f>
        <v/>
      </c>
      <c r="C1822" t="str">
        <f>IF(ROW(C1822)&lt;=Bidding!$D$11,Raw_hydro_bm!D1822,"")</f>
        <v/>
      </c>
      <c r="D1822" t="str">
        <f>IF(ROW(D1822)&lt;=Bidding!$D$11,Raw_hydro_bm!E1822,"")</f>
        <v/>
      </c>
      <c r="E1822" t="str">
        <f>IF(ROW(E1822)&lt;=Bidding!$D$11,Raw_hydro_bm!F1822,"")</f>
        <v/>
      </c>
      <c r="F1822" t="str">
        <f>IF(ROW(F1822)&lt;=Bidding!$D$11,Raw_hydro_bm!G1822,"")</f>
        <v/>
      </c>
      <c r="G1822" t="str">
        <f>IF(ROW(G1822)&lt;=Bidding!$D$11,Raw_hydro_bm!H1822,"")</f>
        <v/>
      </c>
      <c r="H1822" t="str">
        <f>IF(ROW(H1822)&lt;=Bidding!$D$11,Raw_hydro_bm!I1822,"")</f>
        <v/>
      </c>
      <c r="I1822" s="16" t="str">
        <f t="shared" si="28"/>
        <v/>
      </c>
    </row>
    <row r="1823" spans="1:9" x14ac:dyDescent="0.2">
      <c r="A1823" t="str">
        <f>IF(ROW(A1823)&lt;=Bidding!$D$11,Raw_hydro_bm!B1823,"")</f>
        <v/>
      </c>
      <c r="B1823" t="str">
        <f>IF(ROW(B1823)&lt;=Bidding!$D$11,Raw_hydro_bm!C1823,"")</f>
        <v/>
      </c>
      <c r="C1823" t="str">
        <f>IF(ROW(C1823)&lt;=Bidding!$D$11,Raw_hydro_bm!D1823,"")</f>
        <v/>
      </c>
      <c r="D1823" t="str">
        <f>IF(ROW(D1823)&lt;=Bidding!$D$11,Raw_hydro_bm!E1823,"")</f>
        <v/>
      </c>
      <c r="E1823" t="str">
        <f>IF(ROW(E1823)&lt;=Bidding!$D$11,Raw_hydro_bm!F1823,"")</f>
        <v/>
      </c>
      <c r="F1823" t="str">
        <f>IF(ROW(F1823)&lt;=Bidding!$D$11,Raw_hydro_bm!G1823,"")</f>
        <v/>
      </c>
      <c r="G1823" t="str">
        <f>IF(ROW(G1823)&lt;=Bidding!$D$11,Raw_hydro_bm!H1823,"")</f>
        <v/>
      </c>
      <c r="H1823" t="str">
        <f>IF(ROW(H1823)&lt;=Bidding!$D$11,Raw_hydro_bm!I1823,"")</f>
        <v/>
      </c>
      <c r="I1823" s="16" t="str">
        <f t="shared" si="28"/>
        <v/>
      </c>
    </row>
    <row r="1824" spans="1:9" x14ac:dyDescent="0.2">
      <c r="A1824" t="str">
        <f>IF(ROW(A1824)&lt;=Bidding!$D$11,Raw_hydro_bm!B1824,"")</f>
        <v/>
      </c>
      <c r="B1824" t="str">
        <f>IF(ROW(B1824)&lt;=Bidding!$D$11,Raw_hydro_bm!C1824,"")</f>
        <v/>
      </c>
      <c r="C1824" t="str">
        <f>IF(ROW(C1824)&lt;=Bidding!$D$11,Raw_hydro_bm!D1824,"")</f>
        <v/>
      </c>
      <c r="D1824" t="str">
        <f>IF(ROW(D1824)&lt;=Bidding!$D$11,Raw_hydro_bm!E1824,"")</f>
        <v/>
      </c>
      <c r="E1824" t="str">
        <f>IF(ROW(E1824)&lt;=Bidding!$D$11,Raw_hydro_bm!F1824,"")</f>
        <v/>
      </c>
      <c r="F1824" t="str">
        <f>IF(ROW(F1824)&lt;=Bidding!$D$11,Raw_hydro_bm!G1824,"")</f>
        <v/>
      </c>
      <c r="G1824" t="str">
        <f>IF(ROW(G1824)&lt;=Bidding!$D$11,Raw_hydro_bm!H1824,"")</f>
        <v/>
      </c>
      <c r="H1824" t="str">
        <f>IF(ROW(H1824)&lt;=Bidding!$D$11,Raw_hydro_bm!I1824,"")</f>
        <v/>
      </c>
      <c r="I1824" s="16" t="str">
        <f t="shared" si="28"/>
        <v/>
      </c>
    </row>
    <row r="1825" spans="1:9" x14ac:dyDescent="0.2">
      <c r="A1825" t="str">
        <f>IF(ROW(A1825)&lt;=Bidding!$D$11,Raw_hydro_bm!B1825,"")</f>
        <v/>
      </c>
      <c r="B1825" t="str">
        <f>IF(ROW(B1825)&lt;=Bidding!$D$11,Raw_hydro_bm!C1825,"")</f>
        <v/>
      </c>
      <c r="C1825" t="str">
        <f>IF(ROW(C1825)&lt;=Bidding!$D$11,Raw_hydro_bm!D1825,"")</f>
        <v/>
      </c>
      <c r="D1825" t="str">
        <f>IF(ROW(D1825)&lt;=Bidding!$D$11,Raw_hydro_bm!E1825,"")</f>
        <v/>
      </c>
      <c r="E1825" t="str">
        <f>IF(ROW(E1825)&lt;=Bidding!$D$11,Raw_hydro_bm!F1825,"")</f>
        <v/>
      </c>
      <c r="F1825" t="str">
        <f>IF(ROW(F1825)&lt;=Bidding!$D$11,Raw_hydro_bm!G1825,"")</f>
        <v/>
      </c>
      <c r="G1825" t="str">
        <f>IF(ROW(G1825)&lt;=Bidding!$D$11,Raw_hydro_bm!H1825,"")</f>
        <v/>
      </c>
      <c r="H1825" t="str">
        <f>IF(ROW(H1825)&lt;=Bidding!$D$11,Raw_hydro_bm!I1825,"")</f>
        <v/>
      </c>
      <c r="I1825" s="16" t="str">
        <f t="shared" si="28"/>
        <v/>
      </c>
    </row>
    <row r="1826" spans="1:9" x14ac:dyDescent="0.2">
      <c r="A1826" t="str">
        <f>IF(ROW(A1826)&lt;=Bidding!$D$11,Raw_hydro_bm!B1826,"")</f>
        <v/>
      </c>
      <c r="B1826" t="str">
        <f>IF(ROW(B1826)&lt;=Bidding!$D$11,Raw_hydro_bm!C1826,"")</f>
        <v/>
      </c>
      <c r="C1826" t="str">
        <f>IF(ROW(C1826)&lt;=Bidding!$D$11,Raw_hydro_bm!D1826,"")</f>
        <v/>
      </c>
      <c r="D1826" t="str">
        <f>IF(ROW(D1826)&lt;=Bidding!$D$11,Raw_hydro_bm!E1826,"")</f>
        <v/>
      </c>
      <c r="E1826" t="str">
        <f>IF(ROW(E1826)&lt;=Bidding!$D$11,Raw_hydro_bm!F1826,"")</f>
        <v/>
      </c>
      <c r="F1826" t="str">
        <f>IF(ROW(F1826)&lt;=Bidding!$D$11,Raw_hydro_bm!G1826,"")</f>
        <v/>
      </c>
      <c r="G1826" t="str">
        <f>IF(ROW(G1826)&lt;=Bidding!$D$11,Raw_hydro_bm!H1826,"")</f>
        <v/>
      </c>
      <c r="H1826" t="str">
        <f>IF(ROW(H1826)&lt;=Bidding!$D$11,Raw_hydro_bm!I1826,"")</f>
        <v/>
      </c>
      <c r="I1826" s="16" t="str">
        <f t="shared" si="28"/>
        <v/>
      </c>
    </row>
    <row r="1827" spans="1:9" x14ac:dyDescent="0.2">
      <c r="A1827" t="str">
        <f>IF(ROW(A1827)&lt;=Bidding!$D$11,Raw_hydro_bm!B1827,"")</f>
        <v/>
      </c>
      <c r="B1827" t="str">
        <f>IF(ROW(B1827)&lt;=Bidding!$D$11,Raw_hydro_bm!C1827,"")</f>
        <v/>
      </c>
      <c r="C1827" t="str">
        <f>IF(ROW(C1827)&lt;=Bidding!$D$11,Raw_hydro_bm!D1827,"")</f>
        <v/>
      </c>
      <c r="D1827" t="str">
        <f>IF(ROW(D1827)&lt;=Bidding!$D$11,Raw_hydro_bm!E1827,"")</f>
        <v/>
      </c>
      <c r="E1827" t="str">
        <f>IF(ROW(E1827)&lt;=Bidding!$D$11,Raw_hydro_bm!F1827,"")</f>
        <v/>
      </c>
      <c r="F1827" t="str">
        <f>IF(ROW(F1827)&lt;=Bidding!$D$11,Raw_hydro_bm!G1827,"")</f>
        <v/>
      </c>
      <c r="G1827" t="str">
        <f>IF(ROW(G1827)&lt;=Bidding!$D$11,Raw_hydro_bm!H1827,"")</f>
        <v/>
      </c>
      <c r="H1827" t="str">
        <f>IF(ROW(H1827)&lt;=Bidding!$D$11,Raw_hydro_bm!I1827,"")</f>
        <v/>
      </c>
      <c r="I1827" s="16" t="str">
        <f t="shared" si="28"/>
        <v/>
      </c>
    </row>
    <row r="1828" spans="1:9" x14ac:dyDescent="0.2">
      <c r="A1828" t="str">
        <f>IF(ROW(A1828)&lt;=Bidding!$D$11,Raw_hydro_bm!B1828,"")</f>
        <v/>
      </c>
      <c r="B1828" t="str">
        <f>IF(ROW(B1828)&lt;=Bidding!$D$11,Raw_hydro_bm!C1828,"")</f>
        <v/>
      </c>
      <c r="C1828" t="str">
        <f>IF(ROW(C1828)&lt;=Bidding!$D$11,Raw_hydro_bm!D1828,"")</f>
        <v/>
      </c>
      <c r="D1828" t="str">
        <f>IF(ROW(D1828)&lt;=Bidding!$D$11,Raw_hydro_bm!E1828,"")</f>
        <v/>
      </c>
      <c r="E1828" t="str">
        <f>IF(ROW(E1828)&lt;=Bidding!$D$11,Raw_hydro_bm!F1828,"")</f>
        <v/>
      </c>
      <c r="F1828" t="str">
        <f>IF(ROW(F1828)&lt;=Bidding!$D$11,Raw_hydro_bm!G1828,"")</f>
        <v/>
      </c>
      <c r="G1828" t="str">
        <f>IF(ROW(G1828)&lt;=Bidding!$D$11,Raw_hydro_bm!H1828,"")</f>
        <v/>
      </c>
      <c r="H1828" t="str">
        <f>IF(ROW(H1828)&lt;=Bidding!$D$11,Raw_hydro_bm!I1828,"")</f>
        <v/>
      </c>
      <c r="I1828" s="16" t="str">
        <f t="shared" si="28"/>
        <v/>
      </c>
    </row>
    <row r="1829" spans="1:9" x14ac:dyDescent="0.2">
      <c r="A1829" t="str">
        <f>IF(ROW(A1829)&lt;=Bidding!$D$11,Raw_hydro_bm!B1829,"")</f>
        <v/>
      </c>
      <c r="B1829" t="str">
        <f>IF(ROW(B1829)&lt;=Bidding!$D$11,Raw_hydro_bm!C1829,"")</f>
        <v/>
      </c>
      <c r="C1829" t="str">
        <f>IF(ROW(C1829)&lt;=Bidding!$D$11,Raw_hydro_bm!D1829,"")</f>
        <v/>
      </c>
      <c r="D1829" t="str">
        <f>IF(ROW(D1829)&lt;=Bidding!$D$11,Raw_hydro_bm!E1829,"")</f>
        <v/>
      </c>
      <c r="E1829" t="str">
        <f>IF(ROW(E1829)&lt;=Bidding!$D$11,Raw_hydro_bm!F1829,"")</f>
        <v/>
      </c>
      <c r="F1829" t="str">
        <f>IF(ROW(F1829)&lt;=Bidding!$D$11,Raw_hydro_bm!G1829,"")</f>
        <v/>
      </c>
      <c r="G1829" t="str">
        <f>IF(ROW(G1829)&lt;=Bidding!$D$11,Raw_hydro_bm!H1829,"")</f>
        <v/>
      </c>
      <c r="H1829" t="str">
        <f>IF(ROW(H1829)&lt;=Bidding!$D$11,Raw_hydro_bm!I1829,"")</f>
        <v/>
      </c>
      <c r="I1829" s="16" t="str">
        <f t="shared" si="28"/>
        <v/>
      </c>
    </row>
    <row r="1830" spans="1:9" x14ac:dyDescent="0.2">
      <c r="A1830" t="str">
        <f>IF(ROW(A1830)&lt;=Bidding!$D$11,Raw_hydro_bm!B1830,"")</f>
        <v/>
      </c>
      <c r="B1830" t="str">
        <f>IF(ROW(B1830)&lt;=Bidding!$D$11,Raw_hydro_bm!C1830,"")</f>
        <v/>
      </c>
      <c r="C1830" t="str">
        <f>IF(ROW(C1830)&lt;=Bidding!$D$11,Raw_hydro_bm!D1830,"")</f>
        <v/>
      </c>
      <c r="D1830" t="str">
        <f>IF(ROW(D1830)&lt;=Bidding!$D$11,Raw_hydro_bm!E1830,"")</f>
        <v/>
      </c>
      <c r="E1830" t="str">
        <f>IF(ROW(E1830)&lt;=Bidding!$D$11,Raw_hydro_bm!F1830,"")</f>
        <v/>
      </c>
      <c r="F1830" t="str">
        <f>IF(ROW(F1830)&lt;=Bidding!$D$11,Raw_hydro_bm!G1830,"")</f>
        <v/>
      </c>
      <c r="G1830" t="str">
        <f>IF(ROW(G1830)&lt;=Bidding!$D$11,Raw_hydro_bm!H1830,"")</f>
        <v/>
      </c>
      <c r="H1830" t="str">
        <f>IF(ROW(H1830)&lt;=Bidding!$D$11,Raw_hydro_bm!I1830,"")</f>
        <v/>
      </c>
      <c r="I1830" s="16" t="str">
        <f t="shared" si="28"/>
        <v/>
      </c>
    </row>
    <row r="1831" spans="1:9" x14ac:dyDescent="0.2">
      <c r="A1831" t="str">
        <f>IF(ROW(A1831)&lt;=Bidding!$D$11,Raw_hydro_bm!B1831,"")</f>
        <v/>
      </c>
      <c r="B1831" t="str">
        <f>IF(ROW(B1831)&lt;=Bidding!$D$11,Raw_hydro_bm!C1831,"")</f>
        <v/>
      </c>
      <c r="C1831" t="str">
        <f>IF(ROW(C1831)&lt;=Bidding!$D$11,Raw_hydro_bm!D1831,"")</f>
        <v/>
      </c>
      <c r="D1831" t="str">
        <f>IF(ROW(D1831)&lt;=Bidding!$D$11,Raw_hydro_bm!E1831,"")</f>
        <v/>
      </c>
      <c r="E1831" t="str">
        <f>IF(ROW(E1831)&lt;=Bidding!$D$11,Raw_hydro_bm!F1831,"")</f>
        <v/>
      </c>
      <c r="F1831" t="str">
        <f>IF(ROW(F1831)&lt;=Bidding!$D$11,Raw_hydro_bm!G1831,"")</f>
        <v/>
      </c>
      <c r="G1831" t="str">
        <f>IF(ROW(G1831)&lt;=Bidding!$D$11,Raw_hydro_bm!H1831,"")</f>
        <v/>
      </c>
      <c r="H1831" t="str">
        <f>IF(ROW(H1831)&lt;=Bidding!$D$11,Raw_hydro_bm!I1831,"")</f>
        <v/>
      </c>
      <c r="I1831" s="16" t="str">
        <f t="shared" si="28"/>
        <v/>
      </c>
    </row>
    <row r="1832" spans="1:9" x14ac:dyDescent="0.2">
      <c r="A1832" t="str">
        <f>IF(ROW(A1832)&lt;=Bidding!$D$11,Raw_hydro_bm!B1832,"")</f>
        <v/>
      </c>
      <c r="B1832" t="str">
        <f>IF(ROW(B1832)&lt;=Bidding!$D$11,Raw_hydro_bm!C1832,"")</f>
        <v/>
      </c>
      <c r="C1832" t="str">
        <f>IF(ROW(C1832)&lt;=Bidding!$D$11,Raw_hydro_bm!D1832,"")</f>
        <v/>
      </c>
      <c r="D1832" t="str">
        <f>IF(ROW(D1832)&lt;=Bidding!$D$11,Raw_hydro_bm!E1832,"")</f>
        <v/>
      </c>
      <c r="E1832" t="str">
        <f>IF(ROW(E1832)&lt;=Bidding!$D$11,Raw_hydro_bm!F1832,"")</f>
        <v/>
      </c>
      <c r="F1832" t="str">
        <f>IF(ROW(F1832)&lt;=Bidding!$D$11,Raw_hydro_bm!G1832,"")</f>
        <v/>
      </c>
      <c r="G1832" t="str">
        <f>IF(ROW(G1832)&lt;=Bidding!$D$11,Raw_hydro_bm!H1832,"")</f>
        <v/>
      </c>
      <c r="H1832" t="str">
        <f>IF(ROW(H1832)&lt;=Bidding!$D$11,Raw_hydro_bm!I1832,"")</f>
        <v/>
      </c>
      <c r="I1832" s="16" t="str">
        <f t="shared" si="28"/>
        <v/>
      </c>
    </row>
    <row r="1833" spans="1:9" x14ac:dyDescent="0.2">
      <c r="A1833" t="str">
        <f>IF(ROW(A1833)&lt;=Bidding!$D$11,Raw_hydro_bm!B1833,"")</f>
        <v/>
      </c>
      <c r="B1833" t="str">
        <f>IF(ROW(B1833)&lt;=Bidding!$D$11,Raw_hydro_bm!C1833,"")</f>
        <v/>
      </c>
      <c r="C1833" t="str">
        <f>IF(ROW(C1833)&lt;=Bidding!$D$11,Raw_hydro_bm!D1833,"")</f>
        <v/>
      </c>
      <c r="D1833" t="str">
        <f>IF(ROW(D1833)&lt;=Bidding!$D$11,Raw_hydro_bm!E1833,"")</f>
        <v/>
      </c>
      <c r="E1833" t="str">
        <f>IF(ROW(E1833)&lt;=Bidding!$D$11,Raw_hydro_bm!F1833,"")</f>
        <v/>
      </c>
      <c r="F1833" t="str">
        <f>IF(ROW(F1833)&lt;=Bidding!$D$11,Raw_hydro_bm!G1833,"")</f>
        <v/>
      </c>
      <c r="G1833" t="str">
        <f>IF(ROW(G1833)&lt;=Bidding!$D$11,Raw_hydro_bm!H1833,"")</f>
        <v/>
      </c>
      <c r="H1833" t="str">
        <f>IF(ROW(H1833)&lt;=Bidding!$D$11,Raw_hydro_bm!I1833,"")</f>
        <v/>
      </c>
      <c r="I1833" s="16" t="str">
        <f t="shared" si="28"/>
        <v/>
      </c>
    </row>
    <row r="1834" spans="1:9" x14ac:dyDescent="0.2">
      <c r="A1834" t="str">
        <f>IF(ROW(A1834)&lt;=Bidding!$D$11,Raw_hydro_bm!B1834,"")</f>
        <v/>
      </c>
      <c r="B1834" t="str">
        <f>IF(ROW(B1834)&lt;=Bidding!$D$11,Raw_hydro_bm!C1834,"")</f>
        <v/>
      </c>
      <c r="C1834" t="str">
        <f>IF(ROW(C1834)&lt;=Bidding!$D$11,Raw_hydro_bm!D1834,"")</f>
        <v/>
      </c>
      <c r="D1834" t="str">
        <f>IF(ROW(D1834)&lt;=Bidding!$D$11,Raw_hydro_bm!E1834,"")</f>
        <v/>
      </c>
      <c r="E1834" t="str">
        <f>IF(ROW(E1834)&lt;=Bidding!$D$11,Raw_hydro_bm!F1834,"")</f>
        <v/>
      </c>
      <c r="F1834" t="str">
        <f>IF(ROW(F1834)&lt;=Bidding!$D$11,Raw_hydro_bm!G1834,"")</f>
        <v/>
      </c>
      <c r="G1834" t="str">
        <f>IF(ROW(G1834)&lt;=Bidding!$D$11,Raw_hydro_bm!H1834,"")</f>
        <v/>
      </c>
      <c r="H1834" t="str">
        <f>IF(ROW(H1834)&lt;=Bidding!$D$11,Raw_hydro_bm!I1834,"")</f>
        <v/>
      </c>
      <c r="I1834" s="16" t="str">
        <f t="shared" si="28"/>
        <v/>
      </c>
    </row>
    <row r="1835" spans="1:9" x14ac:dyDescent="0.2">
      <c r="A1835" t="str">
        <f>IF(ROW(A1835)&lt;=Bidding!$D$11,Raw_hydro_bm!B1835,"")</f>
        <v/>
      </c>
      <c r="B1835" t="str">
        <f>IF(ROW(B1835)&lt;=Bidding!$D$11,Raw_hydro_bm!C1835,"")</f>
        <v/>
      </c>
      <c r="C1835" t="str">
        <f>IF(ROW(C1835)&lt;=Bidding!$D$11,Raw_hydro_bm!D1835,"")</f>
        <v/>
      </c>
      <c r="D1835" t="str">
        <f>IF(ROW(D1835)&lt;=Bidding!$D$11,Raw_hydro_bm!E1835,"")</f>
        <v/>
      </c>
      <c r="E1835" t="str">
        <f>IF(ROW(E1835)&lt;=Bidding!$D$11,Raw_hydro_bm!F1835,"")</f>
        <v/>
      </c>
      <c r="F1835" t="str">
        <f>IF(ROW(F1835)&lt;=Bidding!$D$11,Raw_hydro_bm!G1835,"")</f>
        <v/>
      </c>
      <c r="G1835" t="str">
        <f>IF(ROW(G1835)&lt;=Bidding!$D$11,Raw_hydro_bm!H1835,"")</f>
        <v/>
      </c>
      <c r="H1835" t="str">
        <f>IF(ROW(H1835)&lt;=Bidding!$D$11,Raw_hydro_bm!I1835,"")</f>
        <v/>
      </c>
      <c r="I1835" s="16" t="str">
        <f t="shared" si="28"/>
        <v/>
      </c>
    </row>
    <row r="1836" spans="1:9" x14ac:dyDescent="0.2">
      <c r="A1836" t="str">
        <f>IF(ROW(A1836)&lt;=Bidding!$D$11,Raw_hydro_bm!B1836,"")</f>
        <v/>
      </c>
      <c r="B1836" t="str">
        <f>IF(ROW(B1836)&lt;=Bidding!$D$11,Raw_hydro_bm!C1836,"")</f>
        <v/>
      </c>
      <c r="C1836" t="str">
        <f>IF(ROW(C1836)&lt;=Bidding!$D$11,Raw_hydro_bm!D1836,"")</f>
        <v/>
      </c>
      <c r="D1836" t="str">
        <f>IF(ROW(D1836)&lt;=Bidding!$D$11,Raw_hydro_bm!E1836,"")</f>
        <v/>
      </c>
      <c r="E1836" t="str">
        <f>IF(ROW(E1836)&lt;=Bidding!$D$11,Raw_hydro_bm!F1836,"")</f>
        <v/>
      </c>
      <c r="F1836" t="str">
        <f>IF(ROW(F1836)&lt;=Bidding!$D$11,Raw_hydro_bm!G1836,"")</f>
        <v/>
      </c>
      <c r="G1836" t="str">
        <f>IF(ROW(G1836)&lt;=Bidding!$D$11,Raw_hydro_bm!H1836,"")</f>
        <v/>
      </c>
      <c r="H1836" t="str">
        <f>IF(ROW(H1836)&lt;=Bidding!$D$11,Raw_hydro_bm!I1836,"")</f>
        <v/>
      </c>
      <c r="I1836" s="16" t="str">
        <f t="shared" si="28"/>
        <v/>
      </c>
    </row>
    <row r="1837" spans="1:9" x14ac:dyDescent="0.2">
      <c r="A1837" t="str">
        <f>IF(ROW(A1837)&lt;=Bidding!$D$11,Raw_hydro_bm!B1837,"")</f>
        <v/>
      </c>
      <c r="B1837" t="str">
        <f>IF(ROW(B1837)&lt;=Bidding!$D$11,Raw_hydro_bm!C1837,"")</f>
        <v/>
      </c>
      <c r="C1837" t="str">
        <f>IF(ROW(C1837)&lt;=Bidding!$D$11,Raw_hydro_bm!D1837,"")</f>
        <v/>
      </c>
      <c r="D1837" t="str">
        <f>IF(ROW(D1837)&lt;=Bidding!$D$11,Raw_hydro_bm!E1837,"")</f>
        <v/>
      </c>
      <c r="E1837" t="str">
        <f>IF(ROW(E1837)&lt;=Bidding!$D$11,Raw_hydro_bm!F1837,"")</f>
        <v/>
      </c>
      <c r="F1837" t="str">
        <f>IF(ROW(F1837)&lt;=Bidding!$D$11,Raw_hydro_bm!G1837,"")</f>
        <v/>
      </c>
      <c r="G1837" t="str">
        <f>IF(ROW(G1837)&lt;=Bidding!$D$11,Raw_hydro_bm!H1837,"")</f>
        <v/>
      </c>
      <c r="H1837" t="str">
        <f>IF(ROW(H1837)&lt;=Bidding!$D$11,Raw_hydro_bm!I1837,"")</f>
        <v/>
      </c>
      <c r="I1837" s="16" t="str">
        <f t="shared" si="28"/>
        <v/>
      </c>
    </row>
    <row r="1838" spans="1:9" x14ac:dyDescent="0.2">
      <c r="A1838" t="str">
        <f>IF(ROW(A1838)&lt;=Bidding!$D$11,Raw_hydro_bm!B1838,"")</f>
        <v/>
      </c>
      <c r="B1838" t="str">
        <f>IF(ROW(B1838)&lt;=Bidding!$D$11,Raw_hydro_bm!C1838,"")</f>
        <v/>
      </c>
      <c r="C1838" t="str">
        <f>IF(ROW(C1838)&lt;=Bidding!$D$11,Raw_hydro_bm!D1838,"")</f>
        <v/>
      </c>
      <c r="D1838" t="str">
        <f>IF(ROW(D1838)&lt;=Bidding!$D$11,Raw_hydro_bm!E1838,"")</f>
        <v/>
      </c>
      <c r="E1838" t="str">
        <f>IF(ROW(E1838)&lt;=Bidding!$D$11,Raw_hydro_bm!F1838,"")</f>
        <v/>
      </c>
      <c r="F1838" t="str">
        <f>IF(ROW(F1838)&lt;=Bidding!$D$11,Raw_hydro_bm!G1838,"")</f>
        <v/>
      </c>
      <c r="G1838" t="str">
        <f>IF(ROW(G1838)&lt;=Bidding!$D$11,Raw_hydro_bm!H1838,"")</f>
        <v/>
      </c>
      <c r="H1838" t="str">
        <f>IF(ROW(H1838)&lt;=Bidding!$D$11,Raw_hydro_bm!I1838,"")</f>
        <v/>
      </c>
      <c r="I1838" s="16" t="str">
        <f t="shared" si="28"/>
        <v/>
      </c>
    </row>
    <row r="1839" spans="1:9" x14ac:dyDescent="0.2">
      <c r="A1839" t="str">
        <f>IF(ROW(A1839)&lt;=Bidding!$D$11,Raw_hydro_bm!B1839,"")</f>
        <v/>
      </c>
      <c r="B1839" t="str">
        <f>IF(ROW(B1839)&lt;=Bidding!$D$11,Raw_hydro_bm!C1839,"")</f>
        <v/>
      </c>
      <c r="C1839" t="str">
        <f>IF(ROW(C1839)&lt;=Bidding!$D$11,Raw_hydro_bm!D1839,"")</f>
        <v/>
      </c>
      <c r="D1839" t="str">
        <f>IF(ROW(D1839)&lt;=Bidding!$D$11,Raw_hydro_bm!E1839,"")</f>
        <v/>
      </c>
      <c r="E1839" t="str">
        <f>IF(ROW(E1839)&lt;=Bidding!$D$11,Raw_hydro_bm!F1839,"")</f>
        <v/>
      </c>
      <c r="F1839" t="str">
        <f>IF(ROW(F1839)&lt;=Bidding!$D$11,Raw_hydro_bm!G1839,"")</f>
        <v/>
      </c>
      <c r="G1839" t="str">
        <f>IF(ROW(G1839)&lt;=Bidding!$D$11,Raw_hydro_bm!H1839,"")</f>
        <v/>
      </c>
      <c r="H1839" t="str">
        <f>IF(ROW(H1839)&lt;=Bidding!$D$11,Raw_hydro_bm!I1839,"")</f>
        <v/>
      </c>
      <c r="I1839" s="16" t="str">
        <f t="shared" si="28"/>
        <v/>
      </c>
    </row>
    <row r="1840" spans="1:9" x14ac:dyDescent="0.2">
      <c r="A1840" t="str">
        <f>IF(ROW(A1840)&lt;=Bidding!$D$11,Raw_hydro_bm!B1840,"")</f>
        <v/>
      </c>
      <c r="B1840" t="str">
        <f>IF(ROW(B1840)&lt;=Bidding!$D$11,Raw_hydro_bm!C1840,"")</f>
        <v/>
      </c>
      <c r="C1840" t="str">
        <f>IF(ROW(C1840)&lt;=Bidding!$D$11,Raw_hydro_bm!D1840,"")</f>
        <v/>
      </c>
      <c r="D1840" t="str">
        <f>IF(ROW(D1840)&lt;=Bidding!$D$11,Raw_hydro_bm!E1840,"")</f>
        <v/>
      </c>
      <c r="E1840" t="str">
        <f>IF(ROW(E1840)&lt;=Bidding!$D$11,Raw_hydro_bm!F1840,"")</f>
        <v/>
      </c>
      <c r="F1840" t="str">
        <f>IF(ROW(F1840)&lt;=Bidding!$D$11,Raw_hydro_bm!G1840,"")</f>
        <v/>
      </c>
      <c r="G1840" t="str">
        <f>IF(ROW(G1840)&lt;=Bidding!$D$11,Raw_hydro_bm!H1840,"")</f>
        <v/>
      </c>
      <c r="H1840" t="str">
        <f>IF(ROW(H1840)&lt;=Bidding!$D$11,Raw_hydro_bm!I1840,"")</f>
        <v/>
      </c>
      <c r="I1840" s="16" t="str">
        <f t="shared" si="28"/>
        <v/>
      </c>
    </row>
    <row r="1841" spans="1:9" x14ac:dyDescent="0.2">
      <c r="A1841" t="str">
        <f>IF(ROW(A1841)&lt;=Bidding!$D$11,Raw_hydro_bm!B1841,"")</f>
        <v/>
      </c>
      <c r="B1841" t="str">
        <f>IF(ROW(B1841)&lt;=Bidding!$D$11,Raw_hydro_bm!C1841,"")</f>
        <v/>
      </c>
      <c r="C1841" t="str">
        <f>IF(ROW(C1841)&lt;=Bidding!$D$11,Raw_hydro_bm!D1841,"")</f>
        <v/>
      </c>
      <c r="D1841" t="str">
        <f>IF(ROW(D1841)&lt;=Bidding!$D$11,Raw_hydro_bm!E1841,"")</f>
        <v/>
      </c>
      <c r="E1841" t="str">
        <f>IF(ROW(E1841)&lt;=Bidding!$D$11,Raw_hydro_bm!F1841,"")</f>
        <v/>
      </c>
      <c r="F1841" t="str">
        <f>IF(ROW(F1841)&lt;=Bidding!$D$11,Raw_hydro_bm!G1841,"")</f>
        <v/>
      </c>
      <c r="G1841" t="str">
        <f>IF(ROW(G1841)&lt;=Bidding!$D$11,Raw_hydro_bm!H1841,"")</f>
        <v/>
      </c>
      <c r="H1841" t="str">
        <f>IF(ROW(H1841)&lt;=Bidding!$D$11,Raw_hydro_bm!I1841,"")</f>
        <v/>
      </c>
      <c r="I1841" s="16" t="str">
        <f t="shared" si="28"/>
        <v/>
      </c>
    </row>
    <row r="1842" spans="1:9" x14ac:dyDescent="0.2">
      <c r="A1842" t="str">
        <f>IF(ROW(A1842)&lt;=Bidding!$D$11,Raw_hydro_bm!B1842,"")</f>
        <v/>
      </c>
      <c r="B1842" t="str">
        <f>IF(ROW(B1842)&lt;=Bidding!$D$11,Raw_hydro_bm!C1842,"")</f>
        <v/>
      </c>
      <c r="C1842" t="str">
        <f>IF(ROW(C1842)&lt;=Bidding!$D$11,Raw_hydro_bm!D1842,"")</f>
        <v/>
      </c>
      <c r="D1842" t="str">
        <f>IF(ROW(D1842)&lt;=Bidding!$D$11,Raw_hydro_bm!E1842,"")</f>
        <v/>
      </c>
      <c r="E1842" t="str">
        <f>IF(ROW(E1842)&lt;=Bidding!$D$11,Raw_hydro_bm!F1842,"")</f>
        <v/>
      </c>
      <c r="F1842" t="str">
        <f>IF(ROW(F1842)&lt;=Bidding!$D$11,Raw_hydro_bm!G1842,"")</f>
        <v/>
      </c>
      <c r="G1842" t="str">
        <f>IF(ROW(G1842)&lt;=Bidding!$D$11,Raw_hydro_bm!H1842,"")</f>
        <v/>
      </c>
      <c r="H1842" t="str">
        <f>IF(ROW(H1842)&lt;=Bidding!$D$11,Raw_hydro_bm!I1842,"")</f>
        <v/>
      </c>
      <c r="I1842" s="16" t="str">
        <f t="shared" si="28"/>
        <v/>
      </c>
    </row>
    <row r="1843" spans="1:9" x14ac:dyDescent="0.2">
      <c r="A1843" t="str">
        <f>IF(ROW(A1843)&lt;=Bidding!$D$11,Raw_hydro_bm!B1843,"")</f>
        <v/>
      </c>
      <c r="B1843" t="str">
        <f>IF(ROW(B1843)&lt;=Bidding!$D$11,Raw_hydro_bm!C1843,"")</f>
        <v/>
      </c>
      <c r="C1843" t="str">
        <f>IF(ROW(C1843)&lt;=Bidding!$D$11,Raw_hydro_bm!D1843,"")</f>
        <v/>
      </c>
      <c r="D1843" t="str">
        <f>IF(ROW(D1843)&lt;=Bidding!$D$11,Raw_hydro_bm!E1843,"")</f>
        <v/>
      </c>
      <c r="E1843" t="str">
        <f>IF(ROW(E1843)&lt;=Bidding!$D$11,Raw_hydro_bm!F1843,"")</f>
        <v/>
      </c>
      <c r="F1843" t="str">
        <f>IF(ROW(F1843)&lt;=Bidding!$D$11,Raw_hydro_bm!G1843,"")</f>
        <v/>
      </c>
      <c r="G1843" t="str">
        <f>IF(ROW(G1843)&lt;=Bidding!$D$11,Raw_hydro_bm!H1843,"")</f>
        <v/>
      </c>
      <c r="H1843" t="str">
        <f>IF(ROW(H1843)&lt;=Bidding!$D$11,Raw_hydro_bm!I1843,"")</f>
        <v/>
      </c>
      <c r="I1843" s="16" t="str">
        <f t="shared" si="28"/>
        <v/>
      </c>
    </row>
    <row r="1844" spans="1:9" x14ac:dyDescent="0.2">
      <c r="A1844" t="str">
        <f>IF(ROW(A1844)&lt;=Bidding!$D$11,Raw_hydro_bm!B1844,"")</f>
        <v/>
      </c>
      <c r="B1844" t="str">
        <f>IF(ROW(B1844)&lt;=Bidding!$D$11,Raw_hydro_bm!C1844,"")</f>
        <v/>
      </c>
      <c r="C1844" t="str">
        <f>IF(ROW(C1844)&lt;=Bidding!$D$11,Raw_hydro_bm!D1844,"")</f>
        <v/>
      </c>
      <c r="D1844" t="str">
        <f>IF(ROW(D1844)&lt;=Bidding!$D$11,Raw_hydro_bm!E1844,"")</f>
        <v/>
      </c>
      <c r="E1844" t="str">
        <f>IF(ROW(E1844)&lt;=Bidding!$D$11,Raw_hydro_bm!F1844,"")</f>
        <v/>
      </c>
      <c r="F1844" t="str">
        <f>IF(ROW(F1844)&lt;=Bidding!$D$11,Raw_hydro_bm!G1844,"")</f>
        <v/>
      </c>
      <c r="G1844" t="str">
        <f>IF(ROW(G1844)&lt;=Bidding!$D$11,Raw_hydro_bm!H1844,"")</f>
        <v/>
      </c>
      <c r="H1844" t="str">
        <f>IF(ROW(H1844)&lt;=Bidding!$D$11,Raw_hydro_bm!I1844,"")</f>
        <v/>
      </c>
      <c r="I1844" s="16" t="str">
        <f t="shared" si="28"/>
        <v/>
      </c>
    </row>
    <row r="1845" spans="1:9" x14ac:dyDescent="0.2">
      <c r="A1845" t="str">
        <f>IF(ROW(A1845)&lt;=Bidding!$D$11,Raw_hydro_bm!B1845,"")</f>
        <v/>
      </c>
      <c r="B1845" t="str">
        <f>IF(ROW(B1845)&lt;=Bidding!$D$11,Raw_hydro_bm!C1845,"")</f>
        <v/>
      </c>
      <c r="C1845" t="str">
        <f>IF(ROW(C1845)&lt;=Bidding!$D$11,Raw_hydro_bm!D1845,"")</f>
        <v/>
      </c>
      <c r="D1845" t="str">
        <f>IF(ROW(D1845)&lt;=Bidding!$D$11,Raw_hydro_bm!E1845,"")</f>
        <v/>
      </c>
      <c r="E1845" t="str">
        <f>IF(ROW(E1845)&lt;=Bidding!$D$11,Raw_hydro_bm!F1845,"")</f>
        <v/>
      </c>
      <c r="F1845" t="str">
        <f>IF(ROW(F1845)&lt;=Bidding!$D$11,Raw_hydro_bm!G1845,"")</f>
        <v/>
      </c>
      <c r="G1845" t="str">
        <f>IF(ROW(G1845)&lt;=Bidding!$D$11,Raw_hydro_bm!H1845,"")</f>
        <v/>
      </c>
      <c r="H1845" t="str">
        <f>IF(ROW(H1845)&lt;=Bidding!$D$11,Raw_hydro_bm!I1845,"")</f>
        <v/>
      </c>
      <c r="I1845" s="16" t="str">
        <f t="shared" si="28"/>
        <v/>
      </c>
    </row>
    <row r="1846" spans="1:9" x14ac:dyDescent="0.2">
      <c r="A1846" t="str">
        <f>IF(ROW(A1846)&lt;=Bidding!$D$11,Raw_hydro_bm!B1846,"")</f>
        <v/>
      </c>
      <c r="B1846" t="str">
        <f>IF(ROW(B1846)&lt;=Bidding!$D$11,Raw_hydro_bm!C1846,"")</f>
        <v/>
      </c>
      <c r="C1846" t="str">
        <f>IF(ROW(C1846)&lt;=Bidding!$D$11,Raw_hydro_bm!D1846,"")</f>
        <v/>
      </c>
      <c r="D1846" t="str">
        <f>IF(ROW(D1846)&lt;=Bidding!$D$11,Raw_hydro_bm!E1846,"")</f>
        <v/>
      </c>
      <c r="E1846" t="str">
        <f>IF(ROW(E1846)&lt;=Bidding!$D$11,Raw_hydro_bm!F1846,"")</f>
        <v/>
      </c>
      <c r="F1846" t="str">
        <f>IF(ROW(F1846)&lt;=Bidding!$D$11,Raw_hydro_bm!G1846,"")</f>
        <v/>
      </c>
      <c r="G1846" t="str">
        <f>IF(ROW(G1846)&lt;=Bidding!$D$11,Raw_hydro_bm!H1846,"")</f>
        <v/>
      </c>
      <c r="H1846" t="str">
        <f>IF(ROW(H1846)&lt;=Bidding!$D$11,Raw_hydro_bm!I1846,"")</f>
        <v/>
      </c>
      <c r="I1846" s="16" t="str">
        <f t="shared" si="28"/>
        <v/>
      </c>
    </row>
    <row r="1847" spans="1:9" x14ac:dyDescent="0.2">
      <c r="A1847" t="str">
        <f>IF(ROW(A1847)&lt;=Bidding!$D$11,Raw_hydro_bm!B1847,"")</f>
        <v/>
      </c>
      <c r="B1847" t="str">
        <f>IF(ROW(B1847)&lt;=Bidding!$D$11,Raw_hydro_bm!C1847,"")</f>
        <v/>
      </c>
      <c r="C1847" t="str">
        <f>IF(ROW(C1847)&lt;=Bidding!$D$11,Raw_hydro_bm!D1847,"")</f>
        <v/>
      </c>
      <c r="D1847" t="str">
        <f>IF(ROW(D1847)&lt;=Bidding!$D$11,Raw_hydro_bm!E1847,"")</f>
        <v/>
      </c>
      <c r="E1847" t="str">
        <f>IF(ROW(E1847)&lt;=Bidding!$D$11,Raw_hydro_bm!F1847,"")</f>
        <v/>
      </c>
      <c r="F1847" t="str">
        <f>IF(ROW(F1847)&lt;=Bidding!$D$11,Raw_hydro_bm!G1847,"")</f>
        <v/>
      </c>
      <c r="G1847" t="str">
        <f>IF(ROW(G1847)&lt;=Bidding!$D$11,Raw_hydro_bm!H1847,"")</f>
        <v/>
      </c>
      <c r="H1847" t="str">
        <f>IF(ROW(H1847)&lt;=Bidding!$D$11,Raw_hydro_bm!I1847,"")</f>
        <v/>
      </c>
      <c r="I1847" s="16" t="str">
        <f t="shared" si="28"/>
        <v/>
      </c>
    </row>
    <row r="1848" spans="1:9" x14ac:dyDescent="0.2">
      <c r="A1848" t="str">
        <f>IF(ROW(A1848)&lt;=Bidding!$D$11,Raw_hydro_bm!B1848,"")</f>
        <v/>
      </c>
      <c r="B1848" t="str">
        <f>IF(ROW(B1848)&lt;=Bidding!$D$11,Raw_hydro_bm!C1848,"")</f>
        <v/>
      </c>
      <c r="C1848" t="str">
        <f>IF(ROW(C1848)&lt;=Bidding!$D$11,Raw_hydro_bm!D1848,"")</f>
        <v/>
      </c>
      <c r="D1848" t="str">
        <f>IF(ROW(D1848)&lt;=Bidding!$D$11,Raw_hydro_bm!E1848,"")</f>
        <v/>
      </c>
      <c r="E1848" t="str">
        <f>IF(ROW(E1848)&lt;=Bidding!$D$11,Raw_hydro_bm!F1848,"")</f>
        <v/>
      </c>
      <c r="F1848" t="str">
        <f>IF(ROW(F1848)&lt;=Bidding!$D$11,Raw_hydro_bm!G1848,"")</f>
        <v/>
      </c>
      <c r="G1848" t="str">
        <f>IF(ROW(G1848)&lt;=Bidding!$D$11,Raw_hydro_bm!H1848,"")</f>
        <v/>
      </c>
      <c r="H1848" t="str">
        <f>IF(ROW(H1848)&lt;=Bidding!$D$11,Raw_hydro_bm!I1848,"")</f>
        <v/>
      </c>
      <c r="I1848" s="16" t="str">
        <f t="shared" si="28"/>
        <v/>
      </c>
    </row>
    <row r="1849" spans="1:9" x14ac:dyDescent="0.2">
      <c r="A1849" t="str">
        <f>IF(ROW(A1849)&lt;=Bidding!$D$11,Raw_hydro_bm!B1849,"")</f>
        <v/>
      </c>
      <c r="B1849" t="str">
        <f>IF(ROW(B1849)&lt;=Bidding!$D$11,Raw_hydro_bm!C1849,"")</f>
        <v/>
      </c>
      <c r="C1849" t="str">
        <f>IF(ROW(C1849)&lt;=Bidding!$D$11,Raw_hydro_bm!D1849,"")</f>
        <v/>
      </c>
      <c r="D1849" t="str">
        <f>IF(ROW(D1849)&lt;=Bidding!$D$11,Raw_hydro_bm!E1849,"")</f>
        <v/>
      </c>
      <c r="E1849" t="str">
        <f>IF(ROW(E1849)&lt;=Bidding!$D$11,Raw_hydro_bm!F1849,"")</f>
        <v/>
      </c>
      <c r="F1849" t="str">
        <f>IF(ROW(F1849)&lt;=Bidding!$D$11,Raw_hydro_bm!G1849,"")</f>
        <v/>
      </c>
      <c r="G1849" t="str">
        <f>IF(ROW(G1849)&lt;=Bidding!$D$11,Raw_hydro_bm!H1849,"")</f>
        <v/>
      </c>
      <c r="H1849" t="str">
        <f>IF(ROW(H1849)&lt;=Bidding!$D$11,Raw_hydro_bm!I1849,"")</f>
        <v/>
      </c>
      <c r="I1849" s="16" t="str">
        <f t="shared" si="28"/>
        <v/>
      </c>
    </row>
    <row r="1850" spans="1:9" x14ac:dyDescent="0.2">
      <c r="A1850" t="str">
        <f>IF(ROW(A1850)&lt;=Bidding!$D$11,Raw_hydro_bm!B1850,"")</f>
        <v/>
      </c>
      <c r="B1850" t="str">
        <f>IF(ROW(B1850)&lt;=Bidding!$D$11,Raw_hydro_bm!C1850,"")</f>
        <v/>
      </c>
      <c r="C1850" t="str">
        <f>IF(ROW(C1850)&lt;=Bidding!$D$11,Raw_hydro_bm!D1850,"")</f>
        <v/>
      </c>
      <c r="D1850" t="str">
        <f>IF(ROW(D1850)&lt;=Bidding!$D$11,Raw_hydro_bm!E1850,"")</f>
        <v/>
      </c>
      <c r="E1850" t="str">
        <f>IF(ROW(E1850)&lt;=Bidding!$D$11,Raw_hydro_bm!F1850,"")</f>
        <v/>
      </c>
      <c r="F1850" t="str">
        <f>IF(ROW(F1850)&lt;=Bidding!$D$11,Raw_hydro_bm!G1850,"")</f>
        <v/>
      </c>
      <c r="G1850" t="str">
        <f>IF(ROW(G1850)&lt;=Bidding!$D$11,Raw_hydro_bm!H1850,"")</f>
        <v/>
      </c>
      <c r="H1850" t="str">
        <f>IF(ROW(H1850)&lt;=Bidding!$D$11,Raw_hydro_bm!I1850,"")</f>
        <v/>
      </c>
      <c r="I1850" s="16" t="str">
        <f t="shared" si="28"/>
        <v/>
      </c>
    </row>
    <row r="1851" spans="1:9" x14ac:dyDescent="0.2">
      <c r="A1851" t="str">
        <f>IF(ROW(A1851)&lt;=Bidding!$D$11,Raw_hydro_bm!B1851,"")</f>
        <v/>
      </c>
      <c r="B1851" t="str">
        <f>IF(ROW(B1851)&lt;=Bidding!$D$11,Raw_hydro_bm!C1851,"")</f>
        <v/>
      </c>
      <c r="C1851" t="str">
        <f>IF(ROW(C1851)&lt;=Bidding!$D$11,Raw_hydro_bm!D1851,"")</f>
        <v/>
      </c>
      <c r="D1851" t="str">
        <f>IF(ROW(D1851)&lt;=Bidding!$D$11,Raw_hydro_bm!E1851,"")</f>
        <v/>
      </c>
      <c r="E1851" t="str">
        <f>IF(ROW(E1851)&lt;=Bidding!$D$11,Raw_hydro_bm!F1851,"")</f>
        <v/>
      </c>
      <c r="F1851" t="str">
        <f>IF(ROW(F1851)&lt;=Bidding!$D$11,Raw_hydro_bm!G1851,"")</f>
        <v/>
      </c>
      <c r="G1851" t="str">
        <f>IF(ROW(G1851)&lt;=Bidding!$D$11,Raw_hydro_bm!H1851,"")</f>
        <v/>
      </c>
      <c r="H1851" t="str">
        <f>IF(ROW(H1851)&lt;=Bidding!$D$11,Raw_hydro_bm!I1851,"")</f>
        <v/>
      </c>
      <c r="I1851" s="16" t="str">
        <f t="shared" si="28"/>
        <v/>
      </c>
    </row>
    <row r="1852" spans="1:9" x14ac:dyDescent="0.2">
      <c r="A1852" t="str">
        <f>IF(ROW(A1852)&lt;=Bidding!$D$11,Raw_hydro_bm!B1852,"")</f>
        <v/>
      </c>
      <c r="B1852" t="str">
        <f>IF(ROW(B1852)&lt;=Bidding!$D$11,Raw_hydro_bm!C1852,"")</f>
        <v/>
      </c>
      <c r="C1852" t="str">
        <f>IF(ROW(C1852)&lt;=Bidding!$D$11,Raw_hydro_bm!D1852,"")</f>
        <v/>
      </c>
      <c r="D1852" t="str">
        <f>IF(ROW(D1852)&lt;=Bidding!$D$11,Raw_hydro_bm!E1852,"")</f>
        <v/>
      </c>
      <c r="E1852" t="str">
        <f>IF(ROW(E1852)&lt;=Bidding!$D$11,Raw_hydro_bm!F1852,"")</f>
        <v/>
      </c>
      <c r="F1852" t="str">
        <f>IF(ROW(F1852)&lt;=Bidding!$D$11,Raw_hydro_bm!G1852,"")</f>
        <v/>
      </c>
      <c r="G1852" t="str">
        <f>IF(ROW(G1852)&lt;=Bidding!$D$11,Raw_hydro_bm!H1852,"")</f>
        <v/>
      </c>
      <c r="H1852" t="str">
        <f>IF(ROW(H1852)&lt;=Bidding!$D$11,Raw_hydro_bm!I1852,"")</f>
        <v/>
      </c>
      <c r="I1852" s="16" t="str">
        <f t="shared" si="28"/>
        <v/>
      </c>
    </row>
    <row r="1853" spans="1:9" x14ac:dyDescent="0.2">
      <c r="A1853" t="str">
        <f>IF(ROW(A1853)&lt;=Bidding!$D$11,Raw_hydro_bm!B1853,"")</f>
        <v/>
      </c>
      <c r="B1853" t="str">
        <f>IF(ROW(B1853)&lt;=Bidding!$D$11,Raw_hydro_bm!C1853,"")</f>
        <v/>
      </c>
      <c r="C1853" t="str">
        <f>IF(ROW(C1853)&lt;=Bidding!$D$11,Raw_hydro_bm!D1853,"")</f>
        <v/>
      </c>
      <c r="D1853" t="str">
        <f>IF(ROW(D1853)&lt;=Bidding!$D$11,Raw_hydro_bm!E1853,"")</f>
        <v/>
      </c>
      <c r="E1853" t="str">
        <f>IF(ROW(E1853)&lt;=Bidding!$D$11,Raw_hydro_bm!F1853,"")</f>
        <v/>
      </c>
      <c r="F1853" t="str">
        <f>IF(ROW(F1853)&lt;=Bidding!$D$11,Raw_hydro_bm!G1853,"")</f>
        <v/>
      </c>
      <c r="G1853" t="str">
        <f>IF(ROW(G1853)&lt;=Bidding!$D$11,Raw_hydro_bm!H1853,"")</f>
        <v/>
      </c>
      <c r="H1853" t="str">
        <f>IF(ROW(H1853)&lt;=Bidding!$D$11,Raw_hydro_bm!I1853,"")</f>
        <v/>
      </c>
      <c r="I1853" s="16" t="str">
        <f t="shared" si="28"/>
        <v/>
      </c>
    </row>
    <row r="1854" spans="1:9" x14ac:dyDescent="0.2">
      <c r="A1854" t="str">
        <f>IF(ROW(A1854)&lt;=Bidding!$D$11,Raw_hydro_bm!B1854,"")</f>
        <v/>
      </c>
      <c r="B1854" t="str">
        <f>IF(ROW(B1854)&lt;=Bidding!$D$11,Raw_hydro_bm!C1854,"")</f>
        <v/>
      </c>
      <c r="C1854" t="str">
        <f>IF(ROW(C1854)&lt;=Bidding!$D$11,Raw_hydro_bm!D1854,"")</f>
        <v/>
      </c>
      <c r="D1854" t="str">
        <f>IF(ROW(D1854)&lt;=Bidding!$D$11,Raw_hydro_bm!E1854,"")</f>
        <v/>
      </c>
      <c r="E1854" t="str">
        <f>IF(ROW(E1854)&lt;=Bidding!$D$11,Raw_hydro_bm!F1854,"")</f>
        <v/>
      </c>
      <c r="F1854" t="str">
        <f>IF(ROW(F1854)&lt;=Bidding!$D$11,Raw_hydro_bm!G1854,"")</f>
        <v/>
      </c>
      <c r="G1854" t="str">
        <f>IF(ROW(G1854)&lt;=Bidding!$D$11,Raw_hydro_bm!H1854,"")</f>
        <v/>
      </c>
      <c r="H1854" t="str">
        <f>IF(ROW(H1854)&lt;=Bidding!$D$11,Raw_hydro_bm!I1854,"")</f>
        <v/>
      </c>
      <c r="I1854" s="16" t="str">
        <f t="shared" si="28"/>
        <v/>
      </c>
    </row>
    <row r="1855" spans="1:9" x14ac:dyDescent="0.2">
      <c r="A1855" t="str">
        <f>IF(ROW(A1855)&lt;=Bidding!$D$11,Raw_hydro_bm!B1855,"")</f>
        <v/>
      </c>
      <c r="B1855" t="str">
        <f>IF(ROW(B1855)&lt;=Bidding!$D$11,Raw_hydro_bm!C1855,"")</f>
        <v/>
      </c>
      <c r="C1855" t="str">
        <f>IF(ROW(C1855)&lt;=Bidding!$D$11,Raw_hydro_bm!D1855,"")</f>
        <v/>
      </c>
      <c r="D1855" t="str">
        <f>IF(ROW(D1855)&lt;=Bidding!$D$11,Raw_hydro_bm!E1855,"")</f>
        <v/>
      </c>
      <c r="E1855" t="str">
        <f>IF(ROW(E1855)&lt;=Bidding!$D$11,Raw_hydro_bm!F1855,"")</f>
        <v/>
      </c>
      <c r="F1855" t="str">
        <f>IF(ROW(F1855)&lt;=Bidding!$D$11,Raw_hydro_bm!G1855,"")</f>
        <v/>
      </c>
      <c r="G1855" t="str">
        <f>IF(ROW(G1855)&lt;=Bidding!$D$11,Raw_hydro_bm!H1855,"")</f>
        <v/>
      </c>
      <c r="H1855" t="str">
        <f>IF(ROW(H1855)&lt;=Bidding!$D$11,Raw_hydro_bm!I1855,"")</f>
        <v/>
      </c>
      <c r="I1855" s="16" t="str">
        <f t="shared" si="28"/>
        <v/>
      </c>
    </row>
    <row r="1856" spans="1:9" x14ac:dyDescent="0.2">
      <c r="A1856" t="str">
        <f>IF(ROW(A1856)&lt;=Bidding!$D$11,Raw_hydro_bm!B1856,"")</f>
        <v/>
      </c>
      <c r="B1856" t="str">
        <f>IF(ROW(B1856)&lt;=Bidding!$D$11,Raw_hydro_bm!C1856,"")</f>
        <v/>
      </c>
      <c r="C1856" t="str">
        <f>IF(ROW(C1856)&lt;=Bidding!$D$11,Raw_hydro_bm!D1856,"")</f>
        <v/>
      </c>
      <c r="D1856" t="str">
        <f>IF(ROW(D1856)&lt;=Bidding!$D$11,Raw_hydro_bm!E1856,"")</f>
        <v/>
      </c>
      <c r="E1856" t="str">
        <f>IF(ROW(E1856)&lt;=Bidding!$D$11,Raw_hydro_bm!F1856,"")</f>
        <v/>
      </c>
      <c r="F1856" t="str">
        <f>IF(ROW(F1856)&lt;=Bidding!$D$11,Raw_hydro_bm!G1856,"")</f>
        <v/>
      </c>
      <c r="G1856" t="str">
        <f>IF(ROW(G1856)&lt;=Bidding!$D$11,Raw_hydro_bm!H1856,"")</f>
        <v/>
      </c>
      <c r="H1856" t="str">
        <f>IF(ROW(H1856)&lt;=Bidding!$D$11,Raw_hydro_bm!I1856,"")</f>
        <v/>
      </c>
      <c r="I1856" s="16" t="str">
        <f t="shared" si="28"/>
        <v/>
      </c>
    </row>
    <row r="1857" spans="1:9" x14ac:dyDescent="0.2">
      <c r="A1857" t="str">
        <f>IF(ROW(A1857)&lt;=Bidding!$D$11,Raw_hydro_bm!B1857,"")</f>
        <v/>
      </c>
      <c r="B1857" t="str">
        <f>IF(ROW(B1857)&lt;=Bidding!$D$11,Raw_hydro_bm!C1857,"")</f>
        <v/>
      </c>
      <c r="C1857" t="str">
        <f>IF(ROW(C1857)&lt;=Bidding!$D$11,Raw_hydro_bm!D1857,"")</f>
        <v/>
      </c>
      <c r="D1857" t="str">
        <f>IF(ROW(D1857)&lt;=Bidding!$D$11,Raw_hydro_bm!E1857,"")</f>
        <v/>
      </c>
      <c r="E1857" t="str">
        <f>IF(ROW(E1857)&lt;=Bidding!$D$11,Raw_hydro_bm!F1857,"")</f>
        <v/>
      </c>
      <c r="F1857" t="str">
        <f>IF(ROW(F1857)&lt;=Bidding!$D$11,Raw_hydro_bm!G1857,"")</f>
        <v/>
      </c>
      <c r="G1857" t="str">
        <f>IF(ROW(G1857)&lt;=Bidding!$D$11,Raw_hydro_bm!H1857,"")</f>
        <v/>
      </c>
      <c r="H1857" t="str">
        <f>IF(ROW(H1857)&lt;=Bidding!$D$11,Raw_hydro_bm!I1857,"")</f>
        <v/>
      </c>
      <c r="I1857" s="16" t="str">
        <f t="shared" si="28"/>
        <v/>
      </c>
    </row>
    <row r="1858" spans="1:9" x14ac:dyDescent="0.2">
      <c r="A1858" t="str">
        <f>IF(ROW(A1858)&lt;=Bidding!$D$11,Raw_hydro_bm!B1858,"")</f>
        <v/>
      </c>
      <c r="B1858" t="str">
        <f>IF(ROW(B1858)&lt;=Bidding!$D$11,Raw_hydro_bm!C1858,"")</f>
        <v/>
      </c>
      <c r="C1858" t="str">
        <f>IF(ROW(C1858)&lt;=Bidding!$D$11,Raw_hydro_bm!D1858,"")</f>
        <v/>
      </c>
      <c r="D1858" t="str">
        <f>IF(ROW(D1858)&lt;=Bidding!$D$11,Raw_hydro_bm!E1858,"")</f>
        <v/>
      </c>
      <c r="E1858" t="str">
        <f>IF(ROW(E1858)&lt;=Bidding!$D$11,Raw_hydro_bm!F1858,"")</f>
        <v/>
      </c>
      <c r="F1858" t="str">
        <f>IF(ROW(F1858)&lt;=Bidding!$D$11,Raw_hydro_bm!G1858,"")</f>
        <v/>
      </c>
      <c r="G1858" t="str">
        <f>IF(ROW(G1858)&lt;=Bidding!$D$11,Raw_hydro_bm!H1858,"")</f>
        <v/>
      </c>
      <c r="H1858" t="str">
        <f>IF(ROW(H1858)&lt;=Bidding!$D$11,Raw_hydro_bm!I1858,"")</f>
        <v/>
      </c>
      <c r="I1858" s="16" t="str">
        <f t="shared" ref="I1858:I1921" si="29">IF(IFERROR(FIND("e",H1858),-1)&lt;0,IFERROR(_xlfn.NUMBERVALUE(LEFT(H1858,FIND(".",H1858)-1))+_xlfn.NUMBERVALUE("0,"&amp;RIGHT(H1858,LEN(H1858)-FIND(".",H1858))),""),0)</f>
        <v/>
      </c>
    </row>
    <row r="1859" spans="1:9" x14ac:dyDescent="0.2">
      <c r="A1859" t="str">
        <f>IF(ROW(A1859)&lt;=Bidding!$D$11,Raw_hydro_bm!B1859,"")</f>
        <v/>
      </c>
      <c r="B1859" t="str">
        <f>IF(ROW(B1859)&lt;=Bidding!$D$11,Raw_hydro_bm!C1859,"")</f>
        <v/>
      </c>
      <c r="C1859" t="str">
        <f>IF(ROW(C1859)&lt;=Bidding!$D$11,Raw_hydro_bm!D1859,"")</f>
        <v/>
      </c>
      <c r="D1859" t="str">
        <f>IF(ROW(D1859)&lt;=Bidding!$D$11,Raw_hydro_bm!E1859,"")</f>
        <v/>
      </c>
      <c r="E1859" t="str">
        <f>IF(ROW(E1859)&lt;=Bidding!$D$11,Raw_hydro_bm!F1859,"")</f>
        <v/>
      </c>
      <c r="F1859" t="str">
        <f>IF(ROW(F1859)&lt;=Bidding!$D$11,Raw_hydro_bm!G1859,"")</f>
        <v/>
      </c>
      <c r="G1859" t="str">
        <f>IF(ROW(G1859)&lt;=Bidding!$D$11,Raw_hydro_bm!H1859,"")</f>
        <v/>
      </c>
      <c r="H1859" t="str">
        <f>IF(ROW(H1859)&lt;=Bidding!$D$11,Raw_hydro_bm!I1859,"")</f>
        <v/>
      </c>
      <c r="I1859" s="16" t="str">
        <f t="shared" si="29"/>
        <v/>
      </c>
    </row>
    <row r="1860" spans="1:9" x14ac:dyDescent="0.2">
      <c r="A1860" t="str">
        <f>IF(ROW(A1860)&lt;=Bidding!$D$11,Raw_hydro_bm!B1860,"")</f>
        <v/>
      </c>
      <c r="B1860" t="str">
        <f>IF(ROW(B1860)&lt;=Bidding!$D$11,Raw_hydro_bm!C1860,"")</f>
        <v/>
      </c>
      <c r="C1860" t="str">
        <f>IF(ROW(C1860)&lt;=Bidding!$D$11,Raw_hydro_bm!D1860,"")</f>
        <v/>
      </c>
      <c r="D1860" t="str">
        <f>IF(ROW(D1860)&lt;=Bidding!$D$11,Raw_hydro_bm!E1860,"")</f>
        <v/>
      </c>
      <c r="E1860" t="str">
        <f>IF(ROW(E1860)&lt;=Bidding!$D$11,Raw_hydro_bm!F1860,"")</f>
        <v/>
      </c>
      <c r="F1860" t="str">
        <f>IF(ROW(F1860)&lt;=Bidding!$D$11,Raw_hydro_bm!G1860,"")</f>
        <v/>
      </c>
      <c r="G1860" t="str">
        <f>IF(ROW(G1860)&lt;=Bidding!$D$11,Raw_hydro_bm!H1860,"")</f>
        <v/>
      </c>
      <c r="H1860" t="str">
        <f>IF(ROW(H1860)&lt;=Bidding!$D$11,Raw_hydro_bm!I1860,"")</f>
        <v/>
      </c>
      <c r="I1860" s="16" t="str">
        <f t="shared" si="29"/>
        <v/>
      </c>
    </row>
    <row r="1861" spans="1:9" x14ac:dyDescent="0.2">
      <c r="A1861" t="str">
        <f>IF(ROW(A1861)&lt;=Bidding!$D$11,Raw_hydro_bm!B1861,"")</f>
        <v/>
      </c>
      <c r="B1861" t="str">
        <f>IF(ROW(B1861)&lt;=Bidding!$D$11,Raw_hydro_bm!C1861,"")</f>
        <v/>
      </c>
      <c r="C1861" t="str">
        <f>IF(ROW(C1861)&lt;=Bidding!$D$11,Raw_hydro_bm!D1861,"")</f>
        <v/>
      </c>
      <c r="D1861" t="str">
        <f>IF(ROW(D1861)&lt;=Bidding!$D$11,Raw_hydro_bm!E1861,"")</f>
        <v/>
      </c>
      <c r="E1861" t="str">
        <f>IF(ROW(E1861)&lt;=Bidding!$D$11,Raw_hydro_bm!F1861,"")</f>
        <v/>
      </c>
      <c r="F1861" t="str">
        <f>IF(ROW(F1861)&lt;=Bidding!$D$11,Raw_hydro_bm!G1861,"")</f>
        <v/>
      </c>
      <c r="G1861" t="str">
        <f>IF(ROW(G1861)&lt;=Bidding!$D$11,Raw_hydro_bm!H1861,"")</f>
        <v/>
      </c>
      <c r="H1861" t="str">
        <f>IF(ROW(H1861)&lt;=Bidding!$D$11,Raw_hydro_bm!I1861,"")</f>
        <v/>
      </c>
      <c r="I1861" s="16" t="str">
        <f t="shared" si="29"/>
        <v/>
      </c>
    </row>
    <row r="1862" spans="1:9" x14ac:dyDescent="0.2">
      <c r="A1862" t="str">
        <f>IF(ROW(A1862)&lt;=Bidding!$D$11,Raw_hydro_bm!B1862,"")</f>
        <v/>
      </c>
      <c r="B1862" t="str">
        <f>IF(ROW(B1862)&lt;=Bidding!$D$11,Raw_hydro_bm!C1862,"")</f>
        <v/>
      </c>
      <c r="C1862" t="str">
        <f>IF(ROW(C1862)&lt;=Bidding!$D$11,Raw_hydro_bm!D1862,"")</f>
        <v/>
      </c>
      <c r="D1862" t="str">
        <f>IF(ROW(D1862)&lt;=Bidding!$D$11,Raw_hydro_bm!E1862,"")</f>
        <v/>
      </c>
      <c r="E1862" t="str">
        <f>IF(ROW(E1862)&lt;=Bidding!$D$11,Raw_hydro_bm!F1862,"")</f>
        <v/>
      </c>
      <c r="F1862" t="str">
        <f>IF(ROW(F1862)&lt;=Bidding!$D$11,Raw_hydro_bm!G1862,"")</f>
        <v/>
      </c>
      <c r="G1862" t="str">
        <f>IF(ROW(G1862)&lt;=Bidding!$D$11,Raw_hydro_bm!H1862,"")</f>
        <v/>
      </c>
      <c r="H1862" t="str">
        <f>IF(ROW(H1862)&lt;=Bidding!$D$11,Raw_hydro_bm!I1862,"")</f>
        <v/>
      </c>
      <c r="I1862" s="16" t="str">
        <f t="shared" si="29"/>
        <v/>
      </c>
    </row>
    <row r="1863" spans="1:9" x14ac:dyDescent="0.2">
      <c r="A1863" t="str">
        <f>IF(ROW(A1863)&lt;=Bidding!$D$11,Raw_hydro_bm!B1863,"")</f>
        <v/>
      </c>
      <c r="B1863" t="str">
        <f>IF(ROW(B1863)&lt;=Bidding!$D$11,Raw_hydro_bm!C1863,"")</f>
        <v/>
      </c>
      <c r="C1863" t="str">
        <f>IF(ROW(C1863)&lt;=Bidding!$D$11,Raw_hydro_bm!D1863,"")</f>
        <v/>
      </c>
      <c r="D1863" t="str">
        <f>IF(ROW(D1863)&lt;=Bidding!$D$11,Raw_hydro_bm!E1863,"")</f>
        <v/>
      </c>
      <c r="E1863" t="str">
        <f>IF(ROW(E1863)&lt;=Bidding!$D$11,Raw_hydro_bm!F1863,"")</f>
        <v/>
      </c>
      <c r="F1863" t="str">
        <f>IF(ROW(F1863)&lt;=Bidding!$D$11,Raw_hydro_bm!G1863,"")</f>
        <v/>
      </c>
      <c r="G1863" t="str">
        <f>IF(ROW(G1863)&lt;=Bidding!$D$11,Raw_hydro_bm!H1863,"")</f>
        <v/>
      </c>
      <c r="H1863" t="str">
        <f>IF(ROW(H1863)&lt;=Bidding!$D$11,Raw_hydro_bm!I1863,"")</f>
        <v/>
      </c>
      <c r="I1863" s="16" t="str">
        <f t="shared" si="29"/>
        <v/>
      </c>
    </row>
    <row r="1864" spans="1:9" x14ac:dyDescent="0.2">
      <c r="A1864" t="str">
        <f>IF(ROW(A1864)&lt;=Bidding!$D$11,Raw_hydro_bm!B1864,"")</f>
        <v/>
      </c>
      <c r="B1864" t="str">
        <f>IF(ROW(B1864)&lt;=Bidding!$D$11,Raw_hydro_bm!C1864,"")</f>
        <v/>
      </c>
      <c r="C1864" t="str">
        <f>IF(ROW(C1864)&lt;=Bidding!$D$11,Raw_hydro_bm!D1864,"")</f>
        <v/>
      </c>
      <c r="D1864" t="str">
        <f>IF(ROW(D1864)&lt;=Bidding!$D$11,Raw_hydro_bm!E1864,"")</f>
        <v/>
      </c>
      <c r="E1864" t="str">
        <f>IF(ROW(E1864)&lt;=Bidding!$D$11,Raw_hydro_bm!F1864,"")</f>
        <v/>
      </c>
      <c r="F1864" t="str">
        <f>IF(ROW(F1864)&lt;=Bidding!$D$11,Raw_hydro_bm!G1864,"")</f>
        <v/>
      </c>
      <c r="G1864" t="str">
        <f>IF(ROW(G1864)&lt;=Bidding!$D$11,Raw_hydro_bm!H1864,"")</f>
        <v/>
      </c>
      <c r="H1864" t="str">
        <f>IF(ROW(H1864)&lt;=Bidding!$D$11,Raw_hydro_bm!I1864,"")</f>
        <v/>
      </c>
      <c r="I1864" s="16" t="str">
        <f t="shared" si="29"/>
        <v/>
      </c>
    </row>
    <row r="1865" spans="1:9" x14ac:dyDescent="0.2">
      <c r="A1865" t="str">
        <f>IF(ROW(A1865)&lt;=Bidding!$D$11,Raw_hydro_bm!B1865,"")</f>
        <v/>
      </c>
      <c r="B1865" t="str">
        <f>IF(ROW(B1865)&lt;=Bidding!$D$11,Raw_hydro_bm!C1865,"")</f>
        <v/>
      </c>
      <c r="C1865" t="str">
        <f>IF(ROW(C1865)&lt;=Bidding!$D$11,Raw_hydro_bm!D1865,"")</f>
        <v/>
      </c>
      <c r="D1865" t="str">
        <f>IF(ROW(D1865)&lt;=Bidding!$D$11,Raw_hydro_bm!E1865,"")</f>
        <v/>
      </c>
      <c r="E1865" t="str">
        <f>IF(ROW(E1865)&lt;=Bidding!$D$11,Raw_hydro_bm!F1865,"")</f>
        <v/>
      </c>
      <c r="F1865" t="str">
        <f>IF(ROW(F1865)&lt;=Bidding!$D$11,Raw_hydro_bm!G1865,"")</f>
        <v/>
      </c>
      <c r="G1865" t="str">
        <f>IF(ROW(G1865)&lt;=Bidding!$D$11,Raw_hydro_bm!H1865,"")</f>
        <v/>
      </c>
      <c r="H1865" t="str">
        <f>IF(ROW(H1865)&lt;=Bidding!$D$11,Raw_hydro_bm!I1865,"")</f>
        <v/>
      </c>
      <c r="I1865" s="16" t="str">
        <f t="shared" si="29"/>
        <v/>
      </c>
    </row>
    <row r="1866" spans="1:9" x14ac:dyDescent="0.2">
      <c r="A1866" t="str">
        <f>IF(ROW(A1866)&lt;=Bidding!$D$11,Raw_hydro_bm!B1866,"")</f>
        <v/>
      </c>
      <c r="B1866" t="str">
        <f>IF(ROW(B1866)&lt;=Bidding!$D$11,Raw_hydro_bm!C1866,"")</f>
        <v/>
      </c>
      <c r="C1866" t="str">
        <f>IF(ROW(C1866)&lt;=Bidding!$D$11,Raw_hydro_bm!D1866,"")</f>
        <v/>
      </c>
      <c r="D1866" t="str">
        <f>IF(ROW(D1866)&lt;=Bidding!$D$11,Raw_hydro_bm!E1866,"")</f>
        <v/>
      </c>
      <c r="E1866" t="str">
        <f>IF(ROW(E1866)&lt;=Bidding!$D$11,Raw_hydro_bm!F1866,"")</f>
        <v/>
      </c>
      <c r="F1866" t="str">
        <f>IF(ROW(F1866)&lt;=Bidding!$D$11,Raw_hydro_bm!G1866,"")</f>
        <v/>
      </c>
      <c r="G1866" t="str">
        <f>IF(ROW(G1866)&lt;=Bidding!$D$11,Raw_hydro_bm!H1866,"")</f>
        <v/>
      </c>
      <c r="H1866" t="str">
        <f>IF(ROW(H1866)&lt;=Bidding!$D$11,Raw_hydro_bm!I1866,"")</f>
        <v/>
      </c>
      <c r="I1866" s="16" t="str">
        <f t="shared" si="29"/>
        <v/>
      </c>
    </row>
    <row r="1867" spans="1:9" x14ac:dyDescent="0.2">
      <c r="A1867" t="str">
        <f>IF(ROW(A1867)&lt;=Bidding!$D$11,Raw_hydro_bm!B1867,"")</f>
        <v/>
      </c>
      <c r="B1867" t="str">
        <f>IF(ROW(B1867)&lt;=Bidding!$D$11,Raw_hydro_bm!C1867,"")</f>
        <v/>
      </c>
      <c r="C1867" t="str">
        <f>IF(ROW(C1867)&lt;=Bidding!$D$11,Raw_hydro_bm!D1867,"")</f>
        <v/>
      </c>
      <c r="D1867" t="str">
        <f>IF(ROW(D1867)&lt;=Bidding!$D$11,Raw_hydro_bm!E1867,"")</f>
        <v/>
      </c>
      <c r="E1867" t="str">
        <f>IF(ROW(E1867)&lt;=Bidding!$D$11,Raw_hydro_bm!F1867,"")</f>
        <v/>
      </c>
      <c r="F1867" t="str">
        <f>IF(ROW(F1867)&lt;=Bidding!$D$11,Raw_hydro_bm!G1867,"")</f>
        <v/>
      </c>
      <c r="G1867" t="str">
        <f>IF(ROW(G1867)&lt;=Bidding!$D$11,Raw_hydro_bm!H1867,"")</f>
        <v/>
      </c>
      <c r="H1867" t="str">
        <f>IF(ROW(H1867)&lt;=Bidding!$D$11,Raw_hydro_bm!I1867,"")</f>
        <v/>
      </c>
      <c r="I1867" s="16" t="str">
        <f t="shared" si="29"/>
        <v/>
      </c>
    </row>
    <row r="1868" spans="1:9" x14ac:dyDescent="0.2">
      <c r="A1868" t="str">
        <f>IF(ROW(A1868)&lt;=Bidding!$D$11,Raw_hydro_bm!B1868,"")</f>
        <v/>
      </c>
      <c r="B1868" t="str">
        <f>IF(ROW(B1868)&lt;=Bidding!$D$11,Raw_hydro_bm!C1868,"")</f>
        <v/>
      </c>
      <c r="C1868" t="str">
        <f>IF(ROW(C1868)&lt;=Bidding!$D$11,Raw_hydro_bm!D1868,"")</f>
        <v/>
      </c>
      <c r="D1868" t="str">
        <f>IF(ROW(D1868)&lt;=Bidding!$D$11,Raw_hydro_bm!E1868,"")</f>
        <v/>
      </c>
      <c r="E1868" t="str">
        <f>IF(ROW(E1868)&lt;=Bidding!$D$11,Raw_hydro_bm!F1868,"")</f>
        <v/>
      </c>
      <c r="F1868" t="str">
        <f>IF(ROW(F1868)&lt;=Bidding!$D$11,Raw_hydro_bm!G1868,"")</f>
        <v/>
      </c>
      <c r="G1868" t="str">
        <f>IF(ROW(G1868)&lt;=Bidding!$D$11,Raw_hydro_bm!H1868,"")</f>
        <v/>
      </c>
      <c r="H1868" t="str">
        <f>IF(ROW(H1868)&lt;=Bidding!$D$11,Raw_hydro_bm!I1868,"")</f>
        <v/>
      </c>
      <c r="I1868" s="16" t="str">
        <f t="shared" si="29"/>
        <v/>
      </c>
    </row>
    <row r="1869" spans="1:9" x14ac:dyDescent="0.2">
      <c r="A1869" t="str">
        <f>IF(ROW(A1869)&lt;=Bidding!$D$11,Raw_hydro_bm!B1869,"")</f>
        <v/>
      </c>
      <c r="B1869" t="str">
        <f>IF(ROW(B1869)&lt;=Bidding!$D$11,Raw_hydro_bm!C1869,"")</f>
        <v/>
      </c>
      <c r="C1869" t="str">
        <f>IF(ROW(C1869)&lt;=Bidding!$D$11,Raw_hydro_bm!D1869,"")</f>
        <v/>
      </c>
      <c r="D1869" t="str">
        <f>IF(ROW(D1869)&lt;=Bidding!$D$11,Raw_hydro_bm!E1869,"")</f>
        <v/>
      </c>
      <c r="E1869" t="str">
        <f>IF(ROW(E1869)&lt;=Bidding!$D$11,Raw_hydro_bm!F1869,"")</f>
        <v/>
      </c>
      <c r="F1869" t="str">
        <f>IF(ROW(F1869)&lt;=Bidding!$D$11,Raw_hydro_bm!G1869,"")</f>
        <v/>
      </c>
      <c r="G1869" t="str">
        <f>IF(ROW(G1869)&lt;=Bidding!$D$11,Raw_hydro_bm!H1869,"")</f>
        <v/>
      </c>
      <c r="H1869" t="str">
        <f>IF(ROW(H1869)&lt;=Bidding!$D$11,Raw_hydro_bm!I1869,"")</f>
        <v/>
      </c>
      <c r="I1869" s="16" t="str">
        <f t="shared" si="29"/>
        <v/>
      </c>
    </row>
    <row r="1870" spans="1:9" x14ac:dyDescent="0.2">
      <c r="A1870" t="str">
        <f>IF(ROW(A1870)&lt;=Bidding!$D$11,Raw_hydro_bm!B1870,"")</f>
        <v/>
      </c>
      <c r="B1870" t="str">
        <f>IF(ROW(B1870)&lt;=Bidding!$D$11,Raw_hydro_bm!C1870,"")</f>
        <v/>
      </c>
      <c r="C1870" t="str">
        <f>IF(ROW(C1870)&lt;=Bidding!$D$11,Raw_hydro_bm!D1870,"")</f>
        <v/>
      </c>
      <c r="D1870" t="str">
        <f>IF(ROW(D1870)&lt;=Bidding!$D$11,Raw_hydro_bm!E1870,"")</f>
        <v/>
      </c>
      <c r="E1870" t="str">
        <f>IF(ROW(E1870)&lt;=Bidding!$D$11,Raw_hydro_bm!F1870,"")</f>
        <v/>
      </c>
      <c r="F1870" t="str">
        <f>IF(ROW(F1870)&lt;=Bidding!$D$11,Raw_hydro_bm!G1870,"")</f>
        <v/>
      </c>
      <c r="G1870" t="str">
        <f>IF(ROW(G1870)&lt;=Bidding!$D$11,Raw_hydro_bm!H1870,"")</f>
        <v/>
      </c>
      <c r="H1870" t="str">
        <f>IF(ROW(H1870)&lt;=Bidding!$D$11,Raw_hydro_bm!I1870,"")</f>
        <v/>
      </c>
      <c r="I1870" s="16" t="str">
        <f t="shared" si="29"/>
        <v/>
      </c>
    </row>
    <row r="1871" spans="1:9" x14ac:dyDescent="0.2">
      <c r="A1871" t="str">
        <f>IF(ROW(A1871)&lt;=Bidding!$D$11,Raw_hydro_bm!B1871,"")</f>
        <v/>
      </c>
      <c r="B1871" t="str">
        <f>IF(ROW(B1871)&lt;=Bidding!$D$11,Raw_hydro_bm!C1871,"")</f>
        <v/>
      </c>
      <c r="C1871" t="str">
        <f>IF(ROW(C1871)&lt;=Bidding!$D$11,Raw_hydro_bm!D1871,"")</f>
        <v/>
      </c>
      <c r="D1871" t="str">
        <f>IF(ROW(D1871)&lt;=Bidding!$D$11,Raw_hydro_bm!E1871,"")</f>
        <v/>
      </c>
      <c r="E1871" t="str">
        <f>IF(ROW(E1871)&lt;=Bidding!$D$11,Raw_hydro_bm!F1871,"")</f>
        <v/>
      </c>
      <c r="F1871" t="str">
        <f>IF(ROW(F1871)&lt;=Bidding!$D$11,Raw_hydro_bm!G1871,"")</f>
        <v/>
      </c>
      <c r="G1871" t="str">
        <f>IF(ROW(G1871)&lt;=Bidding!$D$11,Raw_hydro_bm!H1871,"")</f>
        <v/>
      </c>
      <c r="H1871" t="str">
        <f>IF(ROW(H1871)&lt;=Bidding!$D$11,Raw_hydro_bm!I1871,"")</f>
        <v/>
      </c>
      <c r="I1871" s="16" t="str">
        <f t="shared" si="29"/>
        <v/>
      </c>
    </row>
    <row r="1872" spans="1:9" x14ac:dyDescent="0.2">
      <c r="A1872" t="str">
        <f>IF(ROW(A1872)&lt;=Bidding!$D$11,Raw_hydro_bm!B1872,"")</f>
        <v/>
      </c>
      <c r="B1872" t="str">
        <f>IF(ROW(B1872)&lt;=Bidding!$D$11,Raw_hydro_bm!C1872,"")</f>
        <v/>
      </c>
      <c r="C1872" t="str">
        <f>IF(ROW(C1872)&lt;=Bidding!$D$11,Raw_hydro_bm!D1872,"")</f>
        <v/>
      </c>
      <c r="D1872" t="str">
        <f>IF(ROW(D1872)&lt;=Bidding!$D$11,Raw_hydro_bm!E1872,"")</f>
        <v/>
      </c>
      <c r="E1872" t="str">
        <f>IF(ROW(E1872)&lt;=Bidding!$D$11,Raw_hydro_bm!F1872,"")</f>
        <v/>
      </c>
      <c r="F1872" t="str">
        <f>IF(ROW(F1872)&lt;=Bidding!$D$11,Raw_hydro_bm!G1872,"")</f>
        <v/>
      </c>
      <c r="G1872" t="str">
        <f>IF(ROW(G1872)&lt;=Bidding!$D$11,Raw_hydro_bm!H1872,"")</f>
        <v/>
      </c>
      <c r="H1872" t="str">
        <f>IF(ROW(H1872)&lt;=Bidding!$D$11,Raw_hydro_bm!I1872,"")</f>
        <v/>
      </c>
      <c r="I1872" s="16" t="str">
        <f t="shared" si="29"/>
        <v/>
      </c>
    </row>
    <row r="1873" spans="1:9" x14ac:dyDescent="0.2">
      <c r="A1873" t="str">
        <f>IF(ROW(A1873)&lt;=Bidding!$D$11,Raw_hydro_bm!B1873,"")</f>
        <v/>
      </c>
      <c r="B1873" t="str">
        <f>IF(ROW(B1873)&lt;=Bidding!$D$11,Raw_hydro_bm!C1873,"")</f>
        <v/>
      </c>
      <c r="C1873" t="str">
        <f>IF(ROW(C1873)&lt;=Bidding!$D$11,Raw_hydro_bm!D1873,"")</f>
        <v/>
      </c>
      <c r="D1873" t="str">
        <f>IF(ROW(D1873)&lt;=Bidding!$D$11,Raw_hydro_bm!E1873,"")</f>
        <v/>
      </c>
      <c r="E1873" t="str">
        <f>IF(ROW(E1873)&lt;=Bidding!$D$11,Raw_hydro_bm!F1873,"")</f>
        <v/>
      </c>
      <c r="F1873" t="str">
        <f>IF(ROW(F1873)&lt;=Bidding!$D$11,Raw_hydro_bm!G1873,"")</f>
        <v/>
      </c>
      <c r="G1873" t="str">
        <f>IF(ROW(G1873)&lt;=Bidding!$D$11,Raw_hydro_bm!H1873,"")</f>
        <v/>
      </c>
      <c r="H1873" t="str">
        <f>IF(ROW(H1873)&lt;=Bidding!$D$11,Raw_hydro_bm!I1873,"")</f>
        <v/>
      </c>
      <c r="I1873" s="16" t="str">
        <f t="shared" si="29"/>
        <v/>
      </c>
    </row>
    <row r="1874" spans="1:9" x14ac:dyDescent="0.2">
      <c r="A1874" t="str">
        <f>IF(ROW(A1874)&lt;=Bidding!$D$11,Raw_hydro_bm!B1874,"")</f>
        <v/>
      </c>
      <c r="B1874" t="str">
        <f>IF(ROW(B1874)&lt;=Bidding!$D$11,Raw_hydro_bm!C1874,"")</f>
        <v/>
      </c>
      <c r="C1874" t="str">
        <f>IF(ROW(C1874)&lt;=Bidding!$D$11,Raw_hydro_bm!D1874,"")</f>
        <v/>
      </c>
      <c r="D1874" t="str">
        <f>IF(ROW(D1874)&lt;=Bidding!$D$11,Raw_hydro_bm!E1874,"")</f>
        <v/>
      </c>
      <c r="E1874" t="str">
        <f>IF(ROW(E1874)&lt;=Bidding!$D$11,Raw_hydro_bm!F1874,"")</f>
        <v/>
      </c>
      <c r="F1874" t="str">
        <f>IF(ROW(F1874)&lt;=Bidding!$D$11,Raw_hydro_bm!G1874,"")</f>
        <v/>
      </c>
      <c r="G1874" t="str">
        <f>IF(ROW(G1874)&lt;=Bidding!$D$11,Raw_hydro_bm!H1874,"")</f>
        <v/>
      </c>
      <c r="H1874" t="str">
        <f>IF(ROW(H1874)&lt;=Bidding!$D$11,Raw_hydro_bm!I1874,"")</f>
        <v/>
      </c>
      <c r="I1874" s="16" t="str">
        <f t="shared" si="29"/>
        <v/>
      </c>
    </row>
    <row r="1875" spans="1:9" x14ac:dyDescent="0.2">
      <c r="A1875" t="str">
        <f>IF(ROW(A1875)&lt;=Bidding!$D$11,Raw_hydro_bm!B1875,"")</f>
        <v/>
      </c>
      <c r="B1875" t="str">
        <f>IF(ROW(B1875)&lt;=Bidding!$D$11,Raw_hydro_bm!C1875,"")</f>
        <v/>
      </c>
      <c r="C1875" t="str">
        <f>IF(ROW(C1875)&lt;=Bidding!$D$11,Raw_hydro_bm!D1875,"")</f>
        <v/>
      </c>
      <c r="D1875" t="str">
        <f>IF(ROW(D1875)&lt;=Bidding!$D$11,Raw_hydro_bm!E1875,"")</f>
        <v/>
      </c>
      <c r="E1875" t="str">
        <f>IF(ROW(E1875)&lt;=Bidding!$D$11,Raw_hydro_bm!F1875,"")</f>
        <v/>
      </c>
      <c r="F1875" t="str">
        <f>IF(ROW(F1875)&lt;=Bidding!$D$11,Raw_hydro_bm!G1875,"")</f>
        <v/>
      </c>
      <c r="G1875" t="str">
        <f>IF(ROW(G1875)&lt;=Bidding!$D$11,Raw_hydro_bm!H1875,"")</f>
        <v/>
      </c>
      <c r="H1875" t="str">
        <f>IF(ROW(H1875)&lt;=Bidding!$D$11,Raw_hydro_bm!I1875,"")</f>
        <v/>
      </c>
      <c r="I1875" s="16" t="str">
        <f t="shared" si="29"/>
        <v/>
      </c>
    </row>
    <row r="1876" spans="1:9" x14ac:dyDescent="0.2">
      <c r="A1876" t="str">
        <f>IF(ROW(A1876)&lt;=Bidding!$D$11,Raw_hydro_bm!B1876,"")</f>
        <v/>
      </c>
      <c r="B1876" t="str">
        <f>IF(ROW(B1876)&lt;=Bidding!$D$11,Raw_hydro_bm!C1876,"")</f>
        <v/>
      </c>
      <c r="C1876" t="str">
        <f>IF(ROW(C1876)&lt;=Bidding!$D$11,Raw_hydro_bm!D1876,"")</f>
        <v/>
      </c>
      <c r="D1876" t="str">
        <f>IF(ROW(D1876)&lt;=Bidding!$D$11,Raw_hydro_bm!E1876,"")</f>
        <v/>
      </c>
      <c r="E1876" t="str">
        <f>IF(ROW(E1876)&lt;=Bidding!$D$11,Raw_hydro_bm!F1876,"")</f>
        <v/>
      </c>
      <c r="F1876" t="str">
        <f>IF(ROW(F1876)&lt;=Bidding!$D$11,Raw_hydro_bm!G1876,"")</f>
        <v/>
      </c>
      <c r="G1876" t="str">
        <f>IF(ROW(G1876)&lt;=Bidding!$D$11,Raw_hydro_bm!H1876,"")</f>
        <v/>
      </c>
      <c r="H1876" t="str">
        <f>IF(ROW(H1876)&lt;=Bidding!$D$11,Raw_hydro_bm!I1876,"")</f>
        <v/>
      </c>
      <c r="I1876" s="16" t="str">
        <f t="shared" si="29"/>
        <v/>
      </c>
    </row>
    <row r="1877" spans="1:9" x14ac:dyDescent="0.2">
      <c r="A1877" t="str">
        <f>IF(ROW(A1877)&lt;=Bidding!$D$11,Raw_hydro_bm!B1877,"")</f>
        <v/>
      </c>
      <c r="B1877" t="str">
        <f>IF(ROW(B1877)&lt;=Bidding!$D$11,Raw_hydro_bm!C1877,"")</f>
        <v/>
      </c>
      <c r="C1877" t="str">
        <f>IF(ROW(C1877)&lt;=Bidding!$D$11,Raw_hydro_bm!D1877,"")</f>
        <v/>
      </c>
      <c r="D1877" t="str">
        <f>IF(ROW(D1877)&lt;=Bidding!$D$11,Raw_hydro_bm!E1877,"")</f>
        <v/>
      </c>
      <c r="E1877" t="str">
        <f>IF(ROW(E1877)&lt;=Bidding!$D$11,Raw_hydro_bm!F1877,"")</f>
        <v/>
      </c>
      <c r="F1877" t="str">
        <f>IF(ROW(F1877)&lt;=Bidding!$D$11,Raw_hydro_bm!G1877,"")</f>
        <v/>
      </c>
      <c r="G1877" t="str">
        <f>IF(ROW(G1877)&lt;=Bidding!$D$11,Raw_hydro_bm!H1877,"")</f>
        <v/>
      </c>
      <c r="H1877" t="str">
        <f>IF(ROW(H1877)&lt;=Bidding!$D$11,Raw_hydro_bm!I1877,"")</f>
        <v/>
      </c>
      <c r="I1877" s="16" t="str">
        <f t="shared" si="29"/>
        <v/>
      </c>
    </row>
    <row r="1878" spans="1:9" x14ac:dyDescent="0.2">
      <c r="A1878" t="str">
        <f>IF(ROW(A1878)&lt;=Bidding!$D$11,Raw_hydro_bm!B1878,"")</f>
        <v/>
      </c>
      <c r="B1878" t="str">
        <f>IF(ROW(B1878)&lt;=Bidding!$D$11,Raw_hydro_bm!C1878,"")</f>
        <v/>
      </c>
      <c r="C1878" t="str">
        <f>IF(ROW(C1878)&lt;=Bidding!$D$11,Raw_hydro_bm!D1878,"")</f>
        <v/>
      </c>
      <c r="D1878" t="str">
        <f>IF(ROW(D1878)&lt;=Bidding!$D$11,Raw_hydro_bm!E1878,"")</f>
        <v/>
      </c>
      <c r="E1878" t="str">
        <f>IF(ROW(E1878)&lt;=Bidding!$D$11,Raw_hydro_bm!F1878,"")</f>
        <v/>
      </c>
      <c r="F1878" t="str">
        <f>IF(ROW(F1878)&lt;=Bidding!$D$11,Raw_hydro_bm!G1878,"")</f>
        <v/>
      </c>
      <c r="G1878" t="str">
        <f>IF(ROW(G1878)&lt;=Bidding!$D$11,Raw_hydro_bm!H1878,"")</f>
        <v/>
      </c>
      <c r="H1878" t="str">
        <f>IF(ROW(H1878)&lt;=Bidding!$D$11,Raw_hydro_bm!I1878,"")</f>
        <v/>
      </c>
      <c r="I1878" s="16" t="str">
        <f t="shared" si="29"/>
        <v/>
      </c>
    </row>
    <row r="1879" spans="1:9" x14ac:dyDescent="0.2">
      <c r="A1879" t="str">
        <f>IF(ROW(A1879)&lt;=Bidding!$D$11,Raw_hydro_bm!B1879,"")</f>
        <v/>
      </c>
      <c r="B1879" t="str">
        <f>IF(ROW(B1879)&lt;=Bidding!$D$11,Raw_hydro_bm!C1879,"")</f>
        <v/>
      </c>
      <c r="C1879" t="str">
        <f>IF(ROW(C1879)&lt;=Bidding!$D$11,Raw_hydro_bm!D1879,"")</f>
        <v/>
      </c>
      <c r="D1879" t="str">
        <f>IF(ROW(D1879)&lt;=Bidding!$D$11,Raw_hydro_bm!E1879,"")</f>
        <v/>
      </c>
      <c r="E1879" t="str">
        <f>IF(ROW(E1879)&lt;=Bidding!$D$11,Raw_hydro_bm!F1879,"")</f>
        <v/>
      </c>
      <c r="F1879" t="str">
        <f>IF(ROW(F1879)&lt;=Bidding!$D$11,Raw_hydro_bm!G1879,"")</f>
        <v/>
      </c>
      <c r="G1879" t="str">
        <f>IF(ROW(G1879)&lt;=Bidding!$D$11,Raw_hydro_bm!H1879,"")</f>
        <v/>
      </c>
      <c r="H1879" t="str">
        <f>IF(ROW(H1879)&lt;=Bidding!$D$11,Raw_hydro_bm!I1879,"")</f>
        <v/>
      </c>
      <c r="I1879" s="16" t="str">
        <f t="shared" si="29"/>
        <v/>
      </c>
    </row>
    <row r="1880" spans="1:9" x14ac:dyDescent="0.2">
      <c r="A1880" t="str">
        <f>IF(ROW(A1880)&lt;=Bidding!$D$11,Raw_hydro_bm!B1880,"")</f>
        <v/>
      </c>
      <c r="B1880" t="str">
        <f>IF(ROW(B1880)&lt;=Bidding!$D$11,Raw_hydro_bm!C1880,"")</f>
        <v/>
      </c>
      <c r="C1880" t="str">
        <f>IF(ROW(C1880)&lt;=Bidding!$D$11,Raw_hydro_bm!D1880,"")</f>
        <v/>
      </c>
      <c r="D1880" t="str">
        <f>IF(ROW(D1880)&lt;=Bidding!$D$11,Raw_hydro_bm!E1880,"")</f>
        <v/>
      </c>
      <c r="E1880" t="str">
        <f>IF(ROW(E1880)&lt;=Bidding!$D$11,Raw_hydro_bm!F1880,"")</f>
        <v/>
      </c>
      <c r="F1880" t="str">
        <f>IF(ROW(F1880)&lt;=Bidding!$D$11,Raw_hydro_bm!G1880,"")</f>
        <v/>
      </c>
      <c r="G1880" t="str">
        <f>IF(ROW(G1880)&lt;=Bidding!$D$11,Raw_hydro_bm!H1880,"")</f>
        <v/>
      </c>
      <c r="H1880" t="str">
        <f>IF(ROW(H1880)&lt;=Bidding!$D$11,Raw_hydro_bm!I1880,"")</f>
        <v/>
      </c>
      <c r="I1880" s="16" t="str">
        <f t="shared" si="29"/>
        <v/>
      </c>
    </row>
    <row r="1881" spans="1:9" x14ac:dyDescent="0.2">
      <c r="A1881" t="str">
        <f>IF(ROW(A1881)&lt;=Bidding!$D$11,Raw_hydro_bm!B1881,"")</f>
        <v/>
      </c>
      <c r="B1881" t="str">
        <f>IF(ROW(B1881)&lt;=Bidding!$D$11,Raw_hydro_bm!C1881,"")</f>
        <v/>
      </c>
      <c r="C1881" t="str">
        <f>IF(ROW(C1881)&lt;=Bidding!$D$11,Raw_hydro_bm!D1881,"")</f>
        <v/>
      </c>
      <c r="D1881" t="str">
        <f>IF(ROW(D1881)&lt;=Bidding!$D$11,Raw_hydro_bm!E1881,"")</f>
        <v/>
      </c>
      <c r="E1881" t="str">
        <f>IF(ROW(E1881)&lt;=Bidding!$D$11,Raw_hydro_bm!F1881,"")</f>
        <v/>
      </c>
      <c r="F1881" t="str">
        <f>IF(ROW(F1881)&lt;=Bidding!$D$11,Raw_hydro_bm!G1881,"")</f>
        <v/>
      </c>
      <c r="G1881" t="str">
        <f>IF(ROW(G1881)&lt;=Bidding!$D$11,Raw_hydro_bm!H1881,"")</f>
        <v/>
      </c>
      <c r="H1881" t="str">
        <f>IF(ROW(H1881)&lt;=Bidding!$D$11,Raw_hydro_bm!I1881,"")</f>
        <v/>
      </c>
      <c r="I1881" s="16" t="str">
        <f t="shared" si="29"/>
        <v/>
      </c>
    </row>
    <row r="1882" spans="1:9" x14ac:dyDescent="0.2">
      <c r="A1882" t="str">
        <f>IF(ROW(A1882)&lt;=Bidding!$D$11,Raw_hydro_bm!B1882,"")</f>
        <v/>
      </c>
      <c r="B1882" t="str">
        <f>IF(ROW(B1882)&lt;=Bidding!$D$11,Raw_hydro_bm!C1882,"")</f>
        <v/>
      </c>
      <c r="C1882" t="str">
        <f>IF(ROW(C1882)&lt;=Bidding!$D$11,Raw_hydro_bm!D1882,"")</f>
        <v/>
      </c>
      <c r="D1882" t="str">
        <f>IF(ROW(D1882)&lt;=Bidding!$D$11,Raw_hydro_bm!E1882,"")</f>
        <v/>
      </c>
      <c r="E1882" t="str">
        <f>IF(ROW(E1882)&lt;=Bidding!$D$11,Raw_hydro_bm!F1882,"")</f>
        <v/>
      </c>
      <c r="F1882" t="str">
        <f>IF(ROW(F1882)&lt;=Bidding!$D$11,Raw_hydro_bm!G1882,"")</f>
        <v/>
      </c>
      <c r="G1882" t="str">
        <f>IF(ROW(G1882)&lt;=Bidding!$D$11,Raw_hydro_bm!H1882,"")</f>
        <v/>
      </c>
      <c r="H1882" t="str">
        <f>IF(ROW(H1882)&lt;=Bidding!$D$11,Raw_hydro_bm!I1882,"")</f>
        <v/>
      </c>
      <c r="I1882" s="16" t="str">
        <f t="shared" si="29"/>
        <v/>
      </c>
    </row>
    <row r="1883" spans="1:9" x14ac:dyDescent="0.2">
      <c r="A1883" t="str">
        <f>IF(ROW(A1883)&lt;=Bidding!$D$11,Raw_hydro_bm!B1883,"")</f>
        <v/>
      </c>
      <c r="B1883" t="str">
        <f>IF(ROW(B1883)&lt;=Bidding!$D$11,Raw_hydro_bm!C1883,"")</f>
        <v/>
      </c>
      <c r="C1883" t="str">
        <f>IF(ROW(C1883)&lt;=Bidding!$D$11,Raw_hydro_bm!D1883,"")</f>
        <v/>
      </c>
      <c r="D1883" t="str">
        <f>IF(ROW(D1883)&lt;=Bidding!$D$11,Raw_hydro_bm!E1883,"")</f>
        <v/>
      </c>
      <c r="E1883" t="str">
        <f>IF(ROW(E1883)&lt;=Bidding!$D$11,Raw_hydro_bm!F1883,"")</f>
        <v/>
      </c>
      <c r="F1883" t="str">
        <f>IF(ROW(F1883)&lt;=Bidding!$D$11,Raw_hydro_bm!G1883,"")</f>
        <v/>
      </c>
      <c r="G1883" t="str">
        <f>IF(ROW(G1883)&lt;=Bidding!$D$11,Raw_hydro_bm!H1883,"")</f>
        <v/>
      </c>
      <c r="H1883" t="str">
        <f>IF(ROW(H1883)&lt;=Bidding!$D$11,Raw_hydro_bm!I1883,"")</f>
        <v/>
      </c>
      <c r="I1883" s="16" t="str">
        <f t="shared" si="29"/>
        <v/>
      </c>
    </row>
    <row r="1884" spans="1:9" x14ac:dyDescent="0.2">
      <c r="A1884" t="str">
        <f>IF(ROW(A1884)&lt;=Bidding!$D$11,Raw_hydro_bm!B1884,"")</f>
        <v/>
      </c>
      <c r="B1884" t="str">
        <f>IF(ROW(B1884)&lt;=Bidding!$D$11,Raw_hydro_bm!C1884,"")</f>
        <v/>
      </c>
      <c r="C1884" t="str">
        <f>IF(ROW(C1884)&lt;=Bidding!$D$11,Raw_hydro_bm!D1884,"")</f>
        <v/>
      </c>
      <c r="D1884" t="str">
        <f>IF(ROW(D1884)&lt;=Bidding!$D$11,Raw_hydro_bm!E1884,"")</f>
        <v/>
      </c>
      <c r="E1884" t="str">
        <f>IF(ROW(E1884)&lt;=Bidding!$D$11,Raw_hydro_bm!F1884,"")</f>
        <v/>
      </c>
      <c r="F1884" t="str">
        <f>IF(ROW(F1884)&lt;=Bidding!$D$11,Raw_hydro_bm!G1884,"")</f>
        <v/>
      </c>
      <c r="G1884" t="str">
        <f>IF(ROW(G1884)&lt;=Bidding!$D$11,Raw_hydro_bm!H1884,"")</f>
        <v/>
      </c>
      <c r="H1884" t="str">
        <f>IF(ROW(H1884)&lt;=Bidding!$D$11,Raw_hydro_bm!I1884,"")</f>
        <v/>
      </c>
      <c r="I1884" s="16" t="str">
        <f t="shared" si="29"/>
        <v/>
      </c>
    </row>
    <row r="1885" spans="1:9" x14ac:dyDescent="0.2">
      <c r="A1885" t="str">
        <f>IF(ROW(A1885)&lt;=Bidding!$D$11,Raw_hydro_bm!B1885,"")</f>
        <v/>
      </c>
      <c r="B1885" t="str">
        <f>IF(ROW(B1885)&lt;=Bidding!$D$11,Raw_hydro_bm!C1885,"")</f>
        <v/>
      </c>
      <c r="C1885" t="str">
        <f>IF(ROW(C1885)&lt;=Bidding!$D$11,Raw_hydro_bm!D1885,"")</f>
        <v/>
      </c>
      <c r="D1885" t="str">
        <f>IF(ROW(D1885)&lt;=Bidding!$D$11,Raw_hydro_bm!E1885,"")</f>
        <v/>
      </c>
      <c r="E1885" t="str">
        <f>IF(ROW(E1885)&lt;=Bidding!$D$11,Raw_hydro_bm!F1885,"")</f>
        <v/>
      </c>
      <c r="F1885" t="str">
        <f>IF(ROW(F1885)&lt;=Bidding!$D$11,Raw_hydro_bm!G1885,"")</f>
        <v/>
      </c>
      <c r="G1885" t="str">
        <f>IF(ROW(G1885)&lt;=Bidding!$D$11,Raw_hydro_bm!H1885,"")</f>
        <v/>
      </c>
      <c r="H1885" t="str">
        <f>IF(ROW(H1885)&lt;=Bidding!$D$11,Raw_hydro_bm!I1885,"")</f>
        <v/>
      </c>
      <c r="I1885" s="16" t="str">
        <f t="shared" si="29"/>
        <v/>
      </c>
    </row>
    <row r="1886" spans="1:9" x14ac:dyDescent="0.2">
      <c r="A1886" t="str">
        <f>IF(ROW(A1886)&lt;=Bidding!$D$11,Raw_hydro_bm!B1886,"")</f>
        <v/>
      </c>
      <c r="B1886" t="str">
        <f>IF(ROW(B1886)&lt;=Bidding!$D$11,Raw_hydro_bm!C1886,"")</f>
        <v/>
      </c>
      <c r="C1886" t="str">
        <f>IF(ROW(C1886)&lt;=Bidding!$D$11,Raw_hydro_bm!D1886,"")</f>
        <v/>
      </c>
      <c r="D1886" t="str">
        <f>IF(ROW(D1886)&lt;=Bidding!$D$11,Raw_hydro_bm!E1886,"")</f>
        <v/>
      </c>
      <c r="E1886" t="str">
        <f>IF(ROW(E1886)&lt;=Bidding!$D$11,Raw_hydro_bm!F1886,"")</f>
        <v/>
      </c>
      <c r="F1886" t="str">
        <f>IF(ROW(F1886)&lt;=Bidding!$D$11,Raw_hydro_bm!G1886,"")</f>
        <v/>
      </c>
      <c r="G1886" t="str">
        <f>IF(ROW(G1886)&lt;=Bidding!$D$11,Raw_hydro_bm!H1886,"")</f>
        <v/>
      </c>
      <c r="H1886" t="str">
        <f>IF(ROW(H1886)&lt;=Bidding!$D$11,Raw_hydro_bm!I1886,"")</f>
        <v/>
      </c>
      <c r="I1886" s="16" t="str">
        <f t="shared" si="29"/>
        <v/>
      </c>
    </row>
    <row r="1887" spans="1:9" x14ac:dyDescent="0.2">
      <c r="A1887" t="str">
        <f>IF(ROW(A1887)&lt;=Bidding!$D$11,Raw_hydro_bm!B1887,"")</f>
        <v/>
      </c>
      <c r="B1887" t="str">
        <f>IF(ROW(B1887)&lt;=Bidding!$D$11,Raw_hydro_bm!C1887,"")</f>
        <v/>
      </c>
      <c r="C1887" t="str">
        <f>IF(ROW(C1887)&lt;=Bidding!$D$11,Raw_hydro_bm!D1887,"")</f>
        <v/>
      </c>
      <c r="D1887" t="str">
        <f>IF(ROW(D1887)&lt;=Bidding!$D$11,Raw_hydro_bm!E1887,"")</f>
        <v/>
      </c>
      <c r="E1887" t="str">
        <f>IF(ROW(E1887)&lt;=Bidding!$D$11,Raw_hydro_bm!F1887,"")</f>
        <v/>
      </c>
      <c r="F1887" t="str">
        <f>IF(ROW(F1887)&lt;=Bidding!$D$11,Raw_hydro_bm!G1887,"")</f>
        <v/>
      </c>
      <c r="G1887" t="str">
        <f>IF(ROW(G1887)&lt;=Bidding!$D$11,Raw_hydro_bm!H1887,"")</f>
        <v/>
      </c>
      <c r="H1887" t="str">
        <f>IF(ROW(H1887)&lt;=Bidding!$D$11,Raw_hydro_bm!I1887,"")</f>
        <v/>
      </c>
      <c r="I1887" s="16" t="str">
        <f t="shared" si="29"/>
        <v/>
      </c>
    </row>
    <row r="1888" spans="1:9" x14ac:dyDescent="0.2">
      <c r="A1888" t="str">
        <f>IF(ROW(A1888)&lt;=Bidding!$D$11,Raw_hydro_bm!B1888,"")</f>
        <v/>
      </c>
      <c r="B1888" t="str">
        <f>IF(ROW(B1888)&lt;=Bidding!$D$11,Raw_hydro_bm!C1888,"")</f>
        <v/>
      </c>
      <c r="C1888" t="str">
        <f>IF(ROW(C1888)&lt;=Bidding!$D$11,Raw_hydro_bm!D1888,"")</f>
        <v/>
      </c>
      <c r="D1888" t="str">
        <f>IF(ROW(D1888)&lt;=Bidding!$D$11,Raw_hydro_bm!E1888,"")</f>
        <v/>
      </c>
      <c r="E1888" t="str">
        <f>IF(ROW(E1888)&lt;=Bidding!$D$11,Raw_hydro_bm!F1888,"")</f>
        <v/>
      </c>
      <c r="F1888" t="str">
        <f>IF(ROW(F1888)&lt;=Bidding!$D$11,Raw_hydro_bm!G1888,"")</f>
        <v/>
      </c>
      <c r="G1888" t="str">
        <f>IF(ROW(G1888)&lt;=Bidding!$D$11,Raw_hydro_bm!H1888,"")</f>
        <v/>
      </c>
      <c r="H1888" t="str">
        <f>IF(ROW(H1888)&lt;=Bidding!$D$11,Raw_hydro_bm!I1888,"")</f>
        <v/>
      </c>
      <c r="I1888" s="16" t="str">
        <f t="shared" si="29"/>
        <v/>
      </c>
    </row>
    <row r="1889" spans="1:9" x14ac:dyDescent="0.2">
      <c r="A1889" t="str">
        <f>IF(ROW(A1889)&lt;=Bidding!$D$11,Raw_hydro_bm!B1889,"")</f>
        <v/>
      </c>
      <c r="B1889" t="str">
        <f>IF(ROW(B1889)&lt;=Bidding!$D$11,Raw_hydro_bm!C1889,"")</f>
        <v/>
      </c>
      <c r="C1889" t="str">
        <f>IF(ROW(C1889)&lt;=Bidding!$D$11,Raw_hydro_bm!D1889,"")</f>
        <v/>
      </c>
      <c r="D1889" t="str">
        <f>IF(ROW(D1889)&lt;=Bidding!$D$11,Raw_hydro_bm!E1889,"")</f>
        <v/>
      </c>
      <c r="E1889" t="str">
        <f>IF(ROW(E1889)&lt;=Bidding!$D$11,Raw_hydro_bm!F1889,"")</f>
        <v/>
      </c>
      <c r="F1889" t="str">
        <f>IF(ROW(F1889)&lt;=Bidding!$D$11,Raw_hydro_bm!G1889,"")</f>
        <v/>
      </c>
      <c r="G1889" t="str">
        <f>IF(ROW(G1889)&lt;=Bidding!$D$11,Raw_hydro_bm!H1889,"")</f>
        <v/>
      </c>
      <c r="H1889" t="str">
        <f>IF(ROW(H1889)&lt;=Bidding!$D$11,Raw_hydro_bm!I1889,"")</f>
        <v/>
      </c>
      <c r="I1889" s="16" t="str">
        <f t="shared" si="29"/>
        <v/>
      </c>
    </row>
    <row r="1890" spans="1:9" x14ac:dyDescent="0.2">
      <c r="A1890" t="str">
        <f>IF(ROW(A1890)&lt;=Bidding!$D$11,Raw_hydro_bm!B1890,"")</f>
        <v/>
      </c>
      <c r="B1890" t="str">
        <f>IF(ROW(B1890)&lt;=Bidding!$D$11,Raw_hydro_bm!C1890,"")</f>
        <v/>
      </c>
      <c r="C1890" t="str">
        <f>IF(ROW(C1890)&lt;=Bidding!$D$11,Raw_hydro_bm!D1890,"")</f>
        <v/>
      </c>
      <c r="D1890" t="str">
        <f>IF(ROW(D1890)&lt;=Bidding!$D$11,Raw_hydro_bm!E1890,"")</f>
        <v/>
      </c>
      <c r="E1890" t="str">
        <f>IF(ROW(E1890)&lt;=Bidding!$D$11,Raw_hydro_bm!F1890,"")</f>
        <v/>
      </c>
      <c r="F1890" t="str">
        <f>IF(ROW(F1890)&lt;=Bidding!$D$11,Raw_hydro_bm!G1890,"")</f>
        <v/>
      </c>
      <c r="G1890" t="str">
        <f>IF(ROW(G1890)&lt;=Bidding!$D$11,Raw_hydro_bm!H1890,"")</f>
        <v/>
      </c>
      <c r="H1890" t="str">
        <f>IF(ROW(H1890)&lt;=Bidding!$D$11,Raw_hydro_bm!I1890,"")</f>
        <v/>
      </c>
      <c r="I1890" s="16" t="str">
        <f t="shared" si="29"/>
        <v/>
      </c>
    </row>
    <row r="1891" spans="1:9" x14ac:dyDescent="0.2">
      <c r="A1891" t="str">
        <f>IF(ROW(A1891)&lt;=Bidding!$D$11,Raw_hydro_bm!B1891,"")</f>
        <v/>
      </c>
      <c r="B1891" t="str">
        <f>IF(ROW(B1891)&lt;=Bidding!$D$11,Raw_hydro_bm!C1891,"")</f>
        <v/>
      </c>
      <c r="C1891" t="str">
        <f>IF(ROW(C1891)&lt;=Bidding!$D$11,Raw_hydro_bm!D1891,"")</f>
        <v/>
      </c>
      <c r="D1891" t="str">
        <f>IF(ROW(D1891)&lt;=Bidding!$D$11,Raw_hydro_bm!E1891,"")</f>
        <v/>
      </c>
      <c r="E1891" t="str">
        <f>IF(ROW(E1891)&lt;=Bidding!$D$11,Raw_hydro_bm!F1891,"")</f>
        <v/>
      </c>
      <c r="F1891" t="str">
        <f>IF(ROW(F1891)&lt;=Bidding!$D$11,Raw_hydro_bm!G1891,"")</f>
        <v/>
      </c>
      <c r="G1891" t="str">
        <f>IF(ROW(G1891)&lt;=Bidding!$D$11,Raw_hydro_bm!H1891,"")</f>
        <v/>
      </c>
      <c r="H1891" t="str">
        <f>IF(ROW(H1891)&lt;=Bidding!$D$11,Raw_hydro_bm!I1891,"")</f>
        <v/>
      </c>
      <c r="I1891" s="16" t="str">
        <f t="shared" si="29"/>
        <v/>
      </c>
    </row>
    <row r="1892" spans="1:9" x14ac:dyDescent="0.2">
      <c r="A1892" t="str">
        <f>IF(ROW(A1892)&lt;=Bidding!$D$11,Raw_hydro_bm!B1892,"")</f>
        <v/>
      </c>
      <c r="B1892" t="str">
        <f>IF(ROW(B1892)&lt;=Bidding!$D$11,Raw_hydro_bm!C1892,"")</f>
        <v/>
      </c>
      <c r="C1892" t="str">
        <f>IF(ROW(C1892)&lt;=Bidding!$D$11,Raw_hydro_bm!D1892,"")</f>
        <v/>
      </c>
      <c r="D1892" t="str">
        <f>IF(ROW(D1892)&lt;=Bidding!$D$11,Raw_hydro_bm!E1892,"")</f>
        <v/>
      </c>
      <c r="E1892" t="str">
        <f>IF(ROW(E1892)&lt;=Bidding!$D$11,Raw_hydro_bm!F1892,"")</f>
        <v/>
      </c>
      <c r="F1892" t="str">
        <f>IF(ROW(F1892)&lt;=Bidding!$D$11,Raw_hydro_bm!G1892,"")</f>
        <v/>
      </c>
      <c r="G1892" t="str">
        <f>IF(ROW(G1892)&lt;=Bidding!$D$11,Raw_hydro_bm!H1892,"")</f>
        <v/>
      </c>
      <c r="H1892" t="str">
        <f>IF(ROW(H1892)&lt;=Bidding!$D$11,Raw_hydro_bm!I1892,"")</f>
        <v/>
      </c>
      <c r="I1892" s="16" t="str">
        <f t="shared" si="29"/>
        <v/>
      </c>
    </row>
    <row r="1893" spans="1:9" x14ac:dyDescent="0.2">
      <c r="A1893" t="str">
        <f>IF(ROW(A1893)&lt;=Bidding!$D$11,Raw_hydro_bm!B1893,"")</f>
        <v/>
      </c>
      <c r="B1893" t="str">
        <f>IF(ROW(B1893)&lt;=Bidding!$D$11,Raw_hydro_bm!C1893,"")</f>
        <v/>
      </c>
      <c r="C1893" t="str">
        <f>IF(ROW(C1893)&lt;=Bidding!$D$11,Raw_hydro_bm!D1893,"")</f>
        <v/>
      </c>
      <c r="D1893" t="str">
        <f>IF(ROW(D1893)&lt;=Bidding!$D$11,Raw_hydro_bm!E1893,"")</f>
        <v/>
      </c>
      <c r="E1893" t="str">
        <f>IF(ROW(E1893)&lt;=Bidding!$D$11,Raw_hydro_bm!F1893,"")</f>
        <v/>
      </c>
      <c r="F1893" t="str">
        <f>IF(ROW(F1893)&lt;=Bidding!$D$11,Raw_hydro_bm!G1893,"")</f>
        <v/>
      </c>
      <c r="G1893" t="str">
        <f>IF(ROW(G1893)&lt;=Bidding!$D$11,Raw_hydro_bm!H1893,"")</f>
        <v/>
      </c>
      <c r="H1893" t="str">
        <f>IF(ROW(H1893)&lt;=Bidding!$D$11,Raw_hydro_bm!I1893,"")</f>
        <v/>
      </c>
      <c r="I1893" s="16" t="str">
        <f t="shared" si="29"/>
        <v/>
      </c>
    </row>
    <row r="1894" spans="1:9" x14ac:dyDescent="0.2">
      <c r="A1894" t="str">
        <f>IF(ROW(A1894)&lt;=Bidding!$D$11,Raw_hydro_bm!B1894,"")</f>
        <v/>
      </c>
      <c r="B1894" t="str">
        <f>IF(ROW(B1894)&lt;=Bidding!$D$11,Raw_hydro_bm!C1894,"")</f>
        <v/>
      </c>
      <c r="C1894" t="str">
        <f>IF(ROW(C1894)&lt;=Bidding!$D$11,Raw_hydro_bm!D1894,"")</f>
        <v/>
      </c>
      <c r="D1894" t="str">
        <f>IF(ROW(D1894)&lt;=Bidding!$D$11,Raw_hydro_bm!E1894,"")</f>
        <v/>
      </c>
      <c r="E1894" t="str">
        <f>IF(ROW(E1894)&lt;=Bidding!$D$11,Raw_hydro_bm!F1894,"")</f>
        <v/>
      </c>
      <c r="F1894" t="str">
        <f>IF(ROW(F1894)&lt;=Bidding!$D$11,Raw_hydro_bm!G1894,"")</f>
        <v/>
      </c>
      <c r="G1894" t="str">
        <f>IF(ROW(G1894)&lt;=Bidding!$D$11,Raw_hydro_bm!H1894,"")</f>
        <v/>
      </c>
      <c r="H1894" t="str">
        <f>IF(ROW(H1894)&lt;=Bidding!$D$11,Raw_hydro_bm!I1894,"")</f>
        <v/>
      </c>
      <c r="I1894" s="16" t="str">
        <f t="shared" si="29"/>
        <v/>
      </c>
    </row>
    <row r="1895" spans="1:9" x14ac:dyDescent="0.2">
      <c r="A1895" t="str">
        <f>IF(ROW(A1895)&lt;=Bidding!$D$11,Raw_hydro_bm!B1895,"")</f>
        <v/>
      </c>
      <c r="B1895" t="str">
        <f>IF(ROW(B1895)&lt;=Bidding!$D$11,Raw_hydro_bm!C1895,"")</f>
        <v/>
      </c>
      <c r="C1895" t="str">
        <f>IF(ROW(C1895)&lt;=Bidding!$D$11,Raw_hydro_bm!D1895,"")</f>
        <v/>
      </c>
      <c r="D1895" t="str">
        <f>IF(ROW(D1895)&lt;=Bidding!$D$11,Raw_hydro_bm!E1895,"")</f>
        <v/>
      </c>
      <c r="E1895" t="str">
        <f>IF(ROW(E1895)&lt;=Bidding!$D$11,Raw_hydro_bm!F1895,"")</f>
        <v/>
      </c>
      <c r="F1895" t="str">
        <f>IF(ROW(F1895)&lt;=Bidding!$D$11,Raw_hydro_bm!G1895,"")</f>
        <v/>
      </c>
      <c r="G1895" t="str">
        <f>IF(ROW(G1895)&lt;=Bidding!$D$11,Raw_hydro_bm!H1895,"")</f>
        <v/>
      </c>
      <c r="H1895" t="str">
        <f>IF(ROW(H1895)&lt;=Bidding!$D$11,Raw_hydro_bm!I1895,"")</f>
        <v/>
      </c>
      <c r="I1895" s="16" t="str">
        <f t="shared" si="29"/>
        <v/>
      </c>
    </row>
    <row r="1896" spans="1:9" x14ac:dyDescent="0.2">
      <c r="A1896" t="str">
        <f>IF(ROW(A1896)&lt;=Bidding!$D$11,Raw_hydro_bm!B1896,"")</f>
        <v/>
      </c>
      <c r="B1896" t="str">
        <f>IF(ROW(B1896)&lt;=Bidding!$D$11,Raw_hydro_bm!C1896,"")</f>
        <v/>
      </c>
      <c r="C1896" t="str">
        <f>IF(ROW(C1896)&lt;=Bidding!$D$11,Raw_hydro_bm!D1896,"")</f>
        <v/>
      </c>
      <c r="D1896" t="str">
        <f>IF(ROW(D1896)&lt;=Bidding!$D$11,Raw_hydro_bm!E1896,"")</f>
        <v/>
      </c>
      <c r="E1896" t="str">
        <f>IF(ROW(E1896)&lt;=Bidding!$D$11,Raw_hydro_bm!F1896,"")</f>
        <v/>
      </c>
      <c r="F1896" t="str">
        <f>IF(ROW(F1896)&lt;=Bidding!$D$11,Raw_hydro_bm!G1896,"")</f>
        <v/>
      </c>
      <c r="G1896" t="str">
        <f>IF(ROW(G1896)&lt;=Bidding!$D$11,Raw_hydro_bm!H1896,"")</f>
        <v/>
      </c>
      <c r="H1896" t="str">
        <f>IF(ROW(H1896)&lt;=Bidding!$D$11,Raw_hydro_bm!I1896,"")</f>
        <v/>
      </c>
      <c r="I1896" s="16" t="str">
        <f t="shared" si="29"/>
        <v/>
      </c>
    </row>
    <row r="1897" spans="1:9" x14ac:dyDescent="0.2">
      <c r="A1897" t="str">
        <f>IF(ROW(A1897)&lt;=Bidding!$D$11,Raw_hydro_bm!B1897,"")</f>
        <v/>
      </c>
      <c r="B1897" t="str">
        <f>IF(ROW(B1897)&lt;=Bidding!$D$11,Raw_hydro_bm!C1897,"")</f>
        <v/>
      </c>
      <c r="C1897" t="str">
        <f>IF(ROW(C1897)&lt;=Bidding!$D$11,Raw_hydro_bm!D1897,"")</f>
        <v/>
      </c>
      <c r="D1897" t="str">
        <f>IF(ROW(D1897)&lt;=Bidding!$D$11,Raw_hydro_bm!E1897,"")</f>
        <v/>
      </c>
      <c r="E1897" t="str">
        <f>IF(ROW(E1897)&lt;=Bidding!$D$11,Raw_hydro_bm!F1897,"")</f>
        <v/>
      </c>
      <c r="F1897" t="str">
        <f>IF(ROW(F1897)&lt;=Bidding!$D$11,Raw_hydro_bm!G1897,"")</f>
        <v/>
      </c>
      <c r="G1897" t="str">
        <f>IF(ROW(G1897)&lt;=Bidding!$D$11,Raw_hydro_bm!H1897,"")</f>
        <v/>
      </c>
      <c r="H1897" t="str">
        <f>IF(ROW(H1897)&lt;=Bidding!$D$11,Raw_hydro_bm!I1897,"")</f>
        <v/>
      </c>
      <c r="I1897" s="16" t="str">
        <f t="shared" si="29"/>
        <v/>
      </c>
    </row>
    <row r="1898" spans="1:9" x14ac:dyDescent="0.2">
      <c r="A1898" t="str">
        <f>IF(ROW(A1898)&lt;=Bidding!$D$11,Raw_hydro_bm!B1898,"")</f>
        <v/>
      </c>
      <c r="B1898" t="str">
        <f>IF(ROW(B1898)&lt;=Bidding!$D$11,Raw_hydro_bm!C1898,"")</f>
        <v/>
      </c>
      <c r="C1898" t="str">
        <f>IF(ROW(C1898)&lt;=Bidding!$D$11,Raw_hydro_bm!D1898,"")</f>
        <v/>
      </c>
      <c r="D1898" t="str">
        <f>IF(ROW(D1898)&lt;=Bidding!$D$11,Raw_hydro_bm!E1898,"")</f>
        <v/>
      </c>
      <c r="E1898" t="str">
        <f>IF(ROW(E1898)&lt;=Bidding!$D$11,Raw_hydro_bm!F1898,"")</f>
        <v/>
      </c>
      <c r="F1898" t="str">
        <f>IF(ROW(F1898)&lt;=Bidding!$D$11,Raw_hydro_bm!G1898,"")</f>
        <v/>
      </c>
      <c r="G1898" t="str">
        <f>IF(ROW(G1898)&lt;=Bidding!$D$11,Raw_hydro_bm!H1898,"")</f>
        <v/>
      </c>
      <c r="H1898" t="str">
        <f>IF(ROW(H1898)&lt;=Bidding!$D$11,Raw_hydro_bm!I1898,"")</f>
        <v/>
      </c>
      <c r="I1898" s="16" t="str">
        <f t="shared" si="29"/>
        <v/>
      </c>
    </row>
    <row r="1899" spans="1:9" x14ac:dyDescent="0.2">
      <c r="A1899" t="str">
        <f>IF(ROW(A1899)&lt;=Bidding!$D$11,Raw_hydro_bm!B1899,"")</f>
        <v/>
      </c>
      <c r="B1899" t="str">
        <f>IF(ROW(B1899)&lt;=Bidding!$D$11,Raw_hydro_bm!C1899,"")</f>
        <v/>
      </c>
      <c r="C1899" t="str">
        <f>IF(ROW(C1899)&lt;=Bidding!$D$11,Raw_hydro_bm!D1899,"")</f>
        <v/>
      </c>
      <c r="D1899" t="str">
        <f>IF(ROW(D1899)&lt;=Bidding!$D$11,Raw_hydro_bm!E1899,"")</f>
        <v/>
      </c>
      <c r="E1899" t="str">
        <f>IF(ROW(E1899)&lt;=Bidding!$D$11,Raw_hydro_bm!F1899,"")</f>
        <v/>
      </c>
      <c r="F1899" t="str">
        <f>IF(ROW(F1899)&lt;=Bidding!$D$11,Raw_hydro_bm!G1899,"")</f>
        <v/>
      </c>
      <c r="G1899" t="str">
        <f>IF(ROW(G1899)&lt;=Bidding!$D$11,Raw_hydro_bm!H1899,"")</f>
        <v/>
      </c>
      <c r="H1899" t="str">
        <f>IF(ROW(H1899)&lt;=Bidding!$D$11,Raw_hydro_bm!I1899,"")</f>
        <v/>
      </c>
      <c r="I1899" s="16" t="str">
        <f t="shared" si="29"/>
        <v/>
      </c>
    </row>
    <row r="1900" spans="1:9" x14ac:dyDescent="0.2">
      <c r="A1900" t="str">
        <f>IF(ROW(A1900)&lt;=Bidding!$D$11,Raw_hydro_bm!B1900,"")</f>
        <v/>
      </c>
      <c r="B1900" t="str">
        <f>IF(ROW(B1900)&lt;=Bidding!$D$11,Raw_hydro_bm!C1900,"")</f>
        <v/>
      </c>
      <c r="C1900" t="str">
        <f>IF(ROW(C1900)&lt;=Bidding!$D$11,Raw_hydro_bm!D1900,"")</f>
        <v/>
      </c>
      <c r="D1900" t="str">
        <f>IF(ROW(D1900)&lt;=Bidding!$D$11,Raw_hydro_bm!E1900,"")</f>
        <v/>
      </c>
      <c r="E1900" t="str">
        <f>IF(ROW(E1900)&lt;=Bidding!$D$11,Raw_hydro_bm!F1900,"")</f>
        <v/>
      </c>
      <c r="F1900" t="str">
        <f>IF(ROW(F1900)&lt;=Bidding!$D$11,Raw_hydro_bm!G1900,"")</f>
        <v/>
      </c>
      <c r="G1900" t="str">
        <f>IF(ROW(G1900)&lt;=Bidding!$D$11,Raw_hydro_bm!H1900,"")</f>
        <v/>
      </c>
      <c r="H1900" t="str">
        <f>IF(ROW(H1900)&lt;=Bidding!$D$11,Raw_hydro_bm!I1900,"")</f>
        <v/>
      </c>
      <c r="I1900" s="16" t="str">
        <f t="shared" si="29"/>
        <v/>
      </c>
    </row>
    <row r="1901" spans="1:9" x14ac:dyDescent="0.2">
      <c r="A1901" t="str">
        <f>IF(ROW(A1901)&lt;=Bidding!$D$11,Raw_hydro_bm!B1901,"")</f>
        <v/>
      </c>
      <c r="B1901" t="str">
        <f>IF(ROW(B1901)&lt;=Bidding!$D$11,Raw_hydro_bm!C1901,"")</f>
        <v/>
      </c>
      <c r="C1901" t="str">
        <f>IF(ROW(C1901)&lt;=Bidding!$D$11,Raw_hydro_bm!D1901,"")</f>
        <v/>
      </c>
      <c r="D1901" t="str">
        <f>IF(ROW(D1901)&lt;=Bidding!$D$11,Raw_hydro_bm!E1901,"")</f>
        <v/>
      </c>
      <c r="E1901" t="str">
        <f>IF(ROW(E1901)&lt;=Bidding!$D$11,Raw_hydro_bm!F1901,"")</f>
        <v/>
      </c>
      <c r="F1901" t="str">
        <f>IF(ROW(F1901)&lt;=Bidding!$D$11,Raw_hydro_bm!G1901,"")</f>
        <v/>
      </c>
      <c r="G1901" t="str">
        <f>IF(ROW(G1901)&lt;=Bidding!$D$11,Raw_hydro_bm!H1901,"")</f>
        <v/>
      </c>
      <c r="H1901" t="str">
        <f>IF(ROW(H1901)&lt;=Bidding!$D$11,Raw_hydro_bm!I1901,"")</f>
        <v/>
      </c>
      <c r="I1901" s="16" t="str">
        <f t="shared" si="29"/>
        <v/>
      </c>
    </row>
    <row r="1902" spans="1:9" x14ac:dyDescent="0.2">
      <c r="A1902" t="str">
        <f>IF(ROW(A1902)&lt;=Bidding!$D$11,Raw_hydro_bm!B1902,"")</f>
        <v/>
      </c>
      <c r="B1902" t="str">
        <f>IF(ROW(B1902)&lt;=Bidding!$D$11,Raw_hydro_bm!C1902,"")</f>
        <v/>
      </c>
      <c r="C1902" t="str">
        <f>IF(ROW(C1902)&lt;=Bidding!$D$11,Raw_hydro_bm!D1902,"")</f>
        <v/>
      </c>
      <c r="D1902" t="str">
        <f>IF(ROW(D1902)&lt;=Bidding!$D$11,Raw_hydro_bm!E1902,"")</f>
        <v/>
      </c>
      <c r="E1902" t="str">
        <f>IF(ROW(E1902)&lt;=Bidding!$D$11,Raw_hydro_bm!F1902,"")</f>
        <v/>
      </c>
      <c r="F1902" t="str">
        <f>IF(ROW(F1902)&lt;=Bidding!$D$11,Raw_hydro_bm!G1902,"")</f>
        <v/>
      </c>
      <c r="G1902" t="str">
        <f>IF(ROW(G1902)&lt;=Bidding!$D$11,Raw_hydro_bm!H1902,"")</f>
        <v/>
      </c>
      <c r="H1902" t="str">
        <f>IF(ROW(H1902)&lt;=Bidding!$D$11,Raw_hydro_bm!I1902,"")</f>
        <v/>
      </c>
      <c r="I1902" s="16" t="str">
        <f t="shared" si="29"/>
        <v/>
      </c>
    </row>
    <row r="1903" spans="1:9" x14ac:dyDescent="0.2">
      <c r="A1903" t="str">
        <f>IF(ROW(A1903)&lt;=Bidding!$D$11,Raw_hydro_bm!B1903,"")</f>
        <v/>
      </c>
      <c r="B1903" t="str">
        <f>IF(ROW(B1903)&lt;=Bidding!$D$11,Raw_hydro_bm!C1903,"")</f>
        <v/>
      </c>
      <c r="C1903" t="str">
        <f>IF(ROW(C1903)&lt;=Bidding!$D$11,Raw_hydro_bm!D1903,"")</f>
        <v/>
      </c>
      <c r="D1903" t="str">
        <f>IF(ROW(D1903)&lt;=Bidding!$D$11,Raw_hydro_bm!E1903,"")</f>
        <v/>
      </c>
      <c r="E1903" t="str">
        <f>IF(ROW(E1903)&lt;=Bidding!$D$11,Raw_hydro_bm!F1903,"")</f>
        <v/>
      </c>
      <c r="F1903" t="str">
        <f>IF(ROW(F1903)&lt;=Bidding!$D$11,Raw_hydro_bm!G1903,"")</f>
        <v/>
      </c>
      <c r="G1903" t="str">
        <f>IF(ROW(G1903)&lt;=Bidding!$D$11,Raw_hydro_bm!H1903,"")</f>
        <v/>
      </c>
      <c r="H1903" t="str">
        <f>IF(ROW(H1903)&lt;=Bidding!$D$11,Raw_hydro_bm!I1903,"")</f>
        <v/>
      </c>
      <c r="I1903" s="16" t="str">
        <f t="shared" si="29"/>
        <v/>
      </c>
    </row>
    <row r="1904" spans="1:9" x14ac:dyDescent="0.2">
      <c r="A1904" t="str">
        <f>IF(ROW(A1904)&lt;=Bidding!$D$11,Raw_hydro_bm!B1904,"")</f>
        <v/>
      </c>
      <c r="B1904" t="str">
        <f>IF(ROW(B1904)&lt;=Bidding!$D$11,Raw_hydro_bm!C1904,"")</f>
        <v/>
      </c>
      <c r="C1904" t="str">
        <f>IF(ROW(C1904)&lt;=Bidding!$D$11,Raw_hydro_bm!D1904,"")</f>
        <v/>
      </c>
      <c r="D1904" t="str">
        <f>IF(ROW(D1904)&lt;=Bidding!$D$11,Raw_hydro_bm!E1904,"")</f>
        <v/>
      </c>
      <c r="E1904" t="str">
        <f>IF(ROW(E1904)&lt;=Bidding!$D$11,Raw_hydro_bm!F1904,"")</f>
        <v/>
      </c>
      <c r="F1904" t="str">
        <f>IF(ROW(F1904)&lt;=Bidding!$D$11,Raw_hydro_bm!G1904,"")</f>
        <v/>
      </c>
      <c r="G1904" t="str">
        <f>IF(ROW(G1904)&lt;=Bidding!$D$11,Raw_hydro_bm!H1904,"")</f>
        <v/>
      </c>
      <c r="H1904" t="str">
        <f>IF(ROW(H1904)&lt;=Bidding!$D$11,Raw_hydro_bm!I1904,"")</f>
        <v/>
      </c>
      <c r="I1904" s="16" t="str">
        <f t="shared" si="29"/>
        <v/>
      </c>
    </row>
    <row r="1905" spans="1:9" x14ac:dyDescent="0.2">
      <c r="A1905" t="str">
        <f>IF(ROW(A1905)&lt;=Bidding!$D$11,Raw_hydro_bm!B1905,"")</f>
        <v/>
      </c>
      <c r="B1905" t="str">
        <f>IF(ROW(B1905)&lt;=Bidding!$D$11,Raw_hydro_bm!C1905,"")</f>
        <v/>
      </c>
      <c r="C1905" t="str">
        <f>IF(ROW(C1905)&lt;=Bidding!$D$11,Raw_hydro_bm!D1905,"")</f>
        <v/>
      </c>
      <c r="D1905" t="str">
        <f>IF(ROW(D1905)&lt;=Bidding!$D$11,Raw_hydro_bm!E1905,"")</f>
        <v/>
      </c>
      <c r="E1905" t="str">
        <f>IF(ROW(E1905)&lt;=Bidding!$D$11,Raw_hydro_bm!F1905,"")</f>
        <v/>
      </c>
      <c r="F1905" t="str">
        <f>IF(ROW(F1905)&lt;=Bidding!$D$11,Raw_hydro_bm!G1905,"")</f>
        <v/>
      </c>
      <c r="G1905" t="str">
        <f>IF(ROW(G1905)&lt;=Bidding!$D$11,Raw_hydro_bm!H1905,"")</f>
        <v/>
      </c>
      <c r="H1905" t="str">
        <f>IF(ROW(H1905)&lt;=Bidding!$D$11,Raw_hydro_bm!I1905,"")</f>
        <v/>
      </c>
      <c r="I1905" s="16" t="str">
        <f t="shared" si="29"/>
        <v/>
      </c>
    </row>
    <row r="1906" spans="1:9" x14ac:dyDescent="0.2">
      <c r="A1906" t="str">
        <f>IF(ROW(A1906)&lt;=Bidding!$D$11,Raw_hydro_bm!B1906,"")</f>
        <v/>
      </c>
      <c r="B1906" t="str">
        <f>IF(ROW(B1906)&lt;=Bidding!$D$11,Raw_hydro_bm!C1906,"")</f>
        <v/>
      </c>
      <c r="C1906" t="str">
        <f>IF(ROW(C1906)&lt;=Bidding!$D$11,Raw_hydro_bm!D1906,"")</f>
        <v/>
      </c>
      <c r="D1906" t="str">
        <f>IF(ROW(D1906)&lt;=Bidding!$D$11,Raw_hydro_bm!E1906,"")</f>
        <v/>
      </c>
      <c r="E1906" t="str">
        <f>IF(ROW(E1906)&lt;=Bidding!$D$11,Raw_hydro_bm!F1906,"")</f>
        <v/>
      </c>
      <c r="F1906" t="str">
        <f>IF(ROW(F1906)&lt;=Bidding!$D$11,Raw_hydro_bm!G1906,"")</f>
        <v/>
      </c>
      <c r="G1906" t="str">
        <f>IF(ROW(G1906)&lt;=Bidding!$D$11,Raw_hydro_bm!H1906,"")</f>
        <v/>
      </c>
      <c r="H1906" t="str">
        <f>IF(ROW(H1906)&lt;=Bidding!$D$11,Raw_hydro_bm!I1906,"")</f>
        <v/>
      </c>
      <c r="I1906" s="16" t="str">
        <f t="shared" si="29"/>
        <v/>
      </c>
    </row>
    <row r="1907" spans="1:9" x14ac:dyDescent="0.2">
      <c r="A1907" t="str">
        <f>IF(ROW(A1907)&lt;=Bidding!$D$11,Raw_hydro_bm!B1907,"")</f>
        <v/>
      </c>
      <c r="B1907" t="str">
        <f>IF(ROW(B1907)&lt;=Bidding!$D$11,Raw_hydro_bm!C1907,"")</f>
        <v/>
      </c>
      <c r="C1907" t="str">
        <f>IF(ROW(C1907)&lt;=Bidding!$D$11,Raw_hydro_bm!D1907,"")</f>
        <v/>
      </c>
      <c r="D1907" t="str">
        <f>IF(ROW(D1907)&lt;=Bidding!$D$11,Raw_hydro_bm!E1907,"")</f>
        <v/>
      </c>
      <c r="E1907" t="str">
        <f>IF(ROW(E1907)&lt;=Bidding!$D$11,Raw_hydro_bm!F1907,"")</f>
        <v/>
      </c>
      <c r="F1907" t="str">
        <f>IF(ROW(F1907)&lt;=Bidding!$D$11,Raw_hydro_bm!G1907,"")</f>
        <v/>
      </c>
      <c r="G1907" t="str">
        <f>IF(ROW(G1907)&lt;=Bidding!$D$11,Raw_hydro_bm!H1907,"")</f>
        <v/>
      </c>
      <c r="H1907" t="str">
        <f>IF(ROW(H1907)&lt;=Bidding!$D$11,Raw_hydro_bm!I1907,"")</f>
        <v/>
      </c>
      <c r="I1907" s="16" t="str">
        <f t="shared" si="29"/>
        <v/>
      </c>
    </row>
    <row r="1908" spans="1:9" x14ac:dyDescent="0.2">
      <c r="A1908" t="str">
        <f>IF(ROW(A1908)&lt;=Bidding!$D$11,Raw_hydro_bm!B1908,"")</f>
        <v/>
      </c>
      <c r="B1908" t="str">
        <f>IF(ROW(B1908)&lt;=Bidding!$D$11,Raw_hydro_bm!C1908,"")</f>
        <v/>
      </c>
      <c r="C1908" t="str">
        <f>IF(ROW(C1908)&lt;=Bidding!$D$11,Raw_hydro_bm!D1908,"")</f>
        <v/>
      </c>
      <c r="D1908" t="str">
        <f>IF(ROW(D1908)&lt;=Bidding!$D$11,Raw_hydro_bm!E1908,"")</f>
        <v/>
      </c>
      <c r="E1908" t="str">
        <f>IF(ROW(E1908)&lt;=Bidding!$D$11,Raw_hydro_bm!F1908,"")</f>
        <v/>
      </c>
      <c r="F1908" t="str">
        <f>IF(ROW(F1908)&lt;=Bidding!$D$11,Raw_hydro_bm!G1908,"")</f>
        <v/>
      </c>
      <c r="G1908" t="str">
        <f>IF(ROW(G1908)&lt;=Bidding!$D$11,Raw_hydro_bm!H1908,"")</f>
        <v/>
      </c>
      <c r="H1908" t="str">
        <f>IF(ROW(H1908)&lt;=Bidding!$D$11,Raw_hydro_bm!I1908,"")</f>
        <v/>
      </c>
      <c r="I1908" s="16" t="str">
        <f t="shared" si="29"/>
        <v/>
      </c>
    </row>
    <row r="1909" spans="1:9" x14ac:dyDescent="0.2">
      <c r="A1909" t="str">
        <f>IF(ROW(A1909)&lt;=Bidding!$D$11,Raw_hydro_bm!B1909,"")</f>
        <v/>
      </c>
      <c r="B1909" t="str">
        <f>IF(ROW(B1909)&lt;=Bidding!$D$11,Raw_hydro_bm!C1909,"")</f>
        <v/>
      </c>
      <c r="C1909" t="str">
        <f>IF(ROW(C1909)&lt;=Bidding!$D$11,Raw_hydro_bm!D1909,"")</f>
        <v/>
      </c>
      <c r="D1909" t="str">
        <f>IF(ROW(D1909)&lt;=Bidding!$D$11,Raw_hydro_bm!E1909,"")</f>
        <v/>
      </c>
      <c r="E1909" t="str">
        <f>IF(ROW(E1909)&lt;=Bidding!$D$11,Raw_hydro_bm!F1909,"")</f>
        <v/>
      </c>
      <c r="F1909" t="str">
        <f>IF(ROW(F1909)&lt;=Bidding!$D$11,Raw_hydro_bm!G1909,"")</f>
        <v/>
      </c>
      <c r="G1909" t="str">
        <f>IF(ROW(G1909)&lt;=Bidding!$D$11,Raw_hydro_bm!H1909,"")</f>
        <v/>
      </c>
      <c r="H1909" t="str">
        <f>IF(ROW(H1909)&lt;=Bidding!$D$11,Raw_hydro_bm!I1909,"")</f>
        <v/>
      </c>
      <c r="I1909" s="16" t="str">
        <f t="shared" si="29"/>
        <v/>
      </c>
    </row>
    <row r="1910" spans="1:9" x14ac:dyDescent="0.2">
      <c r="A1910" t="str">
        <f>IF(ROW(A1910)&lt;=Bidding!$D$11,Raw_hydro_bm!B1910,"")</f>
        <v/>
      </c>
      <c r="B1910" t="str">
        <f>IF(ROW(B1910)&lt;=Bidding!$D$11,Raw_hydro_bm!C1910,"")</f>
        <v/>
      </c>
      <c r="C1910" t="str">
        <f>IF(ROW(C1910)&lt;=Bidding!$D$11,Raw_hydro_bm!D1910,"")</f>
        <v/>
      </c>
      <c r="D1910" t="str">
        <f>IF(ROW(D1910)&lt;=Bidding!$D$11,Raw_hydro_bm!E1910,"")</f>
        <v/>
      </c>
      <c r="E1910" t="str">
        <f>IF(ROW(E1910)&lt;=Bidding!$D$11,Raw_hydro_bm!F1910,"")</f>
        <v/>
      </c>
      <c r="F1910" t="str">
        <f>IF(ROW(F1910)&lt;=Bidding!$D$11,Raw_hydro_bm!G1910,"")</f>
        <v/>
      </c>
      <c r="G1910" t="str">
        <f>IF(ROW(G1910)&lt;=Bidding!$D$11,Raw_hydro_bm!H1910,"")</f>
        <v/>
      </c>
      <c r="H1910" t="str">
        <f>IF(ROW(H1910)&lt;=Bidding!$D$11,Raw_hydro_bm!I1910,"")</f>
        <v/>
      </c>
      <c r="I1910" s="16" t="str">
        <f t="shared" si="29"/>
        <v/>
      </c>
    </row>
    <row r="1911" spans="1:9" x14ac:dyDescent="0.2">
      <c r="A1911" t="str">
        <f>IF(ROW(A1911)&lt;=Bidding!$D$11,Raw_hydro_bm!B1911,"")</f>
        <v/>
      </c>
      <c r="B1911" t="str">
        <f>IF(ROW(B1911)&lt;=Bidding!$D$11,Raw_hydro_bm!C1911,"")</f>
        <v/>
      </c>
      <c r="C1911" t="str">
        <f>IF(ROW(C1911)&lt;=Bidding!$D$11,Raw_hydro_bm!D1911,"")</f>
        <v/>
      </c>
      <c r="D1911" t="str">
        <f>IF(ROW(D1911)&lt;=Bidding!$D$11,Raw_hydro_bm!E1911,"")</f>
        <v/>
      </c>
      <c r="E1911" t="str">
        <f>IF(ROW(E1911)&lt;=Bidding!$D$11,Raw_hydro_bm!F1911,"")</f>
        <v/>
      </c>
      <c r="F1911" t="str">
        <f>IF(ROW(F1911)&lt;=Bidding!$D$11,Raw_hydro_bm!G1911,"")</f>
        <v/>
      </c>
      <c r="G1911" t="str">
        <f>IF(ROW(G1911)&lt;=Bidding!$D$11,Raw_hydro_bm!H1911,"")</f>
        <v/>
      </c>
      <c r="H1911" t="str">
        <f>IF(ROW(H1911)&lt;=Bidding!$D$11,Raw_hydro_bm!I1911,"")</f>
        <v/>
      </c>
      <c r="I1911" s="16" t="str">
        <f t="shared" si="29"/>
        <v/>
      </c>
    </row>
    <row r="1912" spans="1:9" x14ac:dyDescent="0.2">
      <c r="A1912" t="str">
        <f>IF(ROW(A1912)&lt;=Bidding!$D$11,Raw_hydro_bm!B1912,"")</f>
        <v/>
      </c>
      <c r="B1912" t="str">
        <f>IF(ROW(B1912)&lt;=Bidding!$D$11,Raw_hydro_bm!C1912,"")</f>
        <v/>
      </c>
      <c r="C1912" t="str">
        <f>IF(ROW(C1912)&lt;=Bidding!$D$11,Raw_hydro_bm!D1912,"")</f>
        <v/>
      </c>
      <c r="D1912" t="str">
        <f>IF(ROW(D1912)&lt;=Bidding!$D$11,Raw_hydro_bm!E1912,"")</f>
        <v/>
      </c>
      <c r="E1912" t="str">
        <f>IF(ROW(E1912)&lt;=Bidding!$D$11,Raw_hydro_bm!F1912,"")</f>
        <v/>
      </c>
      <c r="F1912" t="str">
        <f>IF(ROW(F1912)&lt;=Bidding!$D$11,Raw_hydro_bm!G1912,"")</f>
        <v/>
      </c>
      <c r="G1912" t="str">
        <f>IF(ROW(G1912)&lt;=Bidding!$D$11,Raw_hydro_bm!H1912,"")</f>
        <v/>
      </c>
      <c r="H1912" t="str">
        <f>IF(ROW(H1912)&lt;=Bidding!$D$11,Raw_hydro_bm!I1912,"")</f>
        <v/>
      </c>
      <c r="I1912" s="16" t="str">
        <f t="shared" si="29"/>
        <v/>
      </c>
    </row>
    <row r="1913" spans="1:9" x14ac:dyDescent="0.2">
      <c r="A1913" t="str">
        <f>IF(ROW(A1913)&lt;=Bidding!$D$11,Raw_hydro_bm!B1913,"")</f>
        <v/>
      </c>
      <c r="B1913" t="str">
        <f>IF(ROW(B1913)&lt;=Bidding!$D$11,Raw_hydro_bm!C1913,"")</f>
        <v/>
      </c>
      <c r="C1913" t="str">
        <f>IF(ROW(C1913)&lt;=Bidding!$D$11,Raw_hydro_bm!D1913,"")</f>
        <v/>
      </c>
      <c r="D1913" t="str">
        <f>IF(ROW(D1913)&lt;=Bidding!$D$11,Raw_hydro_bm!E1913,"")</f>
        <v/>
      </c>
      <c r="E1913" t="str">
        <f>IF(ROW(E1913)&lt;=Bidding!$D$11,Raw_hydro_bm!F1913,"")</f>
        <v/>
      </c>
      <c r="F1913" t="str">
        <f>IF(ROW(F1913)&lt;=Bidding!$D$11,Raw_hydro_bm!G1913,"")</f>
        <v/>
      </c>
      <c r="G1913" t="str">
        <f>IF(ROW(G1913)&lt;=Bidding!$D$11,Raw_hydro_bm!H1913,"")</f>
        <v/>
      </c>
      <c r="H1913" t="str">
        <f>IF(ROW(H1913)&lt;=Bidding!$D$11,Raw_hydro_bm!I1913,"")</f>
        <v/>
      </c>
      <c r="I1913" s="16" t="str">
        <f t="shared" si="29"/>
        <v/>
      </c>
    </row>
    <row r="1914" spans="1:9" x14ac:dyDescent="0.2">
      <c r="A1914" t="str">
        <f>IF(ROW(A1914)&lt;=Bidding!$D$11,Raw_hydro_bm!B1914,"")</f>
        <v/>
      </c>
      <c r="B1914" t="str">
        <f>IF(ROW(B1914)&lt;=Bidding!$D$11,Raw_hydro_bm!C1914,"")</f>
        <v/>
      </c>
      <c r="C1914" t="str">
        <f>IF(ROW(C1914)&lt;=Bidding!$D$11,Raw_hydro_bm!D1914,"")</f>
        <v/>
      </c>
      <c r="D1914" t="str">
        <f>IF(ROW(D1914)&lt;=Bidding!$D$11,Raw_hydro_bm!E1914,"")</f>
        <v/>
      </c>
      <c r="E1914" t="str">
        <f>IF(ROW(E1914)&lt;=Bidding!$D$11,Raw_hydro_bm!F1914,"")</f>
        <v/>
      </c>
      <c r="F1914" t="str">
        <f>IF(ROW(F1914)&lt;=Bidding!$D$11,Raw_hydro_bm!G1914,"")</f>
        <v/>
      </c>
      <c r="G1914" t="str">
        <f>IF(ROW(G1914)&lt;=Bidding!$D$11,Raw_hydro_bm!H1914,"")</f>
        <v/>
      </c>
      <c r="H1914" t="str">
        <f>IF(ROW(H1914)&lt;=Bidding!$D$11,Raw_hydro_bm!I1914,"")</f>
        <v/>
      </c>
      <c r="I1914" s="16" t="str">
        <f t="shared" si="29"/>
        <v/>
      </c>
    </row>
    <row r="1915" spans="1:9" x14ac:dyDescent="0.2">
      <c r="A1915" t="str">
        <f>IF(ROW(A1915)&lt;=Bidding!$D$11,Raw_hydro_bm!B1915,"")</f>
        <v/>
      </c>
      <c r="B1915" t="str">
        <f>IF(ROW(B1915)&lt;=Bidding!$D$11,Raw_hydro_bm!C1915,"")</f>
        <v/>
      </c>
      <c r="C1915" t="str">
        <f>IF(ROW(C1915)&lt;=Bidding!$D$11,Raw_hydro_bm!D1915,"")</f>
        <v/>
      </c>
      <c r="D1915" t="str">
        <f>IF(ROW(D1915)&lt;=Bidding!$D$11,Raw_hydro_bm!E1915,"")</f>
        <v/>
      </c>
      <c r="E1915" t="str">
        <f>IF(ROW(E1915)&lt;=Bidding!$D$11,Raw_hydro_bm!F1915,"")</f>
        <v/>
      </c>
      <c r="F1915" t="str">
        <f>IF(ROW(F1915)&lt;=Bidding!$D$11,Raw_hydro_bm!G1915,"")</f>
        <v/>
      </c>
      <c r="G1915" t="str">
        <f>IF(ROW(G1915)&lt;=Bidding!$D$11,Raw_hydro_bm!H1915,"")</f>
        <v/>
      </c>
      <c r="H1915" t="str">
        <f>IF(ROW(H1915)&lt;=Bidding!$D$11,Raw_hydro_bm!I1915,"")</f>
        <v/>
      </c>
      <c r="I1915" s="16" t="str">
        <f t="shared" si="29"/>
        <v/>
      </c>
    </row>
    <row r="1916" spans="1:9" x14ac:dyDescent="0.2">
      <c r="A1916" t="str">
        <f>IF(ROW(A1916)&lt;=Bidding!$D$11,Raw_hydro_bm!B1916,"")</f>
        <v/>
      </c>
      <c r="B1916" t="str">
        <f>IF(ROW(B1916)&lt;=Bidding!$D$11,Raw_hydro_bm!C1916,"")</f>
        <v/>
      </c>
      <c r="C1916" t="str">
        <f>IF(ROW(C1916)&lt;=Bidding!$D$11,Raw_hydro_bm!D1916,"")</f>
        <v/>
      </c>
      <c r="D1916" t="str">
        <f>IF(ROW(D1916)&lt;=Bidding!$D$11,Raw_hydro_bm!E1916,"")</f>
        <v/>
      </c>
      <c r="E1916" t="str">
        <f>IF(ROW(E1916)&lt;=Bidding!$D$11,Raw_hydro_bm!F1916,"")</f>
        <v/>
      </c>
      <c r="F1916" t="str">
        <f>IF(ROW(F1916)&lt;=Bidding!$D$11,Raw_hydro_bm!G1916,"")</f>
        <v/>
      </c>
      <c r="G1916" t="str">
        <f>IF(ROW(G1916)&lt;=Bidding!$D$11,Raw_hydro_bm!H1916,"")</f>
        <v/>
      </c>
      <c r="H1916" t="str">
        <f>IF(ROW(H1916)&lt;=Bidding!$D$11,Raw_hydro_bm!I1916,"")</f>
        <v/>
      </c>
      <c r="I1916" s="16" t="str">
        <f t="shared" si="29"/>
        <v/>
      </c>
    </row>
    <row r="1917" spans="1:9" x14ac:dyDescent="0.2">
      <c r="A1917" t="str">
        <f>IF(ROW(A1917)&lt;=Bidding!$D$11,Raw_hydro_bm!B1917,"")</f>
        <v/>
      </c>
      <c r="B1917" t="str">
        <f>IF(ROW(B1917)&lt;=Bidding!$D$11,Raw_hydro_bm!C1917,"")</f>
        <v/>
      </c>
      <c r="C1917" t="str">
        <f>IF(ROW(C1917)&lt;=Bidding!$D$11,Raw_hydro_bm!D1917,"")</f>
        <v/>
      </c>
      <c r="D1917" t="str">
        <f>IF(ROW(D1917)&lt;=Bidding!$D$11,Raw_hydro_bm!E1917,"")</f>
        <v/>
      </c>
      <c r="E1917" t="str">
        <f>IF(ROW(E1917)&lt;=Bidding!$D$11,Raw_hydro_bm!F1917,"")</f>
        <v/>
      </c>
      <c r="F1917" t="str">
        <f>IF(ROW(F1917)&lt;=Bidding!$D$11,Raw_hydro_bm!G1917,"")</f>
        <v/>
      </c>
      <c r="G1917" t="str">
        <f>IF(ROW(G1917)&lt;=Bidding!$D$11,Raw_hydro_bm!H1917,"")</f>
        <v/>
      </c>
      <c r="H1917" t="str">
        <f>IF(ROW(H1917)&lt;=Bidding!$D$11,Raw_hydro_bm!I1917,"")</f>
        <v/>
      </c>
      <c r="I1917" s="16" t="str">
        <f t="shared" si="29"/>
        <v/>
      </c>
    </row>
    <row r="1918" spans="1:9" x14ac:dyDescent="0.2">
      <c r="A1918" t="str">
        <f>IF(ROW(A1918)&lt;=Bidding!$D$11,Raw_hydro_bm!B1918,"")</f>
        <v/>
      </c>
      <c r="B1918" t="str">
        <f>IF(ROW(B1918)&lt;=Bidding!$D$11,Raw_hydro_bm!C1918,"")</f>
        <v/>
      </c>
      <c r="C1918" t="str">
        <f>IF(ROW(C1918)&lt;=Bidding!$D$11,Raw_hydro_bm!D1918,"")</f>
        <v/>
      </c>
      <c r="D1918" t="str">
        <f>IF(ROW(D1918)&lt;=Bidding!$D$11,Raw_hydro_bm!E1918,"")</f>
        <v/>
      </c>
      <c r="E1918" t="str">
        <f>IF(ROW(E1918)&lt;=Bidding!$D$11,Raw_hydro_bm!F1918,"")</f>
        <v/>
      </c>
      <c r="F1918" t="str">
        <f>IF(ROW(F1918)&lt;=Bidding!$D$11,Raw_hydro_bm!G1918,"")</f>
        <v/>
      </c>
      <c r="G1918" t="str">
        <f>IF(ROW(G1918)&lt;=Bidding!$D$11,Raw_hydro_bm!H1918,"")</f>
        <v/>
      </c>
      <c r="H1918" t="str">
        <f>IF(ROW(H1918)&lt;=Bidding!$D$11,Raw_hydro_bm!I1918,"")</f>
        <v/>
      </c>
      <c r="I1918" s="16" t="str">
        <f t="shared" si="29"/>
        <v/>
      </c>
    </row>
    <row r="1919" spans="1:9" x14ac:dyDescent="0.2">
      <c r="A1919" t="str">
        <f>IF(ROW(A1919)&lt;=Bidding!$D$11,Raw_hydro_bm!B1919,"")</f>
        <v/>
      </c>
      <c r="B1919" t="str">
        <f>IF(ROW(B1919)&lt;=Bidding!$D$11,Raw_hydro_bm!C1919,"")</f>
        <v/>
      </c>
      <c r="C1919" t="str">
        <f>IF(ROW(C1919)&lt;=Bidding!$D$11,Raw_hydro_bm!D1919,"")</f>
        <v/>
      </c>
      <c r="D1919" t="str">
        <f>IF(ROW(D1919)&lt;=Bidding!$D$11,Raw_hydro_bm!E1919,"")</f>
        <v/>
      </c>
      <c r="E1919" t="str">
        <f>IF(ROW(E1919)&lt;=Bidding!$D$11,Raw_hydro_bm!F1919,"")</f>
        <v/>
      </c>
      <c r="F1919" t="str">
        <f>IF(ROW(F1919)&lt;=Bidding!$D$11,Raw_hydro_bm!G1919,"")</f>
        <v/>
      </c>
      <c r="G1919" t="str">
        <f>IF(ROW(G1919)&lt;=Bidding!$D$11,Raw_hydro_bm!H1919,"")</f>
        <v/>
      </c>
      <c r="H1919" t="str">
        <f>IF(ROW(H1919)&lt;=Bidding!$D$11,Raw_hydro_bm!I1919,"")</f>
        <v/>
      </c>
      <c r="I1919" s="16" t="str">
        <f t="shared" si="29"/>
        <v/>
      </c>
    </row>
    <row r="1920" spans="1:9" x14ac:dyDescent="0.2">
      <c r="A1920" t="str">
        <f>IF(ROW(A1920)&lt;=Bidding!$D$11,Raw_hydro_bm!B1920,"")</f>
        <v/>
      </c>
      <c r="B1920" t="str">
        <f>IF(ROW(B1920)&lt;=Bidding!$D$11,Raw_hydro_bm!C1920,"")</f>
        <v/>
      </c>
      <c r="C1920" t="str">
        <f>IF(ROW(C1920)&lt;=Bidding!$D$11,Raw_hydro_bm!D1920,"")</f>
        <v/>
      </c>
      <c r="D1920" t="str">
        <f>IF(ROW(D1920)&lt;=Bidding!$D$11,Raw_hydro_bm!E1920,"")</f>
        <v/>
      </c>
      <c r="E1920" t="str">
        <f>IF(ROW(E1920)&lt;=Bidding!$D$11,Raw_hydro_bm!F1920,"")</f>
        <v/>
      </c>
      <c r="F1920" t="str">
        <f>IF(ROW(F1920)&lt;=Bidding!$D$11,Raw_hydro_bm!G1920,"")</f>
        <v/>
      </c>
      <c r="G1920" t="str">
        <f>IF(ROW(G1920)&lt;=Bidding!$D$11,Raw_hydro_bm!H1920,"")</f>
        <v/>
      </c>
      <c r="H1920" t="str">
        <f>IF(ROW(H1920)&lt;=Bidding!$D$11,Raw_hydro_bm!I1920,"")</f>
        <v/>
      </c>
      <c r="I1920" s="16" t="str">
        <f t="shared" si="29"/>
        <v/>
      </c>
    </row>
    <row r="1921" spans="1:9" x14ac:dyDescent="0.2">
      <c r="A1921" t="str">
        <f>IF(ROW(A1921)&lt;=Bidding!$D$11,Raw_hydro_bm!B1921,"")</f>
        <v/>
      </c>
      <c r="B1921" t="str">
        <f>IF(ROW(B1921)&lt;=Bidding!$D$11,Raw_hydro_bm!C1921,"")</f>
        <v/>
      </c>
      <c r="C1921" t="str">
        <f>IF(ROW(C1921)&lt;=Bidding!$D$11,Raw_hydro_bm!D1921,"")</f>
        <v/>
      </c>
      <c r="D1921" t="str">
        <f>IF(ROW(D1921)&lt;=Bidding!$D$11,Raw_hydro_bm!E1921,"")</f>
        <v/>
      </c>
      <c r="E1921" t="str">
        <f>IF(ROW(E1921)&lt;=Bidding!$D$11,Raw_hydro_bm!F1921,"")</f>
        <v/>
      </c>
      <c r="F1921" t="str">
        <f>IF(ROW(F1921)&lt;=Bidding!$D$11,Raw_hydro_bm!G1921,"")</f>
        <v/>
      </c>
      <c r="G1921" t="str">
        <f>IF(ROW(G1921)&lt;=Bidding!$D$11,Raw_hydro_bm!H1921,"")</f>
        <v/>
      </c>
      <c r="H1921" t="str">
        <f>IF(ROW(H1921)&lt;=Bidding!$D$11,Raw_hydro_bm!I1921,"")</f>
        <v/>
      </c>
      <c r="I1921" s="16" t="str">
        <f t="shared" si="29"/>
        <v/>
      </c>
    </row>
    <row r="1922" spans="1:9" x14ac:dyDescent="0.2">
      <c r="A1922" t="str">
        <f>IF(ROW(A1922)&lt;=Bidding!$D$11,Raw_hydro_bm!B1922,"")</f>
        <v/>
      </c>
      <c r="B1922" t="str">
        <f>IF(ROW(B1922)&lt;=Bidding!$D$11,Raw_hydro_bm!C1922,"")</f>
        <v/>
      </c>
      <c r="C1922" t="str">
        <f>IF(ROW(C1922)&lt;=Bidding!$D$11,Raw_hydro_bm!D1922,"")</f>
        <v/>
      </c>
      <c r="D1922" t="str">
        <f>IF(ROW(D1922)&lt;=Bidding!$D$11,Raw_hydro_bm!E1922,"")</f>
        <v/>
      </c>
      <c r="E1922" t="str">
        <f>IF(ROW(E1922)&lt;=Bidding!$D$11,Raw_hydro_bm!F1922,"")</f>
        <v/>
      </c>
      <c r="F1922" t="str">
        <f>IF(ROW(F1922)&lt;=Bidding!$D$11,Raw_hydro_bm!G1922,"")</f>
        <v/>
      </c>
      <c r="G1922" t="str">
        <f>IF(ROW(G1922)&lt;=Bidding!$D$11,Raw_hydro_bm!H1922,"")</f>
        <v/>
      </c>
      <c r="H1922" t="str">
        <f>IF(ROW(H1922)&lt;=Bidding!$D$11,Raw_hydro_bm!I1922,"")</f>
        <v/>
      </c>
      <c r="I1922" s="16" t="str">
        <f t="shared" ref="I1922:I1985" si="30">IF(IFERROR(FIND("e",H1922),-1)&lt;0,IFERROR(_xlfn.NUMBERVALUE(LEFT(H1922,FIND(".",H1922)-1))+_xlfn.NUMBERVALUE("0,"&amp;RIGHT(H1922,LEN(H1922)-FIND(".",H1922))),""),0)</f>
        <v/>
      </c>
    </row>
    <row r="1923" spans="1:9" x14ac:dyDescent="0.2">
      <c r="A1923" t="str">
        <f>IF(ROW(A1923)&lt;=Bidding!$D$11,Raw_hydro_bm!B1923,"")</f>
        <v/>
      </c>
      <c r="B1923" t="str">
        <f>IF(ROW(B1923)&lt;=Bidding!$D$11,Raw_hydro_bm!C1923,"")</f>
        <v/>
      </c>
      <c r="C1923" t="str">
        <f>IF(ROW(C1923)&lt;=Bidding!$D$11,Raw_hydro_bm!D1923,"")</f>
        <v/>
      </c>
      <c r="D1923" t="str">
        <f>IF(ROW(D1923)&lt;=Bidding!$D$11,Raw_hydro_bm!E1923,"")</f>
        <v/>
      </c>
      <c r="E1923" t="str">
        <f>IF(ROW(E1923)&lt;=Bidding!$D$11,Raw_hydro_bm!F1923,"")</f>
        <v/>
      </c>
      <c r="F1923" t="str">
        <f>IF(ROW(F1923)&lt;=Bidding!$D$11,Raw_hydro_bm!G1923,"")</f>
        <v/>
      </c>
      <c r="G1923" t="str">
        <f>IF(ROW(G1923)&lt;=Bidding!$D$11,Raw_hydro_bm!H1923,"")</f>
        <v/>
      </c>
      <c r="H1923" t="str">
        <f>IF(ROW(H1923)&lt;=Bidding!$D$11,Raw_hydro_bm!I1923,"")</f>
        <v/>
      </c>
      <c r="I1923" s="16" t="str">
        <f t="shared" si="30"/>
        <v/>
      </c>
    </row>
    <row r="1924" spans="1:9" x14ac:dyDescent="0.2">
      <c r="A1924" t="str">
        <f>IF(ROW(A1924)&lt;=Bidding!$D$11,Raw_hydro_bm!B1924,"")</f>
        <v/>
      </c>
      <c r="B1924" t="str">
        <f>IF(ROW(B1924)&lt;=Bidding!$D$11,Raw_hydro_bm!C1924,"")</f>
        <v/>
      </c>
      <c r="C1924" t="str">
        <f>IF(ROW(C1924)&lt;=Bidding!$D$11,Raw_hydro_bm!D1924,"")</f>
        <v/>
      </c>
      <c r="D1924" t="str">
        <f>IF(ROW(D1924)&lt;=Bidding!$D$11,Raw_hydro_bm!E1924,"")</f>
        <v/>
      </c>
      <c r="E1924" t="str">
        <f>IF(ROW(E1924)&lt;=Bidding!$D$11,Raw_hydro_bm!F1924,"")</f>
        <v/>
      </c>
      <c r="F1924" t="str">
        <f>IF(ROW(F1924)&lt;=Bidding!$D$11,Raw_hydro_bm!G1924,"")</f>
        <v/>
      </c>
      <c r="G1924" t="str">
        <f>IF(ROW(G1924)&lt;=Bidding!$D$11,Raw_hydro_bm!H1924,"")</f>
        <v/>
      </c>
      <c r="H1924" t="str">
        <f>IF(ROW(H1924)&lt;=Bidding!$D$11,Raw_hydro_bm!I1924,"")</f>
        <v/>
      </c>
      <c r="I1924" s="16" t="str">
        <f t="shared" si="30"/>
        <v/>
      </c>
    </row>
    <row r="1925" spans="1:9" x14ac:dyDescent="0.2">
      <c r="A1925" t="str">
        <f>IF(ROW(A1925)&lt;=Bidding!$D$11,Raw_hydro_bm!B1925,"")</f>
        <v/>
      </c>
      <c r="B1925" t="str">
        <f>IF(ROW(B1925)&lt;=Bidding!$D$11,Raw_hydro_bm!C1925,"")</f>
        <v/>
      </c>
      <c r="C1925" t="str">
        <f>IF(ROW(C1925)&lt;=Bidding!$D$11,Raw_hydro_bm!D1925,"")</f>
        <v/>
      </c>
      <c r="D1925" t="str">
        <f>IF(ROW(D1925)&lt;=Bidding!$D$11,Raw_hydro_bm!E1925,"")</f>
        <v/>
      </c>
      <c r="E1925" t="str">
        <f>IF(ROW(E1925)&lt;=Bidding!$D$11,Raw_hydro_bm!F1925,"")</f>
        <v/>
      </c>
      <c r="F1925" t="str">
        <f>IF(ROW(F1925)&lt;=Bidding!$D$11,Raw_hydro_bm!G1925,"")</f>
        <v/>
      </c>
      <c r="G1925" t="str">
        <f>IF(ROW(G1925)&lt;=Bidding!$D$11,Raw_hydro_bm!H1925,"")</f>
        <v/>
      </c>
      <c r="H1925" t="str">
        <f>IF(ROW(H1925)&lt;=Bidding!$D$11,Raw_hydro_bm!I1925,"")</f>
        <v/>
      </c>
      <c r="I1925" s="16" t="str">
        <f t="shared" si="30"/>
        <v/>
      </c>
    </row>
    <row r="1926" spans="1:9" x14ac:dyDescent="0.2">
      <c r="A1926" t="str">
        <f>IF(ROW(A1926)&lt;=Bidding!$D$11,Raw_hydro_bm!B1926,"")</f>
        <v/>
      </c>
      <c r="B1926" t="str">
        <f>IF(ROW(B1926)&lt;=Bidding!$D$11,Raw_hydro_bm!C1926,"")</f>
        <v/>
      </c>
      <c r="C1926" t="str">
        <f>IF(ROW(C1926)&lt;=Bidding!$D$11,Raw_hydro_bm!D1926,"")</f>
        <v/>
      </c>
      <c r="D1926" t="str">
        <f>IF(ROW(D1926)&lt;=Bidding!$D$11,Raw_hydro_bm!E1926,"")</f>
        <v/>
      </c>
      <c r="E1926" t="str">
        <f>IF(ROW(E1926)&lt;=Bidding!$D$11,Raw_hydro_bm!F1926,"")</f>
        <v/>
      </c>
      <c r="F1926" t="str">
        <f>IF(ROW(F1926)&lt;=Bidding!$D$11,Raw_hydro_bm!G1926,"")</f>
        <v/>
      </c>
      <c r="G1926" t="str">
        <f>IF(ROW(G1926)&lt;=Bidding!$D$11,Raw_hydro_bm!H1926,"")</f>
        <v/>
      </c>
      <c r="H1926" t="str">
        <f>IF(ROW(H1926)&lt;=Bidding!$D$11,Raw_hydro_bm!I1926,"")</f>
        <v/>
      </c>
      <c r="I1926" s="16" t="str">
        <f t="shared" si="30"/>
        <v/>
      </c>
    </row>
    <row r="1927" spans="1:9" x14ac:dyDescent="0.2">
      <c r="A1927" t="str">
        <f>IF(ROW(A1927)&lt;=Bidding!$D$11,Raw_hydro_bm!B1927,"")</f>
        <v/>
      </c>
      <c r="B1927" t="str">
        <f>IF(ROW(B1927)&lt;=Bidding!$D$11,Raw_hydro_bm!C1927,"")</f>
        <v/>
      </c>
      <c r="C1927" t="str">
        <f>IF(ROW(C1927)&lt;=Bidding!$D$11,Raw_hydro_bm!D1927,"")</f>
        <v/>
      </c>
      <c r="D1927" t="str">
        <f>IF(ROW(D1927)&lt;=Bidding!$D$11,Raw_hydro_bm!E1927,"")</f>
        <v/>
      </c>
      <c r="E1927" t="str">
        <f>IF(ROW(E1927)&lt;=Bidding!$D$11,Raw_hydro_bm!F1927,"")</f>
        <v/>
      </c>
      <c r="F1927" t="str">
        <f>IF(ROW(F1927)&lt;=Bidding!$D$11,Raw_hydro_bm!G1927,"")</f>
        <v/>
      </c>
      <c r="G1927" t="str">
        <f>IF(ROW(G1927)&lt;=Bidding!$D$11,Raw_hydro_bm!H1927,"")</f>
        <v/>
      </c>
      <c r="H1927" t="str">
        <f>IF(ROW(H1927)&lt;=Bidding!$D$11,Raw_hydro_bm!I1927,"")</f>
        <v/>
      </c>
      <c r="I1927" s="16" t="str">
        <f t="shared" si="30"/>
        <v/>
      </c>
    </row>
    <row r="1928" spans="1:9" x14ac:dyDescent="0.2">
      <c r="A1928" t="str">
        <f>IF(ROW(A1928)&lt;=Bidding!$D$11,Raw_hydro_bm!B1928,"")</f>
        <v/>
      </c>
      <c r="B1928" t="str">
        <f>IF(ROW(B1928)&lt;=Bidding!$D$11,Raw_hydro_bm!C1928,"")</f>
        <v/>
      </c>
      <c r="C1928" t="str">
        <f>IF(ROW(C1928)&lt;=Bidding!$D$11,Raw_hydro_bm!D1928,"")</f>
        <v/>
      </c>
      <c r="D1928" t="str">
        <f>IF(ROW(D1928)&lt;=Bidding!$D$11,Raw_hydro_bm!E1928,"")</f>
        <v/>
      </c>
      <c r="E1928" t="str">
        <f>IF(ROW(E1928)&lt;=Bidding!$D$11,Raw_hydro_bm!F1928,"")</f>
        <v/>
      </c>
      <c r="F1928" t="str">
        <f>IF(ROW(F1928)&lt;=Bidding!$D$11,Raw_hydro_bm!G1928,"")</f>
        <v/>
      </c>
      <c r="G1928" t="str">
        <f>IF(ROW(G1928)&lt;=Bidding!$D$11,Raw_hydro_bm!H1928,"")</f>
        <v/>
      </c>
      <c r="H1928" t="str">
        <f>IF(ROW(H1928)&lt;=Bidding!$D$11,Raw_hydro_bm!I1928,"")</f>
        <v/>
      </c>
      <c r="I1928" s="16" t="str">
        <f t="shared" si="30"/>
        <v/>
      </c>
    </row>
    <row r="1929" spans="1:9" x14ac:dyDescent="0.2">
      <c r="A1929" t="str">
        <f>IF(ROW(A1929)&lt;=Bidding!$D$11,Raw_hydro_bm!B1929,"")</f>
        <v/>
      </c>
      <c r="B1929" t="str">
        <f>IF(ROW(B1929)&lt;=Bidding!$D$11,Raw_hydro_bm!C1929,"")</f>
        <v/>
      </c>
      <c r="C1929" t="str">
        <f>IF(ROW(C1929)&lt;=Bidding!$D$11,Raw_hydro_bm!D1929,"")</f>
        <v/>
      </c>
      <c r="D1929" t="str">
        <f>IF(ROW(D1929)&lt;=Bidding!$D$11,Raw_hydro_bm!E1929,"")</f>
        <v/>
      </c>
      <c r="E1929" t="str">
        <f>IF(ROW(E1929)&lt;=Bidding!$D$11,Raw_hydro_bm!F1929,"")</f>
        <v/>
      </c>
      <c r="F1929" t="str">
        <f>IF(ROW(F1929)&lt;=Bidding!$D$11,Raw_hydro_bm!G1929,"")</f>
        <v/>
      </c>
      <c r="G1929" t="str">
        <f>IF(ROW(G1929)&lt;=Bidding!$D$11,Raw_hydro_bm!H1929,"")</f>
        <v/>
      </c>
      <c r="H1929" t="str">
        <f>IF(ROW(H1929)&lt;=Bidding!$D$11,Raw_hydro_bm!I1929,"")</f>
        <v/>
      </c>
      <c r="I1929" s="16" t="str">
        <f t="shared" si="30"/>
        <v/>
      </c>
    </row>
    <row r="1930" spans="1:9" x14ac:dyDescent="0.2">
      <c r="A1930" t="str">
        <f>IF(ROW(A1930)&lt;=Bidding!$D$11,Raw_hydro_bm!B1930,"")</f>
        <v/>
      </c>
      <c r="B1930" t="str">
        <f>IF(ROW(B1930)&lt;=Bidding!$D$11,Raw_hydro_bm!C1930,"")</f>
        <v/>
      </c>
      <c r="C1930" t="str">
        <f>IF(ROW(C1930)&lt;=Bidding!$D$11,Raw_hydro_bm!D1930,"")</f>
        <v/>
      </c>
      <c r="D1930" t="str">
        <f>IF(ROW(D1930)&lt;=Bidding!$D$11,Raw_hydro_bm!E1930,"")</f>
        <v/>
      </c>
      <c r="E1930" t="str">
        <f>IF(ROW(E1930)&lt;=Bidding!$D$11,Raw_hydro_bm!F1930,"")</f>
        <v/>
      </c>
      <c r="F1930" t="str">
        <f>IF(ROW(F1930)&lt;=Bidding!$D$11,Raw_hydro_bm!G1930,"")</f>
        <v/>
      </c>
      <c r="G1930" t="str">
        <f>IF(ROW(G1930)&lt;=Bidding!$D$11,Raw_hydro_bm!H1930,"")</f>
        <v/>
      </c>
      <c r="H1930" t="str">
        <f>IF(ROW(H1930)&lt;=Bidding!$D$11,Raw_hydro_bm!I1930,"")</f>
        <v/>
      </c>
      <c r="I1930" s="16" t="str">
        <f t="shared" si="30"/>
        <v/>
      </c>
    </row>
    <row r="1931" spans="1:9" x14ac:dyDescent="0.2">
      <c r="A1931" t="str">
        <f>IF(ROW(A1931)&lt;=Bidding!$D$11,Raw_hydro_bm!B1931,"")</f>
        <v/>
      </c>
      <c r="B1931" t="str">
        <f>IF(ROW(B1931)&lt;=Bidding!$D$11,Raw_hydro_bm!C1931,"")</f>
        <v/>
      </c>
      <c r="C1931" t="str">
        <f>IF(ROW(C1931)&lt;=Bidding!$D$11,Raw_hydro_bm!D1931,"")</f>
        <v/>
      </c>
      <c r="D1931" t="str">
        <f>IF(ROW(D1931)&lt;=Bidding!$D$11,Raw_hydro_bm!E1931,"")</f>
        <v/>
      </c>
      <c r="E1931" t="str">
        <f>IF(ROW(E1931)&lt;=Bidding!$D$11,Raw_hydro_bm!F1931,"")</f>
        <v/>
      </c>
      <c r="F1931" t="str">
        <f>IF(ROW(F1931)&lt;=Bidding!$D$11,Raw_hydro_bm!G1931,"")</f>
        <v/>
      </c>
      <c r="G1931" t="str">
        <f>IF(ROW(G1931)&lt;=Bidding!$D$11,Raw_hydro_bm!H1931,"")</f>
        <v/>
      </c>
      <c r="H1931" t="str">
        <f>IF(ROW(H1931)&lt;=Bidding!$D$11,Raw_hydro_bm!I1931,"")</f>
        <v/>
      </c>
      <c r="I1931" s="16" t="str">
        <f t="shared" si="30"/>
        <v/>
      </c>
    </row>
    <row r="1932" spans="1:9" x14ac:dyDescent="0.2">
      <c r="A1932" t="str">
        <f>IF(ROW(A1932)&lt;=Bidding!$D$11,Raw_hydro_bm!B1932,"")</f>
        <v/>
      </c>
      <c r="B1932" t="str">
        <f>IF(ROW(B1932)&lt;=Bidding!$D$11,Raw_hydro_bm!C1932,"")</f>
        <v/>
      </c>
      <c r="C1932" t="str">
        <f>IF(ROW(C1932)&lt;=Bidding!$D$11,Raw_hydro_bm!D1932,"")</f>
        <v/>
      </c>
      <c r="D1932" t="str">
        <f>IF(ROW(D1932)&lt;=Bidding!$D$11,Raw_hydro_bm!E1932,"")</f>
        <v/>
      </c>
      <c r="E1932" t="str">
        <f>IF(ROW(E1932)&lt;=Bidding!$D$11,Raw_hydro_bm!F1932,"")</f>
        <v/>
      </c>
      <c r="F1932" t="str">
        <f>IF(ROW(F1932)&lt;=Bidding!$D$11,Raw_hydro_bm!G1932,"")</f>
        <v/>
      </c>
      <c r="G1932" t="str">
        <f>IF(ROW(G1932)&lt;=Bidding!$D$11,Raw_hydro_bm!H1932,"")</f>
        <v/>
      </c>
      <c r="H1932" t="str">
        <f>IF(ROW(H1932)&lt;=Bidding!$D$11,Raw_hydro_bm!I1932,"")</f>
        <v/>
      </c>
      <c r="I1932" s="16" t="str">
        <f t="shared" si="30"/>
        <v/>
      </c>
    </row>
    <row r="1933" spans="1:9" x14ac:dyDescent="0.2">
      <c r="A1933" t="str">
        <f>IF(ROW(A1933)&lt;=Bidding!$D$11,Raw_hydro_bm!B1933,"")</f>
        <v/>
      </c>
      <c r="B1933" t="str">
        <f>IF(ROW(B1933)&lt;=Bidding!$D$11,Raw_hydro_bm!C1933,"")</f>
        <v/>
      </c>
      <c r="C1933" t="str">
        <f>IF(ROW(C1933)&lt;=Bidding!$D$11,Raw_hydro_bm!D1933,"")</f>
        <v/>
      </c>
      <c r="D1933" t="str">
        <f>IF(ROW(D1933)&lt;=Bidding!$D$11,Raw_hydro_bm!E1933,"")</f>
        <v/>
      </c>
      <c r="E1933" t="str">
        <f>IF(ROW(E1933)&lt;=Bidding!$D$11,Raw_hydro_bm!F1933,"")</f>
        <v/>
      </c>
      <c r="F1933" t="str">
        <f>IF(ROW(F1933)&lt;=Bidding!$D$11,Raw_hydro_bm!G1933,"")</f>
        <v/>
      </c>
      <c r="G1933" t="str">
        <f>IF(ROW(G1933)&lt;=Bidding!$D$11,Raw_hydro_bm!H1933,"")</f>
        <v/>
      </c>
      <c r="H1933" t="str">
        <f>IF(ROW(H1933)&lt;=Bidding!$D$11,Raw_hydro_bm!I1933,"")</f>
        <v/>
      </c>
      <c r="I1933" s="16" t="str">
        <f t="shared" si="30"/>
        <v/>
      </c>
    </row>
    <row r="1934" spans="1:9" x14ac:dyDescent="0.2">
      <c r="A1934" t="str">
        <f>IF(ROW(A1934)&lt;=Bidding!$D$11,Raw_hydro_bm!B1934,"")</f>
        <v/>
      </c>
      <c r="B1934" t="str">
        <f>IF(ROW(B1934)&lt;=Bidding!$D$11,Raw_hydro_bm!C1934,"")</f>
        <v/>
      </c>
      <c r="C1934" t="str">
        <f>IF(ROW(C1934)&lt;=Bidding!$D$11,Raw_hydro_bm!D1934,"")</f>
        <v/>
      </c>
      <c r="D1934" t="str">
        <f>IF(ROW(D1934)&lt;=Bidding!$D$11,Raw_hydro_bm!E1934,"")</f>
        <v/>
      </c>
      <c r="E1934" t="str">
        <f>IF(ROW(E1934)&lt;=Bidding!$D$11,Raw_hydro_bm!F1934,"")</f>
        <v/>
      </c>
      <c r="F1934" t="str">
        <f>IF(ROW(F1934)&lt;=Bidding!$D$11,Raw_hydro_bm!G1934,"")</f>
        <v/>
      </c>
      <c r="G1934" t="str">
        <f>IF(ROW(G1934)&lt;=Bidding!$D$11,Raw_hydro_bm!H1934,"")</f>
        <v/>
      </c>
      <c r="H1934" t="str">
        <f>IF(ROW(H1934)&lt;=Bidding!$D$11,Raw_hydro_bm!I1934,"")</f>
        <v/>
      </c>
      <c r="I1934" s="16" t="str">
        <f t="shared" si="30"/>
        <v/>
      </c>
    </row>
    <row r="1935" spans="1:9" x14ac:dyDescent="0.2">
      <c r="A1935" t="str">
        <f>IF(ROW(A1935)&lt;=Bidding!$D$11,Raw_hydro_bm!B1935,"")</f>
        <v/>
      </c>
      <c r="B1935" t="str">
        <f>IF(ROW(B1935)&lt;=Bidding!$D$11,Raw_hydro_bm!C1935,"")</f>
        <v/>
      </c>
      <c r="C1935" t="str">
        <f>IF(ROW(C1935)&lt;=Bidding!$D$11,Raw_hydro_bm!D1935,"")</f>
        <v/>
      </c>
      <c r="D1935" t="str">
        <f>IF(ROW(D1935)&lt;=Bidding!$D$11,Raw_hydro_bm!E1935,"")</f>
        <v/>
      </c>
      <c r="E1935" t="str">
        <f>IF(ROW(E1935)&lt;=Bidding!$D$11,Raw_hydro_bm!F1935,"")</f>
        <v/>
      </c>
      <c r="F1935" t="str">
        <f>IF(ROW(F1935)&lt;=Bidding!$D$11,Raw_hydro_bm!G1935,"")</f>
        <v/>
      </c>
      <c r="G1935" t="str">
        <f>IF(ROW(G1935)&lt;=Bidding!$D$11,Raw_hydro_bm!H1935,"")</f>
        <v/>
      </c>
      <c r="H1935" t="str">
        <f>IF(ROW(H1935)&lt;=Bidding!$D$11,Raw_hydro_bm!I1935,"")</f>
        <v/>
      </c>
      <c r="I1935" s="16" t="str">
        <f t="shared" si="30"/>
        <v/>
      </c>
    </row>
    <row r="1936" spans="1:9" x14ac:dyDescent="0.2">
      <c r="A1936" t="str">
        <f>IF(ROW(A1936)&lt;=Bidding!$D$11,Raw_hydro_bm!B1936,"")</f>
        <v/>
      </c>
      <c r="B1936" t="str">
        <f>IF(ROW(B1936)&lt;=Bidding!$D$11,Raw_hydro_bm!C1936,"")</f>
        <v/>
      </c>
      <c r="C1936" t="str">
        <f>IF(ROW(C1936)&lt;=Bidding!$D$11,Raw_hydro_bm!D1936,"")</f>
        <v/>
      </c>
      <c r="D1936" t="str">
        <f>IF(ROW(D1936)&lt;=Bidding!$D$11,Raw_hydro_bm!E1936,"")</f>
        <v/>
      </c>
      <c r="E1936" t="str">
        <f>IF(ROW(E1936)&lt;=Bidding!$D$11,Raw_hydro_bm!F1936,"")</f>
        <v/>
      </c>
      <c r="F1936" t="str">
        <f>IF(ROW(F1936)&lt;=Bidding!$D$11,Raw_hydro_bm!G1936,"")</f>
        <v/>
      </c>
      <c r="G1936" t="str">
        <f>IF(ROW(G1936)&lt;=Bidding!$D$11,Raw_hydro_bm!H1936,"")</f>
        <v/>
      </c>
      <c r="H1936" t="str">
        <f>IF(ROW(H1936)&lt;=Bidding!$D$11,Raw_hydro_bm!I1936,"")</f>
        <v/>
      </c>
      <c r="I1936" s="16" t="str">
        <f t="shared" si="30"/>
        <v/>
      </c>
    </row>
    <row r="1937" spans="1:9" x14ac:dyDescent="0.2">
      <c r="A1937" t="str">
        <f>IF(ROW(A1937)&lt;=Bidding!$D$11,Raw_hydro_bm!B1937,"")</f>
        <v/>
      </c>
      <c r="B1937" t="str">
        <f>IF(ROW(B1937)&lt;=Bidding!$D$11,Raw_hydro_bm!C1937,"")</f>
        <v/>
      </c>
      <c r="C1937" t="str">
        <f>IF(ROW(C1937)&lt;=Bidding!$D$11,Raw_hydro_bm!D1937,"")</f>
        <v/>
      </c>
      <c r="D1937" t="str">
        <f>IF(ROW(D1937)&lt;=Bidding!$D$11,Raw_hydro_bm!E1937,"")</f>
        <v/>
      </c>
      <c r="E1937" t="str">
        <f>IF(ROW(E1937)&lt;=Bidding!$D$11,Raw_hydro_bm!F1937,"")</f>
        <v/>
      </c>
      <c r="F1937" t="str">
        <f>IF(ROW(F1937)&lt;=Bidding!$D$11,Raw_hydro_bm!G1937,"")</f>
        <v/>
      </c>
      <c r="G1937" t="str">
        <f>IF(ROW(G1937)&lt;=Bidding!$D$11,Raw_hydro_bm!H1937,"")</f>
        <v/>
      </c>
      <c r="H1937" t="str">
        <f>IF(ROW(H1937)&lt;=Bidding!$D$11,Raw_hydro_bm!I1937,"")</f>
        <v/>
      </c>
      <c r="I1937" s="16" t="str">
        <f t="shared" si="30"/>
        <v/>
      </c>
    </row>
    <row r="1938" spans="1:9" x14ac:dyDescent="0.2">
      <c r="A1938" t="str">
        <f>IF(ROW(A1938)&lt;=Bidding!$D$11,Raw_hydro_bm!B1938,"")</f>
        <v/>
      </c>
      <c r="B1938" t="str">
        <f>IF(ROW(B1938)&lt;=Bidding!$D$11,Raw_hydro_bm!C1938,"")</f>
        <v/>
      </c>
      <c r="C1938" t="str">
        <f>IF(ROW(C1938)&lt;=Bidding!$D$11,Raw_hydro_bm!D1938,"")</f>
        <v/>
      </c>
      <c r="D1938" t="str">
        <f>IF(ROW(D1938)&lt;=Bidding!$D$11,Raw_hydro_bm!E1938,"")</f>
        <v/>
      </c>
      <c r="E1938" t="str">
        <f>IF(ROW(E1938)&lt;=Bidding!$D$11,Raw_hydro_bm!F1938,"")</f>
        <v/>
      </c>
      <c r="F1938" t="str">
        <f>IF(ROW(F1938)&lt;=Bidding!$D$11,Raw_hydro_bm!G1938,"")</f>
        <v/>
      </c>
      <c r="G1938" t="str">
        <f>IF(ROW(G1938)&lt;=Bidding!$D$11,Raw_hydro_bm!H1938,"")</f>
        <v/>
      </c>
      <c r="H1938" t="str">
        <f>IF(ROW(H1938)&lt;=Bidding!$D$11,Raw_hydro_bm!I1938,"")</f>
        <v/>
      </c>
      <c r="I1938" s="16" t="str">
        <f t="shared" si="30"/>
        <v/>
      </c>
    </row>
    <row r="1939" spans="1:9" x14ac:dyDescent="0.2">
      <c r="A1939" t="str">
        <f>IF(ROW(A1939)&lt;=Bidding!$D$11,Raw_hydro_bm!B1939,"")</f>
        <v/>
      </c>
      <c r="B1939" t="str">
        <f>IF(ROW(B1939)&lt;=Bidding!$D$11,Raw_hydro_bm!C1939,"")</f>
        <v/>
      </c>
      <c r="C1939" t="str">
        <f>IF(ROW(C1939)&lt;=Bidding!$D$11,Raw_hydro_bm!D1939,"")</f>
        <v/>
      </c>
      <c r="D1939" t="str">
        <f>IF(ROW(D1939)&lt;=Bidding!$D$11,Raw_hydro_bm!E1939,"")</f>
        <v/>
      </c>
      <c r="E1939" t="str">
        <f>IF(ROW(E1939)&lt;=Bidding!$D$11,Raw_hydro_bm!F1939,"")</f>
        <v/>
      </c>
      <c r="F1939" t="str">
        <f>IF(ROW(F1939)&lt;=Bidding!$D$11,Raw_hydro_bm!G1939,"")</f>
        <v/>
      </c>
      <c r="G1939" t="str">
        <f>IF(ROW(G1939)&lt;=Bidding!$D$11,Raw_hydro_bm!H1939,"")</f>
        <v/>
      </c>
      <c r="H1939" t="str">
        <f>IF(ROW(H1939)&lt;=Bidding!$D$11,Raw_hydro_bm!I1939,"")</f>
        <v/>
      </c>
      <c r="I1939" s="16" t="str">
        <f t="shared" si="30"/>
        <v/>
      </c>
    </row>
    <row r="1940" spans="1:9" x14ac:dyDescent="0.2">
      <c r="A1940" t="str">
        <f>IF(ROW(A1940)&lt;=Bidding!$D$11,Raw_hydro_bm!B1940,"")</f>
        <v/>
      </c>
      <c r="B1940" t="str">
        <f>IF(ROW(B1940)&lt;=Bidding!$D$11,Raw_hydro_bm!C1940,"")</f>
        <v/>
      </c>
      <c r="C1940" t="str">
        <f>IF(ROW(C1940)&lt;=Bidding!$D$11,Raw_hydro_bm!D1940,"")</f>
        <v/>
      </c>
      <c r="D1940" t="str">
        <f>IF(ROW(D1940)&lt;=Bidding!$D$11,Raw_hydro_bm!E1940,"")</f>
        <v/>
      </c>
      <c r="E1940" t="str">
        <f>IF(ROW(E1940)&lt;=Bidding!$D$11,Raw_hydro_bm!F1940,"")</f>
        <v/>
      </c>
      <c r="F1940" t="str">
        <f>IF(ROW(F1940)&lt;=Bidding!$D$11,Raw_hydro_bm!G1940,"")</f>
        <v/>
      </c>
      <c r="G1940" t="str">
        <f>IF(ROW(G1940)&lt;=Bidding!$D$11,Raw_hydro_bm!H1940,"")</f>
        <v/>
      </c>
      <c r="H1940" t="str">
        <f>IF(ROW(H1940)&lt;=Bidding!$D$11,Raw_hydro_bm!I1940,"")</f>
        <v/>
      </c>
      <c r="I1940" s="16" t="str">
        <f t="shared" si="30"/>
        <v/>
      </c>
    </row>
    <row r="1941" spans="1:9" x14ac:dyDescent="0.2">
      <c r="A1941" t="str">
        <f>IF(ROW(A1941)&lt;=Bidding!$D$11,Raw_hydro_bm!B1941,"")</f>
        <v/>
      </c>
      <c r="B1941" t="str">
        <f>IF(ROW(B1941)&lt;=Bidding!$D$11,Raw_hydro_bm!C1941,"")</f>
        <v/>
      </c>
      <c r="C1941" t="str">
        <f>IF(ROW(C1941)&lt;=Bidding!$D$11,Raw_hydro_bm!D1941,"")</f>
        <v/>
      </c>
      <c r="D1941" t="str">
        <f>IF(ROW(D1941)&lt;=Bidding!$D$11,Raw_hydro_bm!E1941,"")</f>
        <v/>
      </c>
      <c r="E1941" t="str">
        <f>IF(ROW(E1941)&lt;=Bidding!$D$11,Raw_hydro_bm!F1941,"")</f>
        <v/>
      </c>
      <c r="F1941" t="str">
        <f>IF(ROW(F1941)&lt;=Bidding!$D$11,Raw_hydro_bm!G1941,"")</f>
        <v/>
      </c>
      <c r="G1941" t="str">
        <f>IF(ROW(G1941)&lt;=Bidding!$D$11,Raw_hydro_bm!H1941,"")</f>
        <v/>
      </c>
      <c r="H1941" t="str">
        <f>IF(ROW(H1941)&lt;=Bidding!$D$11,Raw_hydro_bm!I1941,"")</f>
        <v/>
      </c>
      <c r="I1941" s="16" t="str">
        <f t="shared" si="30"/>
        <v/>
      </c>
    </row>
    <row r="1942" spans="1:9" x14ac:dyDescent="0.2">
      <c r="A1942" t="str">
        <f>IF(ROW(A1942)&lt;=Bidding!$D$11,Raw_hydro_bm!B1942,"")</f>
        <v/>
      </c>
      <c r="B1942" t="str">
        <f>IF(ROW(B1942)&lt;=Bidding!$D$11,Raw_hydro_bm!C1942,"")</f>
        <v/>
      </c>
      <c r="C1942" t="str">
        <f>IF(ROW(C1942)&lt;=Bidding!$D$11,Raw_hydro_bm!D1942,"")</f>
        <v/>
      </c>
      <c r="D1942" t="str">
        <f>IF(ROW(D1942)&lt;=Bidding!$D$11,Raw_hydro_bm!E1942,"")</f>
        <v/>
      </c>
      <c r="E1942" t="str">
        <f>IF(ROW(E1942)&lt;=Bidding!$D$11,Raw_hydro_bm!F1942,"")</f>
        <v/>
      </c>
      <c r="F1942" t="str">
        <f>IF(ROW(F1942)&lt;=Bidding!$D$11,Raw_hydro_bm!G1942,"")</f>
        <v/>
      </c>
      <c r="G1942" t="str">
        <f>IF(ROW(G1942)&lt;=Bidding!$D$11,Raw_hydro_bm!H1942,"")</f>
        <v/>
      </c>
      <c r="H1942" t="str">
        <f>IF(ROW(H1942)&lt;=Bidding!$D$11,Raw_hydro_bm!I1942,"")</f>
        <v/>
      </c>
      <c r="I1942" s="16" t="str">
        <f t="shared" si="30"/>
        <v/>
      </c>
    </row>
    <row r="1943" spans="1:9" x14ac:dyDescent="0.2">
      <c r="A1943" t="str">
        <f>IF(ROW(A1943)&lt;=Bidding!$D$11,Raw_hydro_bm!B1943,"")</f>
        <v/>
      </c>
      <c r="B1943" t="str">
        <f>IF(ROW(B1943)&lt;=Bidding!$D$11,Raw_hydro_bm!C1943,"")</f>
        <v/>
      </c>
      <c r="C1943" t="str">
        <f>IF(ROW(C1943)&lt;=Bidding!$D$11,Raw_hydro_bm!D1943,"")</f>
        <v/>
      </c>
      <c r="D1943" t="str">
        <f>IF(ROW(D1943)&lt;=Bidding!$D$11,Raw_hydro_bm!E1943,"")</f>
        <v/>
      </c>
      <c r="E1943" t="str">
        <f>IF(ROW(E1943)&lt;=Bidding!$D$11,Raw_hydro_bm!F1943,"")</f>
        <v/>
      </c>
      <c r="F1943" t="str">
        <f>IF(ROW(F1943)&lt;=Bidding!$D$11,Raw_hydro_bm!G1943,"")</f>
        <v/>
      </c>
      <c r="G1943" t="str">
        <f>IF(ROW(G1943)&lt;=Bidding!$D$11,Raw_hydro_bm!H1943,"")</f>
        <v/>
      </c>
      <c r="H1943" t="str">
        <f>IF(ROW(H1943)&lt;=Bidding!$D$11,Raw_hydro_bm!I1943,"")</f>
        <v/>
      </c>
      <c r="I1943" s="16" t="str">
        <f t="shared" si="30"/>
        <v/>
      </c>
    </row>
    <row r="1944" spans="1:9" x14ac:dyDescent="0.2">
      <c r="A1944" t="str">
        <f>IF(ROW(A1944)&lt;=Bidding!$D$11,Raw_hydro_bm!B1944,"")</f>
        <v/>
      </c>
      <c r="B1944" t="str">
        <f>IF(ROW(B1944)&lt;=Bidding!$D$11,Raw_hydro_bm!C1944,"")</f>
        <v/>
      </c>
      <c r="C1944" t="str">
        <f>IF(ROW(C1944)&lt;=Bidding!$D$11,Raw_hydro_bm!D1944,"")</f>
        <v/>
      </c>
      <c r="D1944" t="str">
        <f>IF(ROW(D1944)&lt;=Bidding!$D$11,Raw_hydro_bm!E1944,"")</f>
        <v/>
      </c>
      <c r="E1944" t="str">
        <f>IF(ROW(E1944)&lt;=Bidding!$D$11,Raw_hydro_bm!F1944,"")</f>
        <v/>
      </c>
      <c r="F1944" t="str">
        <f>IF(ROW(F1944)&lt;=Bidding!$D$11,Raw_hydro_bm!G1944,"")</f>
        <v/>
      </c>
      <c r="G1944" t="str">
        <f>IF(ROW(G1944)&lt;=Bidding!$D$11,Raw_hydro_bm!H1944,"")</f>
        <v/>
      </c>
      <c r="H1944" t="str">
        <f>IF(ROW(H1944)&lt;=Bidding!$D$11,Raw_hydro_bm!I1944,"")</f>
        <v/>
      </c>
      <c r="I1944" s="16" t="str">
        <f t="shared" si="30"/>
        <v/>
      </c>
    </row>
    <row r="1945" spans="1:9" x14ac:dyDescent="0.2">
      <c r="A1945" t="str">
        <f>IF(ROW(A1945)&lt;=Bidding!$D$11,Raw_hydro_bm!B1945,"")</f>
        <v/>
      </c>
      <c r="B1945" t="str">
        <f>IF(ROW(B1945)&lt;=Bidding!$D$11,Raw_hydro_bm!C1945,"")</f>
        <v/>
      </c>
      <c r="C1945" t="str">
        <f>IF(ROW(C1945)&lt;=Bidding!$D$11,Raw_hydro_bm!D1945,"")</f>
        <v/>
      </c>
      <c r="D1945" t="str">
        <f>IF(ROW(D1945)&lt;=Bidding!$D$11,Raw_hydro_bm!E1945,"")</f>
        <v/>
      </c>
      <c r="E1945" t="str">
        <f>IF(ROW(E1945)&lt;=Bidding!$D$11,Raw_hydro_bm!F1945,"")</f>
        <v/>
      </c>
      <c r="F1945" t="str">
        <f>IF(ROW(F1945)&lt;=Bidding!$D$11,Raw_hydro_bm!G1945,"")</f>
        <v/>
      </c>
      <c r="G1945" t="str">
        <f>IF(ROW(G1945)&lt;=Bidding!$D$11,Raw_hydro_bm!H1945,"")</f>
        <v/>
      </c>
      <c r="H1945" t="str">
        <f>IF(ROW(H1945)&lt;=Bidding!$D$11,Raw_hydro_bm!I1945,"")</f>
        <v/>
      </c>
      <c r="I1945" s="16" t="str">
        <f t="shared" si="30"/>
        <v/>
      </c>
    </row>
    <row r="1946" spans="1:9" x14ac:dyDescent="0.2">
      <c r="A1946" t="str">
        <f>IF(ROW(A1946)&lt;=Bidding!$D$11,Raw_hydro_bm!B1946,"")</f>
        <v/>
      </c>
      <c r="B1946" t="str">
        <f>IF(ROW(B1946)&lt;=Bidding!$D$11,Raw_hydro_bm!C1946,"")</f>
        <v/>
      </c>
      <c r="C1946" t="str">
        <f>IF(ROW(C1946)&lt;=Bidding!$D$11,Raw_hydro_bm!D1946,"")</f>
        <v/>
      </c>
      <c r="D1946" t="str">
        <f>IF(ROW(D1946)&lt;=Bidding!$D$11,Raw_hydro_bm!E1946,"")</f>
        <v/>
      </c>
      <c r="E1946" t="str">
        <f>IF(ROW(E1946)&lt;=Bidding!$D$11,Raw_hydro_bm!F1946,"")</f>
        <v/>
      </c>
      <c r="F1946" t="str">
        <f>IF(ROW(F1946)&lt;=Bidding!$D$11,Raw_hydro_bm!G1946,"")</f>
        <v/>
      </c>
      <c r="G1946" t="str">
        <f>IF(ROW(G1946)&lt;=Bidding!$D$11,Raw_hydro_bm!H1946,"")</f>
        <v/>
      </c>
      <c r="H1946" t="str">
        <f>IF(ROW(H1946)&lt;=Bidding!$D$11,Raw_hydro_bm!I1946,"")</f>
        <v/>
      </c>
      <c r="I1946" s="16" t="str">
        <f t="shared" si="30"/>
        <v/>
      </c>
    </row>
    <row r="1947" spans="1:9" x14ac:dyDescent="0.2">
      <c r="A1947" t="str">
        <f>IF(ROW(A1947)&lt;=Bidding!$D$11,Raw_hydro_bm!B1947,"")</f>
        <v/>
      </c>
      <c r="B1947" t="str">
        <f>IF(ROW(B1947)&lt;=Bidding!$D$11,Raw_hydro_bm!C1947,"")</f>
        <v/>
      </c>
      <c r="C1947" t="str">
        <f>IF(ROW(C1947)&lt;=Bidding!$D$11,Raw_hydro_bm!D1947,"")</f>
        <v/>
      </c>
      <c r="D1947" t="str">
        <f>IF(ROW(D1947)&lt;=Bidding!$D$11,Raw_hydro_bm!E1947,"")</f>
        <v/>
      </c>
      <c r="E1947" t="str">
        <f>IF(ROW(E1947)&lt;=Bidding!$D$11,Raw_hydro_bm!F1947,"")</f>
        <v/>
      </c>
      <c r="F1947" t="str">
        <f>IF(ROW(F1947)&lt;=Bidding!$D$11,Raw_hydro_bm!G1947,"")</f>
        <v/>
      </c>
      <c r="G1947" t="str">
        <f>IF(ROW(G1947)&lt;=Bidding!$D$11,Raw_hydro_bm!H1947,"")</f>
        <v/>
      </c>
      <c r="H1947" t="str">
        <f>IF(ROW(H1947)&lt;=Bidding!$D$11,Raw_hydro_bm!I1947,"")</f>
        <v/>
      </c>
      <c r="I1947" s="16" t="str">
        <f t="shared" si="30"/>
        <v/>
      </c>
    </row>
    <row r="1948" spans="1:9" x14ac:dyDescent="0.2">
      <c r="A1948" t="str">
        <f>IF(ROW(A1948)&lt;=Bidding!$D$11,Raw_hydro_bm!B1948,"")</f>
        <v/>
      </c>
      <c r="B1948" t="str">
        <f>IF(ROW(B1948)&lt;=Bidding!$D$11,Raw_hydro_bm!C1948,"")</f>
        <v/>
      </c>
      <c r="C1948" t="str">
        <f>IF(ROW(C1948)&lt;=Bidding!$D$11,Raw_hydro_bm!D1948,"")</f>
        <v/>
      </c>
      <c r="D1948" t="str">
        <f>IF(ROW(D1948)&lt;=Bidding!$D$11,Raw_hydro_bm!E1948,"")</f>
        <v/>
      </c>
      <c r="E1948" t="str">
        <f>IF(ROW(E1948)&lt;=Bidding!$D$11,Raw_hydro_bm!F1948,"")</f>
        <v/>
      </c>
      <c r="F1948" t="str">
        <f>IF(ROW(F1948)&lt;=Bidding!$D$11,Raw_hydro_bm!G1948,"")</f>
        <v/>
      </c>
      <c r="G1948" t="str">
        <f>IF(ROW(G1948)&lt;=Bidding!$D$11,Raw_hydro_bm!H1948,"")</f>
        <v/>
      </c>
      <c r="H1948" t="str">
        <f>IF(ROW(H1948)&lt;=Bidding!$D$11,Raw_hydro_bm!I1948,"")</f>
        <v/>
      </c>
      <c r="I1948" s="16" t="str">
        <f t="shared" si="30"/>
        <v/>
      </c>
    </row>
    <row r="1949" spans="1:9" x14ac:dyDescent="0.2">
      <c r="A1949" t="str">
        <f>IF(ROW(A1949)&lt;=Bidding!$D$11,Raw_hydro_bm!B1949,"")</f>
        <v/>
      </c>
      <c r="B1949" t="str">
        <f>IF(ROW(B1949)&lt;=Bidding!$D$11,Raw_hydro_bm!C1949,"")</f>
        <v/>
      </c>
      <c r="C1949" t="str">
        <f>IF(ROW(C1949)&lt;=Bidding!$D$11,Raw_hydro_bm!D1949,"")</f>
        <v/>
      </c>
      <c r="D1949" t="str">
        <f>IF(ROW(D1949)&lt;=Bidding!$D$11,Raw_hydro_bm!E1949,"")</f>
        <v/>
      </c>
      <c r="E1949" t="str">
        <f>IF(ROW(E1949)&lt;=Bidding!$D$11,Raw_hydro_bm!F1949,"")</f>
        <v/>
      </c>
      <c r="F1949" t="str">
        <f>IF(ROW(F1949)&lt;=Bidding!$D$11,Raw_hydro_bm!G1949,"")</f>
        <v/>
      </c>
      <c r="G1949" t="str">
        <f>IF(ROW(G1949)&lt;=Bidding!$D$11,Raw_hydro_bm!H1949,"")</f>
        <v/>
      </c>
      <c r="H1949" t="str">
        <f>IF(ROW(H1949)&lt;=Bidding!$D$11,Raw_hydro_bm!I1949,"")</f>
        <v/>
      </c>
      <c r="I1949" s="16" t="str">
        <f t="shared" si="30"/>
        <v/>
      </c>
    </row>
    <row r="1950" spans="1:9" x14ac:dyDescent="0.2">
      <c r="A1950" t="str">
        <f>IF(ROW(A1950)&lt;=Bidding!$D$11,Raw_hydro_bm!B1950,"")</f>
        <v/>
      </c>
      <c r="B1950" t="str">
        <f>IF(ROW(B1950)&lt;=Bidding!$D$11,Raw_hydro_bm!C1950,"")</f>
        <v/>
      </c>
      <c r="C1950" t="str">
        <f>IF(ROW(C1950)&lt;=Bidding!$D$11,Raw_hydro_bm!D1950,"")</f>
        <v/>
      </c>
      <c r="D1950" t="str">
        <f>IF(ROW(D1950)&lt;=Bidding!$D$11,Raw_hydro_bm!E1950,"")</f>
        <v/>
      </c>
      <c r="E1950" t="str">
        <f>IF(ROW(E1950)&lt;=Bidding!$D$11,Raw_hydro_bm!F1950,"")</f>
        <v/>
      </c>
      <c r="F1950" t="str">
        <f>IF(ROW(F1950)&lt;=Bidding!$D$11,Raw_hydro_bm!G1950,"")</f>
        <v/>
      </c>
      <c r="G1950" t="str">
        <f>IF(ROW(G1950)&lt;=Bidding!$D$11,Raw_hydro_bm!H1950,"")</f>
        <v/>
      </c>
      <c r="H1950" t="str">
        <f>IF(ROW(H1950)&lt;=Bidding!$D$11,Raw_hydro_bm!I1950,"")</f>
        <v/>
      </c>
      <c r="I1950" s="16" t="str">
        <f t="shared" si="30"/>
        <v/>
      </c>
    </row>
    <row r="1951" spans="1:9" x14ac:dyDescent="0.2">
      <c r="A1951" t="str">
        <f>IF(ROW(A1951)&lt;=Bidding!$D$11,Raw_hydro_bm!B1951,"")</f>
        <v/>
      </c>
      <c r="B1951" t="str">
        <f>IF(ROW(B1951)&lt;=Bidding!$D$11,Raw_hydro_bm!C1951,"")</f>
        <v/>
      </c>
      <c r="C1951" t="str">
        <f>IF(ROW(C1951)&lt;=Bidding!$D$11,Raw_hydro_bm!D1951,"")</f>
        <v/>
      </c>
      <c r="D1951" t="str">
        <f>IF(ROW(D1951)&lt;=Bidding!$D$11,Raw_hydro_bm!E1951,"")</f>
        <v/>
      </c>
      <c r="E1951" t="str">
        <f>IF(ROW(E1951)&lt;=Bidding!$D$11,Raw_hydro_bm!F1951,"")</f>
        <v/>
      </c>
      <c r="F1951" t="str">
        <f>IF(ROW(F1951)&lt;=Bidding!$D$11,Raw_hydro_bm!G1951,"")</f>
        <v/>
      </c>
      <c r="G1951" t="str">
        <f>IF(ROW(G1951)&lt;=Bidding!$D$11,Raw_hydro_bm!H1951,"")</f>
        <v/>
      </c>
      <c r="H1951" t="str">
        <f>IF(ROW(H1951)&lt;=Bidding!$D$11,Raw_hydro_bm!I1951,"")</f>
        <v/>
      </c>
      <c r="I1951" s="16" t="str">
        <f t="shared" si="30"/>
        <v/>
      </c>
    </row>
    <row r="1952" spans="1:9" x14ac:dyDescent="0.2">
      <c r="A1952" t="str">
        <f>IF(ROW(A1952)&lt;=Bidding!$D$11,Raw_hydro_bm!B1952,"")</f>
        <v/>
      </c>
      <c r="B1952" t="str">
        <f>IF(ROW(B1952)&lt;=Bidding!$D$11,Raw_hydro_bm!C1952,"")</f>
        <v/>
      </c>
      <c r="C1952" t="str">
        <f>IF(ROW(C1952)&lt;=Bidding!$D$11,Raw_hydro_bm!D1952,"")</f>
        <v/>
      </c>
      <c r="D1952" t="str">
        <f>IF(ROW(D1952)&lt;=Bidding!$D$11,Raw_hydro_bm!E1952,"")</f>
        <v/>
      </c>
      <c r="E1952" t="str">
        <f>IF(ROW(E1952)&lt;=Bidding!$D$11,Raw_hydro_bm!F1952,"")</f>
        <v/>
      </c>
      <c r="F1952" t="str">
        <f>IF(ROW(F1952)&lt;=Bidding!$D$11,Raw_hydro_bm!G1952,"")</f>
        <v/>
      </c>
      <c r="G1952" t="str">
        <f>IF(ROW(G1952)&lt;=Bidding!$D$11,Raw_hydro_bm!H1952,"")</f>
        <v/>
      </c>
      <c r="H1952" t="str">
        <f>IF(ROW(H1952)&lt;=Bidding!$D$11,Raw_hydro_bm!I1952,"")</f>
        <v/>
      </c>
      <c r="I1952" s="16" t="str">
        <f t="shared" si="30"/>
        <v/>
      </c>
    </row>
    <row r="1953" spans="1:9" x14ac:dyDescent="0.2">
      <c r="A1953" t="str">
        <f>IF(ROW(A1953)&lt;=Bidding!$D$11,Raw_hydro_bm!B1953,"")</f>
        <v/>
      </c>
      <c r="B1953" t="str">
        <f>IF(ROW(B1953)&lt;=Bidding!$D$11,Raw_hydro_bm!C1953,"")</f>
        <v/>
      </c>
      <c r="C1953" t="str">
        <f>IF(ROW(C1953)&lt;=Bidding!$D$11,Raw_hydro_bm!D1953,"")</f>
        <v/>
      </c>
      <c r="D1953" t="str">
        <f>IF(ROW(D1953)&lt;=Bidding!$D$11,Raw_hydro_bm!E1953,"")</f>
        <v/>
      </c>
      <c r="E1953" t="str">
        <f>IF(ROW(E1953)&lt;=Bidding!$D$11,Raw_hydro_bm!F1953,"")</f>
        <v/>
      </c>
      <c r="F1953" t="str">
        <f>IF(ROW(F1953)&lt;=Bidding!$D$11,Raw_hydro_bm!G1953,"")</f>
        <v/>
      </c>
      <c r="G1953" t="str">
        <f>IF(ROW(G1953)&lt;=Bidding!$D$11,Raw_hydro_bm!H1953,"")</f>
        <v/>
      </c>
      <c r="H1953" t="str">
        <f>IF(ROW(H1953)&lt;=Bidding!$D$11,Raw_hydro_bm!I1953,"")</f>
        <v/>
      </c>
      <c r="I1953" s="16" t="str">
        <f t="shared" si="30"/>
        <v/>
      </c>
    </row>
    <row r="1954" spans="1:9" x14ac:dyDescent="0.2">
      <c r="A1954" t="str">
        <f>IF(ROW(A1954)&lt;=Bidding!$D$11,Raw_hydro_bm!B1954,"")</f>
        <v/>
      </c>
      <c r="B1954" t="str">
        <f>IF(ROW(B1954)&lt;=Bidding!$D$11,Raw_hydro_bm!C1954,"")</f>
        <v/>
      </c>
      <c r="C1954" t="str">
        <f>IF(ROW(C1954)&lt;=Bidding!$D$11,Raw_hydro_bm!D1954,"")</f>
        <v/>
      </c>
      <c r="D1954" t="str">
        <f>IF(ROW(D1954)&lt;=Bidding!$D$11,Raw_hydro_bm!E1954,"")</f>
        <v/>
      </c>
      <c r="E1954" t="str">
        <f>IF(ROW(E1954)&lt;=Bidding!$D$11,Raw_hydro_bm!F1954,"")</f>
        <v/>
      </c>
      <c r="F1954" t="str">
        <f>IF(ROW(F1954)&lt;=Bidding!$D$11,Raw_hydro_bm!G1954,"")</f>
        <v/>
      </c>
      <c r="G1954" t="str">
        <f>IF(ROW(G1954)&lt;=Bidding!$D$11,Raw_hydro_bm!H1954,"")</f>
        <v/>
      </c>
      <c r="H1954" t="str">
        <f>IF(ROW(H1954)&lt;=Bidding!$D$11,Raw_hydro_bm!I1954,"")</f>
        <v/>
      </c>
      <c r="I1954" s="16" t="str">
        <f t="shared" si="30"/>
        <v/>
      </c>
    </row>
    <row r="1955" spans="1:9" x14ac:dyDescent="0.2">
      <c r="A1955" t="str">
        <f>IF(ROW(A1955)&lt;=Bidding!$D$11,Raw_hydro_bm!B1955,"")</f>
        <v/>
      </c>
      <c r="B1955" t="str">
        <f>IF(ROW(B1955)&lt;=Bidding!$D$11,Raw_hydro_bm!C1955,"")</f>
        <v/>
      </c>
      <c r="C1955" t="str">
        <f>IF(ROW(C1955)&lt;=Bidding!$D$11,Raw_hydro_bm!D1955,"")</f>
        <v/>
      </c>
      <c r="D1955" t="str">
        <f>IF(ROW(D1955)&lt;=Bidding!$D$11,Raw_hydro_bm!E1955,"")</f>
        <v/>
      </c>
      <c r="E1955" t="str">
        <f>IF(ROW(E1955)&lt;=Bidding!$D$11,Raw_hydro_bm!F1955,"")</f>
        <v/>
      </c>
      <c r="F1955" t="str">
        <f>IF(ROW(F1955)&lt;=Bidding!$D$11,Raw_hydro_bm!G1955,"")</f>
        <v/>
      </c>
      <c r="G1955" t="str">
        <f>IF(ROW(G1955)&lt;=Bidding!$D$11,Raw_hydro_bm!H1955,"")</f>
        <v/>
      </c>
      <c r="H1955" t="str">
        <f>IF(ROW(H1955)&lt;=Bidding!$D$11,Raw_hydro_bm!I1955,"")</f>
        <v/>
      </c>
      <c r="I1955" s="16" t="str">
        <f t="shared" si="30"/>
        <v/>
      </c>
    </row>
    <row r="1956" spans="1:9" x14ac:dyDescent="0.2">
      <c r="A1956" t="str">
        <f>IF(ROW(A1956)&lt;=Bidding!$D$11,Raw_hydro_bm!B1956,"")</f>
        <v/>
      </c>
      <c r="B1956" t="str">
        <f>IF(ROW(B1956)&lt;=Bidding!$D$11,Raw_hydro_bm!C1956,"")</f>
        <v/>
      </c>
      <c r="C1956" t="str">
        <f>IF(ROW(C1956)&lt;=Bidding!$D$11,Raw_hydro_bm!D1956,"")</f>
        <v/>
      </c>
      <c r="D1956" t="str">
        <f>IF(ROW(D1956)&lt;=Bidding!$D$11,Raw_hydro_bm!E1956,"")</f>
        <v/>
      </c>
      <c r="E1956" t="str">
        <f>IF(ROW(E1956)&lt;=Bidding!$D$11,Raw_hydro_bm!F1956,"")</f>
        <v/>
      </c>
      <c r="F1956" t="str">
        <f>IF(ROW(F1956)&lt;=Bidding!$D$11,Raw_hydro_bm!G1956,"")</f>
        <v/>
      </c>
      <c r="G1956" t="str">
        <f>IF(ROW(G1956)&lt;=Bidding!$D$11,Raw_hydro_bm!H1956,"")</f>
        <v/>
      </c>
      <c r="H1956" t="str">
        <f>IF(ROW(H1956)&lt;=Bidding!$D$11,Raw_hydro_bm!I1956,"")</f>
        <v/>
      </c>
      <c r="I1956" s="16" t="str">
        <f t="shared" si="30"/>
        <v/>
      </c>
    </row>
    <row r="1957" spans="1:9" x14ac:dyDescent="0.2">
      <c r="A1957" t="str">
        <f>IF(ROW(A1957)&lt;=Bidding!$D$11,Raw_hydro_bm!B1957,"")</f>
        <v/>
      </c>
      <c r="B1957" t="str">
        <f>IF(ROW(B1957)&lt;=Bidding!$D$11,Raw_hydro_bm!C1957,"")</f>
        <v/>
      </c>
      <c r="C1957" t="str">
        <f>IF(ROW(C1957)&lt;=Bidding!$D$11,Raw_hydro_bm!D1957,"")</f>
        <v/>
      </c>
      <c r="D1957" t="str">
        <f>IF(ROW(D1957)&lt;=Bidding!$D$11,Raw_hydro_bm!E1957,"")</f>
        <v/>
      </c>
      <c r="E1957" t="str">
        <f>IF(ROW(E1957)&lt;=Bidding!$D$11,Raw_hydro_bm!F1957,"")</f>
        <v/>
      </c>
      <c r="F1957" t="str">
        <f>IF(ROW(F1957)&lt;=Bidding!$D$11,Raw_hydro_bm!G1957,"")</f>
        <v/>
      </c>
      <c r="G1957" t="str">
        <f>IF(ROW(G1957)&lt;=Bidding!$D$11,Raw_hydro_bm!H1957,"")</f>
        <v/>
      </c>
      <c r="H1957" t="str">
        <f>IF(ROW(H1957)&lt;=Bidding!$D$11,Raw_hydro_bm!I1957,"")</f>
        <v/>
      </c>
      <c r="I1957" s="16" t="str">
        <f t="shared" si="30"/>
        <v/>
      </c>
    </row>
    <row r="1958" spans="1:9" x14ac:dyDescent="0.2">
      <c r="A1958" t="str">
        <f>IF(ROW(A1958)&lt;=Bidding!$D$11,Raw_hydro_bm!B1958,"")</f>
        <v/>
      </c>
      <c r="B1958" t="str">
        <f>IF(ROW(B1958)&lt;=Bidding!$D$11,Raw_hydro_bm!C1958,"")</f>
        <v/>
      </c>
      <c r="C1958" t="str">
        <f>IF(ROW(C1958)&lt;=Bidding!$D$11,Raw_hydro_bm!D1958,"")</f>
        <v/>
      </c>
      <c r="D1958" t="str">
        <f>IF(ROW(D1958)&lt;=Bidding!$D$11,Raw_hydro_bm!E1958,"")</f>
        <v/>
      </c>
      <c r="E1958" t="str">
        <f>IF(ROW(E1958)&lt;=Bidding!$D$11,Raw_hydro_bm!F1958,"")</f>
        <v/>
      </c>
      <c r="F1958" t="str">
        <f>IF(ROW(F1958)&lt;=Bidding!$D$11,Raw_hydro_bm!G1958,"")</f>
        <v/>
      </c>
      <c r="G1958" t="str">
        <f>IF(ROW(G1958)&lt;=Bidding!$D$11,Raw_hydro_bm!H1958,"")</f>
        <v/>
      </c>
      <c r="H1958" t="str">
        <f>IF(ROW(H1958)&lt;=Bidding!$D$11,Raw_hydro_bm!I1958,"")</f>
        <v/>
      </c>
      <c r="I1958" s="16" t="str">
        <f t="shared" si="30"/>
        <v/>
      </c>
    </row>
    <row r="1959" spans="1:9" x14ac:dyDescent="0.2">
      <c r="A1959" t="str">
        <f>IF(ROW(A1959)&lt;=Bidding!$D$11,Raw_hydro_bm!B1959,"")</f>
        <v/>
      </c>
      <c r="B1959" t="str">
        <f>IF(ROW(B1959)&lt;=Bidding!$D$11,Raw_hydro_bm!C1959,"")</f>
        <v/>
      </c>
      <c r="C1959" t="str">
        <f>IF(ROW(C1959)&lt;=Bidding!$D$11,Raw_hydro_bm!D1959,"")</f>
        <v/>
      </c>
      <c r="D1959" t="str">
        <f>IF(ROW(D1959)&lt;=Bidding!$D$11,Raw_hydro_bm!E1959,"")</f>
        <v/>
      </c>
      <c r="E1959" t="str">
        <f>IF(ROW(E1959)&lt;=Bidding!$D$11,Raw_hydro_bm!F1959,"")</f>
        <v/>
      </c>
      <c r="F1959" t="str">
        <f>IF(ROW(F1959)&lt;=Bidding!$D$11,Raw_hydro_bm!G1959,"")</f>
        <v/>
      </c>
      <c r="G1959" t="str">
        <f>IF(ROW(G1959)&lt;=Bidding!$D$11,Raw_hydro_bm!H1959,"")</f>
        <v/>
      </c>
      <c r="H1959" t="str">
        <f>IF(ROW(H1959)&lt;=Bidding!$D$11,Raw_hydro_bm!I1959,"")</f>
        <v/>
      </c>
      <c r="I1959" s="16" t="str">
        <f t="shared" si="30"/>
        <v/>
      </c>
    </row>
    <row r="1960" spans="1:9" x14ac:dyDescent="0.2">
      <c r="A1960" t="str">
        <f>IF(ROW(A1960)&lt;=Bidding!$D$11,Raw_hydro_bm!B1960,"")</f>
        <v/>
      </c>
      <c r="B1960" t="str">
        <f>IF(ROW(B1960)&lt;=Bidding!$D$11,Raw_hydro_bm!C1960,"")</f>
        <v/>
      </c>
      <c r="C1960" t="str">
        <f>IF(ROW(C1960)&lt;=Bidding!$D$11,Raw_hydro_bm!D1960,"")</f>
        <v/>
      </c>
      <c r="D1960" t="str">
        <f>IF(ROW(D1960)&lt;=Bidding!$D$11,Raw_hydro_bm!E1960,"")</f>
        <v/>
      </c>
      <c r="E1960" t="str">
        <f>IF(ROW(E1960)&lt;=Bidding!$D$11,Raw_hydro_bm!F1960,"")</f>
        <v/>
      </c>
      <c r="F1960" t="str">
        <f>IF(ROW(F1960)&lt;=Bidding!$D$11,Raw_hydro_bm!G1960,"")</f>
        <v/>
      </c>
      <c r="G1960" t="str">
        <f>IF(ROW(G1960)&lt;=Bidding!$D$11,Raw_hydro_bm!H1960,"")</f>
        <v/>
      </c>
      <c r="H1960" t="str">
        <f>IF(ROW(H1960)&lt;=Bidding!$D$11,Raw_hydro_bm!I1960,"")</f>
        <v/>
      </c>
      <c r="I1960" s="16" t="str">
        <f t="shared" si="30"/>
        <v/>
      </c>
    </row>
    <row r="1961" spans="1:9" x14ac:dyDescent="0.2">
      <c r="A1961" t="str">
        <f>IF(ROW(A1961)&lt;=Bidding!$D$11,Raw_hydro_bm!B1961,"")</f>
        <v/>
      </c>
      <c r="B1961" t="str">
        <f>IF(ROW(B1961)&lt;=Bidding!$D$11,Raw_hydro_bm!C1961,"")</f>
        <v/>
      </c>
      <c r="C1961" t="str">
        <f>IF(ROW(C1961)&lt;=Bidding!$D$11,Raw_hydro_bm!D1961,"")</f>
        <v/>
      </c>
      <c r="D1961" t="str">
        <f>IF(ROW(D1961)&lt;=Bidding!$D$11,Raw_hydro_bm!E1961,"")</f>
        <v/>
      </c>
      <c r="E1961" t="str">
        <f>IF(ROW(E1961)&lt;=Bidding!$D$11,Raw_hydro_bm!F1961,"")</f>
        <v/>
      </c>
      <c r="F1961" t="str">
        <f>IF(ROW(F1961)&lt;=Bidding!$D$11,Raw_hydro_bm!G1961,"")</f>
        <v/>
      </c>
      <c r="G1961" t="str">
        <f>IF(ROW(G1961)&lt;=Bidding!$D$11,Raw_hydro_bm!H1961,"")</f>
        <v/>
      </c>
      <c r="H1961" t="str">
        <f>IF(ROW(H1961)&lt;=Bidding!$D$11,Raw_hydro_bm!I1961,"")</f>
        <v/>
      </c>
      <c r="I1961" s="16" t="str">
        <f t="shared" si="30"/>
        <v/>
      </c>
    </row>
    <row r="1962" spans="1:9" x14ac:dyDescent="0.2">
      <c r="A1962" t="str">
        <f>IF(ROW(A1962)&lt;=Bidding!$D$11,Raw_hydro_bm!B1962,"")</f>
        <v/>
      </c>
      <c r="B1962" t="str">
        <f>IF(ROW(B1962)&lt;=Bidding!$D$11,Raw_hydro_bm!C1962,"")</f>
        <v/>
      </c>
      <c r="C1962" t="str">
        <f>IF(ROW(C1962)&lt;=Bidding!$D$11,Raw_hydro_bm!D1962,"")</f>
        <v/>
      </c>
      <c r="D1962" t="str">
        <f>IF(ROW(D1962)&lt;=Bidding!$D$11,Raw_hydro_bm!E1962,"")</f>
        <v/>
      </c>
      <c r="E1962" t="str">
        <f>IF(ROW(E1962)&lt;=Bidding!$D$11,Raw_hydro_bm!F1962,"")</f>
        <v/>
      </c>
      <c r="F1962" t="str">
        <f>IF(ROW(F1962)&lt;=Bidding!$D$11,Raw_hydro_bm!G1962,"")</f>
        <v/>
      </c>
      <c r="G1962" t="str">
        <f>IF(ROW(G1962)&lt;=Bidding!$D$11,Raw_hydro_bm!H1962,"")</f>
        <v/>
      </c>
      <c r="H1962" t="str">
        <f>IF(ROW(H1962)&lt;=Bidding!$D$11,Raw_hydro_bm!I1962,"")</f>
        <v/>
      </c>
      <c r="I1962" s="16" t="str">
        <f t="shared" si="30"/>
        <v/>
      </c>
    </row>
    <row r="1963" spans="1:9" x14ac:dyDescent="0.2">
      <c r="A1963" t="str">
        <f>IF(ROW(A1963)&lt;=Bidding!$D$11,Raw_hydro_bm!B1963,"")</f>
        <v/>
      </c>
      <c r="B1963" t="str">
        <f>IF(ROW(B1963)&lt;=Bidding!$D$11,Raw_hydro_bm!C1963,"")</f>
        <v/>
      </c>
      <c r="C1963" t="str">
        <f>IF(ROW(C1963)&lt;=Bidding!$D$11,Raw_hydro_bm!D1963,"")</f>
        <v/>
      </c>
      <c r="D1963" t="str">
        <f>IF(ROW(D1963)&lt;=Bidding!$D$11,Raw_hydro_bm!E1963,"")</f>
        <v/>
      </c>
      <c r="E1963" t="str">
        <f>IF(ROW(E1963)&lt;=Bidding!$D$11,Raw_hydro_bm!F1963,"")</f>
        <v/>
      </c>
      <c r="F1963" t="str">
        <f>IF(ROW(F1963)&lt;=Bidding!$D$11,Raw_hydro_bm!G1963,"")</f>
        <v/>
      </c>
      <c r="G1963" t="str">
        <f>IF(ROW(G1963)&lt;=Bidding!$D$11,Raw_hydro_bm!H1963,"")</f>
        <v/>
      </c>
      <c r="H1963" t="str">
        <f>IF(ROW(H1963)&lt;=Bidding!$D$11,Raw_hydro_bm!I1963,"")</f>
        <v/>
      </c>
      <c r="I1963" s="16" t="str">
        <f t="shared" si="30"/>
        <v/>
      </c>
    </row>
    <row r="1964" spans="1:9" x14ac:dyDescent="0.2">
      <c r="A1964" t="str">
        <f>IF(ROW(A1964)&lt;=Bidding!$D$11,Raw_hydro_bm!B1964,"")</f>
        <v/>
      </c>
      <c r="B1964" t="str">
        <f>IF(ROW(B1964)&lt;=Bidding!$D$11,Raw_hydro_bm!C1964,"")</f>
        <v/>
      </c>
      <c r="C1964" t="str">
        <f>IF(ROW(C1964)&lt;=Bidding!$D$11,Raw_hydro_bm!D1964,"")</f>
        <v/>
      </c>
      <c r="D1964" t="str">
        <f>IF(ROW(D1964)&lt;=Bidding!$D$11,Raw_hydro_bm!E1964,"")</f>
        <v/>
      </c>
      <c r="E1964" t="str">
        <f>IF(ROW(E1964)&lt;=Bidding!$D$11,Raw_hydro_bm!F1964,"")</f>
        <v/>
      </c>
      <c r="F1964" t="str">
        <f>IF(ROW(F1964)&lt;=Bidding!$D$11,Raw_hydro_bm!G1964,"")</f>
        <v/>
      </c>
      <c r="G1964" t="str">
        <f>IF(ROW(G1964)&lt;=Bidding!$D$11,Raw_hydro_bm!H1964,"")</f>
        <v/>
      </c>
      <c r="H1964" t="str">
        <f>IF(ROW(H1964)&lt;=Bidding!$D$11,Raw_hydro_bm!I1964,"")</f>
        <v/>
      </c>
      <c r="I1964" s="16" t="str">
        <f t="shared" si="30"/>
        <v/>
      </c>
    </row>
    <row r="1965" spans="1:9" x14ac:dyDescent="0.2">
      <c r="A1965" t="str">
        <f>IF(ROW(A1965)&lt;=Bidding!$D$11,Raw_hydro_bm!B1965,"")</f>
        <v/>
      </c>
      <c r="B1965" t="str">
        <f>IF(ROW(B1965)&lt;=Bidding!$D$11,Raw_hydro_bm!C1965,"")</f>
        <v/>
      </c>
      <c r="C1965" t="str">
        <f>IF(ROW(C1965)&lt;=Bidding!$D$11,Raw_hydro_bm!D1965,"")</f>
        <v/>
      </c>
      <c r="D1965" t="str">
        <f>IF(ROW(D1965)&lt;=Bidding!$D$11,Raw_hydro_bm!E1965,"")</f>
        <v/>
      </c>
      <c r="E1965" t="str">
        <f>IF(ROW(E1965)&lt;=Bidding!$D$11,Raw_hydro_bm!F1965,"")</f>
        <v/>
      </c>
      <c r="F1965" t="str">
        <f>IF(ROW(F1965)&lt;=Bidding!$D$11,Raw_hydro_bm!G1965,"")</f>
        <v/>
      </c>
      <c r="G1965" t="str">
        <f>IF(ROW(G1965)&lt;=Bidding!$D$11,Raw_hydro_bm!H1965,"")</f>
        <v/>
      </c>
      <c r="H1965" t="str">
        <f>IF(ROW(H1965)&lt;=Bidding!$D$11,Raw_hydro_bm!I1965,"")</f>
        <v/>
      </c>
      <c r="I1965" s="16" t="str">
        <f t="shared" si="30"/>
        <v/>
      </c>
    </row>
    <row r="1966" spans="1:9" x14ac:dyDescent="0.2">
      <c r="A1966" t="str">
        <f>IF(ROW(A1966)&lt;=Bidding!$D$11,Raw_hydro_bm!B1966,"")</f>
        <v/>
      </c>
      <c r="B1966" t="str">
        <f>IF(ROW(B1966)&lt;=Bidding!$D$11,Raw_hydro_bm!C1966,"")</f>
        <v/>
      </c>
      <c r="C1966" t="str">
        <f>IF(ROW(C1966)&lt;=Bidding!$D$11,Raw_hydro_bm!D1966,"")</f>
        <v/>
      </c>
      <c r="D1966" t="str">
        <f>IF(ROW(D1966)&lt;=Bidding!$D$11,Raw_hydro_bm!E1966,"")</f>
        <v/>
      </c>
      <c r="E1966" t="str">
        <f>IF(ROW(E1966)&lt;=Bidding!$D$11,Raw_hydro_bm!F1966,"")</f>
        <v/>
      </c>
      <c r="F1966" t="str">
        <f>IF(ROW(F1966)&lt;=Bidding!$D$11,Raw_hydro_bm!G1966,"")</f>
        <v/>
      </c>
      <c r="G1966" t="str">
        <f>IF(ROW(G1966)&lt;=Bidding!$D$11,Raw_hydro_bm!H1966,"")</f>
        <v/>
      </c>
      <c r="H1966" t="str">
        <f>IF(ROW(H1966)&lt;=Bidding!$D$11,Raw_hydro_bm!I1966,"")</f>
        <v/>
      </c>
      <c r="I1966" s="16" t="str">
        <f t="shared" si="30"/>
        <v/>
      </c>
    </row>
    <row r="1967" spans="1:9" x14ac:dyDescent="0.2">
      <c r="A1967" t="str">
        <f>IF(ROW(A1967)&lt;=Bidding!$D$11,Raw_hydro_bm!B1967,"")</f>
        <v/>
      </c>
      <c r="B1967" t="str">
        <f>IF(ROW(B1967)&lt;=Bidding!$D$11,Raw_hydro_bm!C1967,"")</f>
        <v/>
      </c>
      <c r="C1967" t="str">
        <f>IF(ROW(C1967)&lt;=Bidding!$D$11,Raw_hydro_bm!D1967,"")</f>
        <v/>
      </c>
      <c r="D1967" t="str">
        <f>IF(ROW(D1967)&lt;=Bidding!$D$11,Raw_hydro_bm!E1967,"")</f>
        <v/>
      </c>
      <c r="E1967" t="str">
        <f>IF(ROW(E1967)&lt;=Bidding!$D$11,Raw_hydro_bm!F1967,"")</f>
        <v/>
      </c>
      <c r="F1967" t="str">
        <f>IF(ROW(F1967)&lt;=Bidding!$D$11,Raw_hydro_bm!G1967,"")</f>
        <v/>
      </c>
      <c r="G1967" t="str">
        <f>IF(ROW(G1967)&lt;=Bidding!$D$11,Raw_hydro_bm!H1967,"")</f>
        <v/>
      </c>
      <c r="H1967" t="str">
        <f>IF(ROW(H1967)&lt;=Bidding!$D$11,Raw_hydro_bm!I1967,"")</f>
        <v/>
      </c>
      <c r="I1967" s="16" t="str">
        <f t="shared" si="30"/>
        <v/>
      </c>
    </row>
    <row r="1968" spans="1:9" x14ac:dyDescent="0.2">
      <c r="A1968" t="str">
        <f>IF(ROW(A1968)&lt;=Bidding!$D$11,Raw_hydro_bm!B1968,"")</f>
        <v/>
      </c>
      <c r="B1968" t="str">
        <f>IF(ROW(B1968)&lt;=Bidding!$D$11,Raw_hydro_bm!C1968,"")</f>
        <v/>
      </c>
      <c r="C1968" t="str">
        <f>IF(ROW(C1968)&lt;=Bidding!$D$11,Raw_hydro_bm!D1968,"")</f>
        <v/>
      </c>
      <c r="D1968" t="str">
        <f>IF(ROW(D1968)&lt;=Bidding!$D$11,Raw_hydro_bm!E1968,"")</f>
        <v/>
      </c>
      <c r="E1968" t="str">
        <f>IF(ROW(E1968)&lt;=Bidding!$D$11,Raw_hydro_bm!F1968,"")</f>
        <v/>
      </c>
      <c r="F1968" t="str">
        <f>IF(ROW(F1968)&lt;=Bidding!$D$11,Raw_hydro_bm!G1968,"")</f>
        <v/>
      </c>
      <c r="G1968" t="str">
        <f>IF(ROW(G1968)&lt;=Bidding!$D$11,Raw_hydro_bm!H1968,"")</f>
        <v/>
      </c>
      <c r="H1968" t="str">
        <f>IF(ROW(H1968)&lt;=Bidding!$D$11,Raw_hydro_bm!I1968,"")</f>
        <v/>
      </c>
      <c r="I1968" s="16" t="str">
        <f t="shared" si="30"/>
        <v/>
      </c>
    </row>
    <row r="1969" spans="1:9" x14ac:dyDescent="0.2">
      <c r="A1969" t="str">
        <f>IF(ROW(A1969)&lt;=Bidding!$D$11,Raw_hydro_bm!B1969,"")</f>
        <v/>
      </c>
      <c r="B1969" t="str">
        <f>IF(ROW(B1969)&lt;=Bidding!$D$11,Raw_hydro_bm!C1969,"")</f>
        <v/>
      </c>
      <c r="C1969" t="str">
        <f>IF(ROW(C1969)&lt;=Bidding!$D$11,Raw_hydro_bm!D1969,"")</f>
        <v/>
      </c>
      <c r="D1969" t="str">
        <f>IF(ROW(D1969)&lt;=Bidding!$D$11,Raw_hydro_bm!E1969,"")</f>
        <v/>
      </c>
      <c r="E1969" t="str">
        <f>IF(ROW(E1969)&lt;=Bidding!$D$11,Raw_hydro_bm!F1969,"")</f>
        <v/>
      </c>
      <c r="F1969" t="str">
        <f>IF(ROW(F1969)&lt;=Bidding!$D$11,Raw_hydro_bm!G1969,"")</f>
        <v/>
      </c>
      <c r="G1969" t="str">
        <f>IF(ROW(G1969)&lt;=Bidding!$D$11,Raw_hydro_bm!H1969,"")</f>
        <v/>
      </c>
      <c r="H1969" t="str">
        <f>IF(ROW(H1969)&lt;=Bidding!$D$11,Raw_hydro_bm!I1969,"")</f>
        <v/>
      </c>
      <c r="I1969" s="16" t="str">
        <f t="shared" si="30"/>
        <v/>
      </c>
    </row>
    <row r="1970" spans="1:9" x14ac:dyDescent="0.2">
      <c r="A1970" t="str">
        <f>IF(ROW(A1970)&lt;=Bidding!$D$11,Raw_hydro_bm!B1970,"")</f>
        <v/>
      </c>
      <c r="B1970" t="str">
        <f>IF(ROW(B1970)&lt;=Bidding!$D$11,Raw_hydro_bm!C1970,"")</f>
        <v/>
      </c>
      <c r="C1970" t="str">
        <f>IF(ROW(C1970)&lt;=Bidding!$D$11,Raw_hydro_bm!D1970,"")</f>
        <v/>
      </c>
      <c r="D1970" t="str">
        <f>IF(ROW(D1970)&lt;=Bidding!$D$11,Raw_hydro_bm!E1970,"")</f>
        <v/>
      </c>
      <c r="E1970" t="str">
        <f>IF(ROW(E1970)&lt;=Bidding!$D$11,Raw_hydro_bm!F1970,"")</f>
        <v/>
      </c>
      <c r="F1970" t="str">
        <f>IF(ROW(F1970)&lt;=Bidding!$D$11,Raw_hydro_bm!G1970,"")</f>
        <v/>
      </c>
      <c r="G1970" t="str">
        <f>IF(ROW(G1970)&lt;=Bidding!$D$11,Raw_hydro_bm!H1970,"")</f>
        <v/>
      </c>
      <c r="H1970" t="str">
        <f>IF(ROW(H1970)&lt;=Bidding!$D$11,Raw_hydro_bm!I1970,"")</f>
        <v/>
      </c>
      <c r="I1970" s="16" t="str">
        <f t="shared" si="30"/>
        <v/>
      </c>
    </row>
    <row r="1971" spans="1:9" x14ac:dyDescent="0.2">
      <c r="A1971" t="str">
        <f>IF(ROW(A1971)&lt;=Bidding!$D$11,Raw_hydro_bm!B1971,"")</f>
        <v/>
      </c>
      <c r="B1971" t="str">
        <f>IF(ROW(B1971)&lt;=Bidding!$D$11,Raw_hydro_bm!C1971,"")</f>
        <v/>
      </c>
      <c r="C1971" t="str">
        <f>IF(ROW(C1971)&lt;=Bidding!$D$11,Raw_hydro_bm!D1971,"")</f>
        <v/>
      </c>
      <c r="D1971" t="str">
        <f>IF(ROW(D1971)&lt;=Bidding!$D$11,Raw_hydro_bm!E1971,"")</f>
        <v/>
      </c>
      <c r="E1971" t="str">
        <f>IF(ROW(E1971)&lt;=Bidding!$D$11,Raw_hydro_bm!F1971,"")</f>
        <v/>
      </c>
      <c r="F1971" t="str">
        <f>IF(ROW(F1971)&lt;=Bidding!$D$11,Raw_hydro_bm!G1971,"")</f>
        <v/>
      </c>
      <c r="G1971" t="str">
        <f>IF(ROW(G1971)&lt;=Bidding!$D$11,Raw_hydro_bm!H1971,"")</f>
        <v/>
      </c>
      <c r="H1971" t="str">
        <f>IF(ROW(H1971)&lt;=Bidding!$D$11,Raw_hydro_bm!I1971,"")</f>
        <v/>
      </c>
      <c r="I1971" s="16" t="str">
        <f t="shared" si="30"/>
        <v/>
      </c>
    </row>
    <row r="1972" spans="1:9" x14ac:dyDescent="0.2">
      <c r="A1972" t="str">
        <f>IF(ROW(A1972)&lt;=Bidding!$D$11,Raw_hydro_bm!B1972,"")</f>
        <v/>
      </c>
      <c r="B1972" t="str">
        <f>IF(ROW(B1972)&lt;=Bidding!$D$11,Raw_hydro_bm!C1972,"")</f>
        <v/>
      </c>
      <c r="C1972" t="str">
        <f>IF(ROW(C1972)&lt;=Bidding!$D$11,Raw_hydro_bm!D1972,"")</f>
        <v/>
      </c>
      <c r="D1972" t="str">
        <f>IF(ROW(D1972)&lt;=Bidding!$D$11,Raw_hydro_bm!E1972,"")</f>
        <v/>
      </c>
      <c r="E1972" t="str">
        <f>IF(ROW(E1972)&lt;=Bidding!$D$11,Raw_hydro_bm!F1972,"")</f>
        <v/>
      </c>
      <c r="F1972" t="str">
        <f>IF(ROW(F1972)&lt;=Bidding!$D$11,Raw_hydro_bm!G1972,"")</f>
        <v/>
      </c>
      <c r="G1972" t="str">
        <f>IF(ROW(G1972)&lt;=Bidding!$D$11,Raw_hydro_bm!H1972,"")</f>
        <v/>
      </c>
      <c r="H1972" t="str">
        <f>IF(ROW(H1972)&lt;=Bidding!$D$11,Raw_hydro_bm!I1972,"")</f>
        <v/>
      </c>
      <c r="I1972" s="16" t="str">
        <f t="shared" si="30"/>
        <v/>
      </c>
    </row>
    <row r="1973" spans="1:9" x14ac:dyDescent="0.2">
      <c r="A1973" t="str">
        <f>IF(ROW(A1973)&lt;=Bidding!$D$11,Raw_hydro_bm!B1973,"")</f>
        <v/>
      </c>
      <c r="B1973" t="str">
        <f>IF(ROW(B1973)&lt;=Bidding!$D$11,Raw_hydro_bm!C1973,"")</f>
        <v/>
      </c>
      <c r="C1973" t="str">
        <f>IF(ROW(C1973)&lt;=Bidding!$D$11,Raw_hydro_bm!D1973,"")</f>
        <v/>
      </c>
      <c r="D1973" t="str">
        <f>IF(ROW(D1973)&lt;=Bidding!$D$11,Raw_hydro_bm!E1973,"")</f>
        <v/>
      </c>
      <c r="E1973" t="str">
        <f>IF(ROW(E1973)&lt;=Bidding!$D$11,Raw_hydro_bm!F1973,"")</f>
        <v/>
      </c>
      <c r="F1973" t="str">
        <f>IF(ROW(F1973)&lt;=Bidding!$D$11,Raw_hydro_bm!G1973,"")</f>
        <v/>
      </c>
      <c r="G1973" t="str">
        <f>IF(ROW(G1973)&lt;=Bidding!$D$11,Raw_hydro_bm!H1973,"")</f>
        <v/>
      </c>
      <c r="H1973" t="str">
        <f>IF(ROW(H1973)&lt;=Bidding!$D$11,Raw_hydro_bm!I1973,"")</f>
        <v/>
      </c>
      <c r="I1973" s="16" t="str">
        <f t="shared" si="30"/>
        <v/>
      </c>
    </row>
    <row r="1974" spans="1:9" x14ac:dyDescent="0.2">
      <c r="A1974" t="str">
        <f>IF(ROW(A1974)&lt;=Bidding!$D$11,Raw_hydro_bm!B1974,"")</f>
        <v/>
      </c>
      <c r="B1974" t="str">
        <f>IF(ROW(B1974)&lt;=Bidding!$D$11,Raw_hydro_bm!C1974,"")</f>
        <v/>
      </c>
      <c r="C1974" t="str">
        <f>IF(ROW(C1974)&lt;=Bidding!$D$11,Raw_hydro_bm!D1974,"")</f>
        <v/>
      </c>
      <c r="D1974" t="str">
        <f>IF(ROW(D1974)&lt;=Bidding!$D$11,Raw_hydro_bm!E1974,"")</f>
        <v/>
      </c>
      <c r="E1974" t="str">
        <f>IF(ROW(E1974)&lt;=Bidding!$D$11,Raw_hydro_bm!F1974,"")</f>
        <v/>
      </c>
      <c r="F1974" t="str">
        <f>IF(ROW(F1974)&lt;=Bidding!$D$11,Raw_hydro_bm!G1974,"")</f>
        <v/>
      </c>
      <c r="G1974" t="str">
        <f>IF(ROW(G1974)&lt;=Bidding!$D$11,Raw_hydro_bm!H1974,"")</f>
        <v/>
      </c>
      <c r="H1974" t="str">
        <f>IF(ROW(H1974)&lt;=Bidding!$D$11,Raw_hydro_bm!I1974,"")</f>
        <v/>
      </c>
      <c r="I1974" s="16" t="str">
        <f t="shared" si="30"/>
        <v/>
      </c>
    </row>
    <row r="1975" spans="1:9" x14ac:dyDescent="0.2">
      <c r="A1975" t="str">
        <f>IF(ROW(A1975)&lt;=Bidding!$D$11,Raw_hydro_bm!B1975,"")</f>
        <v/>
      </c>
      <c r="B1975" t="str">
        <f>IF(ROW(B1975)&lt;=Bidding!$D$11,Raw_hydro_bm!C1975,"")</f>
        <v/>
      </c>
      <c r="C1975" t="str">
        <f>IF(ROW(C1975)&lt;=Bidding!$D$11,Raw_hydro_bm!D1975,"")</f>
        <v/>
      </c>
      <c r="D1975" t="str">
        <f>IF(ROW(D1975)&lt;=Bidding!$D$11,Raw_hydro_bm!E1975,"")</f>
        <v/>
      </c>
      <c r="E1975" t="str">
        <f>IF(ROW(E1975)&lt;=Bidding!$D$11,Raw_hydro_bm!F1975,"")</f>
        <v/>
      </c>
      <c r="F1975" t="str">
        <f>IF(ROW(F1975)&lt;=Bidding!$D$11,Raw_hydro_bm!G1975,"")</f>
        <v/>
      </c>
      <c r="G1975" t="str">
        <f>IF(ROW(G1975)&lt;=Bidding!$D$11,Raw_hydro_bm!H1975,"")</f>
        <v/>
      </c>
      <c r="H1975" t="str">
        <f>IF(ROW(H1975)&lt;=Bidding!$D$11,Raw_hydro_bm!I1975,"")</f>
        <v/>
      </c>
      <c r="I1975" s="16" t="str">
        <f t="shared" si="30"/>
        <v/>
      </c>
    </row>
    <row r="1976" spans="1:9" x14ac:dyDescent="0.2">
      <c r="A1976" t="str">
        <f>IF(ROW(A1976)&lt;=Bidding!$D$11,Raw_hydro_bm!B1976,"")</f>
        <v/>
      </c>
      <c r="B1976" t="str">
        <f>IF(ROW(B1976)&lt;=Bidding!$D$11,Raw_hydro_bm!C1976,"")</f>
        <v/>
      </c>
      <c r="C1976" t="str">
        <f>IF(ROW(C1976)&lt;=Bidding!$D$11,Raw_hydro_bm!D1976,"")</f>
        <v/>
      </c>
      <c r="D1976" t="str">
        <f>IF(ROW(D1976)&lt;=Bidding!$D$11,Raw_hydro_bm!E1976,"")</f>
        <v/>
      </c>
      <c r="E1976" t="str">
        <f>IF(ROW(E1976)&lt;=Bidding!$D$11,Raw_hydro_bm!F1976,"")</f>
        <v/>
      </c>
      <c r="F1976" t="str">
        <f>IF(ROW(F1976)&lt;=Bidding!$D$11,Raw_hydro_bm!G1976,"")</f>
        <v/>
      </c>
      <c r="G1976" t="str">
        <f>IF(ROW(G1976)&lt;=Bidding!$D$11,Raw_hydro_bm!H1976,"")</f>
        <v/>
      </c>
      <c r="H1976" t="str">
        <f>IF(ROW(H1976)&lt;=Bidding!$D$11,Raw_hydro_bm!I1976,"")</f>
        <v/>
      </c>
      <c r="I1976" s="16" t="str">
        <f t="shared" si="30"/>
        <v/>
      </c>
    </row>
    <row r="1977" spans="1:9" x14ac:dyDescent="0.2">
      <c r="A1977" t="str">
        <f>IF(ROW(A1977)&lt;=Bidding!$D$11,Raw_hydro_bm!B1977,"")</f>
        <v/>
      </c>
      <c r="B1977" t="str">
        <f>IF(ROW(B1977)&lt;=Bidding!$D$11,Raw_hydro_bm!C1977,"")</f>
        <v/>
      </c>
      <c r="C1977" t="str">
        <f>IF(ROW(C1977)&lt;=Bidding!$D$11,Raw_hydro_bm!D1977,"")</f>
        <v/>
      </c>
      <c r="D1977" t="str">
        <f>IF(ROW(D1977)&lt;=Bidding!$D$11,Raw_hydro_bm!E1977,"")</f>
        <v/>
      </c>
      <c r="E1977" t="str">
        <f>IF(ROW(E1977)&lt;=Bidding!$D$11,Raw_hydro_bm!F1977,"")</f>
        <v/>
      </c>
      <c r="F1977" t="str">
        <f>IF(ROW(F1977)&lt;=Bidding!$D$11,Raw_hydro_bm!G1977,"")</f>
        <v/>
      </c>
      <c r="G1977" t="str">
        <f>IF(ROW(G1977)&lt;=Bidding!$D$11,Raw_hydro_bm!H1977,"")</f>
        <v/>
      </c>
      <c r="H1977" t="str">
        <f>IF(ROW(H1977)&lt;=Bidding!$D$11,Raw_hydro_bm!I1977,"")</f>
        <v/>
      </c>
      <c r="I1977" s="16" t="str">
        <f t="shared" si="30"/>
        <v/>
      </c>
    </row>
    <row r="1978" spans="1:9" x14ac:dyDescent="0.2">
      <c r="A1978" t="str">
        <f>IF(ROW(A1978)&lt;=Bidding!$D$11,Raw_hydro_bm!B1978,"")</f>
        <v/>
      </c>
      <c r="B1978" t="str">
        <f>IF(ROW(B1978)&lt;=Bidding!$D$11,Raw_hydro_bm!C1978,"")</f>
        <v/>
      </c>
      <c r="C1978" t="str">
        <f>IF(ROW(C1978)&lt;=Bidding!$D$11,Raw_hydro_bm!D1978,"")</f>
        <v/>
      </c>
      <c r="D1978" t="str">
        <f>IF(ROW(D1978)&lt;=Bidding!$D$11,Raw_hydro_bm!E1978,"")</f>
        <v/>
      </c>
      <c r="E1978" t="str">
        <f>IF(ROW(E1978)&lt;=Bidding!$D$11,Raw_hydro_bm!F1978,"")</f>
        <v/>
      </c>
      <c r="F1978" t="str">
        <f>IF(ROW(F1978)&lt;=Bidding!$D$11,Raw_hydro_bm!G1978,"")</f>
        <v/>
      </c>
      <c r="G1978" t="str">
        <f>IF(ROW(G1978)&lt;=Bidding!$D$11,Raw_hydro_bm!H1978,"")</f>
        <v/>
      </c>
      <c r="H1978" t="str">
        <f>IF(ROW(H1978)&lt;=Bidding!$D$11,Raw_hydro_bm!I1978,"")</f>
        <v/>
      </c>
      <c r="I1978" s="16" t="str">
        <f t="shared" si="30"/>
        <v/>
      </c>
    </row>
    <row r="1979" spans="1:9" x14ac:dyDescent="0.2">
      <c r="A1979" t="str">
        <f>IF(ROW(A1979)&lt;=Bidding!$D$11,Raw_hydro_bm!B1979,"")</f>
        <v/>
      </c>
      <c r="B1979" t="str">
        <f>IF(ROW(B1979)&lt;=Bidding!$D$11,Raw_hydro_bm!C1979,"")</f>
        <v/>
      </c>
      <c r="C1979" t="str">
        <f>IF(ROW(C1979)&lt;=Bidding!$D$11,Raw_hydro_bm!D1979,"")</f>
        <v/>
      </c>
      <c r="D1979" t="str">
        <f>IF(ROW(D1979)&lt;=Bidding!$D$11,Raw_hydro_bm!E1979,"")</f>
        <v/>
      </c>
      <c r="E1979" t="str">
        <f>IF(ROW(E1979)&lt;=Bidding!$D$11,Raw_hydro_bm!F1979,"")</f>
        <v/>
      </c>
      <c r="F1979" t="str">
        <f>IF(ROW(F1979)&lt;=Bidding!$D$11,Raw_hydro_bm!G1979,"")</f>
        <v/>
      </c>
      <c r="G1979" t="str">
        <f>IF(ROW(G1979)&lt;=Bidding!$D$11,Raw_hydro_bm!H1979,"")</f>
        <v/>
      </c>
      <c r="H1979" t="str">
        <f>IF(ROW(H1979)&lt;=Bidding!$D$11,Raw_hydro_bm!I1979,"")</f>
        <v/>
      </c>
      <c r="I1979" s="16" t="str">
        <f t="shared" si="30"/>
        <v/>
      </c>
    </row>
    <row r="1980" spans="1:9" x14ac:dyDescent="0.2">
      <c r="A1980" t="str">
        <f>IF(ROW(A1980)&lt;=Bidding!$D$11,Raw_hydro_bm!B1980,"")</f>
        <v/>
      </c>
      <c r="B1980" t="str">
        <f>IF(ROW(B1980)&lt;=Bidding!$D$11,Raw_hydro_bm!C1980,"")</f>
        <v/>
      </c>
      <c r="C1980" t="str">
        <f>IF(ROW(C1980)&lt;=Bidding!$D$11,Raw_hydro_bm!D1980,"")</f>
        <v/>
      </c>
      <c r="D1980" t="str">
        <f>IF(ROW(D1980)&lt;=Bidding!$D$11,Raw_hydro_bm!E1980,"")</f>
        <v/>
      </c>
      <c r="E1980" t="str">
        <f>IF(ROW(E1980)&lt;=Bidding!$D$11,Raw_hydro_bm!F1980,"")</f>
        <v/>
      </c>
      <c r="F1980" t="str">
        <f>IF(ROW(F1980)&lt;=Bidding!$D$11,Raw_hydro_bm!G1980,"")</f>
        <v/>
      </c>
      <c r="G1980" t="str">
        <f>IF(ROW(G1980)&lt;=Bidding!$D$11,Raw_hydro_bm!H1980,"")</f>
        <v/>
      </c>
      <c r="H1980" t="str">
        <f>IF(ROW(H1980)&lt;=Bidding!$D$11,Raw_hydro_bm!I1980,"")</f>
        <v/>
      </c>
      <c r="I1980" s="16" t="str">
        <f t="shared" si="30"/>
        <v/>
      </c>
    </row>
    <row r="1981" spans="1:9" x14ac:dyDescent="0.2">
      <c r="A1981" t="str">
        <f>IF(ROW(A1981)&lt;=Bidding!$D$11,Raw_hydro_bm!B1981,"")</f>
        <v/>
      </c>
      <c r="B1981" t="str">
        <f>IF(ROW(B1981)&lt;=Bidding!$D$11,Raw_hydro_bm!C1981,"")</f>
        <v/>
      </c>
      <c r="C1981" t="str">
        <f>IF(ROW(C1981)&lt;=Bidding!$D$11,Raw_hydro_bm!D1981,"")</f>
        <v/>
      </c>
      <c r="D1981" t="str">
        <f>IF(ROW(D1981)&lt;=Bidding!$D$11,Raw_hydro_bm!E1981,"")</f>
        <v/>
      </c>
      <c r="E1981" t="str">
        <f>IF(ROW(E1981)&lt;=Bidding!$D$11,Raw_hydro_bm!F1981,"")</f>
        <v/>
      </c>
      <c r="F1981" t="str">
        <f>IF(ROW(F1981)&lt;=Bidding!$D$11,Raw_hydro_bm!G1981,"")</f>
        <v/>
      </c>
      <c r="G1981" t="str">
        <f>IF(ROW(G1981)&lt;=Bidding!$D$11,Raw_hydro_bm!H1981,"")</f>
        <v/>
      </c>
      <c r="H1981" t="str">
        <f>IF(ROW(H1981)&lt;=Bidding!$D$11,Raw_hydro_bm!I1981,"")</f>
        <v/>
      </c>
      <c r="I1981" s="16" t="str">
        <f t="shared" si="30"/>
        <v/>
      </c>
    </row>
    <row r="1982" spans="1:9" x14ac:dyDescent="0.2">
      <c r="A1982" t="str">
        <f>IF(ROW(A1982)&lt;=Bidding!$D$11,Raw_hydro_bm!B1982,"")</f>
        <v/>
      </c>
      <c r="B1982" t="str">
        <f>IF(ROW(B1982)&lt;=Bidding!$D$11,Raw_hydro_bm!C1982,"")</f>
        <v/>
      </c>
      <c r="C1982" t="str">
        <f>IF(ROW(C1982)&lt;=Bidding!$D$11,Raw_hydro_bm!D1982,"")</f>
        <v/>
      </c>
      <c r="D1982" t="str">
        <f>IF(ROW(D1982)&lt;=Bidding!$D$11,Raw_hydro_bm!E1982,"")</f>
        <v/>
      </c>
      <c r="E1982" t="str">
        <f>IF(ROW(E1982)&lt;=Bidding!$D$11,Raw_hydro_bm!F1982,"")</f>
        <v/>
      </c>
      <c r="F1982" t="str">
        <f>IF(ROW(F1982)&lt;=Bidding!$D$11,Raw_hydro_bm!G1982,"")</f>
        <v/>
      </c>
      <c r="G1982" t="str">
        <f>IF(ROW(G1982)&lt;=Bidding!$D$11,Raw_hydro_bm!H1982,"")</f>
        <v/>
      </c>
      <c r="H1982" t="str">
        <f>IF(ROW(H1982)&lt;=Bidding!$D$11,Raw_hydro_bm!I1982,"")</f>
        <v/>
      </c>
      <c r="I1982" s="16" t="str">
        <f t="shared" si="30"/>
        <v/>
      </c>
    </row>
    <row r="1983" spans="1:9" x14ac:dyDescent="0.2">
      <c r="A1983" t="str">
        <f>IF(ROW(A1983)&lt;=Bidding!$D$11,Raw_hydro_bm!B1983,"")</f>
        <v/>
      </c>
      <c r="B1983" t="str">
        <f>IF(ROW(B1983)&lt;=Bidding!$D$11,Raw_hydro_bm!C1983,"")</f>
        <v/>
      </c>
      <c r="C1983" t="str">
        <f>IF(ROW(C1983)&lt;=Bidding!$D$11,Raw_hydro_bm!D1983,"")</f>
        <v/>
      </c>
      <c r="D1983" t="str">
        <f>IF(ROW(D1983)&lt;=Bidding!$D$11,Raw_hydro_bm!E1983,"")</f>
        <v/>
      </c>
      <c r="E1983" t="str">
        <f>IF(ROW(E1983)&lt;=Bidding!$D$11,Raw_hydro_bm!F1983,"")</f>
        <v/>
      </c>
      <c r="F1983" t="str">
        <f>IF(ROW(F1983)&lt;=Bidding!$D$11,Raw_hydro_bm!G1983,"")</f>
        <v/>
      </c>
      <c r="G1983" t="str">
        <f>IF(ROW(G1983)&lt;=Bidding!$D$11,Raw_hydro_bm!H1983,"")</f>
        <v/>
      </c>
      <c r="H1983" t="str">
        <f>IF(ROW(H1983)&lt;=Bidding!$D$11,Raw_hydro_bm!I1983,"")</f>
        <v/>
      </c>
      <c r="I1983" s="16" t="str">
        <f t="shared" si="30"/>
        <v/>
      </c>
    </row>
    <row r="1984" spans="1:9" x14ac:dyDescent="0.2">
      <c r="A1984" t="str">
        <f>IF(ROW(A1984)&lt;=Bidding!$D$11,Raw_hydro_bm!B1984,"")</f>
        <v/>
      </c>
      <c r="B1984" t="str">
        <f>IF(ROW(B1984)&lt;=Bidding!$D$11,Raw_hydro_bm!C1984,"")</f>
        <v/>
      </c>
      <c r="C1984" t="str">
        <f>IF(ROW(C1984)&lt;=Bidding!$D$11,Raw_hydro_bm!D1984,"")</f>
        <v/>
      </c>
      <c r="D1984" t="str">
        <f>IF(ROW(D1984)&lt;=Bidding!$D$11,Raw_hydro_bm!E1984,"")</f>
        <v/>
      </c>
      <c r="E1984" t="str">
        <f>IF(ROW(E1984)&lt;=Bidding!$D$11,Raw_hydro_bm!F1984,"")</f>
        <v/>
      </c>
      <c r="F1984" t="str">
        <f>IF(ROW(F1984)&lt;=Bidding!$D$11,Raw_hydro_bm!G1984,"")</f>
        <v/>
      </c>
      <c r="G1984" t="str">
        <f>IF(ROW(G1984)&lt;=Bidding!$D$11,Raw_hydro_bm!H1984,"")</f>
        <v/>
      </c>
      <c r="H1984" t="str">
        <f>IF(ROW(H1984)&lt;=Bidding!$D$11,Raw_hydro_bm!I1984,"")</f>
        <v/>
      </c>
      <c r="I1984" s="16" t="str">
        <f t="shared" si="30"/>
        <v/>
      </c>
    </row>
    <row r="1985" spans="1:9" x14ac:dyDescent="0.2">
      <c r="A1985" t="str">
        <f>IF(ROW(A1985)&lt;=Bidding!$D$11,Raw_hydro_bm!B1985,"")</f>
        <v/>
      </c>
      <c r="B1985" t="str">
        <f>IF(ROW(B1985)&lt;=Bidding!$D$11,Raw_hydro_bm!C1985,"")</f>
        <v/>
      </c>
      <c r="C1985" t="str">
        <f>IF(ROW(C1985)&lt;=Bidding!$D$11,Raw_hydro_bm!D1985,"")</f>
        <v/>
      </c>
      <c r="D1985" t="str">
        <f>IF(ROW(D1985)&lt;=Bidding!$D$11,Raw_hydro_bm!E1985,"")</f>
        <v/>
      </c>
      <c r="E1985" t="str">
        <f>IF(ROW(E1985)&lt;=Bidding!$D$11,Raw_hydro_bm!F1985,"")</f>
        <v/>
      </c>
      <c r="F1985" t="str">
        <f>IF(ROW(F1985)&lt;=Bidding!$D$11,Raw_hydro_bm!G1985,"")</f>
        <v/>
      </c>
      <c r="G1985" t="str">
        <f>IF(ROW(G1985)&lt;=Bidding!$D$11,Raw_hydro_bm!H1985,"")</f>
        <v/>
      </c>
      <c r="H1985" t="str">
        <f>IF(ROW(H1985)&lt;=Bidding!$D$11,Raw_hydro_bm!I1985,"")</f>
        <v/>
      </c>
      <c r="I1985" s="16" t="str">
        <f t="shared" si="30"/>
        <v/>
      </c>
    </row>
    <row r="1986" spans="1:9" x14ac:dyDescent="0.2">
      <c r="A1986" t="str">
        <f>IF(ROW(A1986)&lt;=Bidding!$D$11,Raw_hydro_bm!B1986,"")</f>
        <v/>
      </c>
      <c r="B1986" t="str">
        <f>IF(ROW(B1986)&lt;=Bidding!$D$11,Raw_hydro_bm!C1986,"")</f>
        <v/>
      </c>
      <c r="C1986" t="str">
        <f>IF(ROW(C1986)&lt;=Bidding!$D$11,Raw_hydro_bm!D1986,"")</f>
        <v/>
      </c>
      <c r="D1986" t="str">
        <f>IF(ROW(D1986)&lt;=Bidding!$D$11,Raw_hydro_bm!E1986,"")</f>
        <v/>
      </c>
      <c r="E1986" t="str">
        <f>IF(ROW(E1986)&lt;=Bidding!$D$11,Raw_hydro_bm!F1986,"")</f>
        <v/>
      </c>
      <c r="F1986" t="str">
        <f>IF(ROW(F1986)&lt;=Bidding!$D$11,Raw_hydro_bm!G1986,"")</f>
        <v/>
      </c>
      <c r="G1986" t="str">
        <f>IF(ROW(G1986)&lt;=Bidding!$D$11,Raw_hydro_bm!H1986,"")</f>
        <v/>
      </c>
      <c r="H1986" t="str">
        <f>IF(ROW(H1986)&lt;=Bidding!$D$11,Raw_hydro_bm!I1986,"")</f>
        <v/>
      </c>
      <c r="I1986" s="16" t="str">
        <f t="shared" ref="I1986:I2049" si="31">IF(IFERROR(FIND("e",H1986),-1)&lt;0,IFERROR(_xlfn.NUMBERVALUE(LEFT(H1986,FIND(".",H1986)-1))+_xlfn.NUMBERVALUE("0,"&amp;RIGHT(H1986,LEN(H1986)-FIND(".",H1986))),""),0)</f>
        <v/>
      </c>
    </row>
    <row r="1987" spans="1:9" x14ac:dyDescent="0.2">
      <c r="A1987" t="str">
        <f>IF(ROW(A1987)&lt;=Bidding!$D$11,Raw_hydro_bm!B1987,"")</f>
        <v/>
      </c>
      <c r="B1987" t="str">
        <f>IF(ROW(B1987)&lt;=Bidding!$D$11,Raw_hydro_bm!C1987,"")</f>
        <v/>
      </c>
      <c r="C1987" t="str">
        <f>IF(ROW(C1987)&lt;=Bidding!$D$11,Raw_hydro_bm!D1987,"")</f>
        <v/>
      </c>
      <c r="D1987" t="str">
        <f>IF(ROW(D1987)&lt;=Bidding!$D$11,Raw_hydro_bm!E1987,"")</f>
        <v/>
      </c>
      <c r="E1987" t="str">
        <f>IF(ROW(E1987)&lt;=Bidding!$D$11,Raw_hydro_bm!F1987,"")</f>
        <v/>
      </c>
      <c r="F1987" t="str">
        <f>IF(ROW(F1987)&lt;=Bidding!$D$11,Raw_hydro_bm!G1987,"")</f>
        <v/>
      </c>
      <c r="G1987" t="str">
        <f>IF(ROW(G1987)&lt;=Bidding!$D$11,Raw_hydro_bm!H1987,"")</f>
        <v/>
      </c>
      <c r="H1987" t="str">
        <f>IF(ROW(H1987)&lt;=Bidding!$D$11,Raw_hydro_bm!I1987,"")</f>
        <v/>
      </c>
      <c r="I1987" s="16" t="str">
        <f t="shared" si="31"/>
        <v/>
      </c>
    </row>
    <row r="1988" spans="1:9" x14ac:dyDescent="0.2">
      <c r="A1988" t="str">
        <f>IF(ROW(A1988)&lt;=Bidding!$D$11,Raw_hydro_bm!B1988,"")</f>
        <v/>
      </c>
      <c r="B1988" t="str">
        <f>IF(ROW(B1988)&lt;=Bidding!$D$11,Raw_hydro_bm!C1988,"")</f>
        <v/>
      </c>
      <c r="C1988" t="str">
        <f>IF(ROW(C1988)&lt;=Bidding!$D$11,Raw_hydro_bm!D1988,"")</f>
        <v/>
      </c>
      <c r="D1988" t="str">
        <f>IF(ROW(D1988)&lt;=Bidding!$D$11,Raw_hydro_bm!E1988,"")</f>
        <v/>
      </c>
      <c r="E1988" t="str">
        <f>IF(ROW(E1988)&lt;=Bidding!$D$11,Raw_hydro_bm!F1988,"")</f>
        <v/>
      </c>
      <c r="F1988" t="str">
        <f>IF(ROW(F1988)&lt;=Bidding!$D$11,Raw_hydro_bm!G1988,"")</f>
        <v/>
      </c>
      <c r="G1988" t="str">
        <f>IF(ROW(G1988)&lt;=Bidding!$D$11,Raw_hydro_bm!H1988,"")</f>
        <v/>
      </c>
      <c r="H1988" t="str">
        <f>IF(ROW(H1988)&lt;=Bidding!$D$11,Raw_hydro_bm!I1988,"")</f>
        <v/>
      </c>
      <c r="I1988" s="16" t="str">
        <f t="shared" si="31"/>
        <v/>
      </c>
    </row>
    <row r="1989" spans="1:9" x14ac:dyDescent="0.2">
      <c r="A1989" t="str">
        <f>IF(ROW(A1989)&lt;=Bidding!$D$11,Raw_hydro_bm!B1989,"")</f>
        <v/>
      </c>
      <c r="B1989" t="str">
        <f>IF(ROW(B1989)&lt;=Bidding!$D$11,Raw_hydro_bm!C1989,"")</f>
        <v/>
      </c>
      <c r="C1989" t="str">
        <f>IF(ROW(C1989)&lt;=Bidding!$D$11,Raw_hydro_bm!D1989,"")</f>
        <v/>
      </c>
      <c r="D1989" t="str">
        <f>IF(ROW(D1989)&lt;=Bidding!$D$11,Raw_hydro_bm!E1989,"")</f>
        <v/>
      </c>
      <c r="E1989" t="str">
        <f>IF(ROW(E1989)&lt;=Bidding!$D$11,Raw_hydro_bm!F1989,"")</f>
        <v/>
      </c>
      <c r="F1989" t="str">
        <f>IF(ROW(F1989)&lt;=Bidding!$D$11,Raw_hydro_bm!G1989,"")</f>
        <v/>
      </c>
      <c r="G1989" t="str">
        <f>IF(ROW(G1989)&lt;=Bidding!$D$11,Raw_hydro_bm!H1989,"")</f>
        <v/>
      </c>
      <c r="H1989" t="str">
        <f>IF(ROW(H1989)&lt;=Bidding!$D$11,Raw_hydro_bm!I1989,"")</f>
        <v/>
      </c>
      <c r="I1989" s="16" t="str">
        <f t="shared" si="31"/>
        <v/>
      </c>
    </row>
    <row r="1990" spans="1:9" x14ac:dyDescent="0.2">
      <c r="A1990" t="str">
        <f>IF(ROW(A1990)&lt;=Bidding!$D$11,Raw_hydro_bm!B1990,"")</f>
        <v/>
      </c>
      <c r="B1990" t="str">
        <f>IF(ROW(B1990)&lt;=Bidding!$D$11,Raw_hydro_bm!C1990,"")</f>
        <v/>
      </c>
      <c r="C1990" t="str">
        <f>IF(ROW(C1990)&lt;=Bidding!$D$11,Raw_hydro_bm!D1990,"")</f>
        <v/>
      </c>
      <c r="D1990" t="str">
        <f>IF(ROW(D1990)&lt;=Bidding!$D$11,Raw_hydro_bm!E1990,"")</f>
        <v/>
      </c>
      <c r="E1990" t="str">
        <f>IF(ROW(E1990)&lt;=Bidding!$D$11,Raw_hydro_bm!F1990,"")</f>
        <v/>
      </c>
      <c r="F1990" t="str">
        <f>IF(ROW(F1990)&lt;=Bidding!$D$11,Raw_hydro_bm!G1990,"")</f>
        <v/>
      </c>
      <c r="G1990" t="str">
        <f>IF(ROW(G1990)&lt;=Bidding!$D$11,Raw_hydro_bm!H1990,"")</f>
        <v/>
      </c>
      <c r="H1990" t="str">
        <f>IF(ROW(H1990)&lt;=Bidding!$D$11,Raw_hydro_bm!I1990,"")</f>
        <v/>
      </c>
      <c r="I1990" s="16" t="str">
        <f t="shared" si="31"/>
        <v/>
      </c>
    </row>
    <row r="1991" spans="1:9" x14ac:dyDescent="0.2">
      <c r="A1991" t="str">
        <f>IF(ROW(A1991)&lt;=Bidding!$D$11,Raw_hydro_bm!B1991,"")</f>
        <v/>
      </c>
      <c r="B1991" t="str">
        <f>IF(ROW(B1991)&lt;=Bidding!$D$11,Raw_hydro_bm!C1991,"")</f>
        <v/>
      </c>
      <c r="C1991" t="str">
        <f>IF(ROW(C1991)&lt;=Bidding!$D$11,Raw_hydro_bm!D1991,"")</f>
        <v/>
      </c>
      <c r="D1991" t="str">
        <f>IF(ROW(D1991)&lt;=Bidding!$D$11,Raw_hydro_bm!E1991,"")</f>
        <v/>
      </c>
      <c r="E1991" t="str">
        <f>IF(ROW(E1991)&lt;=Bidding!$D$11,Raw_hydro_bm!F1991,"")</f>
        <v/>
      </c>
      <c r="F1991" t="str">
        <f>IF(ROW(F1991)&lt;=Bidding!$D$11,Raw_hydro_bm!G1991,"")</f>
        <v/>
      </c>
      <c r="G1991" t="str">
        <f>IF(ROW(G1991)&lt;=Bidding!$D$11,Raw_hydro_bm!H1991,"")</f>
        <v/>
      </c>
      <c r="H1991" t="str">
        <f>IF(ROW(H1991)&lt;=Bidding!$D$11,Raw_hydro_bm!I1991,"")</f>
        <v/>
      </c>
      <c r="I1991" s="16" t="str">
        <f t="shared" si="31"/>
        <v/>
      </c>
    </row>
    <row r="1992" spans="1:9" x14ac:dyDescent="0.2">
      <c r="A1992" t="str">
        <f>IF(ROW(A1992)&lt;=Bidding!$D$11,Raw_hydro_bm!B1992,"")</f>
        <v/>
      </c>
      <c r="B1992" t="str">
        <f>IF(ROW(B1992)&lt;=Bidding!$D$11,Raw_hydro_bm!C1992,"")</f>
        <v/>
      </c>
      <c r="C1992" t="str">
        <f>IF(ROW(C1992)&lt;=Bidding!$D$11,Raw_hydro_bm!D1992,"")</f>
        <v/>
      </c>
      <c r="D1992" t="str">
        <f>IF(ROW(D1992)&lt;=Bidding!$D$11,Raw_hydro_bm!E1992,"")</f>
        <v/>
      </c>
      <c r="E1992" t="str">
        <f>IF(ROW(E1992)&lt;=Bidding!$D$11,Raw_hydro_bm!F1992,"")</f>
        <v/>
      </c>
      <c r="F1992" t="str">
        <f>IF(ROW(F1992)&lt;=Bidding!$D$11,Raw_hydro_bm!G1992,"")</f>
        <v/>
      </c>
      <c r="G1992" t="str">
        <f>IF(ROW(G1992)&lt;=Bidding!$D$11,Raw_hydro_bm!H1992,"")</f>
        <v/>
      </c>
      <c r="H1992" t="str">
        <f>IF(ROW(H1992)&lt;=Bidding!$D$11,Raw_hydro_bm!I1992,"")</f>
        <v/>
      </c>
      <c r="I1992" s="16" t="str">
        <f t="shared" si="31"/>
        <v/>
      </c>
    </row>
    <row r="1993" spans="1:9" x14ac:dyDescent="0.2">
      <c r="A1993" t="str">
        <f>IF(ROW(A1993)&lt;=Bidding!$D$11,Raw_hydro_bm!B1993,"")</f>
        <v/>
      </c>
      <c r="B1993" t="str">
        <f>IF(ROW(B1993)&lt;=Bidding!$D$11,Raw_hydro_bm!C1993,"")</f>
        <v/>
      </c>
      <c r="C1993" t="str">
        <f>IF(ROW(C1993)&lt;=Bidding!$D$11,Raw_hydro_bm!D1993,"")</f>
        <v/>
      </c>
      <c r="D1993" t="str">
        <f>IF(ROW(D1993)&lt;=Bidding!$D$11,Raw_hydro_bm!E1993,"")</f>
        <v/>
      </c>
      <c r="E1993" t="str">
        <f>IF(ROW(E1993)&lt;=Bidding!$D$11,Raw_hydro_bm!F1993,"")</f>
        <v/>
      </c>
      <c r="F1993" t="str">
        <f>IF(ROW(F1993)&lt;=Bidding!$D$11,Raw_hydro_bm!G1993,"")</f>
        <v/>
      </c>
      <c r="G1993" t="str">
        <f>IF(ROW(G1993)&lt;=Bidding!$D$11,Raw_hydro_bm!H1993,"")</f>
        <v/>
      </c>
      <c r="H1993" t="str">
        <f>IF(ROW(H1993)&lt;=Bidding!$D$11,Raw_hydro_bm!I1993,"")</f>
        <v/>
      </c>
      <c r="I1993" s="16" t="str">
        <f t="shared" si="31"/>
        <v/>
      </c>
    </row>
    <row r="1994" spans="1:9" x14ac:dyDescent="0.2">
      <c r="A1994" t="str">
        <f>IF(ROW(A1994)&lt;=Bidding!$D$11,Raw_hydro_bm!B1994,"")</f>
        <v/>
      </c>
      <c r="B1994" t="str">
        <f>IF(ROW(B1994)&lt;=Bidding!$D$11,Raw_hydro_bm!C1994,"")</f>
        <v/>
      </c>
      <c r="C1994" t="str">
        <f>IF(ROW(C1994)&lt;=Bidding!$D$11,Raw_hydro_bm!D1994,"")</f>
        <v/>
      </c>
      <c r="D1994" t="str">
        <f>IF(ROW(D1994)&lt;=Bidding!$D$11,Raw_hydro_bm!E1994,"")</f>
        <v/>
      </c>
      <c r="E1994" t="str">
        <f>IF(ROW(E1994)&lt;=Bidding!$D$11,Raw_hydro_bm!F1994,"")</f>
        <v/>
      </c>
      <c r="F1994" t="str">
        <f>IF(ROW(F1994)&lt;=Bidding!$D$11,Raw_hydro_bm!G1994,"")</f>
        <v/>
      </c>
      <c r="G1994" t="str">
        <f>IF(ROW(G1994)&lt;=Bidding!$D$11,Raw_hydro_bm!H1994,"")</f>
        <v/>
      </c>
      <c r="H1994" t="str">
        <f>IF(ROW(H1994)&lt;=Bidding!$D$11,Raw_hydro_bm!I1994,"")</f>
        <v/>
      </c>
      <c r="I1994" s="16" t="str">
        <f t="shared" si="31"/>
        <v/>
      </c>
    </row>
    <row r="1995" spans="1:9" x14ac:dyDescent="0.2">
      <c r="A1995" t="str">
        <f>IF(ROW(A1995)&lt;=Bidding!$D$11,Raw_hydro_bm!B1995,"")</f>
        <v/>
      </c>
      <c r="B1995" t="str">
        <f>IF(ROW(B1995)&lt;=Bidding!$D$11,Raw_hydro_bm!C1995,"")</f>
        <v/>
      </c>
      <c r="C1995" t="str">
        <f>IF(ROW(C1995)&lt;=Bidding!$D$11,Raw_hydro_bm!D1995,"")</f>
        <v/>
      </c>
      <c r="D1995" t="str">
        <f>IF(ROW(D1995)&lt;=Bidding!$D$11,Raw_hydro_bm!E1995,"")</f>
        <v/>
      </c>
      <c r="E1995" t="str">
        <f>IF(ROW(E1995)&lt;=Bidding!$D$11,Raw_hydro_bm!F1995,"")</f>
        <v/>
      </c>
      <c r="F1995" t="str">
        <f>IF(ROW(F1995)&lt;=Bidding!$D$11,Raw_hydro_bm!G1995,"")</f>
        <v/>
      </c>
      <c r="G1995" t="str">
        <f>IF(ROW(G1995)&lt;=Bidding!$D$11,Raw_hydro_bm!H1995,"")</f>
        <v/>
      </c>
      <c r="H1995" t="str">
        <f>IF(ROW(H1995)&lt;=Bidding!$D$11,Raw_hydro_bm!I1995,"")</f>
        <v/>
      </c>
      <c r="I1995" s="16" t="str">
        <f t="shared" si="31"/>
        <v/>
      </c>
    </row>
    <row r="1996" spans="1:9" x14ac:dyDescent="0.2">
      <c r="A1996" t="str">
        <f>IF(ROW(A1996)&lt;=Bidding!$D$11,Raw_hydro_bm!B1996,"")</f>
        <v/>
      </c>
      <c r="B1996" t="str">
        <f>IF(ROW(B1996)&lt;=Bidding!$D$11,Raw_hydro_bm!C1996,"")</f>
        <v/>
      </c>
      <c r="C1996" t="str">
        <f>IF(ROW(C1996)&lt;=Bidding!$D$11,Raw_hydro_bm!D1996,"")</f>
        <v/>
      </c>
      <c r="D1996" t="str">
        <f>IF(ROW(D1996)&lt;=Bidding!$D$11,Raw_hydro_bm!E1996,"")</f>
        <v/>
      </c>
      <c r="E1996" t="str">
        <f>IF(ROW(E1996)&lt;=Bidding!$D$11,Raw_hydro_bm!F1996,"")</f>
        <v/>
      </c>
      <c r="F1996" t="str">
        <f>IF(ROW(F1996)&lt;=Bidding!$D$11,Raw_hydro_bm!G1996,"")</f>
        <v/>
      </c>
      <c r="G1996" t="str">
        <f>IF(ROW(G1996)&lt;=Bidding!$D$11,Raw_hydro_bm!H1996,"")</f>
        <v/>
      </c>
      <c r="H1996" t="str">
        <f>IF(ROW(H1996)&lt;=Bidding!$D$11,Raw_hydro_bm!I1996,"")</f>
        <v/>
      </c>
      <c r="I1996" s="16" t="str">
        <f t="shared" si="31"/>
        <v/>
      </c>
    </row>
    <row r="1997" spans="1:9" x14ac:dyDescent="0.2">
      <c r="A1997" t="str">
        <f>IF(ROW(A1997)&lt;=Bidding!$D$11,Raw_hydro_bm!B1997,"")</f>
        <v/>
      </c>
      <c r="B1997" t="str">
        <f>IF(ROW(B1997)&lt;=Bidding!$D$11,Raw_hydro_bm!C1997,"")</f>
        <v/>
      </c>
      <c r="C1997" t="str">
        <f>IF(ROW(C1997)&lt;=Bidding!$D$11,Raw_hydro_bm!D1997,"")</f>
        <v/>
      </c>
      <c r="D1997" t="str">
        <f>IF(ROW(D1997)&lt;=Bidding!$D$11,Raw_hydro_bm!E1997,"")</f>
        <v/>
      </c>
      <c r="E1997" t="str">
        <f>IF(ROW(E1997)&lt;=Bidding!$D$11,Raw_hydro_bm!F1997,"")</f>
        <v/>
      </c>
      <c r="F1997" t="str">
        <f>IF(ROW(F1997)&lt;=Bidding!$D$11,Raw_hydro_bm!G1997,"")</f>
        <v/>
      </c>
      <c r="G1997" t="str">
        <f>IF(ROW(G1997)&lt;=Bidding!$D$11,Raw_hydro_bm!H1997,"")</f>
        <v/>
      </c>
      <c r="H1997" t="str">
        <f>IF(ROW(H1997)&lt;=Bidding!$D$11,Raw_hydro_bm!I1997,"")</f>
        <v/>
      </c>
      <c r="I1997" s="16" t="str">
        <f t="shared" si="31"/>
        <v/>
      </c>
    </row>
    <row r="1998" spans="1:9" x14ac:dyDescent="0.2">
      <c r="A1998" t="str">
        <f>IF(ROW(A1998)&lt;=Bidding!$D$11,Raw_hydro_bm!B1998,"")</f>
        <v/>
      </c>
      <c r="B1998" t="str">
        <f>IF(ROW(B1998)&lt;=Bidding!$D$11,Raw_hydro_bm!C1998,"")</f>
        <v/>
      </c>
      <c r="C1998" t="str">
        <f>IF(ROW(C1998)&lt;=Bidding!$D$11,Raw_hydro_bm!D1998,"")</f>
        <v/>
      </c>
      <c r="D1998" t="str">
        <f>IF(ROW(D1998)&lt;=Bidding!$D$11,Raw_hydro_bm!E1998,"")</f>
        <v/>
      </c>
      <c r="E1998" t="str">
        <f>IF(ROW(E1998)&lt;=Bidding!$D$11,Raw_hydro_bm!F1998,"")</f>
        <v/>
      </c>
      <c r="F1998" t="str">
        <f>IF(ROW(F1998)&lt;=Bidding!$D$11,Raw_hydro_bm!G1998,"")</f>
        <v/>
      </c>
      <c r="G1998" t="str">
        <f>IF(ROW(G1998)&lt;=Bidding!$D$11,Raw_hydro_bm!H1998,"")</f>
        <v/>
      </c>
      <c r="H1998" t="str">
        <f>IF(ROW(H1998)&lt;=Bidding!$D$11,Raw_hydro_bm!I1998,"")</f>
        <v/>
      </c>
      <c r="I1998" s="16" t="str">
        <f t="shared" si="31"/>
        <v/>
      </c>
    </row>
    <row r="1999" spans="1:9" x14ac:dyDescent="0.2">
      <c r="A1999" t="str">
        <f>IF(ROW(A1999)&lt;=Bidding!$D$11,Raw_hydro_bm!B1999,"")</f>
        <v/>
      </c>
      <c r="B1999" t="str">
        <f>IF(ROW(B1999)&lt;=Bidding!$D$11,Raw_hydro_bm!C1999,"")</f>
        <v/>
      </c>
      <c r="C1999" t="str">
        <f>IF(ROW(C1999)&lt;=Bidding!$D$11,Raw_hydro_bm!D1999,"")</f>
        <v/>
      </c>
      <c r="D1999" t="str">
        <f>IF(ROW(D1999)&lt;=Bidding!$D$11,Raw_hydro_bm!E1999,"")</f>
        <v/>
      </c>
      <c r="E1999" t="str">
        <f>IF(ROW(E1999)&lt;=Bidding!$D$11,Raw_hydro_bm!F1999,"")</f>
        <v/>
      </c>
      <c r="F1999" t="str">
        <f>IF(ROW(F1999)&lt;=Bidding!$D$11,Raw_hydro_bm!G1999,"")</f>
        <v/>
      </c>
      <c r="G1999" t="str">
        <f>IF(ROW(G1999)&lt;=Bidding!$D$11,Raw_hydro_bm!H1999,"")</f>
        <v/>
      </c>
      <c r="H1999" t="str">
        <f>IF(ROW(H1999)&lt;=Bidding!$D$11,Raw_hydro_bm!I1999,"")</f>
        <v/>
      </c>
      <c r="I1999" s="16" t="str">
        <f t="shared" si="31"/>
        <v/>
      </c>
    </row>
    <row r="2000" spans="1:9" x14ac:dyDescent="0.2">
      <c r="A2000" t="str">
        <f>IF(ROW(A2000)&lt;=Bidding!$D$11,Raw_hydro_bm!B2000,"")</f>
        <v/>
      </c>
      <c r="B2000" t="str">
        <f>IF(ROW(B2000)&lt;=Bidding!$D$11,Raw_hydro_bm!C2000,"")</f>
        <v/>
      </c>
      <c r="C2000" t="str">
        <f>IF(ROW(C2000)&lt;=Bidding!$D$11,Raw_hydro_bm!D2000,"")</f>
        <v/>
      </c>
      <c r="D2000" t="str">
        <f>IF(ROW(D2000)&lt;=Bidding!$D$11,Raw_hydro_bm!E2000,"")</f>
        <v/>
      </c>
      <c r="E2000" t="str">
        <f>IF(ROW(E2000)&lt;=Bidding!$D$11,Raw_hydro_bm!F2000,"")</f>
        <v/>
      </c>
      <c r="F2000" t="str">
        <f>IF(ROW(F2000)&lt;=Bidding!$D$11,Raw_hydro_bm!G2000,"")</f>
        <v/>
      </c>
      <c r="G2000" t="str">
        <f>IF(ROW(G2000)&lt;=Bidding!$D$11,Raw_hydro_bm!H2000,"")</f>
        <v/>
      </c>
      <c r="H2000" t="str">
        <f>IF(ROW(H2000)&lt;=Bidding!$D$11,Raw_hydro_bm!I2000,"")</f>
        <v/>
      </c>
      <c r="I2000" s="16" t="str">
        <f t="shared" si="31"/>
        <v/>
      </c>
    </row>
    <row r="2001" spans="1:9" x14ac:dyDescent="0.2">
      <c r="A2001" t="str">
        <f>IF(ROW(A2001)&lt;=Raw_hydro_bm!$J$2,Raw_hydro_bm!B2001,"")</f>
        <v/>
      </c>
      <c r="B2001" t="str">
        <f>IF(ROW(B2001)&lt;=Raw_hydro_bm!$J$2,Raw_hydro_bm!C2001,"")</f>
        <v/>
      </c>
      <c r="C2001" t="str">
        <f>IF(ROW(C2001)&lt;=Raw_hydro_bm!$J$2,Raw_hydro_bm!D2001,"")</f>
        <v/>
      </c>
      <c r="D2001" t="str">
        <f>IF(ROW(D2001)&lt;=Raw_hydro_bm!$J$2,Raw_hydro_bm!E2001,"")</f>
        <v/>
      </c>
      <c r="E2001" t="str">
        <f>IF(ROW(E2001)&lt;=Raw_hydro_bm!$J$2,Raw_hydro_bm!F2001,"")</f>
        <v/>
      </c>
      <c r="F2001" t="str">
        <f>IF(ROW(F2001)&lt;=Raw_hydro_bm!$J$2,Raw_hydro_bm!G2001,"")</f>
        <v/>
      </c>
      <c r="G2001" t="str">
        <f>IF(ROW(G2001)&lt;=Raw_hydro_bm!$J$2,Raw_hydro_bm!H2001,"")</f>
        <v/>
      </c>
      <c r="H2001" t="str">
        <f>IF(ROW(H2001)&lt;=Raw_hydro_bm!$J$2,Raw_hydro_bm!I2001,"")</f>
        <v/>
      </c>
      <c r="I2001" s="16" t="str">
        <f t="shared" si="31"/>
        <v/>
      </c>
    </row>
    <row r="2002" spans="1:9" x14ac:dyDescent="0.2">
      <c r="A2002" t="str">
        <f>IF(ROW(A2002)&lt;=Raw_hydro_bm!$J$2,Raw_hydro_bm!B2002,"")</f>
        <v/>
      </c>
      <c r="B2002" t="str">
        <f>IF(ROW(B2002)&lt;=Raw_hydro_bm!$J$2,Raw_hydro_bm!C2002,"")</f>
        <v/>
      </c>
      <c r="C2002" t="str">
        <f>IF(ROW(C2002)&lt;=Raw_hydro_bm!$J$2,Raw_hydro_bm!D2002,"")</f>
        <v/>
      </c>
      <c r="D2002" t="str">
        <f>IF(ROW(D2002)&lt;=Raw_hydro_bm!$J$2,Raw_hydro_bm!E2002,"")</f>
        <v/>
      </c>
      <c r="E2002" t="str">
        <f>IF(ROW(E2002)&lt;=Raw_hydro_bm!$J$2,Raw_hydro_bm!F2002,"")</f>
        <v/>
      </c>
      <c r="F2002" t="str">
        <f>IF(ROW(F2002)&lt;=Raw_hydro_bm!$J$2,Raw_hydro_bm!G2002,"")</f>
        <v/>
      </c>
      <c r="G2002" t="str">
        <f>IF(ROW(G2002)&lt;=Raw_hydro_bm!$J$2,Raw_hydro_bm!H2002,"")</f>
        <v/>
      </c>
      <c r="H2002" t="str">
        <f>IF(ROW(H2002)&lt;=Raw_hydro_bm!$J$2,Raw_hydro_bm!I2002,"")</f>
        <v/>
      </c>
      <c r="I2002" s="16" t="str">
        <f t="shared" si="31"/>
        <v/>
      </c>
    </row>
    <row r="2003" spans="1:9" x14ac:dyDescent="0.2">
      <c r="A2003" t="str">
        <f>IF(ROW(A2003)&lt;=Raw_hydro_bm!$J$2,Raw_hydro_bm!B2003,"")</f>
        <v/>
      </c>
      <c r="B2003" t="str">
        <f>IF(ROW(B2003)&lt;=Raw_hydro_bm!$J$2,Raw_hydro_bm!C2003,"")</f>
        <v/>
      </c>
      <c r="C2003" t="str">
        <f>IF(ROW(C2003)&lt;=Raw_hydro_bm!$J$2,Raw_hydro_bm!D2003,"")</f>
        <v/>
      </c>
      <c r="D2003" t="str">
        <f>IF(ROW(D2003)&lt;=Raw_hydro_bm!$J$2,Raw_hydro_bm!E2003,"")</f>
        <v/>
      </c>
      <c r="E2003" t="str">
        <f>IF(ROW(E2003)&lt;=Raw_hydro_bm!$J$2,Raw_hydro_bm!F2003,"")</f>
        <v/>
      </c>
      <c r="F2003" t="str">
        <f>IF(ROW(F2003)&lt;=Raw_hydro_bm!$J$2,Raw_hydro_bm!G2003,"")</f>
        <v/>
      </c>
      <c r="G2003" t="str">
        <f>IF(ROW(G2003)&lt;=Raw_hydro_bm!$J$2,Raw_hydro_bm!H2003,"")</f>
        <v/>
      </c>
      <c r="H2003" t="str">
        <f>IF(ROW(H2003)&lt;=Raw_hydro_bm!$J$2,Raw_hydro_bm!I2003,"")</f>
        <v/>
      </c>
      <c r="I2003" s="16" t="str">
        <f t="shared" si="31"/>
        <v/>
      </c>
    </row>
    <row r="2004" spans="1:9" x14ac:dyDescent="0.2">
      <c r="A2004" t="str">
        <f>IF(ROW(A2004)&lt;=Raw_hydro_bm!$J$2,Raw_hydro_bm!B2004,"")</f>
        <v/>
      </c>
      <c r="B2004" t="str">
        <f>IF(ROW(B2004)&lt;=Raw_hydro_bm!$J$2,Raw_hydro_bm!C2004,"")</f>
        <v/>
      </c>
      <c r="C2004" t="str">
        <f>IF(ROW(C2004)&lt;=Raw_hydro_bm!$J$2,Raw_hydro_bm!D2004,"")</f>
        <v/>
      </c>
      <c r="D2004" t="str">
        <f>IF(ROW(D2004)&lt;=Raw_hydro_bm!$J$2,Raw_hydro_bm!E2004,"")</f>
        <v/>
      </c>
      <c r="E2004" t="str">
        <f>IF(ROW(E2004)&lt;=Raw_hydro_bm!$J$2,Raw_hydro_bm!F2004,"")</f>
        <v/>
      </c>
      <c r="F2004" t="str">
        <f>IF(ROW(F2004)&lt;=Raw_hydro_bm!$J$2,Raw_hydro_bm!G2004,"")</f>
        <v/>
      </c>
      <c r="G2004" t="str">
        <f>IF(ROW(G2004)&lt;=Raw_hydro_bm!$J$2,Raw_hydro_bm!H2004,"")</f>
        <v/>
      </c>
      <c r="H2004" t="str">
        <f>IF(ROW(H2004)&lt;=Raw_hydro_bm!$J$2,Raw_hydro_bm!I2004,"")</f>
        <v/>
      </c>
      <c r="I2004" s="16" t="str">
        <f t="shared" si="31"/>
        <v/>
      </c>
    </row>
    <row r="2005" spans="1:9" x14ac:dyDescent="0.2">
      <c r="A2005" t="str">
        <f>IF(ROW(A2005)&lt;=Raw_hydro_bm!$J$2,Raw_hydro_bm!B2005,"")</f>
        <v/>
      </c>
      <c r="B2005" t="str">
        <f>IF(ROW(B2005)&lt;=Raw_hydro_bm!$J$2,Raw_hydro_bm!C2005,"")</f>
        <v/>
      </c>
      <c r="C2005" t="str">
        <f>IF(ROW(C2005)&lt;=Raw_hydro_bm!$J$2,Raw_hydro_bm!D2005,"")</f>
        <v/>
      </c>
      <c r="D2005" t="str">
        <f>IF(ROW(D2005)&lt;=Raw_hydro_bm!$J$2,Raw_hydro_bm!E2005,"")</f>
        <v/>
      </c>
      <c r="E2005" t="str">
        <f>IF(ROW(E2005)&lt;=Raw_hydro_bm!$J$2,Raw_hydro_bm!F2005,"")</f>
        <v/>
      </c>
      <c r="F2005" t="str">
        <f>IF(ROW(F2005)&lt;=Raw_hydro_bm!$J$2,Raw_hydro_bm!G2005,"")</f>
        <v/>
      </c>
      <c r="G2005" t="str">
        <f>IF(ROW(G2005)&lt;=Raw_hydro_bm!$J$2,Raw_hydro_bm!H2005,"")</f>
        <v/>
      </c>
      <c r="H2005" t="str">
        <f>IF(ROW(H2005)&lt;=Raw_hydro_bm!$J$2,Raw_hydro_bm!I2005,"")</f>
        <v/>
      </c>
      <c r="I2005" s="16" t="str">
        <f t="shared" si="31"/>
        <v/>
      </c>
    </row>
    <row r="2006" spans="1:9" x14ac:dyDescent="0.2">
      <c r="A2006" t="str">
        <f>IF(ROW(A2006)&lt;=Raw_hydro_bm!$J$2,Raw_hydro_bm!B2006,"")</f>
        <v/>
      </c>
      <c r="B2006" t="str">
        <f>IF(ROW(B2006)&lt;=Raw_hydro_bm!$J$2,Raw_hydro_bm!C2006,"")</f>
        <v/>
      </c>
      <c r="C2006" t="str">
        <f>IF(ROW(C2006)&lt;=Raw_hydro_bm!$J$2,Raw_hydro_bm!D2006,"")</f>
        <v/>
      </c>
      <c r="D2006" t="str">
        <f>IF(ROW(D2006)&lt;=Raw_hydro_bm!$J$2,Raw_hydro_bm!E2006,"")</f>
        <v/>
      </c>
      <c r="E2006" t="str">
        <f>IF(ROW(E2006)&lt;=Raw_hydro_bm!$J$2,Raw_hydro_bm!F2006,"")</f>
        <v/>
      </c>
      <c r="F2006" t="str">
        <f>IF(ROW(F2006)&lt;=Raw_hydro_bm!$J$2,Raw_hydro_bm!G2006,"")</f>
        <v/>
      </c>
      <c r="G2006" t="str">
        <f>IF(ROW(G2006)&lt;=Raw_hydro_bm!$J$2,Raw_hydro_bm!H2006,"")</f>
        <v/>
      </c>
      <c r="H2006" t="str">
        <f>IF(ROW(H2006)&lt;=Raw_hydro_bm!$J$2,Raw_hydro_bm!I2006,"")</f>
        <v/>
      </c>
      <c r="I2006" s="16" t="str">
        <f t="shared" si="31"/>
        <v/>
      </c>
    </row>
    <row r="2007" spans="1:9" x14ac:dyDescent="0.2">
      <c r="A2007" t="str">
        <f>IF(ROW(A2007)&lt;=Raw_hydro_bm!$J$2,Raw_hydro_bm!B2007,"")</f>
        <v/>
      </c>
      <c r="B2007" t="str">
        <f>IF(ROW(B2007)&lt;=Raw_hydro_bm!$J$2,Raw_hydro_bm!C2007,"")</f>
        <v/>
      </c>
      <c r="C2007" t="str">
        <f>IF(ROW(C2007)&lt;=Raw_hydro_bm!$J$2,Raw_hydro_bm!D2007,"")</f>
        <v/>
      </c>
      <c r="D2007" t="str">
        <f>IF(ROW(D2007)&lt;=Raw_hydro_bm!$J$2,Raw_hydro_bm!E2007,"")</f>
        <v/>
      </c>
      <c r="E2007" t="str">
        <f>IF(ROW(E2007)&lt;=Raw_hydro_bm!$J$2,Raw_hydro_bm!F2007,"")</f>
        <v/>
      </c>
      <c r="F2007" t="str">
        <f>IF(ROW(F2007)&lt;=Raw_hydro_bm!$J$2,Raw_hydro_bm!G2007,"")</f>
        <v/>
      </c>
      <c r="G2007" t="str">
        <f>IF(ROW(G2007)&lt;=Raw_hydro_bm!$J$2,Raw_hydro_bm!H2007,"")</f>
        <v/>
      </c>
      <c r="H2007" t="str">
        <f>IF(ROW(H2007)&lt;=Raw_hydro_bm!$J$2,Raw_hydro_bm!I2007,"")</f>
        <v/>
      </c>
      <c r="I2007" s="16" t="str">
        <f t="shared" si="31"/>
        <v/>
      </c>
    </row>
    <row r="2008" spans="1:9" x14ac:dyDescent="0.2">
      <c r="A2008" t="str">
        <f>IF(ROW(A2008)&lt;=Raw_hydro_bm!$J$2,Raw_hydro_bm!B2008,"")</f>
        <v/>
      </c>
      <c r="B2008" t="str">
        <f>IF(ROW(B2008)&lt;=Raw_hydro_bm!$J$2,Raw_hydro_bm!C2008,"")</f>
        <v/>
      </c>
      <c r="C2008" t="str">
        <f>IF(ROW(C2008)&lt;=Raw_hydro_bm!$J$2,Raw_hydro_bm!D2008,"")</f>
        <v/>
      </c>
      <c r="D2008" t="str">
        <f>IF(ROW(D2008)&lt;=Raw_hydro_bm!$J$2,Raw_hydro_bm!E2008,"")</f>
        <v/>
      </c>
      <c r="E2008" t="str">
        <f>IF(ROW(E2008)&lt;=Raw_hydro_bm!$J$2,Raw_hydro_bm!F2008,"")</f>
        <v/>
      </c>
      <c r="F2008" t="str">
        <f>IF(ROW(F2008)&lt;=Raw_hydro_bm!$J$2,Raw_hydro_bm!G2008,"")</f>
        <v/>
      </c>
      <c r="G2008" t="str">
        <f>IF(ROW(G2008)&lt;=Raw_hydro_bm!$J$2,Raw_hydro_bm!H2008,"")</f>
        <v/>
      </c>
      <c r="H2008" t="str">
        <f>IF(ROW(H2008)&lt;=Raw_hydro_bm!$J$2,Raw_hydro_bm!I2008,"")</f>
        <v/>
      </c>
      <c r="I2008" s="16" t="str">
        <f t="shared" si="31"/>
        <v/>
      </c>
    </row>
    <row r="2009" spans="1:9" x14ac:dyDescent="0.2">
      <c r="A2009" t="str">
        <f>IF(ROW(A2009)&lt;=Raw_hydro_bm!$J$2,Raw_hydro_bm!B2009,"")</f>
        <v/>
      </c>
      <c r="B2009" t="str">
        <f>IF(ROW(B2009)&lt;=Raw_hydro_bm!$J$2,Raw_hydro_bm!C2009,"")</f>
        <v/>
      </c>
      <c r="C2009" t="str">
        <f>IF(ROW(C2009)&lt;=Raw_hydro_bm!$J$2,Raw_hydro_bm!D2009,"")</f>
        <v/>
      </c>
      <c r="D2009" t="str">
        <f>IF(ROW(D2009)&lt;=Raw_hydro_bm!$J$2,Raw_hydro_bm!E2009,"")</f>
        <v/>
      </c>
      <c r="E2009" t="str">
        <f>IF(ROW(E2009)&lt;=Raw_hydro_bm!$J$2,Raw_hydro_bm!F2009,"")</f>
        <v/>
      </c>
      <c r="F2009" t="str">
        <f>IF(ROW(F2009)&lt;=Raw_hydro_bm!$J$2,Raw_hydro_bm!G2009,"")</f>
        <v/>
      </c>
      <c r="G2009" t="str">
        <f>IF(ROW(G2009)&lt;=Raw_hydro_bm!$J$2,Raw_hydro_bm!H2009,"")</f>
        <v/>
      </c>
      <c r="H2009" t="str">
        <f>IF(ROW(H2009)&lt;=Raw_hydro_bm!$J$2,Raw_hydro_bm!I2009,"")</f>
        <v/>
      </c>
      <c r="I2009" s="16" t="str">
        <f t="shared" si="31"/>
        <v/>
      </c>
    </row>
    <row r="2010" spans="1:9" x14ac:dyDescent="0.2">
      <c r="A2010" t="str">
        <f>IF(ROW(A2010)&lt;=Raw_hydro_bm!$J$2,Raw_hydro_bm!B2010,"")</f>
        <v/>
      </c>
      <c r="B2010" t="str">
        <f>IF(ROW(B2010)&lt;=Raw_hydro_bm!$J$2,Raw_hydro_bm!C2010,"")</f>
        <v/>
      </c>
      <c r="C2010" t="str">
        <f>IF(ROW(C2010)&lt;=Raw_hydro_bm!$J$2,Raw_hydro_bm!D2010,"")</f>
        <v/>
      </c>
      <c r="D2010" t="str">
        <f>IF(ROW(D2010)&lt;=Raw_hydro_bm!$J$2,Raw_hydro_bm!E2010,"")</f>
        <v/>
      </c>
      <c r="E2010" t="str">
        <f>IF(ROW(E2010)&lt;=Raw_hydro_bm!$J$2,Raw_hydro_bm!F2010,"")</f>
        <v/>
      </c>
      <c r="F2010" t="str">
        <f>IF(ROW(F2010)&lt;=Raw_hydro_bm!$J$2,Raw_hydro_bm!G2010,"")</f>
        <v/>
      </c>
      <c r="G2010" t="str">
        <f>IF(ROW(G2010)&lt;=Raw_hydro_bm!$J$2,Raw_hydro_bm!H2010,"")</f>
        <v/>
      </c>
      <c r="H2010" t="str">
        <f>IF(ROW(H2010)&lt;=Raw_hydro_bm!$J$2,Raw_hydro_bm!I2010,"")</f>
        <v/>
      </c>
      <c r="I2010" s="16" t="str">
        <f t="shared" si="31"/>
        <v/>
      </c>
    </row>
    <row r="2011" spans="1:9" x14ac:dyDescent="0.2">
      <c r="A2011" t="str">
        <f>IF(ROW(A2011)&lt;=Raw_hydro_bm!$J$2,Raw_hydro_bm!B2011,"")</f>
        <v/>
      </c>
      <c r="B2011" t="str">
        <f>IF(ROW(B2011)&lt;=Raw_hydro_bm!$J$2,Raw_hydro_bm!C2011,"")</f>
        <v/>
      </c>
      <c r="C2011" t="str">
        <f>IF(ROW(C2011)&lt;=Raw_hydro_bm!$J$2,Raw_hydro_bm!D2011,"")</f>
        <v/>
      </c>
      <c r="D2011" t="str">
        <f>IF(ROW(D2011)&lt;=Raw_hydro_bm!$J$2,Raw_hydro_bm!E2011,"")</f>
        <v/>
      </c>
      <c r="E2011" t="str">
        <f>IF(ROW(E2011)&lt;=Raw_hydro_bm!$J$2,Raw_hydro_bm!F2011,"")</f>
        <v/>
      </c>
      <c r="F2011" t="str">
        <f>IF(ROW(F2011)&lt;=Raw_hydro_bm!$J$2,Raw_hydro_bm!G2011,"")</f>
        <v/>
      </c>
      <c r="G2011" t="str">
        <f>IF(ROW(G2011)&lt;=Raw_hydro_bm!$J$2,Raw_hydro_bm!H2011,"")</f>
        <v/>
      </c>
      <c r="H2011" t="str">
        <f>IF(ROW(H2011)&lt;=Raw_hydro_bm!$J$2,Raw_hydro_bm!I2011,"")</f>
        <v/>
      </c>
      <c r="I2011" s="16" t="str">
        <f t="shared" si="31"/>
        <v/>
      </c>
    </row>
    <row r="2012" spans="1:9" x14ac:dyDescent="0.2">
      <c r="A2012" t="str">
        <f>IF(ROW(A2012)&lt;=Raw_hydro_bm!$J$2,Raw_hydro_bm!B2012,"")</f>
        <v/>
      </c>
      <c r="B2012" t="str">
        <f>IF(ROW(B2012)&lt;=Raw_hydro_bm!$J$2,Raw_hydro_bm!C2012,"")</f>
        <v/>
      </c>
      <c r="C2012" t="str">
        <f>IF(ROW(C2012)&lt;=Raw_hydro_bm!$J$2,Raw_hydro_bm!D2012,"")</f>
        <v/>
      </c>
      <c r="D2012" t="str">
        <f>IF(ROW(D2012)&lt;=Raw_hydro_bm!$J$2,Raw_hydro_bm!E2012,"")</f>
        <v/>
      </c>
      <c r="E2012" t="str">
        <f>IF(ROW(E2012)&lt;=Raw_hydro_bm!$J$2,Raw_hydro_bm!F2012,"")</f>
        <v/>
      </c>
      <c r="F2012" t="str">
        <f>IF(ROW(F2012)&lt;=Raw_hydro_bm!$J$2,Raw_hydro_bm!G2012,"")</f>
        <v/>
      </c>
      <c r="G2012" t="str">
        <f>IF(ROW(G2012)&lt;=Raw_hydro_bm!$J$2,Raw_hydro_bm!H2012,"")</f>
        <v/>
      </c>
      <c r="H2012" t="str">
        <f>IF(ROW(H2012)&lt;=Raw_hydro_bm!$J$2,Raw_hydro_bm!I2012,"")</f>
        <v/>
      </c>
      <c r="I2012" s="16" t="str">
        <f t="shared" si="31"/>
        <v/>
      </c>
    </row>
    <row r="2013" spans="1:9" x14ac:dyDescent="0.2">
      <c r="A2013" t="str">
        <f>IF(ROW(A2013)&lt;=Raw_hydro_bm!$J$2,Raw_hydro_bm!B2013,"")</f>
        <v/>
      </c>
      <c r="B2013" t="str">
        <f>IF(ROW(B2013)&lt;=Raw_hydro_bm!$J$2,Raw_hydro_bm!C2013,"")</f>
        <v/>
      </c>
      <c r="C2013" t="str">
        <f>IF(ROW(C2013)&lt;=Raw_hydro_bm!$J$2,Raw_hydro_bm!D2013,"")</f>
        <v/>
      </c>
      <c r="D2013" t="str">
        <f>IF(ROW(D2013)&lt;=Raw_hydro_bm!$J$2,Raw_hydro_bm!E2013,"")</f>
        <v/>
      </c>
      <c r="E2013" t="str">
        <f>IF(ROW(E2013)&lt;=Raw_hydro_bm!$J$2,Raw_hydro_bm!F2013,"")</f>
        <v/>
      </c>
      <c r="F2013" t="str">
        <f>IF(ROW(F2013)&lt;=Raw_hydro_bm!$J$2,Raw_hydro_bm!G2013,"")</f>
        <v/>
      </c>
      <c r="G2013" t="str">
        <f>IF(ROW(G2013)&lt;=Raw_hydro_bm!$J$2,Raw_hydro_bm!H2013,"")</f>
        <v/>
      </c>
      <c r="H2013" t="str">
        <f>IF(ROW(H2013)&lt;=Raw_hydro_bm!$J$2,Raw_hydro_bm!I2013,"")</f>
        <v/>
      </c>
      <c r="I2013" s="16" t="str">
        <f t="shared" si="31"/>
        <v/>
      </c>
    </row>
    <row r="2014" spans="1:9" x14ac:dyDescent="0.2">
      <c r="A2014" t="str">
        <f>IF(ROW(A2014)&lt;=Raw_hydro_bm!$J$2,Raw_hydro_bm!B2014,"")</f>
        <v/>
      </c>
      <c r="B2014" t="str">
        <f>IF(ROW(B2014)&lt;=Raw_hydro_bm!$J$2,Raw_hydro_bm!C2014,"")</f>
        <v/>
      </c>
      <c r="C2014" t="str">
        <f>IF(ROW(C2014)&lt;=Raw_hydro_bm!$J$2,Raw_hydro_bm!D2014,"")</f>
        <v/>
      </c>
      <c r="D2014" t="str">
        <f>IF(ROW(D2014)&lt;=Raw_hydro_bm!$J$2,Raw_hydro_bm!E2014,"")</f>
        <v/>
      </c>
      <c r="E2014" t="str">
        <f>IF(ROW(E2014)&lt;=Raw_hydro_bm!$J$2,Raw_hydro_bm!F2014,"")</f>
        <v/>
      </c>
      <c r="F2014" t="str">
        <f>IF(ROW(F2014)&lt;=Raw_hydro_bm!$J$2,Raw_hydro_bm!G2014,"")</f>
        <v/>
      </c>
      <c r="G2014" t="str">
        <f>IF(ROW(G2014)&lt;=Raw_hydro_bm!$J$2,Raw_hydro_bm!H2014,"")</f>
        <v/>
      </c>
      <c r="H2014" t="str">
        <f>IF(ROW(H2014)&lt;=Raw_hydro_bm!$J$2,Raw_hydro_bm!I2014,"")</f>
        <v/>
      </c>
      <c r="I2014" s="16" t="str">
        <f t="shared" si="31"/>
        <v/>
      </c>
    </row>
    <row r="2015" spans="1:9" x14ac:dyDescent="0.2">
      <c r="A2015" t="str">
        <f>IF(ROW(A2015)&lt;=Raw_hydro_bm!$J$2,Raw_hydro_bm!B2015,"")</f>
        <v/>
      </c>
      <c r="B2015" t="str">
        <f>IF(ROW(B2015)&lt;=Raw_hydro_bm!$J$2,Raw_hydro_bm!C2015,"")</f>
        <v/>
      </c>
      <c r="C2015" t="str">
        <f>IF(ROW(C2015)&lt;=Raw_hydro_bm!$J$2,Raw_hydro_bm!D2015,"")</f>
        <v/>
      </c>
      <c r="D2015" t="str">
        <f>IF(ROW(D2015)&lt;=Raw_hydro_bm!$J$2,Raw_hydro_bm!E2015,"")</f>
        <v/>
      </c>
      <c r="E2015" t="str">
        <f>IF(ROW(E2015)&lt;=Raw_hydro_bm!$J$2,Raw_hydro_bm!F2015,"")</f>
        <v/>
      </c>
      <c r="F2015" t="str">
        <f>IF(ROW(F2015)&lt;=Raw_hydro_bm!$J$2,Raw_hydro_bm!G2015,"")</f>
        <v/>
      </c>
      <c r="G2015" t="str">
        <f>IF(ROW(G2015)&lt;=Raw_hydro_bm!$J$2,Raw_hydro_bm!H2015,"")</f>
        <v/>
      </c>
      <c r="H2015" t="str">
        <f>IF(ROW(H2015)&lt;=Raw_hydro_bm!$J$2,Raw_hydro_bm!I2015,"")</f>
        <v/>
      </c>
      <c r="I2015" s="16" t="str">
        <f t="shared" si="31"/>
        <v/>
      </c>
    </row>
    <row r="2016" spans="1:9" x14ac:dyDescent="0.2">
      <c r="A2016" t="str">
        <f>IF(ROW(A2016)&lt;=Raw_hydro_bm!$J$2,Raw_hydro_bm!B2016,"")</f>
        <v/>
      </c>
      <c r="B2016" t="str">
        <f>IF(ROW(B2016)&lt;=Raw_hydro_bm!$J$2,Raw_hydro_bm!C2016,"")</f>
        <v/>
      </c>
      <c r="C2016" t="str">
        <f>IF(ROW(C2016)&lt;=Raw_hydro_bm!$J$2,Raw_hydro_bm!D2016,"")</f>
        <v/>
      </c>
      <c r="D2016" t="str">
        <f>IF(ROW(D2016)&lt;=Raw_hydro_bm!$J$2,Raw_hydro_bm!E2016,"")</f>
        <v/>
      </c>
      <c r="E2016" t="str">
        <f>IF(ROW(E2016)&lt;=Raw_hydro_bm!$J$2,Raw_hydro_bm!F2016,"")</f>
        <v/>
      </c>
      <c r="F2016" t="str">
        <f>IF(ROW(F2016)&lt;=Raw_hydro_bm!$J$2,Raw_hydro_bm!G2016,"")</f>
        <v/>
      </c>
      <c r="G2016" t="str">
        <f>IF(ROW(G2016)&lt;=Raw_hydro_bm!$J$2,Raw_hydro_bm!H2016,"")</f>
        <v/>
      </c>
      <c r="H2016" t="str">
        <f>IF(ROW(H2016)&lt;=Raw_hydro_bm!$J$2,Raw_hydro_bm!I2016,"")</f>
        <v/>
      </c>
      <c r="I2016" s="16" t="str">
        <f t="shared" si="31"/>
        <v/>
      </c>
    </row>
    <row r="2017" spans="1:9" x14ac:dyDescent="0.2">
      <c r="A2017" t="str">
        <f>IF(ROW(A2017)&lt;=Raw_hydro_bm!$J$2,Raw_hydro_bm!B2017,"")</f>
        <v/>
      </c>
      <c r="B2017" t="str">
        <f>IF(ROW(B2017)&lt;=Raw_hydro_bm!$J$2,Raw_hydro_bm!C2017,"")</f>
        <v/>
      </c>
      <c r="C2017" t="str">
        <f>IF(ROW(C2017)&lt;=Raw_hydro_bm!$J$2,Raw_hydro_bm!D2017,"")</f>
        <v/>
      </c>
      <c r="D2017" t="str">
        <f>IF(ROW(D2017)&lt;=Raw_hydro_bm!$J$2,Raw_hydro_bm!E2017,"")</f>
        <v/>
      </c>
      <c r="E2017" t="str">
        <f>IF(ROW(E2017)&lt;=Raw_hydro_bm!$J$2,Raw_hydro_bm!F2017,"")</f>
        <v/>
      </c>
      <c r="F2017" t="str">
        <f>IF(ROW(F2017)&lt;=Raw_hydro_bm!$J$2,Raw_hydro_bm!G2017,"")</f>
        <v/>
      </c>
      <c r="G2017" t="str">
        <f>IF(ROW(G2017)&lt;=Raw_hydro_bm!$J$2,Raw_hydro_bm!H2017,"")</f>
        <v/>
      </c>
      <c r="H2017" t="str">
        <f>IF(ROW(H2017)&lt;=Raw_hydro_bm!$J$2,Raw_hydro_bm!I2017,"")</f>
        <v/>
      </c>
      <c r="I2017" s="16" t="str">
        <f t="shared" si="31"/>
        <v/>
      </c>
    </row>
    <row r="2018" spans="1:9" x14ac:dyDescent="0.2">
      <c r="A2018" t="str">
        <f>IF(ROW(A2018)&lt;=Raw_hydro_bm!$J$2,Raw_hydro_bm!B2018,"")</f>
        <v/>
      </c>
      <c r="B2018" t="str">
        <f>IF(ROW(B2018)&lt;=Raw_hydro_bm!$J$2,Raw_hydro_bm!C2018,"")</f>
        <v/>
      </c>
      <c r="C2018" t="str">
        <f>IF(ROW(C2018)&lt;=Raw_hydro_bm!$J$2,Raw_hydro_bm!D2018,"")</f>
        <v/>
      </c>
      <c r="D2018" t="str">
        <f>IF(ROW(D2018)&lt;=Raw_hydro_bm!$J$2,Raw_hydro_bm!E2018,"")</f>
        <v/>
      </c>
      <c r="E2018" t="str">
        <f>IF(ROW(E2018)&lt;=Raw_hydro_bm!$J$2,Raw_hydro_bm!F2018,"")</f>
        <v/>
      </c>
      <c r="F2018" t="str">
        <f>IF(ROW(F2018)&lt;=Raw_hydro_bm!$J$2,Raw_hydro_bm!G2018,"")</f>
        <v/>
      </c>
      <c r="G2018" t="str">
        <f>IF(ROW(G2018)&lt;=Raw_hydro_bm!$J$2,Raw_hydro_bm!H2018,"")</f>
        <v/>
      </c>
      <c r="H2018" t="str">
        <f>IF(ROW(H2018)&lt;=Raw_hydro_bm!$J$2,Raw_hydro_bm!I2018,"")</f>
        <v/>
      </c>
      <c r="I2018" s="16" t="str">
        <f t="shared" si="31"/>
        <v/>
      </c>
    </row>
    <row r="2019" spans="1:9" x14ac:dyDescent="0.2">
      <c r="A2019" t="str">
        <f>IF(ROW(A2019)&lt;=Raw_hydro_bm!$J$2,Raw_hydro_bm!B2019,"")</f>
        <v/>
      </c>
      <c r="B2019" t="str">
        <f>IF(ROW(B2019)&lt;=Raw_hydro_bm!$J$2,Raw_hydro_bm!C2019,"")</f>
        <v/>
      </c>
      <c r="C2019" t="str">
        <f>IF(ROW(C2019)&lt;=Raw_hydro_bm!$J$2,Raw_hydro_bm!D2019,"")</f>
        <v/>
      </c>
      <c r="D2019" t="str">
        <f>IF(ROW(D2019)&lt;=Raw_hydro_bm!$J$2,Raw_hydro_bm!E2019,"")</f>
        <v/>
      </c>
      <c r="E2019" t="str">
        <f>IF(ROW(E2019)&lt;=Raw_hydro_bm!$J$2,Raw_hydro_bm!F2019,"")</f>
        <v/>
      </c>
      <c r="F2019" t="str">
        <f>IF(ROW(F2019)&lt;=Raw_hydro_bm!$J$2,Raw_hydro_bm!G2019,"")</f>
        <v/>
      </c>
      <c r="G2019" t="str">
        <f>IF(ROW(G2019)&lt;=Raw_hydro_bm!$J$2,Raw_hydro_bm!H2019,"")</f>
        <v/>
      </c>
      <c r="H2019" t="str">
        <f>IF(ROW(H2019)&lt;=Raw_hydro_bm!$J$2,Raw_hydro_bm!I2019,"")</f>
        <v/>
      </c>
      <c r="I2019" s="16" t="str">
        <f t="shared" si="31"/>
        <v/>
      </c>
    </row>
    <row r="2020" spans="1:9" x14ac:dyDescent="0.2">
      <c r="A2020" t="str">
        <f>IF(ROW(A2020)&lt;=Raw_hydro_bm!$J$2,Raw_hydro_bm!B2020,"")</f>
        <v/>
      </c>
      <c r="B2020" t="str">
        <f>IF(ROW(B2020)&lt;=Raw_hydro_bm!$J$2,Raw_hydro_bm!C2020,"")</f>
        <v/>
      </c>
      <c r="C2020" t="str">
        <f>IF(ROW(C2020)&lt;=Raw_hydro_bm!$J$2,Raw_hydro_bm!D2020,"")</f>
        <v/>
      </c>
      <c r="D2020" t="str">
        <f>IF(ROW(D2020)&lt;=Raw_hydro_bm!$J$2,Raw_hydro_bm!E2020,"")</f>
        <v/>
      </c>
      <c r="E2020" t="str">
        <f>IF(ROW(E2020)&lt;=Raw_hydro_bm!$J$2,Raw_hydro_bm!F2020,"")</f>
        <v/>
      </c>
      <c r="F2020" t="str">
        <f>IF(ROW(F2020)&lt;=Raw_hydro_bm!$J$2,Raw_hydro_bm!G2020,"")</f>
        <v/>
      </c>
      <c r="G2020" t="str">
        <f>IF(ROW(G2020)&lt;=Raw_hydro_bm!$J$2,Raw_hydro_bm!H2020,"")</f>
        <v/>
      </c>
      <c r="H2020" t="str">
        <f>IF(ROW(H2020)&lt;=Raw_hydro_bm!$J$2,Raw_hydro_bm!I2020,"")</f>
        <v/>
      </c>
      <c r="I2020" s="16" t="str">
        <f t="shared" si="31"/>
        <v/>
      </c>
    </row>
    <row r="2021" spans="1:9" x14ac:dyDescent="0.2">
      <c r="A2021" t="str">
        <f>IF(ROW(A2021)&lt;=Raw_hydro_bm!$J$2,Raw_hydro_bm!B2021,"")</f>
        <v/>
      </c>
      <c r="B2021" t="str">
        <f>IF(ROW(B2021)&lt;=Raw_hydro_bm!$J$2,Raw_hydro_bm!C2021,"")</f>
        <v/>
      </c>
      <c r="C2021" t="str">
        <f>IF(ROW(C2021)&lt;=Raw_hydro_bm!$J$2,Raw_hydro_bm!D2021,"")</f>
        <v/>
      </c>
      <c r="D2021" t="str">
        <f>IF(ROW(D2021)&lt;=Raw_hydro_bm!$J$2,Raw_hydro_bm!E2021,"")</f>
        <v/>
      </c>
      <c r="E2021" t="str">
        <f>IF(ROW(E2021)&lt;=Raw_hydro_bm!$J$2,Raw_hydro_bm!F2021,"")</f>
        <v/>
      </c>
      <c r="F2021" t="str">
        <f>IF(ROW(F2021)&lt;=Raw_hydro_bm!$J$2,Raw_hydro_bm!G2021,"")</f>
        <v/>
      </c>
      <c r="G2021" t="str">
        <f>IF(ROW(G2021)&lt;=Raw_hydro_bm!$J$2,Raw_hydro_bm!H2021,"")</f>
        <v/>
      </c>
      <c r="H2021" t="str">
        <f>IF(ROW(H2021)&lt;=Raw_hydro_bm!$J$2,Raw_hydro_bm!I2021,"")</f>
        <v/>
      </c>
      <c r="I2021" s="16" t="str">
        <f t="shared" si="31"/>
        <v/>
      </c>
    </row>
    <row r="2022" spans="1:9" x14ac:dyDescent="0.2">
      <c r="A2022" t="str">
        <f>IF(ROW(A2022)&lt;=Raw_hydro_bm!$J$2,Raw_hydro_bm!B2022,"")</f>
        <v/>
      </c>
      <c r="B2022" t="str">
        <f>IF(ROW(B2022)&lt;=Raw_hydro_bm!$J$2,Raw_hydro_bm!C2022,"")</f>
        <v/>
      </c>
      <c r="C2022" t="str">
        <f>IF(ROW(C2022)&lt;=Raw_hydro_bm!$J$2,Raw_hydro_bm!D2022,"")</f>
        <v/>
      </c>
      <c r="D2022" t="str">
        <f>IF(ROW(D2022)&lt;=Raw_hydro_bm!$J$2,Raw_hydro_bm!E2022,"")</f>
        <v/>
      </c>
      <c r="E2022" t="str">
        <f>IF(ROW(E2022)&lt;=Raw_hydro_bm!$J$2,Raw_hydro_bm!F2022,"")</f>
        <v/>
      </c>
      <c r="F2022" t="str">
        <f>IF(ROW(F2022)&lt;=Raw_hydro_bm!$J$2,Raw_hydro_bm!G2022,"")</f>
        <v/>
      </c>
      <c r="G2022" t="str">
        <f>IF(ROW(G2022)&lt;=Raw_hydro_bm!$J$2,Raw_hydro_bm!H2022,"")</f>
        <v/>
      </c>
      <c r="H2022" t="str">
        <f>IF(ROW(H2022)&lt;=Raw_hydro_bm!$J$2,Raw_hydro_bm!I2022,"")</f>
        <v/>
      </c>
      <c r="I2022" s="16" t="str">
        <f t="shared" si="31"/>
        <v/>
      </c>
    </row>
    <row r="2023" spans="1:9" x14ac:dyDescent="0.2">
      <c r="A2023" t="str">
        <f>IF(ROW(A2023)&lt;=Raw_hydro_bm!$J$2,Raw_hydro_bm!B2023,"")</f>
        <v/>
      </c>
      <c r="B2023" t="str">
        <f>IF(ROW(B2023)&lt;=Raw_hydro_bm!$J$2,Raw_hydro_bm!C2023,"")</f>
        <v/>
      </c>
      <c r="C2023" t="str">
        <f>IF(ROW(C2023)&lt;=Raw_hydro_bm!$J$2,Raw_hydro_bm!D2023,"")</f>
        <v/>
      </c>
      <c r="D2023" t="str">
        <f>IF(ROW(D2023)&lt;=Raw_hydro_bm!$J$2,Raw_hydro_bm!E2023,"")</f>
        <v/>
      </c>
      <c r="E2023" t="str">
        <f>IF(ROW(E2023)&lt;=Raw_hydro_bm!$J$2,Raw_hydro_bm!F2023,"")</f>
        <v/>
      </c>
      <c r="F2023" t="str">
        <f>IF(ROW(F2023)&lt;=Raw_hydro_bm!$J$2,Raw_hydro_bm!G2023,"")</f>
        <v/>
      </c>
      <c r="G2023" t="str">
        <f>IF(ROW(G2023)&lt;=Raw_hydro_bm!$J$2,Raw_hydro_bm!H2023,"")</f>
        <v/>
      </c>
      <c r="H2023" t="str">
        <f>IF(ROW(H2023)&lt;=Raw_hydro_bm!$J$2,Raw_hydro_bm!I2023,"")</f>
        <v/>
      </c>
      <c r="I2023" s="16" t="str">
        <f t="shared" si="31"/>
        <v/>
      </c>
    </row>
    <row r="2024" spans="1:9" x14ac:dyDescent="0.2">
      <c r="A2024" t="str">
        <f>IF(ROW(A2024)&lt;=Raw_hydro_bm!$J$2,Raw_hydro_bm!B2024,"")</f>
        <v/>
      </c>
      <c r="B2024" t="str">
        <f>IF(ROW(B2024)&lt;=Raw_hydro_bm!$J$2,Raw_hydro_bm!C2024,"")</f>
        <v/>
      </c>
      <c r="C2024" t="str">
        <f>IF(ROW(C2024)&lt;=Raw_hydro_bm!$J$2,Raw_hydro_bm!D2024,"")</f>
        <v/>
      </c>
      <c r="D2024" t="str">
        <f>IF(ROW(D2024)&lt;=Raw_hydro_bm!$J$2,Raw_hydro_bm!E2024,"")</f>
        <v/>
      </c>
      <c r="E2024" t="str">
        <f>IF(ROW(E2024)&lt;=Raw_hydro_bm!$J$2,Raw_hydro_bm!F2024,"")</f>
        <v/>
      </c>
      <c r="F2024" t="str">
        <f>IF(ROW(F2024)&lt;=Raw_hydro_bm!$J$2,Raw_hydro_bm!G2024,"")</f>
        <v/>
      </c>
      <c r="G2024" t="str">
        <f>IF(ROW(G2024)&lt;=Raw_hydro_bm!$J$2,Raw_hydro_bm!H2024,"")</f>
        <v/>
      </c>
      <c r="H2024" t="str">
        <f>IF(ROW(H2024)&lt;=Raw_hydro_bm!$J$2,Raw_hydro_bm!I2024,"")</f>
        <v/>
      </c>
      <c r="I2024" s="16" t="str">
        <f t="shared" si="31"/>
        <v/>
      </c>
    </row>
    <row r="2025" spans="1:9" x14ac:dyDescent="0.2">
      <c r="A2025" t="str">
        <f>IF(ROW(A2025)&lt;=Raw_hydro_bm!$J$2,Raw_hydro_bm!B2025,"")</f>
        <v/>
      </c>
      <c r="B2025" t="str">
        <f>IF(ROW(B2025)&lt;=Raw_hydro_bm!$J$2,Raw_hydro_bm!C2025,"")</f>
        <v/>
      </c>
      <c r="C2025" t="str">
        <f>IF(ROW(C2025)&lt;=Raw_hydro_bm!$J$2,Raw_hydro_bm!D2025,"")</f>
        <v/>
      </c>
      <c r="D2025" t="str">
        <f>IF(ROW(D2025)&lt;=Raw_hydro_bm!$J$2,Raw_hydro_bm!E2025,"")</f>
        <v/>
      </c>
      <c r="E2025" t="str">
        <f>IF(ROW(E2025)&lt;=Raw_hydro_bm!$J$2,Raw_hydro_bm!F2025,"")</f>
        <v/>
      </c>
      <c r="F2025" t="str">
        <f>IF(ROW(F2025)&lt;=Raw_hydro_bm!$J$2,Raw_hydro_bm!G2025,"")</f>
        <v/>
      </c>
      <c r="G2025" t="str">
        <f>IF(ROW(G2025)&lt;=Raw_hydro_bm!$J$2,Raw_hydro_bm!H2025,"")</f>
        <v/>
      </c>
      <c r="H2025" t="str">
        <f>IF(ROW(H2025)&lt;=Raw_hydro_bm!$J$2,Raw_hydro_bm!I2025,"")</f>
        <v/>
      </c>
      <c r="I2025" s="16" t="str">
        <f t="shared" si="31"/>
        <v/>
      </c>
    </row>
    <row r="2026" spans="1:9" x14ac:dyDescent="0.2">
      <c r="A2026" t="str">
        <f>IF(ROW(A2026)&lt;=Raw_hydro_bm!$J$2,Raw_hydro_bm!B2026,"")</f>
        <v/>
      </c>
      <c r="B2026" t="str">
        <f>IF(ROW(B2026)&lt;=Raw_hydro_bm!$J$2,Raw_hydro_bm!C2026,"")</f>
        <v/>
      </c>
      <c r="C2026" t="str">
        <f>IF(ROW(C2026)&lt;=Raw_hydro_bm!$J$2,Raw_hydro_bm!D2026,"")</f>
        <v/>
      </c>
      <c r="D2026" t="str">
        <f>IF(ROW(D2026)&lt;=Raw_hydro_bm!$J$2,Raw_hydro_bm!E2026,"")</f>
        <v/>
      </c>
      <c r="E2026" t="str">
        <f>IF(ROW(E2026)&lt;=Raw_hydro_bm!$J$2,Raw_hydro_bm!F2026,"")</f>
        <v/>
      </c>
      <c r="F2026" t="str">
        <f>IF(ROW(F2026)&lt;=Raw_hydro_bm!$J$2,Raw_hydro_bm!G2026,"")</f>
        <v/>
      </c>
      <c r="G2026" t="str">
        <f>IF(ROW(G2026)&lt;=Raw_hydro_bm!$J$2,Raw_hydro_bm!H2026,"")</f>
        <v/>
      </c>
      <c r="H2026" t="str">
        <f>IF(ROW(H2026)&lt;=Raw_hydro_bm!$J$2,Raw_hydro_bm!I2026,"")</f>
        <v/>
      </c>
      <c r="I2026" s="16" t="str">
        <f t="shared" si="31"/>
        <v/>
      </c>
    </row>
    <row r="2027" spans="1:9" x14ac:dyDescent="0.2">
      <c r="A2027" t="str">
        <f>IF(ROW(A2027)&lt;=Raw_hydro_bm!$J$2,Raw_hydro_bm!B2027,"")</f>
        <v/>
      </c>
      <c r="B2027" t="str">
        <f>IF(ROW(B2027)&lt;=Raw_hydro_bm!$J$2,Raw_hydro_bm!C2027,"")</f>
        <v/>
      </c>
      <c r="C2027" t="str">
        <f>IF(ROW(C2027)&lt;=Raw_hydro_bm!$J$2,Raw_hydro_bm!D2027,"")</f>
        <v/>
      </c>
      <c r="D2027" t="str">
        <f>IF(ROW(D2027)&lt;=Raw_hydro_bm!$J$2,Raw_hydro_bm!E2027,"")</f>
        <v/>
      </c>
      <c r="E2027" t="str">
        <f>IF(ROW(E2027)&lt;=Raw_hydro_bm!$J$2,Raw_hydro_bm!F2027,"")</f>
        <v/>
      </c>
      <c r="F2027" t="str">
        <f>IF(ROW(F2027)&lt;=Raw_hydro_bm!$J$2,Raw_hydro_bm!G2027,"")</f>
        <v/>
      </c>
      <c r="G2027" t="str">
        <f>IF(ROW(G2027)&lt;=Raw_hydro_bm!$J$2,Raw_hydro_bm!H2027,"")</f>
        <v/>
      </c>
      <c r="H2027" t="str">
        <f>IF(ROW(H2027)&lt;=Raw_hydro_bm!$J$2,Raw_hydro_bm!I2027,"")</f>
        <v/>
      </c>
      <c r="I2027" s="16" t="str">
        <f t="shared" si="31"/>
        <v/>
      </c>
    </row>
    <row r="2028" spans="1:9" x14ac:dyDescent="0.2">
      <c r="A2028" t="str">
        <f>IF(ROW(A2028)&lt;=Raw_hydro_bm!$J$2,Raw_hydro_bm!B2028,"")</f>
        <v/>
      </c>
      <c r="B2028" t="str">
        <f>IF(ROW(B2028)&lt;=Raw_hydro_bm!$J$2,Raw_hydro_bm!C2028,"")</f>
        <v/>
      </c>
      <c r="C2028" t="str">
        <f>IF(ROW(C2028)&lt;=Raw_hydro_bm!$J$2,Raw_hydro_bm!D2028,"")</f>
        <v/>
      </c>
      <c r="D2028" t="str">
        <f>IF(ROW(D2028)&lt;=Raw_hydro_bm!$J$2,Raw_hydro_bm!E2028,"")</f>
        <v/>
      </c>
      <c r="E2028" t="str">
        <f>IF(ROW(E2028)&lt;=Raw_hydro_bm!$J$2,Raw_hydro_bm!F2028,"")</f>
        <v/>
      </c>
      <c r="F2028" t="str">
        <f>IF(ROW(F2028)&lt;=Raw_hydro_bm!$J$2,Raw_hydro_bm!G2028,"")</f>
        <v/>
      </c>
      <c r="G2028" t="str">
        <f>IF(ROW(G2028)&lt;=Raw_hydro_bm!$J$2,Raw_hydro_bm!H2028,"")</f>
        <v/>
      </c>
      <c r="H2028" t="str">
        <f>IF(ROW(H2028)&lt;=Raw_hydro_bm!$J$2,Raw_hydro_bm!I2028,"")</f>
        <v/>
      </c>
      <c r="I2028" s="16" t="str">
        <f t="shared" si="31"/>
        <v/>
      </c>
    </row>
    <row r="2029" spans="1:9" x14ac:dyDescent="0.2">
      <c r="A2029" t="str">
        <f>IF(ROW(A2029)&lt;=Raw_hydro_bm!$J$2,Raw_hydro_bm!B2029,"")</f>
        <v/>
      </c>
      <c r="B2029" t="str">
        <f>IF(ROW(B2029)&lt;=Raw_hydro_bm!$J$2,Raw_hydro_bm!C2029,"")</f>
        <v/>
      </c>
      <c r="C2029" t="str">
        <f>IF(ROW(C2029)&lt;=Raw_hydro_bm!$J$2,Raw_hydro_bm!D2029,"")</f>
        <v/>
      </c>
      <c r="D2029" t="str">
        <f>IF(ROW(D2029)&lt;=Raw_hydro_bm!$J$2,Raw_hydro_bm!E2029,"")</f>
        <v/>
      </c>
      <c r="E2029" t="str">
        <f>IF(ROW(E2029)&lt;=Raw_hydro_bm!$J$2,Raw_hydro_bm!F2029,"")</f>
        <v/>
      </c>
      <c r="F2029" t="str">
        <f>IF(ROW(F2029)&lt;=Raw_hydro_bm!$J$2,Raw_hydro_bm!G2029,"")</f>
        <v/>
      </c>
      <c r="G2029" t="str">
        <f>IF(ROW(G2029)&lt;=Raw_hydro_bm!$J$2,Raw_hydro_bm!H2029,"")</f>
        <v/>
      </c>
      <c r="H2029" t="str">
        <f>IF(ROW(H2029)&lt;=Raw_hydro_bm!$J$2,Raw_hydro_bm!I2029,"")</f>
        <v/>
      </c>
      <c r="I2029" s="16" t="str">
        <f t="shared" si="31"/>
        <v/>
      </c>
    </row>
    <row r="2030" spans="1:9" x14ac:dyDescent="0.2">
      <c r="A2030" t="str">
        <f>IF(ROW(A2030)&lt;=Raw_hydro_bm!$J$2,Raw_hydro_bm!B2030,"")</f>
        <v/>
      </c>
      <c r="B2030" t="str">
        <f>IF(ROW(B2030)&lt;=Raw_hydro_bm!$J$2,Raw_hydro_bm!C2030,"")</f>
        <v/>
      </c>
      <c r="C2030" t="str">
        <f>IF(ROW(C2030)&lt;=Raw_hydro_bm!$J$2,Raw_hydro_bm!D2030,"")</f>
        <v/>
      </c>
      <c r="D2030" t="str">
        <f>IF(ROW(D2030)&lt;=Raw_hydro_bm!$J$2,Raw_hydro_bm!E2030,"")</f>
        <v/>
      </c>
      <c r="E2030" t="str">
        <f>IF(ROW(E2030)&lt;=Raw_hydro_bm!$J$2,Raw_hydro_bm!F2030,"")</f>
        <v/>
      </c>
      <c r="F2030" t="str">
        <f>IF(ROW(F2030)&lt;=Raw_hydro_bm!$J$2,Raw_hydro_bm!G2030,"")</f>
        <v/>
      </c>
      <c r="G2030" t="str">
        <f>IF(ROW(G2030)&lt;=Raw_hydro_bm!$J$2,Raw_hydro_bm!H2030,"")</f>
        <v/>
      </c>
      <c r="H2030" t="str">
        <f>IF(ROW(H2030)&lt;=Raw_hydro_bm!$J$2,Raw_hydro_bm!I2030,"")</f>
        <v/>
      </c>
      <c r="I2030" s="16" t="str">
        <f t="shared" si="31"/>
        <v/>
      </c>
    </row>
    <row r="2031" spans="1:9" x14ac:dyDescent="0.2">
      <c r="A2031" t="str">
        <f>IF(ROW(A2031)&lt;=Raw_hydro_bm!$J$2,Raw_hydro_bm!B2031,"")</f>
        <v/>
      </c>
      <c r="B2031" t="str">
        <f>IF(ROW(B2031)&lt;=Raw_hydro_bm!$J$2,Raw_hydro_bm!C2031,"")</f>
        <v/>
      </c>
      <c r="C2031" t="str">
        <f>IF(ROW(C2031)&lt;=Raw_hydro_bm!$J$2,Raw_hydro_bm!D2031,"")</f>
        <v/>
      </c>
      <c r="D2031" t="str">
        <f>IF(ROW(D2031)&lt;=Raw_hydro_bm!$J$2,Raw_hydro_bm!E2031,"")</f>
        <v/>
      </c>
      <c r="E2031" t="str">
        <f>IF(ROW(E2031)&lt;=Raw_hydro_bm!$J$2,Raw_hydro_bm!F2031,"")</f>
        <v/>
      </c>
      <c r="F2031" t="str">
        <f>IF(ROW(F2031)&lt;=Raw_hydro_bm!$J$2,Raw_hydro_bm!G2031,"")</f>
        <v/>
      </c>
      <c r="G2031" t="str">
        <f>IF(ROW(G2031)&lt;=Raw_hydro_bm!$J$2,Raw_hydro_bm!H2031,"")</f>
        <v/>
      </c>
      <c r="H2031" t="str">
        <f>IF(ROW(H2031)&lt;=Raw_hydro_bm!$J$2,Raw_hydro_bm!I2031,"")</f>
        <v/>
      </c>
      <c r="I2031" s="16" t="str">
        <f t="shared" si="31"/>
        <v/>
      </c>
    </row>
    <row r="2032" spans="1:9" x14ac:dyDescent="0.2">
      <c r="A2032" t="str">
        <f>IF(ROW(A2032)&lt;=Raw_hydro_bm!$J$2,Raw_hydro_bm!B2032,"")</f>
        <v/>
      </c>
      <c r="B2032" t="str">
        <f>IF(ROW(B2032)&lt;=Raw_hydro_bm!$J$2,Raw_hydro_bm!C2032,"")</f>
        <v/>
      </c>
      <c r="C2032" t="str">
        <f>IF(ROW(C2032)&lt;=Raw_hydro_bm!$J$2,Raw_hydro_bm!D2032,"")</f>
        <v/>
      </c>
      <c r="D2032" t="str">
        <f>IF(ROW(D2032)&lt;=Raw_hydro_bm!$J$2,Raw_hydro_bm!E2032,"")</f>
        <v/>
      </c>
      <c r="E2032" t="str">
        <f>IF(ROW(E2032)&lt;=Raw_hydro_bm!$J$2,Raw_hydro_bm!F2032,"")</f>
        <v/>
      </c>
      <c r="F2032" t="str">
        <f>IF(ROW(F2032)&lt;=Raw_hydro_bm!$J$2,Raw_hydro_bm!G2032,"")</f>
        <v/>
      </c>
      <c r="G2032" t="str">
        <f>IF(ROW(G2032)&lt;=Raw_hydro_bm!$J$2,Raw_hydro_bm!H2032,"")</f>
        <v/>
      </c>
      <c r="H2032" t="str">
        <f>IF(ROW(H2032)&lt;=Raw_hydro_bm!$J$2,Raw_hydro_bm!I2032,"")</f>
        <v/>
      </c>
      <c r="I2032" s="16" t="str">
        <f t="shared" si="31"/>
        <v/>
      </c>
    </row>
    <row r="2033" spans="1:9" x14ac:dyDescent="0.2">
      <c r="A2033" t="str">
        <f>IF(ROW(A2033)&lt;=Raw_hydro_bm!$J$2,Raw_hydro_bm!B2033,"")</f>
        <v/>
      </c>
      <c r="B2033" t="str">
        <f>IF(ROW(B2033)&lt;=Raw_hydro_bm!$J$2,Raw_hydro_bm!C2033,"")</f>
        <v/>
      </c>
      <c r="C2033" t="str">
        <f>IF(ROW(C2033)&lt;=Raw_hydro_bm!$J$2,Raw_hydro_bm!D2033,"")</f>
        <v/>
      </c>
      <c r="D2033" t="str">
        <f>IF(ROW(D2033)&lt;=Raw_hydro_bm!$J$2,Raw_hydro_bm!E2033,"")</f>
        <v/>
      </c>
      <c r="E2033" t="str">
        <f>IF(ROW(E2033)&lt;=Raw_hydro_bm!$J$2,Raw_hydro_bm!F2033,"")</f>
        <v/>
      </c>
      <c r="F2033" t="str">
        <f>IF(ROW(F2033)&lt;=Raw_hydro_bm!$J$2,Raw_hydro_bm!G2033,"")</f>
        <v/>
      </c>
      <c r="G2033" t="str">
        <f>IF(ROW(G2033)&lt;=Raw_hydro_bm!$J$2,Raw_hydro_bm!H2033,"")</f>
        <v/>
      </c>
      <c r="H2033" t="str">
        <f>IF(ROW(H2033)&lt;=Raw_hydro_bm!$J$2,Raw_hydro_bm!I2033,"")</f>
        <v/>
      </c>
      <c r="I2033" s="16" t="str">
        <f t="shared" si="31"/>
        <v/>
      </c>
    </row>
    <row r="2034" spans="1:9" x14ac:dyDescent="0.2">
      <c r="A2034" t="str">
        <f>IF(ROW(A2034)&lt;=Raw_hydro_bm!$J$2,Raw_hydro_bm!B2034,"")</f>
        <v/>
      </c>
      <c r="B2034" t="str">
        <f>IF(ROW(B2034)&lt;=Raw_hydro_bm!$J$2,Raw_hydro_bm!C2034,"")</f>
        <v/>
      </c>
      <c r="C2034" t="str">
        <f>IF(ROW(C2034)&lt;=Raw_hydro_bm!$J$2,Raw_hydro_bm!D2034,"")</f>
        <v/>
      </c>
      <c r="D2034" t="str">
        <f>IF(ROW(D2034)&lt;=Raw_hydro_bm!$J$2,Raw_hydro_bm!E2034,"")</f>
        <v/>
      </c>
      <c r="E2034" t="str">
        <f>IF(ROW(E2034)&lt;=Raw_hydro_bm!$J$2,Raw_hydro_bm!F2034,"")</f>
        <v/>
      </c>
      <c r="F2034" t="str">
        <f>IF(ROW(F2034)&lt;=Raw_hydro_bm!$J$2,Raw_hydro_bm!G2034,"")</f>
        <v/>
      </c>
      <c r="G2034" t="str">
        <f>IF(ROW(G2034)&lt;=Raw_hydro_bm!$J$2,Raw_hydro_bm!H2034,"")</f>
        <v/>
      </c>
      <c r="H2034" t="str">
        <f>IF(ROW(H2034)&lt;=Raw_hydro_bm!$J$2,Raw_hydro_bm!I2034,"")</f>
        <v/>
      </c>
      <c r="I2034" s="16" t="str">
        <f t="shared" si="31"/>
        <v/>
      </c>
    </row>
    <row r="2035" spans="1:9" x14ac:dyDescent="0.2">
      <c r="A2035" t="str">
        <f>IF(ROW(A2035)&lt;=Raw_hydro_bm!$J$2,Raw_hydro_bm!B2035,"")</f>
        <v/>
      </c>
      <c r="B2035" t="str">
        <f>IF(ROW(B2035)&lt;=Raw_hydro_bm!$J$2,Raw_hydro_bm!C2035,"")</f>
        <v/>
      </c>
      <c r="C2035" t="str">
        <f>IF(ROW(C2035)&lt;=Raw_hydro_bm!$J$2,Raw_hydro_bm!D2035,"")</f>
        <v/>
      </c>
      <c r="D2035" t="str">
        <f>IF(ROW(D2035)&lt;=Raw_hydro_bm!$J$2,Raw_hydro_bm!E2035,"")</f>
        <v/>
      </c>
      <c r="E2035" t="str">
        <f>IF(ROW(E2035)&lt;=Raw_hydro_bm!$J$2,Raw_hydro_bm!F2035,"")</f>
        <v/>
      </c>
      <c r="F2035" t="str">
        <f>IF(ROW(F2035)&lt;=Raw_hydro_bm!$J$2,Raw_hydro_bm!G2035,"")</f>
        <v/>
      </c>
      <c r="G2035" t="str">
        <f>IF(ROW(G2035)&lt;=Raw_hydro_bm!$J$2,Raw_hydro_bm!H2035,"")</f>
        <v/>
      </c>
      <c r="H2035" t="str">
        <f>IF(ROW(H2035)&lt;=Raw_hydro_bm!$J$2,Raw_hydro_bm!I2035,"")</f>
        <v/>
      </c>
      <c r="I2035" s="16" t="str">
        <f t="shared" si="31"/>
        <v/>
      </c>
    </row>
    <row r="2036" spans="1:9" x14ac:dyDescent="0.2">
      <c r="A2036" t="str">
        <f>IF(ROW(A2036)&lt;=Raw_hydro_bm!$J$2,Raw_hydro_bm!B2036,"")</f>
        <v/>
      </c>
      <c r="B2036" t="str">
        <f>IF(ROW(B2036)&lt;=Raw_hydro_bm!$J$2,Raw_hydro_bm!C2036,"")</f>
        <v/>
      </c>
      <c r="C2036" t="str">
        <f>IF(ROW(C2036)&lt;=Raw_hydro_bm!$J$2,Raw_hydro_bm!D2036,"")</f>
        <v/>
      </c>
      <c r="D2036" t="str">
        <f>IF(ROW(D2036)&lt;=Raw_hydro_bm!$J$2,Raw_hydro_bm!E2036,"")</f>
        <v/>
      </c>
      <c r="E2036" t="str">
        <f>IF(ROW(E2036)&lt;=Raw_hydro_bm!$J$2,Raw_hydro_bm!F2036,"")</f>
        <v/>
      </c>
      <c r="F2036" t="str">
        <f>IF(ROW(F2036)&lt;=Raw_hydro_bm!$J$2,Raw_hydro_bm!G2036,"")</f>
        <v/>
      </c>
      <c r="G2036" t="str">
        <f>IF(ROW(G2036)&lt;=Raw_hydro_bm!$J$2,Raw_hydro_bm!H2036,"")</f>
        <v/>
      </c>
      <c r="H2036" t="str">
        <f>IF(ROW(H2036)&lt;=Raw_hydro_bm!$J$2,Raw_hydro_bm!I2036,"")</f>
        <v/>
      </c>
      <c r="I2036" s="16" t="str">
        <f t="shared" si="31"/>
        <v/>
      </c>
    </row>
    <row r="2037" spans="1:9" x14ac:dyDescent="0.2">
      <c r="A2037" t="str">
        <f>IF(ROW(A2037)&lt;=Raw_hydro_bm!$J$2,Raw_hydro_bm!B2037,"")</f>
        <v/>
      </c>
      <c r="B2037" t="str">
        <f>IF(ROW(B2037)&lt;=Raw_hydro_bm!$J$2,Raw_hydro_bm!C2037,"")</f>
        <v/>
      </c>
      <c r="C2037" t="str">
        <f>IF(ROW(C2037)&lt;=Raw_hydro_bm!$J$2,Raw_hydro_bm!D2037,"")</f>
        <v/>
      </c>
      <c r="D2037" t="str">
        <f>IF(ROW(D2037)&lt;=Raw_hydro_bm!$J$2,Raw_hydro_bm!E2037,"")</f>
        <v/>
      </c>
      <c r="E2037" t="str">
        <f>IF(ROW(E2037)&lt;=Raw_hydro_bm!$J$2,Raw_hydro_bm!F2037,"")</f>
        <v/>
      </c>
      <c r="F2037" t="str">
        <f>IF(ROW(F2037)&lt;=Raw_hydro_bm!$J$2,Raw_hydro_bm!G2037,"")</f>
        <v/>
      </c>
      <c r="G2037" t="str">
        <f>IF(ROW(G2037)&lt;=Raw_hydro_bm!$J$2,Raw_hydro_bm!H2037,"")</f>
        <v/>
      </c>
      <c r="H2037" t="str">
        <f>IF(ROW(H2037)&lt;=Raw_hydro_bm!$J$2,Raw_hydro_bm!I2037,"")</f>
        <v/>
      </c>
      <c r="I2037" s="16" t="str">
        <f t="shared" si="31"/>
        <v/>
      </c>
    </row>
    <row r="2038" spans="1:9" x14ac:dyDescent="0.2">
      <c r="A2038" t="str">
        <f>IF(ROW(A2038)&lt;=Raw_hydro_bm!$J$2,Raw_hydro_bm!B2038,"")</f>
        <v/>
      </c>
      <c r="B2038" t="str">
        <f>IF(ROW(B2038)&lt;=Raw_hydro_bm!$J$2,Raw_hydro_bm!C2038,"")</f>
        <v/>
      </c>
      <c r="C2038" t="str">
        <f>IF(ROW(C2038)&lt;=Raw_hydro_bm!$J$2,Raw_hydro_bm!D2038,"")</f>
        <v/>
      </c>
      <c r="D2038" t="str">
        <f>IF(ROW(D2038)&lt;=Raw_hydro_bm!$J$2,Raw_hydro_bm!E2038,"")</f>
        <v/>
      </c>
      <c r="E2038" t="str">
        <f>IF(ROW(E2038)&lt;=Raw_hydro_bm!$J$2,Raw_hydro_bm!F2038,"")</f>
        <v/>
      </c>
      <c r="F2038" t="str">
        <f>IF(ROW(F2038)&lt;=Raw_hydro_bm!$J$2,Raw_hydro_bm!G2038,"")</f>
        <v/>
      </c>
      <c r="G2038" t="str">
        <f>IF(ROW(G2038)&lt;=Raw_hydro_bm!$J$2,Raw_hydro_bm!H2038,"")</f>
        <v/>
      </c>
      <c r="H2038" t="str">
        <f>IF(ROW(H2038)&lt;=Raw_hydro_bm!$J$2,Raw_hydro_bm!I2038,"")</f>
        <v/>
      </c>
      <c r="I2038" s="16" t="str">
        <f t="shared" si="31"/>
        <v/>
      </c>
    </row>
    <row r="2039" spans="1:9" x14ac:dyDescent="0.2">
      <c r="A2039" t="str">
        <f>IF(ROW(A2039)&lt;=Raw_hydro_bm!$J$2,Raw_hydro_bm!B2039,"")</f>
        <v/>
      </c>
      <c r="B2039" t="str">
        <f>IF(ROW(B2039)&lt;=Raw_hydro_bm!$J$2,Raw_hydro_bm!C2039,"")</f>
        <v/>
      </c>
      <c r="C2039" t="str">
        <f>IF(ROW(C2039)&lt;=Raw_hydro_bm!$J$2,Raw_hydro_bm!D2039,"")</f>
        <v/>
      </c>
      <c r="D2039" t="str">
        <f>IF(ROW(D2039)&lt;=Raw_hydro_bm!$J$2,Raw_hydro_bm!E2039,"")</f>
        <v/>
      </c>
      <c r="E2039" t="str">
        <f>IF(ROW(E2039)&lt;=Raw_hydro_bm!$J$2,Raw_hydro_bm!F2039,"")</f>
        <v/>
      </c>
      <c r="F2039" t="str">
        <f>IF(ROW(F2039)&lt;=Raw_hydro_bm!$J$2,Raw_hydro_bm!G2039,"")</f>
        <v/>
      </c>
      <c r="G2039" t="str">
        <f>IF(ROW(G2039)&lt;=Raw_hydro_bm!$J$2,Raw_hydro_bm!H2039,"")</f>
        <v/>
      </c>
      <c r="H2039" t="str">
        <f>IF(ROW(H2039)&lt;=Raw_hydro_bm!$J$2,Raw_hydro_bm!I2039,"")</f>
        <v/>
      </c>
      <c r="I2039" s="16" t="str">
        <f t="shared" si="31"/>
        <v/>
      </c>
    </row>
    <row r="2040" spans="1:9" x14ac:dyDescent="0.2">
      <c r="A2040" t="str">
        <f>IF(ROW(A2040)&lt;=Raw_hydro_bm!$J$2,Raw_hydro_bm!B2040,"")</f>
        <v/>
      </c>
      <c r="B2040" t="str">
        <f>IF(ROW(B2040)&lt;=Raw_hydro_bm!$J$2,Raw_hydro_bm!C2040,"")</f>
        <v/>
      </c>
      <c r="C2040" t="str">
        <f>IF(ROW(C2040)&lt;=Raw_hydro_bm!$J$2,Raw_hydro_bm!D2040,"")</f>
        <v/>
      </c>
      <c r="D2040" t="str">
        <f>IF(ROW(D2040)&lt;=Raw_hydro_bm!$J$2,Raw_hydro_bm!E2040,"")</f>
        <v/>
      </c>
      <c r="E2040" t="str">
        <f>IF(ROW(E2040)&lt;=Raw_hydro_bm!$J$2,Raw_hydro_bm!F2040,"")</f>
        <v/>
      </c>
      <c r="F2040" t="str">
        <f>IF(ROW(F2040)&lt;=Raw_hydro_bm!$J$2,Raw_hydro_bm!G2040,"")</f>
        <v/>
      </c>
      <c r="G2040" t="str">
        <f>IF(ROW(G2040)&lt;=Raw_hydro_bm!$J$2,Raw_hydro_bm!H2040,"")</f>
        <v/>
      </c>
      <c r="H2040" t="str">
        <f>IF(ROW(H2040)&lt;=Raw_hydro_bm!$J$2,Raw_hydro_bm!I2040,"")</f>
        <v/>
      </c>
      <c r="I2040" s="16" t="str">
        <f t="shared" si="31"/>
        <v/>
      </c>
    </row>
    <row r="2041" spans="1:9" x14ac:dyDescent="0.2">
      <c r="A2041" t="str">
        <f>IF(ROW(A2041)&lt;=Raw_hydro_bm!$J$2,Raw_hydro_bm!B2041,"")</f>
        <v/>
      </c>
      <c r="B2041" t="str">
        <f>IF(ROW(B2041)&lt;=Raw_hydro_bm!$J$2,Raw_hydro_bm!C2041,"")</f>
        <v/>
      </c>
      <c r="C2041" t="str">
        <f>IF(ROW(C2041)&lt;=Raw_hydro_bm!$J$2,Raw_hydro_bm!D2041,"")</f>
        <v/>
      </c>
      <c r="D2041" t="str">
        <f>IF(ROW(D2041)&lt;=Raw_hydro_bm!$J$2,Raw_hydro_bm!E2041,"")</f>
        <v/>
      </c>
      <c r="E2041" t="str">
        <f>IF(ROW(E2041)&lt;=Raw_hydro_bm!$J$2,Raw_hydro_bm!F2041,"")</f>
        <v/>
      </c>
      <c r="F2041" t="str">
        <f>IF(ROW(F2041)&lt;=Raw_hydro_bm!$J$2,Raw_hydro_bm!G2041,"")</f>
        <v/>
      </c>
      <c r="G2041" t="str">
        <f>IF(ROW(G2041)&lt;=Raw_hydro_bm!$J$2,Raw_hydro_bm!H2041,"")</f>
        <v/>
      </c>
      <c r="H2041" t="str">
        <f>IF(ROW(H2041)&lt;=Raw_hydro_bm!$J$2,Raw_hydro_bm!I2041,"")</f>
        <v/>
      </c>
      <c r="I2041" s="16" t="str">
        <f t="shared" si="31"/>
        <v/>
      </c>
    </row>
    <row r="2042" spans="1:9" x14ac:dyDescent="0.2">
      <c r="A2042" t="str">
        <f>IF(ROW(A2042)&lt;=Raw_hydro_bm!$J$2,Raw_hydro_bm!B2042,"")</f>
        <v/>
      </c>
      <c r="B2042" t="str">
        <f>IF(ROW(B2042)&lt;=Raw_hydro_bm!$J$2,Raw_hydro_bm!C2042,"")</f>
        <v/>
      </c>
      <c r="C2042" t="str">
        <f>IF(ROW(C2042)&lt;=Raw_hydro_bm!$J$2,Raw_hydro_bm!D2042,"")</f>
        <v/>
      </c>
      <c r="D2042" t="str">
        <f>IF(ROW(D2042)&lt;=Raw_hydro_bm!$J$2,Raw_hydro_bm!E2042,"")</f>
        <v/>
      </c>
      <c r="E2042" t="str">
        <f>IF(ROW(E2042)&lt;=Raw_hydro_bm!$J$2,Raw_hydro_bm!F2042,"")</f>
        <v/>
      </c>
      <c r="F2042" t="str">
        <f>IF(ROW(F2042)&lt;=Raw_hydro_bm!$J$2,Raw_hydro_bm!G2042,"")</f>
        <v/>
      </c>
      <c r="G2042" t="str">
        <f>IF(ROW(G2042)&lt;=Raw_hydro_bm!$J$2,Raw_hydro_bm!H2042,"")</f>
        <v/>
      </c>
      <c r="H2042" t="str">
        <f>IF(ROW(H2042)&lt;=Raw_hydro_bm!$J$2,Raw_hydro_bm!I2042,"")</f>
        <v/>
      </c>
      <c r="I2042" s="16" t="str">
        <f t="shared" si="31"/>
        <v/>
      </c>
    </row>
    <row r="2043" spans="1:9" x14ac:dyDescent="0.2">
      <c r="A2043" t="str">
        <f>IF(ROW(A2043)&lt;=Raw_hydro_bm!$J$2,Raw_hydro_bm!B2043,"")</f>
        <v/>
      </c>
      <c r="B2043" t="str">
        <f>IF(ROW(B2043)&lt;=Raw_hydro_bm!$J$2,Raw_hydro_bm!C2043,"")</f>
        <v/>
      </c>
      <c r="C2043" t="str">
        <f>IF(ROW(C2043)&lt;=Raw_hydro_bm!$J$2,Raw_hydro_bm!D2043,"")</f>
        <v/>
      </c>
      <c r="D2043" t="str">
        <f>IF(ROW(D2043)&lt;=Raw_hydro_bm!$J$2,Raw_hydro_bm!E2043,"")</f>
        <v/>
      </c>
      <c r="E2043" t="str">
        <f>IF(ROW(E2043)&lt;=Raw_hydro_bm!$J$2,Raw_hydro_bm!F2043,"")</f>
        <v/>
      </c>
      <c r="F2043" t="str">
        <f>IF(ROW(F2043)&lt;=Raw_hydro_bm!$J$2,Raw_hydro_bm!G2043,"")</f>
        <v/>
      </c>
      <c r="G2043" t="str">
        <f>IF(ROW(G2043)&lt;=Raw_hydro_bm!$J$2,Raw_hydro_bm!H2043,"")</f>
        <v/>
      </c>
      <c r="H2043" t="str">
        <f>IF(ROW(H2043)&lt;=Raw_hydro_bm!$J$2,Raw_hydro_bm!I2043,"")</f>
        <v/>
      </c>
      <c r="I2043" s="16" t="str">
        <f t="shared" si="31"/>
        <v/>
      </c>
    </row>
    <row r="2044" spans="1:9" x14ac:dyDescent="0.2">
      <c r="A2044" t="str">
        <f>IF(ROW(A2044)&lt;=Raw_hydro_bm!$J$2,Raw_hydro_bm!B2044,"")</f>
        <v/>
      </c>
      <c r="B2044" t="str">
        <f>IF(ROW(B2044)&lt;=Raw_hydro_bm!$J$2,Raw_hydro_bm!C2044,"")</f>
        <v/>
      </c>
      <c r="C2044" t="str">
        <f>IF(ROW(C2044)&lt;=Raw_hydro_bm!$J$2,Raw_hydro_bm!D2044,"")</f>
        <v/>
      </c>
      <c r="D2044" t="str">
        <f>IF(ROW(D2044)&lt;=Raw_hydro_bm!$J$2,Raw_hydro_bm!E2044,"")</f>
        <v/>
      </c>
      <c r="E2044" t="str">
        <f>IF(ROW(E2044)&lt;=Raw_hydro_bm!$J$2,Raw_hydro_bm!F2044,"")</f>
        <v/>
      </c>
      <c r="F2044" t="str">
        <f>IF(ROW(F2044)&lt;=Raw_hydro_bm!$J$2,Raw_hydro_bm!G2044,"")</f>
        <v/>
      </c>
      <c r="G2044" t="str">
        <f>IF(ROW(G2044)&lt;=Raw_hydro_bm!$J$2,Raw_hydro_bm!H2044,"")</f>
        <v/>
      </c>
      <c r="H2044" t="str">
        <f>IF(ROW(H2044)&lt;=Raw_hydro_bm!$J$2,Raw_hydro_bm!I2044,"")</f>
        <v/>
      </c>
      <c r="I2044" s="16" t="str">
        <f t="shared" si="31"/>
        <v/>
      </c>
    </row>
    <row r="2045" spans="1:9" x14ac:dyDescent="0.2">
      <c r="A2045" t="str">
        <f>IF(ROW(A2045)&lt;=Raw_hydro_bm!$J$2,Raw_hydro_bm!B2045,"")</f>
        <v/>
      </c>
      <c r="B2045" t="str">
        <f>IF(ROW(B2045)&lt;=Raw_hydro_bm!$J$2,Raw_hydro_bm!C2045,"")</f>
        <v/>
      </c>
      <c r="C2045" t="str">
        <f>IF(ROW(C2045)&lt;=Raw_hydro_bm!$J$2,Raw_hydro_bm!D2045,"")</f>
        <v/>
      </c>
      <c r="D2045" t="str">
        <f>IF(ROW(D2045)&lt;=Raw_hydro_bm!$J$2,Raw_hydro_bm!E2045,"")</f>
        <v/>
      </c>
      <c r="E2045" t="str">
        <f>IF(ROW(E2045)&lt;=Raw_hydro_bm!$J$2,Raw_hydro_bm!F2045,"")</f>
        <v/>
      </c>
      <c r="F2045" t="str">
        <f>IF(ROW(F2045)&lt;=Raw_hydro_bm!$J$2,Raw_hydro_bm!G2045,"")</f>
        <v/>
      </c>
      <c r="G2045" t="str">
        <f>IF(ROW(G2045)&lt;=Raw_hydro_bm!$J$2,Raw_hydro_bm!H2045,"")</f>
        <v/>
      </c>
      <c r="H2045" t="str">
        <f>IF(ROW(H2045)&lt;=Raw_hydro_bm!$J$2,Raw_hydro_bm!I2045,"")</f>
        <v/>
      </c>
      <c r="I2045" s="16" t="str">
        <f t="shared" si="31"/>
        <v/>
      </c>
    </row>
    <row r="2046" spans="1:9" x14ac:dyDescent="0.2">
      <c r="A2046" t="str">
        <f>IF(ROW(A2046)&lt;=Raw_hydro_bm!$J$2,Raw_hydro_bm!B2046,"")</f>
        <v/>
      </c>
      <c r="B2046" t="str">
        <f>IF(ROW(B2046)&lt;=Raw_hydro_bm!$J$2,Raw_hydro_bm!C2046,"")</f>
        <v/>
      </c>
      <c r="C2046" t="str">
        <f>IF(ROW(C2046)&lt;=Raw_hydro_bm!$J$2,Raw_hydro_bm!D2046,"")</f>
        <v/>
      </c>
      <c r="D2046" t="str">
        <f>IF(ROW(D2046)&lt;=Raw_hydro_bm!$J$2,Raw_hydro_bm!E2046,"")</f>
        <v/>
      </c>
      <c r="E2046" t="str">
        <f>IF(ROW(E2046)&lt;=Raw_hydro_bm!$J$2,Raw_hydro_bm!F2046,"")</f>
        <v/>
      </c>
      <c r="F2046" t="str">
        <f>IF(ROW(F2046)&lt;=Raw_hydro_bm!$J$2,Raw_hydro_bm!G2046,"")</f>
        <v/>
      </c>
      <c r="G2046" t="str">
        <f>IF(ROW(G2046)&lt;=Raw_hydro_bm!$J$2,Raw_hydro_bm!H2046,"")</f>
        <v/>
      </c>
      <c r="H2046" t="str">
        <f>IF(ROW(H2046)&lt;=Raw_hydro_bm!$J$2,Raw_hydro_bm!I2046,"")</f>
        <v/>
      </c>
      <c r="I2046" s="16" t="str">
        <f t="shared" si="31"/>
        <v/>
      </c>
    </row>
    <row r="2047" spans="1:9" x14ac:dyDescent="0.2">
      <c r="A2047" t="str">
        <f>IF(ROW(A2047)&lt;=Raw_hydro_bm!$J$2,Raw_hydro_bm!B2047,"")</f>
        <v/>
      </c>
      <c r="B2047" t="str">
        <f>IF(ROW(B2047)&lt;=Raw_hydro_bm!$J$2,Raw_hydro_bm!C2047,"")</f>
        <v/>
      </c>
      <c r="C2047" t="str">
        <f>IF(ROW(C2047)&lt;=Raw_hydro_bm!$J$2,Raw_hydro_bm!D2047,"")</f>
        <v/>
      </c>
      <c r="D2047" t="str">
        <f>IF(ROW(D2047)&lt;=Raw_hydro_bm!$J$2,Raw_hydro_bm!E2047,"")</f>
        <v/>
      </c>
      <c r="E2047" t="str">
        <f>IF(ROW(E2047)&lt;=Raw_hydro_bm!$J$2,Raw_hydro_bm!F2047,"")</f>
        <v/>
      </c>
      <c r="F2047" t="str">
        <f>IF(ROW(F2047)&lt;=Raw_hydro_bm!$J$2,Raw_hydro_bm!G2047,"")</f>
        <v/>
      </c>
      <c r="G2047" t="str">
        <f>IF(ROW(G2047)&lt;=Raw_hydro_bm!$J$2,Raw_hydro_bm!H2047,"")</f>
        <v/>
      </c>
      <c r="H2047" t="str">
        <f>IF(ROW(H2047)&lt;=Raw_hydro_bm!$J$2,Raw_hydro_bm!I2047,"")</f>
        <v/>
      </c>
      <c r="I2047" s="16" t="str">
        <f t="shared" si="31"/>
        <v/>
      </c>
    </row>
    <row r="2048" spans="1:9" x14ac:dyDescent="0.2">
      <c r="A2048" t="str">
        <f>IF(ROW(A2048)&lt;=Raw_hydro_bm!$J$2,Raw_hydro_bm!B2048,"")</f>
        <v/>
      </c>
      <c r="B2048" t="str">
        <f>IF(ROW(B2048)&lt;=Raw_hydro_bm!$J$2,Raw_hydro_bm!C2048,"")</f>
        <v/>
      </c>
      <c r="C2048" t="str">
        <f>IF(ROW(C2048)&lt;=Raw_hydro_bm!$J$2,Raw_hydro_bm!D2048,"")</f>
        <v/>
      </c>
      <c r="D2048" t="str">
        <f>IF(ROW(D2048)&lt;=Raw_hydro_bm!$J$2,Raw_hydro_bm!E2048,"")</f>
        <v/>
      </c>
      <c r="E2048" t="str">
        <f>IF(ROW(E2048)&lt;=Raw_hydro_bm!$J$2,Raw_hydro_bm!F2048,"")</f>
        <v/>
      </c>
      <c r="F2048" t="str">
        <f>IF(ROW(F2048)&lt;=Raw_hydro_bm!$J$2,Raw_hydro_bm!G2048,"")</f>
        <v/>
      </c>
      <c r="G2048" t="str">
        <f>IF(ROW(G2048)&lt;=Raw_hydro_bm!$J$2,Raw_hydro_bm!H2048,"")</f>
        <v/>
      </c>
      <c r="H2048" t="str">
        <f>IF(ROW(H2048)&lt;=Raw_hydro_bm!$J$2,Raw_hydro_bm!I2048,"")</f>
        <v/>
      </c>
      <c r="I2048" s="16" t="str">
        <f t="shared" si="31"/>
        <v/>
      </c>
    </row>
    <row r="2049" spans="1:9" x14ac:dyDescent="0.2">
      <c r="A2049" t="str">
        <f>IF(ROW(A2049)&lt;=Raw_hydro_bm!$J$2,Raw_hydro_bm!B2049,"")</f>
        <v/>
      </c>
      <c r="B2049" t="str">
        <f>IF(ROW(B2049)&lt;=Raw_hydro_bm!$J$2,Raw_hydro_bm!C2049,"")</f>
        <v/>
      </c>
      <c r="C2049" t="str">
        <f>IF(ROW(C2049)&lt;=Raw_hydro_bm!$J$2,Raw_hydro_bm!D2049,"")</f>
        <v/>
      </c>
      <c r="D2049" t="str">
        <f>IF(ROW(D2049)&lt;=Raw_hydro_bm!$J$2,Raw_hydro_bm!E2049,"")</f>
        <v/>
      </c>
      <c r="E2049" t="str">
        <f>IF(ROW(E2049)&lt;=Raw_hydro_bm!$J$2,Raw_hydro_bm!F2049,"")</f>
        <v/>
      </c>
      <c r="F2049" t="str">
        <f>IF(ROW(F2049)&lt;=Raw_hydro_bm!$J$2,Raw_hydro_bm!G2049,"")</f>
        <v/>
      </c>
      <c r="G2049" t="str">
        <f>IF(ROW(G2049)&lt;=Raw_hydro_bm!$J$2,Raw_hydro_bm!H2049,"")</f>
        <v/>
      </c>
      <c r="H2049" t="str">
        <f>IF(ROW(H2049)&lt;=Raw_hydro_bm!$J$2,Raw_hydro_bm!I2049,"")</f>
        <v/>
      </c>
      <c r="I2049" s="16" t="str">
        <f t="shared" si="31"/>
        <v/>
      </c>
    </row>
    <row r="2050" spans="1:9" x14ac:dyDescent="0.2">
      <c r="A2050" t="str">
        <f>IF(ROW(A2050)&lt;=Raw_hydro_bm!$J$2,Raw_hydro_bm!B2050,"")</f>
        <v/>
      </c>
      <c r="B2050" t="str">
        <f>IF(ROW(B2050)&lt;=Raw_hydro_bm!$J$2,Raw_hydro_bm!C2050,"")</f>
        <v/>
      </c>
      <c r="C2050" t="str">
        <f>IF(ROW(C2050)&lt;=Raw_hydro_bm!$J$2,Raw_hydro_bm!D2050,"")</f>
        <v/>
      </c>
      <c r="D2050" t="str">
        <f>IF(ROW(D2050)&lt;=Raw_hydro_bm!$J$2,Raw_hydro_bm!E2050,"")</f>
        <v/>
      </c>
      <c r="E2050" t="str">
        <f>IF(ROW(E2050)&lt;=Raw_hydro_bm!$J$2,Raw_hydro_bm!F2050,"")</f>
        <v/>
      </c>
      <c r="F2050" t="str">
        <f>IF(ROW(F2050)&lt;=Raw_hydro_bm!$J$2,Raw_hydro_bm!G2050,"")</f>
        <v/>
      </c>
      <c r="G2050" t="str">
        <f>IF(ROW(G2050)&lt;=Raw_hydro_bm!$J$2,Raw_hydro_bm!H2050,"")</f>
        <v/>
      </c>
      <c r="H2050" t="str">
        <f>IF(ROW(H2050)&lt;=Raw_hydro_bm!$J$2,Raw_hydro_bm!I2050,"")</f>
        <v/>
      </c>
      <c r="I2050" s="16" t="str">
        <f t="shared" ref="I2050:I2113" si="32">IF(IFERROR(FIND("e",H2050),-1)&lt;0,IFERROR(_xlfn.NUMBERVALUE(LEFT(H2050,FIND(".",H2050)-1))+_xlfn.NUMBERVALUE("0,"&amp;RIGHT(H2050,LEN(H2050)-FIND(".",H2050))),""),0)</f>
        <v/>
      </c>
    </row>
    <row r="2051" spans="1:9" x14ac:dyDescent="0.2">
      <c r="A2051" t="str">
        <f>IF(ROW(A2051)&lt;=Raw_hydro_bm!$J$2,Raw_hydro_bm!B2051,"")</f>
        <v/>
      </c>
      <c r="B2051" t="str">
        <f>IF(ROW(B2051)&lt;=Raw_hydro_bm!$J$2,Raw_hydro_bm!C2051,"")</f>
        <v/>
      </c>
      <c r="C2051" t="str">
        <f>IF(ROW(C2051)&lt;=Raw_hydro_bm!$J$2,Raw_hydro_bm!D2051,"")</f>
        <v/>
      </c>
      <c r="D2051" t="str">
        <f>IF(ROW(D2051)&lt;=Raw_hydro_bm!$J$2,Raw_hydro_bm!E2051,"")</f>
        <v/>
      </c>
      <c r="E2051" t="str">
        <f>IF(ROW(E2051)&lt;=Raw_hydro_bm!$J$2,Raw_hydro_bm!F2051,"")</f>
        <v/>
      </c>
      <c r="F2051" t="str">
        <f>IF(ROW(F2051)&lt;=Raw_hydro_bm!$J$2,Raw_hydro_bm!G2051,"")</f>
        <v/>
      </c>
      <c r="G2051" t="str">
        <f>IF(ROW(G2051)&lt;=Raw_hydro_bm!$J$2,Raw_hydro_bm!H2051,"")</f>
        <v/>
      </c>
      <c r="H2051" t="str">
        <f>IF(ROW(H2051)&lt;=Raw_hydro_bm!$J$2,Raw_hydro_bm!I2051,"")</f>
        <v/>
      </c>
      <c r="I2051" s="16" t="str">
        <f t="shared" si="32"/>
        <v/>
      </c>
    </row>
    <row r="2052" spans="1:9" x14ac:dyDescent="0.2">
      <c r="A2052" t="str">
        <f>IF(ROW(A2052)&lt;=Raw_hydro_bm!$J$2,Raw_hydro_bm!B2052,"")</f>
        <v/>
      </c>
      <c r="B2052" t="str">
        <f>IF(ROW(B2052)&lt;=Raw_hydro_bm!$J$2,Raw_hydro_bm!C2052,"")</f>
        <v/>
      </c>
      <c r="C2052" t="str">
        <f>IF(ROW(C2052)&lt;=Raw_hydro_bm!$J$2,Raw_hydro_bm!D2052,"")</f>
        <v/>
      </c>
      <c r="D2052" t="str">
        <f>IF(ROW(D2052)&lt;=Raw_hydro_bm!$J$2,Raw_hydro_bm!E2052,"")</f>
        <v/>
      </c>
      <c r="E2052" t="str">
        <f>IF(ROW(E2052)&lt;=Raw_hydro_bm!$J$2,Raw_hydro_bm!F2052,"")</f>
        <v/>
      </c>
      <c r="F2052" t="str">
        <f>IF(ROW(F2052)&lt;=Raw_hydro_bm!$J$2,Raw_hydro_bm!G2052,"")</f>
        <v/>
      </c>
      <c r="G2052" t="str">
        <f>IF(ROW(G2052)&lt;=Raw_hydro_bm!$J$2,Raw_hydro_bm!H2052,"")</f>
        <v/>
      </c>
      <c r="H2052" t="str">
        <f>IF(ROW(H2052)&lt;=Raw_hydro_bm!$J$2,Raw_hydro_bm!I2052,"")</f>
        <v/>
      </c>
      <c r="I2052" s="16" t="str">
        <f t="shared" si="32"/>
        <v/>
      </c>
    </row>
    <row r="2053" spans="1:9" x14ac:dyDescent="0.2">
      <c r="A2053" t="str">
        <f>IF(ROW(A2053)&lt;=Raw_hydro_bm!$J$2,Raw_hydro_bm!B2053,"")</f>
        <v/>
      </c>
      <c r="B2053" t="str">
        <f>IF(ROW(B2053)&lt;=Raw_hydro_bm!$J$2,Raw_hydro_bm!C2053,"")</f>
        <v/>
      </c>
      <c r="C2053" t="str">
        <f>IF(ROW(C2053)&lt;=Raw_hydro_bm!$J$2,Raw_hydro_bm!D2053,"")</f>
        <v/>
      </c>
      <c r="D2053" t="str">
        <f>IF(ROW(D2053)&lt;=Raw_hydro_bm!$J$2,Raw_hydro_bm!E2053,"")</f>
        <v/>
      </c>
      <c r="E2053" t="str">
        <f>IF(ROW(E2053)&lt;=Raw_hydro_bm!$J$2,Raw_hydro_bm!F2053,"")</f>
        <v/>
      </c>
      <c r="F2053" t="str">
        <f>IF(ROW(F2053)&lt;=Raw_hydro_bm!$J$2,Raw_hydro_bm!G2053,"")</f>
        <v/>
      </c>
      <c r="G2053" t="str">
        <f>IF(ROW(G2053)&lt;=Raw_hydro_bm!$J$2,Raw_hydro_bm!H2053,"")</f>
        <v/>
      </c>
      <c r="H2053" t="str">
        <f>IF(ROW(H2053)&lt;=Raw_hydro_bm!$J$2,Raw_hydro_bm!I2053,"")</f>
        <v/>
      </c>
      <c r="I2053" s="16" t="str">
        <f t="shared" si="32"/>
        <v/>
      </c>
    </row>
    <row r="2054" spans="1:9" x14ac:dyDescent="0.2">
      <c r="A2054" t="str">
        <f>IF(ROW(A2054)&lt;=Raw_hydro_bm!$J$2,Raw_hydro_bm!B2054,"")</f>
        <v/>
      </c>
      <c r="B2054" t="str">
        <f>IF(ROW(B2054)&lt;=Raw_hydro_bm!$J$2,Raw_hydro_bm!C2054,"")</f>
        <v/>
      </c>
      <c r="C2054" t="str">
        <f>IF(ROW(C2054)&lt;=Raw_hydro_bm!$J$2,Raw_hydro_bm!D2054,"")</f>
        <v/>
      </c>
      <c r="D2054" t="str">
        <f>IF(ROW(D2054)&lt;=Raw_hydro_bm!$J$2,Raw_hydro_bm!E2054,"")</f>
        <v/>
      </c>
      <c r="E2054" t="str">
        <f>IF(ROW(E2054)&lt;=Raw_hydro_bm!$J$2,Raw_hydro_bm!F2054,"")</f>
        <v/>
      </c>
      <c r="F2054" t="str">
        <f>IF(ROW(F2054)&lt;=Raw_hydro_bm!$J$2,Raw_hydro_bm!G2054,"")</f>
        <v/>
      </c>
      <c r="G2054" t="str">
        <f>IF(ROW(G2054)&lt;=Raw_hydro_bm!$J$2,Raw_hydro_bm!H2054,"")</f>
        <v/>
      </c>
      <c r="H2054" t="str">
        <f>IF(ROW(H2054)&lt;=Raw_hydro_bm!$J$2,Raw_hydro_bm!I2054,"")</f>
        <v/>
      </c>
      <c r="I2054" s="16" t="str">
        <f t="shared" si="32"/>
        <v/>
      </c>
    </row>
    <row r="2055" spans="1:9" x14ac:dyDescent="0.2">
      <c r="A2055" t="str">
        <f>IF(ROW(A2055)&lt;=Raw_hydro_bm!$J$2,Raw_hydro_bm!B2055,"")</f>
        <v/>
      </c>
      <c r="B2055" t="str">
        <f>IF(ROW(B2055)&lt;=Raw_hydro_bm!$J$2,Raw_hydro_bm!C2055,"")</f>
        <v/>
      </c>
      <c r="C2055" t="str">
        <f>IF(ROW(C2055)&lt;=Raw_hydro_bm!$J$2,Raw_hydro_bm!D2055,"")</f>
        <v/>
      </c>
      <c r="D2055" t="str">
        <f>IF(ROW(D2055)&lt;=Raw_hydro_bm!$J$2,Raw_hydro_bm!E2055,"")</f>
        <v/>
      </c>
      <c r="E2055" t="str">
        <f>IF(ROW(E2055)&lt;=Raw_hydro_bm!$J$2,Raw_hydro_bm!F2055,"")</f>
        <v/>
      </c>
      <c r="F2055" t="str">
        <f>IF(ROW(F2055)&lt;=Raw_hydro_bm!$J$2,Raw_hydro_bm!G2055,"")</f>
        <v/>
      </c>
      <c r="G2055" t="str">
        <f>IF(ROW(G2055)&lt;=Raw_hydro_bm!$J$2,Raw_hydro_bm!H2055,"")</f>
        <v/>
      </c>
      <c r="H2055" t="str">
        <f>IF(ROW(H2055)&lt;=Raw_hydro_bm!$J$2,Raw_hydro_bm!I2055,"")</f>
        <v/>
      </c>
      <c r="I2055" s="16" t="str">
        <f t="shared" si="32"/>
        <v/>
      </c>
    </row>
    <row r="2056" spans="1:9" x14ac:dyDescent="0.2">
      <c r="A2056" t="str">
        <f>IF(ROW(A2056)&lt;=Raw_hydro_bm!$J$2,Raw_hydro_bm!B2056,"")</f>
        <v/>
      </c>
      <c r="B2056" t="str">
        <f>IF(ROW(B2056)&lt;=Raw_hydro_bm!$J$2,Raw_hydro_bm!C2056,"")</f>
        <v/>
      </c>
      <c r="C2056" t="str">
        <f>IF(ROW(C2056)&lt;=Raw_hydro_bm!$J$2,Raw_hydro_bm!D2056,"")</f>
        <v/>
      </c>
      <c r="D2056" t="str">
        <f>IF(ROW(D2056)&lt;=Raw_hydro_bm!$J$2,Raw_hydro_bm!E2056,"")</f>
        <v/>
      </c>
      <c r="E2056" t="str">
        <f>IF(ROW(E2056)&lt;=Raw_hydro_bm!$J$2,Raw_hydro_bm!F2056,"")</f>
        <v/>
      </c>
      <c r="F2056" t="str">
        <f>IF(ROW(F2056)&lt;=Raw_hydro_bm!$J$2,Raw_hydro_bm!G2056,"")</f>
        <v/>
      </c>
      <c r="G2056" t="str">
        <f>IF(ROW(G2056)&lt;=Raw_hydro_bm!$J$2,Raw_hydro_bm!H2056,"")</f>
        <v/>
      </c>
      <c r="H2056" t="str">
        <f>IF(ROW(H2056)&lt;=Raw_hydro_bm!$J$2,Raw_hydro_bm!I2056,"")</f>
        <v/>
      </c>
      <c r="I2056" s="16" t="str">
        <f t="shared" si="32"/>
        <v/>
      </c>
    </row>
    <row r="2057" spans="1:9" x14ac:dyDescent="0.2">
      <c r="A2057" t="str">
        <f>IF(ROW(A2057)&lt;=Raw_hydro_bm!$J$2,Raw_hydro_bm!B2057,"")</f>
        <v/>
      </c>
      <c r="B2057" t="str">
        <f>IF(ROW(B2057)&lt;=Raw_hydro_bm!$J$2,Raw_hydro_bm!C2057,"")</f>
        <v/>
      </c>
      <c r="C2057" t="str">
        <f>IF(ROW(C2057)&lt;=Raw_hydro_bm!$J$2,Raw_hydro_bm!D2057,"")</f>
        <v/>
      </c>
      <c r="D2057" t="str">
        <f>IF(ROW(D2057)&lt;=Raw_hydro_bm!$J$2,Raw_hydro_bm!E2057,"")</f>
        <v/>
      </c>
      <c r="E2057" t="str">
        <f>IF(ROW(E2057)&lt;=Raw_hydro_bm!$J$2,Raw_hydro_bm!F2057,"")</f>
        <v/>
      </c>
      <c r="F2057" t="str">
        <f>IF(ROW(F2057)&lt;=Raw_hydro_bm!$J$2,Raw_hydro_bm!G2057,"")</f>
        <v/>
      </c>
      <c r="G2057" t="str">
        <f>IF(ROW(G2057)&lt;=Raw_hydro_bm!$J$2,Raw_hydro_bm!H2057,"")</f>
        <v/>
      </c>
      <c r="H2057" t="str">
        <f>IF(ROW(H2057)&lt;=Raw_hydro_bm!$J$2,Raw_hydro_bm!I2057,"")</f>
        <v/>
      </c>
      <c r="I2057" s="16" t="str">
        <f t="shared" si="32"/>
        <v/>
      </c>
    </row>
    <row r="2058" spans="1:9" x14ac:dyDescent="0.2">
      <c r="A2058" t="str">
        <f>IF(ROW(A2058)&lt;=Raw_hydro_bm!$J$2,Raw_hydro_bm!B2058,"")</f>
        <v/>
      </c>
      <c r="B2058" t="str">
        <f>IF(ROW(B2058)&lt;=Raw_hydro_bm!$J$2,Raw_hydro_bm!C2058,"")</f>
        <v/>
      </c>
      <c r="C2058" t="str">
        <f>IF(ROW(C2058)&lt;=Raw_hydro_bm!$J$2,Raw_hydro_bm!D2058,"")</f>
        <v/>
      </c>
      <c r="D2058" t="str">
        <f>IF(ROW(D2058)&lt;=Raw_hydro_bm!$J$2,Raw_hydro_bm!E2058,"")</f>
        <v/>
      </c>
      <c r="E2058" t="str">
        <f>IF(ROW(E2058)&lt;=Raw_hydro_bm!$J$2,Raw_hydro_bm!F2058,"")</f>
        <v/>
      </c>
      <c r="F2058" t="str">
        <f>IF(ROW(F2058)&lt;=Raw_hydro_bm!$J$2,Raw_hydro_bm!G2058,"")</f>
        <v/>
      </c>
      <c r="G2058" t="str">
        <f>IF(ROW(G2058)&lt;=Raw_hydro_bm!$J$2,Raw_hydro_bm!H2058,"")</f>
        <v/>
      </c>
      <c r="H2058" t="str">
        <f>IF(ROW(H2058)&lt;=Raw_hydro_bm!$J$2,Raw_hydro_bm!I2058,"")</f>
        <v/>
      </c>
      <c r="I2058" s="16" t="str">
        <f t="shared" si="32"/>
        <v/>
      </c>
    </row>
    <row r="2059" spans="1:9" x14ac:dyDescent="0.2">
      <c r="A2059" t="str">
        <f>IF(ROW(A2059)&lt;=Raw_hydro_bm!$J$2,Raw_hydro_bm!B2059,"")</f>
        <v/>
      </c>
      <c r="B2059" t="str">
        <f>IF(ROW(B2059)&lt;=Raw_hydro_bm!$J$2,Raw_hydro_bm!C2059,"")</f>
        <v/>
      </c>
      <c r="C2059" t="str">
        <f>IF(ROW(C2059)&lt;=Raw_hydro_bm!$J$2,Raw_hydro_bm!D2059,"")</f>
        <v/>
      </c>
      <c r="D2059" t="str">
        <f>IF(ROW(D2059)&lt;=Raw_hydro_bm!$J$2,Raw_hydro_bm!E2059,"")</f>
        <v/>
      </c>
      <c r="E2059" t="str">
        <f>IF(ROW(E2059)&lt;=Raw_hydro_bm!$J$2,Raw_hydro_bm!F2059,"")</f>
        <v/>
      </c>
      <c r="F2059" t="str">
        <f>IF(ROW(F2059)&lt;=Raw_hydro_bm!$J$2,Raw_hydro_bm!G2059,"")</f>
        <v/>
      </c>
      <c r="G2059" t="str">
        <f>IF(ROW(G2059)&lt;=Raw_hydro_bm!$J$2,Raw_hydro_bm!H2059,"")</f>
        <v/>
      </c>
      <c r="H2059" t="str">
        <f>IF(ROW(H2059)&lt;=Raw_hydro_bm!$J$2,Raw_hydro_bm!I2059,"")</f>
        <v/>
      </c>
      <c r="I2059" s="16" t="str">
        <f t="shared" si="32"/>
        <v/>
      </c>
    </row>
    <row r="2060" spans="1:9" x14ac:dyDescent="0.2">
      <c r="A2060" t="str">
        <f>IF(ROW(A2060)&lt;=Raw_hydro_bm!$J$2,Raw_hydro_bm!B2060,"")</f>
        <v/>
      </c>
      <c r="B2060" t="str">
        <f>IF(ROW(B2060)&lt;=Raw_hydro_bm!$J$2,Raw_hydro_bm!C2060,"")</f>
        <v/>
      </c>
      <c r="C2060" t="str">
        <f>IF(ROW(C2060)&lt;=Raw_hydro_bm!$J$2,Raw_hydro_bm!D2060,"")</f>
        <v/>
      </c>
      <c r="D2060" t="str">
        <f>IF(ROW(D2060)&lt;=Raw_hydro_bm!$J$2,Raw_hydro_bm!E2060,"")</f>
        <v/>
      </c>
      <c r="E2060" t="str">
        <f>IF(ROW(E2060)&lt;=Raw_hydro_bm!$J$2,Raw_hydro_bm!F2060,"")</f>
        <v/>
      </c>
      <c r="F2060" t="str">
        <f>IF(ROW(F2060)&lt;=Raw_hydro_bm!$J$2,Raw_hydro_bm!G2060,"")</f>
        <v/>
      </c>
      <c r="G2060" t="str">
        <f>IF(ROW(G2060)&lt;=Raw_hydro_bm!$J$2,Raw_hydro_bm!H2060,"")</f>
        <v/>
      </c>
      <c r="H2060" t="str">
        <f>IF(ROW(H2060)&lt;=Raw_hydro_bm!$J$2,Raw_hydro_bm!I2060,"")</f>
        <v/>
      </c>
      <c r="I2060" s="16" t="str">
        <f t="shared" si="32"/>
        <v/>
      </c>
    </row>
    <row r="2061" spans="1:9" x14ac:dyDescent="0.2">
      <c r="A2061" t="str">
        <f>IF(ROW(A2061)&lt;=Raw_hydro_bm!$J$2,Raw_hydro_bm!B2061,"")</f>
        <v/>
      </c>
      <c r="B2061" t="str">
        <f>IF(ROW(B2061)&lt;=Raw_hydro_bm!$J$2,Raw_hydro_bm!C2061,"")</f>
        <v/>
      </c>
      <c r="C2061" t="str">
        <f>IF(ROW(C2061)&lt;=Raw_hydro_bm!$J$2,Raw_hydro_bm!D2061,"")</f>
        <v/>
      </c>
      <c r="D2061" t="str">
        <f>IF(ROW(D2061)&lt;=Raw_hydro_bm!$J$2,Raw_hydro_bm!E2061,"")</f>
        <v/>
      </c>
      <c r="E2061" t="str">
        <f>IF(ROW(E2061)&lt;=Raw_hydro_bm!$J$2,Raw_hydro_bm!F2061,"")</f>
        <v/>
      </c>
      <c r="F2061" t="str">
        <f>IF(ROW(F2061)&lt;=Raw_hydro_bm!$J$2,Raw_hydro_bm!G2061,"")</f>
        <v/>
      </c>
      <c r="G2061" t="str">
        <f>IF(ROW(G2061)&lt;=Raw_hydro_bm!$J$2,Raw_hydro_bm!H2061,"")</f>
        <v/>
      </c>
      <c r="H2061" t="str">
        <f>IF(ROW(H2061)&lt;=Raw_hydro_bm!$J$2,Raw_hydro_bm!I2061,"")</f>
        <v/>
      </c>
      <c r="I2061" s="16" t="str">
        <f t="shared" si="32"/>
        <v/>
      </c>
    </row>
    <row r="2062" spans="1:9" x14ac:dyDescent="0.2">
      <c r="A2062" t="str">
        <f>IF(ROW(A2062)&lt;=Raw_hydro_bm!$J$2,Raw_hydro_bm!B2062,"")</f>
        <v/>
      </c>
      <c r="B2062" t="str">
        <f>IF(ROW(B2062)&lt;=Raw_hydro_bm!$J$2,Raw_hydro_bm!C2062,"")</f>
        <v/>
      </c>
      <c r="C2062" t="str">
        <f>IF(ROW(C2062)&lt;=Raw_hydro_bm!$J$2,Raw_hydro_bm!D2062,"")</f>
        <v/>
      </c>
      <c r="D2062" t="str">
        <f>IF(ROW(D2062)&lt;=Raw_hydro_bm!$J$2,Raw_hydro_bm!E2062,"")</f>
        <v/>
      </c>
      <c r="E2062" t="str">
        <f>IF(ROW(E2062)&lt;=Raw_hydro_bm!$J$2,Raw_hydro_bm!F2062,"")</f>
        <v/>
      </c>
      <c r="F2062" t="str">
        <f>IF(ROW(F2062)&lt;=Raw_hydro_bm!$J$2,Raw_hydro_bm!G2062,"")</f>
        <v/>
      </c>
      <c r="G2062" t="str">
        <f>IF(ROW(G2062)&lt;=Raw_hydro_bm!$J$2,Raw_hydro_bm!H2062,"")</f>
        <v/>
      </c>
      <c r="H2062" t="str">
        <f>IF(ROW(H2062)&lt;=Raw_hydro_bm!$J$2,Raw_hydro_bm!I2062,"")</f>
        <v/>
      </c>
      <c r="I2062" s="16" t="str">
        <f t="shared" si="32"/>
        <v/>
      </c>
    </row>
    <row r="2063" spans="1:9" x14ac:dyDescent="0.2">
      <c r="A2063" t="str">
        <f>IF(ROW(A2063)&lt;=Raw_hydro_bm!$J$2,Raw_hydro_bm!B2063,"")</f>
        <v/>
      </c>
      <c r="B2063" t="str">
        <f>IF(ROW(B2063)&lt;=Raw_hydro_bm!$J$2,Raw_hydro_bm!C2063,"")</f>
        <v/>
      </c>
      <c r="C2063" t="str">
        <f>IF(ROW(C2063)&lt;=Raw_hydro_bm!$J$2,Raw_hydro_bm!D2063,"")</f>
        <v/>
      </c>
      <c r="D2063" t="str">
        <f>IF(ROW(D2063)&lt;=Raw_hydro_bm!$J$2,Raw_hydro_bm!E2063,"")</f>
        <v/>
      </c>
      <c r="E2063" t="str">
        <f>IF(ROW(E2063)&lt;=Raw_hydro_bm!$J$2,Raw_hydro_bm!F2063,"")</f>
        <v/>
      </c>
      <c r="F2063" t="str">
        <f>IF(ROW(F2063)&lt;=Raw_hydro_bm!$J$2,Raw_hydro_bm!G2063,"")</f>
        <v/>
      </c>
      <c r="G2063" t="str">
        <f>IF(ROW(G2063)&lt;=Raw_hydro_bm!$J$2,Raw_hydro_bm!H2063,"")</f>
        <v/>
      </c>
      <c r="H2063" t="str">
        <f>IF(ROW(H2063)&lt;=Raw_hydro_bm!$J$2,Raw_hydro_bm!I2063,"")</f>
        <v/>
      </c>
      <c r="I2063" s="16" t="str">
        <f t="shared" si="32"/>
        <v/>
      </c>
    </row>
    <row r="2064" spans="1:9" x14ac:dyDescent="0.2">
      <c r="A2064" t="str">
        <f>IF(ROW(A2064)&lt;=Raw_hydro_bm!$J$2,Raw_hydro_bm!B2064,"")</f>
        <v/>
      </c>
      <c r="B2064" t="str">
        <f>IF(ROW(B2064)&lt;=Raw_hydro_bm!$J$2,Raw_hydro_bm!C2064,"")</f>
        <v/>
      </c>
      <c r="C2064" t="str">
        <f>IF(ROW(C2064)&lt;=Raw_hydro_bm!$J$2,Raw_hydro_bm!D2064,"")</f>
        <v/>
      </c>
      <c r="D2064" t="str">
        <f>IF(ROW(D2064)&lt;=Raw_hydro_bm!$J$2,Raw_hydro_bm!E2064,"")</f>
        <v/>
      </c>
      <c r="E2064" t="str">
        <f>IF(ROW(E2064)&lt;=Raw_hydro_bm!$J$2,Raw_hydro_bm!F2064,"")</f>
        <v/>
      </c>
      <c r="F2064" t="str">
        <f>IF(ROW(F2064)&lt;=Raw_hydro_bm!$J$2,Raw_hydro_bm!G2064,"")</f>
        <v/>
      </c>
      <c r="G2064" t="str">
        <f>IF(ROW(G2064)&lt;=Raw_hydro_bm!$J$2,Raw_hydro_bm!H2064,"")</f>
        <v/>
      </c>
      <c r="H2064" t="str">
        <f>IF(ROW(H2064)&lt;=Raw_hydro_bm!$J$2,Raw_hydro_bm!I2064,"")</f>
        <v/>
      </c>
      <c r="I2064" s="16" t="str">
        <f t="shared" si="32"/>
        <v/>
      </c>
    </row>
    <row r="2065" spans="1:9" x14ac:dyDescent="0.2">
      <c r="A2065" t="str">
        <f>IF(ROW(A2065)&lt;=Raw_hydro_bm!$J$2,Raw_hydro_bm!B2065,"")</f>
        <v/>
      </c>
      <c r="B2065" t="str">
        <f>IF(ROW(B2065)&lt;=Raw_hydro_bm!$J$2,Raw_hydro_bm!C2065,"")</f>
        <v/>
      </c>
      <c r="C2065" t="str">
        <f>IF(ROW(C2065)&lt;=Raw_hydro_bm!$J$2,Raw_hydro_bm!D2065,"")</f>
        <v/>
      </c>
      <c r="D2065" t="str">
        <f>IF(ROW(D2065)&lt;=Raw_hydro_bm!$J$2,Raw_hydro_bm!E2065,"")</f>
        <v/>
      </c>
      <c r="E2065" t="str">
        <f>IF(ROW(E2065)&lt;=Raw_hydro_bm!$J$2,Raw_hydro_bm!F2065,"")</f>
        <v/>
      </c>
      <c r="F2065" t="str">
        <f>IF(ROW(F2065)&lt;=Raw_hydro_bm!$J$2,Raw_hydro_bm!G2065,"")</f>
        <v/>
      </c>
      <c r="G2065" t="str">
        <f>IF(ROW(G2065)&lt;=Raw_hydro_bm!$J$2,Raw_hydro_bm!H2065,"")</f>
        <v/>
      </c>
      <c r="H2065" t="str">
        <f>IF(ROW(H2065)&lt;=Raw_hydro_bm!$J$2,Raw_hydro_bm!I2065,"")</f>
        <v/>
      </c>
      <c r="I2065" s="16" t="str">
        <f t="shared" si="32"/>
        <v/>
      </c>
    </row>
    <row r="2066" spans="1:9" x14ac:dyDescent="0.2">
      <c r="A2066" t="str">
        <f>IF(ROW(A2066)&lt;=Raw_hydro_bm!$J$2,Raw_hydro_bm!B2066,"")</f>
        <v/>
      </c>
      <c r="B2066" t="str">
        <f>IF(ROW(B2066)&lt;=Raw_hydro_bm!$J$2,Raw_hydro_bm!C2066,"")</f>
        <v/>
      </c>
      <c r="C2066" t="str">
        <f>IF(ROW(C2066)&lt;=Raw_hydro_bm!$J$2,Raw_hydro_bm!D2066,"")</f>
        <v/>
      </c>
      <c r="D2066" t="str">
        <f>IF(ROW(D2066)&lt;=Raw_hydro_bm!$J$2,Raw_hydro_bm!E2066,"")</f>
        <v/>
      </c>
      <c r="E2066" t="str">
        <f>IF(ROW(E2066)&lt;=Raw_hydro_bm!$J$2,Raw_hydro_bm!F2066,"")</f>
        <v/>
      </c>
      <c r="F2066" t="str">
        <f>IF(ROW(F2066)&lt;=Raw_hydro_bm!$J$2,Raw_hydro_bm!G2066,"")</f>
        <v/>
      </c>
      <c r="G2066" t="str">
        <f>IF(ROW(G2066)&lt;=Raw_hydro_bm!$J$2,Raw_hydro_bm!H2066,"")</f>
        <v/>
      </c>
      <c r="H2066" t="str">
        <f>IF(ROW(H2066)&lt;=Raw_hydro_bm!$J$2,Raw_hydro_bm!I2066,"")</f>
        <v/>
      </c>
      <c r="I2066" s="16" t="str">
        <f t="shared" si="32"/>
        <v/>
      </c>
    </row>
    <row r="2067" spans="1:9" x14ac:dyDescent="0.2">
      <c r="A2067" t="str">
        <f>IF(ROW(A2067)&lt;=Raw_hydro_bm!$J$2,Raw_hydro_bm!B2067,"")</f>
        <v/>
      </c>
      <c r="B2067" t="str">
        <f>IF(ROW(B2067)&lt;=Raw_hydro_bm!$J$2,Raw_hydro_bm!C2067,"")</f>
        <v/>
      </c>
      <c r="C2067" t="str">
        <f>IF(ROW(C2067)&lt;=Raw_hydro_bm!$J$2,Raw_hydro_bm!D2067,"")</f>
        <v/>
      </c>
      <c r="D2067" t="str">
        <f>IF(ROW(D2067)&lt;=Raw_hydro_bm!$J$2,Raw_hydro_bm!E2067,"")</f>
        <v/>
      </c>
      <c r="E2067" t="str">
        <f>IF(ROW(E2067)&lt;=Raw_hydro_bm!$J$2,Raw_hydro_bm!F2067,"")</f>
        <v/>
      </c>
      <c r="F2067" t="str">
        <f>IF(ROW(F2067)&lt;=Raw_hydro_bm!$J$2,Raw_hydro_bm!G2067,"")</f>
        <v/>
      </c>
      <c r="G2067" t="str">
        <f>IF(ROW(G2067)&lt;=Raw_hydro_bm!$J$2,Raw_hydro_bm!H2067,"")</f>
        <v/>
      </c>
      <c r="H2067" t="str">
        <f>IF(ROW(H2067)&lt;=Raw_hydro_bm!$J$2,Raw_hydro_bm!I2067,"")</f>
        <v/>
      </c>
      <c r="I2067" s="16" t="str">
        <f t="shared" si="32"/>
        <v/>
      </c>
    </row>
    <row r="2068" spans="1:9" x14ac:dyDescent="0.2">
      <c r="A2068" t="str">
        <f>IF(ROW(A2068)&lt;=Raw_hydro_bm!$J$2,Raw_hydro_bm!B2068,"")</f>
        <v/>
      </c>
      <c r="B2068" t="str">
        <f>IF(ROW(B2068)&lt;=Raw_hydro_bm!$J$2,Raw_hydro_bm!C2068,"")</f>
        <v/>
      </c>
      <c r="C2068" t="str">
        <f>IF(ROW(C2068)&lt;=Raw_hydro_bm!$J$2,Raw_hydro_bm!D2068,"")</f>
        <v/>
      </c>
      <c r="D2068" t="str">
        <f>IF(ROW(D2068)&lt;=Raw_hydro_bm!$J$2,Raw_hydro_bm!E2068,"")</f>
        <v/>
      </c>
      <c r="E2068" t="str">
        <f>IF(ROW(E2068)&lt;=Raw_hydro_bm!$J$2,Raw_hydro_bm!F2068,"")</f>
        <v/>
      </c>
      <c r="F2068" t="str">
        <f>IF(ROW(F2068)&lt;=Raw_hydro_bm!$J$2,Raw_hydro_bm!G2068,"")</f>
        <v/>
      </c>
      <c r="G2068" t="str">
        <f>IF(ROW(G2068)&lt;=Raw_hydro_bm!$J$2,Raw_hydro_bm!H2068,"")</f>
        <v/>
      </c>
      <c r="H2068" t="str">
        <f>IF(ROW(H2068)&lt;=Raw_hydro_bm!$J$2,Raw_hydro_bm!I2068,"")</f>
        <v/>
      </c>
      <c r="I2068" s="16" t="str">
        <f t="shared" si="32"/>
        <v/>
      </c>
    </row>
    <row r="2069" spans="1:9" x14ac:dyDescent="0.2">
      <c r="A2069" t="str">
        <f>IF(ROW(A2069)&lt;=Raw_hydro_bm!$J$2,Raw_hydro_bm!B2069,"")</f>
        <v/>
      </c>
      <c r="B2069" t="str">
        <f>IF(ROW(B2069)&lt;=Raw_hydro_bm!$J$2,Raw_hydro_bm!C2069,"")</f>
        <v/>
      </c>
      <c r="C2069" t="str">
        <f>IF(ROW(C2069)&lt;=Raw_hydro_bm!$J$2,Raw_hydro_bm!D2069,"")</f>
        <v/>
      </c>
      <c r="D2069" t="str">
        <f>IF(ROW(D2069)&lt;=Raw_hydro_bm!$J$2,Raw_hydro_bm!E2069,"")</f>
        <v/>
      </c>
      <c r="E2069" t="str">
        <f>IF(ROW(E2069)&lt;=Raw_hydro_bm!$J$2,Raw_hydro_bm!F2069,"")</f>
        <v/>
      </c>
      <c r="F2069" t="str">
        <f>IF(ROW(F2069)&lt;=Raw_hydro_bm!$J$2,Raw_hydro_bm!G2069,"")</f>
        <v/>
      </c>
      <c r="G2069" t="str">
        <f>IF(ROW(G2069)&lt;=Raw_hydro_bm!$J$2,Raw_hydro_bm!H2069,"")</f>
        <v/>
      </c>
      <c r="H2069" t="str">
        <f>IF(ROW(H2069)&lt;=Raw_hydro_bm!$J$2,Raw_hydro_bm!I2069,"")</f>
        <v/>
      </c>
      <c r="I2069" s="16" t="str">
        <f t="shared" si="32"/>
        <v/>
      </c>
    </row>
    <row r="2070" spans="1:9" x14ac:dyDescent="0.2">
      <c r="A2070" t="str">
        <f>IF(ROW(A2070)&lt;=Raw_hydro_bm!$J$2,Raw_hydro_bm!B2070,"")</f>
        <v/>
      </c>
      <c r="B2070" t="str">
        <f>IF(ROW(B2070)&lt;=Raw_hydro_bm!$J$2,Raw_hydro_bm!C2070,"")</f>
        <v/>
      </c>
      <c r="C2070" t="str">
        <f>IF(ROW(C2070)&lt;=Raw_hydro_bm!$J$2,Raw_hydro_bm!D2070,"")</f>
        <v/>
      </c>
      <c r="D2070" t="str">
        <f>IF(ROW(D2070)&lt;=Raw_hydro_bm!$J$2,Raw_hydro_bm!E2070,"")</f>
        <v/>
      </c>
      <c r="E2070" t="str">
        <f>IF(ROW(E2070)&lt;=Raw_hydro_bm!$J$2,Raw_hydro_bm!F2070,"")</f>
        <v/>
      </c>
      <c r="F2070" t="str">
        <f>IF(ROW(F2070)&lt;=Raw_hydro_bm!$J$2,Raw_hydro_bm!G2070,"")</f>
        <v/>
      </c>
      <c r="G2070" t="str">
        <f>IF(ROW(G2070)&lt;=Raw_hydro_bm!$J$2,Raw_hydro_bm!H2070,"")</f>
        <v/>
      </c>
      <c r="H2070" t="str">
        <f>IF(ROW(H2070)&lt;=Raw_hydro_bm!$J$2,Raw_hydro_bm!I2070,"")</f>
        <v/>
      </c>
      <c r="I2070" s="16" t="str">
        <f t="shared" si="32"/>
        <v/>
      </c>
    </row>
    <row r="2071" spans="1:9" x14ac:dyDescent="0.2">
      <c r="A2071" t="str">
        <f>IF(ROW(A2071)&lt;=Raw_hydro_bm!$J$2,Raw_hydro_bm!B2071,"")</f>
        <v/>
      </c>
      <c r="B2071" t="str">
        <f>IF(ROW(B2071)&lt;=Raw_hydro_bm!$J$2,Raw_hydro_bm!C2071,"")</f>
        <v/>
      </c>
      <c r="C2071" t="str">
        <f>IF(ROW(C2071)&lt;=Raw_hydro_bm!$J$2,Raw_hydro_bm!D2071,"")</f>
        <v/>
      </c>
      <c r="D2071" t="str">
        <f>IF(ROW(D2071)&lt;=Raw_hydro_bm!$J$2,Raw_hydro_bm!E2071,"")</f>
        <v/>
      </c>
      <c r="E2071" t="str">
        <f>IF(ROW(E2071)&lt;=Raw_hydro_bm!$J$2,Raw_hydro_bm!F2071,"")</f>
        <v/>
      </c>
      <c r="F2071" t="str">
        <f>IF(ROW(F2071)&lt;=Raw_hydro_bm!$J$2,Raw_hydro_bm!G2071,"")</f>
        <v/>
      </c>
      <c r="G2071" t="str">
        <f>IF(ROW(G2071)&lt;=Raw_hydro_bm!$J$2,Raw_hydro_bm!H2071,"")</f>
        <v/>
      </c>
      <c r="H2071" t="str">
        <f>IF(ROW(H2071)&lt;=Raw_hydro_bm!$J$2,Raw_hydro_bm!I2071,"")</f>
        <v/>
      </c>
      <c r="I2071" s="16" t="str">
        <f t="shared" si="32"/>
        <v/>
      </c>
    </row>
    <row r="2072" spans="1:9" x14ac:dyDescent="0.2">
      <c r="A2072" t="str">
        <f>IF(ROW(A2072)&lt;=Raw_hydro_bm!$J$2,Raw_hydro_bm!B2072,"")</f>
        <v/>
      </c>
      <c r="B2072" t="str">
        <f>IF(ROW(B2072)&lt;=Raw_hydro_bm!$J$2,Raw_hydro_bm!C2072,"")</f>
        <v/>
      </c>
      <c r="C2072" t="str">
        <f>IF(ROW(C2072)&lt;=Raw_hydro_bm!$J$2,Raw_hydro_bm!D2072,"")</f>
        <v/>
      </c>
      <c r="D2072" t="str">
        <f>IF(ROW(D2072)&lt;=Raw_hydro_bm!$J$2,Raw_hydro_bm!E2072,"")</f>
        <v/>
      </c>
      <c r="E2072" t="str">
        <f>IF(ROW(E2072)&lt;=Raw_hydro_bm!$J$2,Raw_hydro_bm!F2072,"")</f>
        <v/>
      </c>
      <c r="F2072" t="str">
        <f>IF(ROW(F2072)&lt;=Raw_hydro_bm!$J$2,Raw_hydro_bm!G2072,"")</f>
        <v/>
      </c>
      <c r="G2072" t="str">
        <f>IF(ROW(G2072)&lt;=Raw_hydro_bm!$J$2,Raw_hydro_bm!H2072,"")</f>
        <v/>
      </c>
      <c r="H2072" t="str">
        <f>IF(ROW(H2072)&lt;=Raw_hydro_bm!$J$2,Raw_hydro_bm!I2072,"")</f>
        <v/>
      </c>
      <c r="I2072" s="16" t="str">
        <f t="shared" si="32"/>
        <v/>
      </c>
    </row>
    <row r="2073" spans="1:9" x14ac:dyDescent="0.2">
      <c r="A2073" t="str">
        <f>IF(ROW(A2073)&lt;=Raw_hydro_bm!$J$2,Raw_hydro_bm!B2073,"")</f>
        <v/>
      </c>
      <c r="B2073" t="str">
        <f>IF(ROW(B2073)&lt;=Raw_hydro_bm!$J$2,Raw_hydro_bm!C2073,"")</f>
        <v/>
      </c>
      <c r="C2073" t="str">
        <f>IF(ROW(C2073)&lt;=Raw_hydro_bm!$J$2,Raw_hydro_bm!D2073,"")</f>
        <v/>
      </c>
      <c r="D2073" t="str">
        <f>IF(ROW(D2073)&lt;=Raw_hydro_bm!$J$2,Raw_hydro_bm!E2073,"")</f>
        <v/>
      </c>
      <c r="E2073" t="str">
        <f>IF(ROW(E2073)&lt;=Raw_hydro_bm!$J$2,Raw_hydro_bm!F2073,"")</f>
        <v/>
      </c>
      <c r="F2073" t="str">
        <f>IF(ROW(F2073)&lt;=Raw_hydro_bm!$J$2,Raw_hydro_bm!G2073,"")</f>
        <v/>
      </c>
      <c r="G2073" t="str">
        <f>IF(ROW(G2073)&lt;=Raw_hydro_bm!$J$2,Raw_hydro_bm!H2073,"")</f>
        <v/>
      </c>
      <c r="H2073" t="str">
        <f>IF(ROW(H2073)&lt;=Raw_hydro_bm!$J$2,Raw_hydro_bm!I2073,"")</f>
        <v/>
      </c>
      <c r="I2073" s="16" t="str">
        <f t="shared" si="32"/>
        <v/>
      </c>
    </row>
    <row r="2074" spans="1:9" x14ac:dyDescent="0.2">
      <c r="A2074" t="str">
        <f>IF(ROW(A2074)&lt;=Raw_hydro_bm!$J$2,Raw_hydro_bm!B2074,"")</f>
        <v/>
      </c>
      <c r="B2074" t="str">
        <f>IF(ROW(B2074)&lt;=Raw_hydro_bm!$J$2,Raw_hydro_bm!C2074,"")</f>
        <v/>
      </c>
      <c r="C2074" t="str">
        <f>IF(ROW(C2074)&lt;=Raw_hydro_bm!$J$2,Raw_hydro_bm!D2074,"")</f>
        <v/>
      </c>
      <c r="D2074" t="str">
        <f>IF(ROW(D2074)&lt;=Raw_hydro_bm!$J$2,Raw_hydro_bm!E2074,"")</f>
        <v/>
      </c>
      <c r="E2074" t="str">
        <f>IF(ROW(E2074)&lt;=Raw_hydro_bm!$J$2,Raw_hydro_bm!F2074,"")</f>
        <v/>
      </c>
      <c r="F2074" t="str">
        <f>IF(ROW(F2074)&lt;=Raw_hydro_bm!$J$2,Raw_hydro_bm!G2074,"")</f>
        <v/>
      </c>
      <c r="G2074" t="str">
        <f>IF(ROW(G2074)&lt;=Raw_hydro_bm!$J$2,Raw_hydro_bm!H2074,"")</f>
        <v/>
      </c>
      <c r="H2074" t="str">
        <f>IF(ROW(H2074)&lt;=Raw_hydro_bm!$J$2,Raw_hydro_bm!I2074,"")</f>
        <v/>
      </c>
      <c r="I2074" s="16" t="str">
        <f t="shared" si="32"/>
        <v/>
      </c>
    </row>
    <row r="2075" spans="1:9" x14ac:dyDescent="0.2">
      <c r="A2075" t="str">
        <f>IF(ROW(A2075)&lt;=Raw_hydro_bm!$J$2,Raw_hydro_bm!B2075,"")</f>
        <v/>
      </c>
      <c r="B2075" t="str">
        <f>IF(ROW(B2075)&lt;=Raw_hydro_bm!$J$2,Raw_hydro_bm!C2075,"")</f>
        <v/>
      </c>
      <c r="C2075" t="str">
        <f>IF(ROW(C2075)&lt;=Raw_hydro_bm!$J$2,Raw_hydro_bm!D2075,"")</f>
        <v/>
      </c>
      <c r="D2075" t="str">
        <f>IF(ROW(D2075)&lt;=Raw_hydro_bm!$J$2,Raw_hydro_bm!E2075,"")</f>
        <v/>
      </c>
      <c r="E2075" t="str">
        <f>IF(ROW(E2075)&lt;=Raw_hydro_bm!$J$2,Raw_hydro_bm!F2075,"")</f>
        <v/>
      </c>
      <c r="F2075" t="str">
        <f>IF(ROW(F2075)&lt;=Raw_hydro_bm!$J$2,Raw_hydro_bm!G2075,"")</f>
        <v/>
      </c>
      <c r="G2075" t="str">
        <f>IF(ROW(G2075)&lt;=Raw_hydro_bm!$J$2,Raw_hydro_bm!H2075,"")</f>
        <v/>
      </c>
      <c r="H2075" t="str">
        <f>IF(ROW(H2075)&lt;=Raw_hydro_bm!$J$2,Raw_hydro_bm!I2075,"")</f>
        <v/>
      </c>
      <c r="I2075" s="16" t="str">
        <f t="shared" si="32"/>
        <v/>
      </c>
    </row>
    <row r="2076" spans="1:9" x14ac:dyDescent="0.2">
      <c r="A2076" t="str">
        <f>IF(ROW(A2076)&lt;=Raw_hydro_bm!$J$2,Raw_hydro_bm!B2076,"")</f>
        <v/>
      </c>
      <c r="B2076" t="str">
        <f>IF(ROW(B2076)&lt;=Raw_hydro_bm!$J$2,Raw_hydro_bm!C2076,"")</f>
        <v/>
      </c>
      <c r="C2076" t="str">
        <f>IF(ROW(C2076)&lt;=Raw_hydro_bm!$J$2,Raw_hydro_bm!D2076,"")</f>
        <v/>
      </c>
      <c r="D2076" t="str">
        <f>IF(ROW(D2076)&lt;=Raw_hydro_bm!$J$2,Raw_hydro_bm!E2076,"")</f>
        <v/>
      </c>
      <c r="E2076" t="str">
        <f>IF(ROW(E2076)&lt;=Raw_hydro_bm!$J$2,Raw_hydro_bm!F2076,"")</f>
        <v/>
      </c>
      <c r="F2076" t="str">
        <f>IF(ROW(F2076)&lt;=Raw_hydro_bm!$J$2,Raw_hydro_bm!G2076,"")</f>
        <v/>
      </c>
      <c r="G2076" t="str">
        <f>IF(ROW(G2076)&lt;=Raw_hydro_bm!$J$2,Raw_hydro_bm!H2076,"")</f>
        <v/>
      </c>
      <c r="H2076" t="str">
        <f>IF(ROW(H2076)&lt;=Raw_hydro_bm!$J$2,Raw_hydro_bm!I2076,"")</f>
        <v/>
      </c>
      <c r="I2076" s="16" t="str">
        <f t="shared" si="32"/>
        <v/>
      </c>
    </row>
    <row r="2077" spans="1:9" x14ac:dyDescent="0.2">
      <c r="A2077" t="str">
        <f>IF(ROW(A2077)&lt;=Raw_hydro_bm!$J$2,Raw_hydro_bm!B2077,"")</f>
        <v/>
      </c>
      <c r="B2077" t="str">
        <f>IF(ROW(B2077)&lt;=Raw_hydro_bm!$J$2,Raw_hydro_bm!C2077,"")</f>
        <v/>
      </c>
      <c r="C2077" t="str">
        <f>IF(ROW(C2077)&lt;=Raw_hydro_bm!$J$2,Raw_hydro_bm!D2077,"")</f>
        <v/>
      </c>
      <c r="D2077" t="str">
        <f>IF(ROW(D2077)&lt;=Raw_hydro_bm!$J$2,Raw_hydro_bm!E2077,"")</f>
        <v/>
      </c>
      <c r="E2077" t="str">
        <f>IF(ROW(E2077)&lt;=Raw_hydro_bm!$J$2,Raw_hydro_bm!F2077,"")</f>
        <v/>
      </c>
      <c r="F2077" t="str">
        <f>IF(ROW(F2077)&lt;=Raw_hydro_bm!$J$2,Raw_hydro_bm!G2077,"")</f>
        <v/>
      </c>
      <c r="G2077" t="str">
        <f>IF(ROW(G2077)&lt;=Raw_hydro_bm!$J$2,Raw_hydro_bm!H2077,"")</f>
        <v/>
      </c>
      <c r="H2077" t="str">
        <f>IF(ROW(H2077)&lt;=Raw_hydro_bm!$J$2,Raw_hydro_bm!I2077,"")</f>
        <v/>
      </c>
      <c r="I2077" s="16" t="str">
        <f t="shared" si="32"/>
        <v/>
      </c>
    </row>
    <row r="2078" spans="1:9" x14ac:dyDescent="0.2">
      <c r="A2078" t="str">
        <f>IF(ROW(A2078)&lt;=Raw_hydro_bm!$J$2,Raw_hydro_bm!B2078,"")</f>
        <v/>
      </c>
      <c r="B2078" t="str">
        <f>IF(ROW(B2078)&lt;=Raw_hydro_bm!$J$2,Raw_hydro_bm!C2078,"")</f>
        <v/>
      </c>
      <c r="C2078" t="str">
        <f>IF(ROW(C2078)&lt;=Raw_hydro_bm!$J$2,Raw_hydro_bm!D2078,"")</f>
        <v/>
      </c>
      <c r="D2078" t="str">
        <f>IF(ROW(D2078)&lt;=Raw_hydro_bm!$J$2,Raw_hydro_bm!E2078,"")</f>
        <v/>
      </c>
      <c r="E2078" t="str">
        <f>IF(ROW(E2078)&lt;=Raw_hydro_bm!$J$2,Raw_hydro_bm!F2078,"")</f>
        <v/>
      </c>
      <c r="F2078" t="str">
        <f>IF(ROW(F2078)&lt;=Raw_hydro_bm!$J$2,Raw_hydro_bm!G2078,"")</f>
        <v/>
      </c>
      <c r="G2078" t="str">
        <f>IF(ROW(G2078)&lt;=Raw_hydro_bm!$J$2,Raw_hydro_bm!H2078,"")</f>
        <v/>
      </c>
      <c r="H2078" t="str">
        <f>IF(ROW(H2078)&lt;=Raw_hydro_bm!$J$2,Raw_hydro_bm!I2078,"")</f>
        <v/>
      </c>
      <c r="I2078" s="16" t="str">
        <f t="shared" si="32"/>
        <v/>
      </c>
    </row>
    <row r="2079" spans="1:9" x14ac:dyDescent="0.2">
      <c r="A2079" t="str">
        <f>IF(ROW(A2079)&lt;=Raw_hydro_bm!$J$2,Raw_hydro_bm!B2079,"")</f>
        <v/>
      </c>
      <c r="B2079" t="str">
        <f>IF(ROW(B2079)&lt;=Raw_hydro_bm!$J$2,Raw_hydro_bm!C2079,"")</f>
        <v/>
      </c>
      <c r="C2079" t="str">
        <f>IF(ROW(C2079)&lt;=Raw_hydro_bm!$J$2,Raw_hydro_bm!D2079,"")</f>
        <v/>
      </c>
      <c r="D2079" t="str">
        <f>IF(ROW(D2079)&lt;=Raw_hydro_bm!$J$2,Raw_hydro_bm!E2079,"")</f>
        <v/>
      </c>
      <c r="E2079" t="str">
        <f>IF(ROW(E2079)&lt;=Raw_hydro_bm!$J$2,Raw_hydro_bm!F2079,"")</f>
        <v/>
      </c>
      <c r="F2079" t="str">
        <f>IF(ROW(F2079)&lt;=Raw_hydro_bm!$J$2,Raw_hydro_bm!G2079,"")</f>
        <v/>
      </c>
      <c r="G2079" t="str">
        <f>IF(ROW(G2079)&lt;=Raw_hydro_bm!$J$2,Raw_hydro_bm!H2079,"")</f>
        <v/>
      </c>
      <c r="H2079" t="str">
        <f>IF(ROW(H2079)&lt;=Raw_hydro_bm!$J$2,Raw_hydro_bm!I2079,"")</f>
        <v/>
      </c>
      <c r="I2079" s="16" t="str">
        <f t="shared" si="32"/>
        <v/>
      </c>
    </row>
    <row r="2080" spans="1:9" x14ac:dyDescent="0.2">
      <c r="A2080" t="str">
        <f>IF(ROW(A2080)&lt;=Raw_hydro_bm!$J$2,Raw_hydro_bm!B2080,"")</f>
        <v/>
      </c>
      <c r="B2080" t="str">
        <f>IF(ROW(B2080)&lt;=Raw_hydro_bm!$J$2,Raw_hydro_bm!C2080,"")</f>
        <v/>
      </c>
      <c r="C2080" t="str">
        <f>IF(ROW(C2080)&lt;=Raw_hydro_bm!$J$2,Raw_hydro_bm!D2080,"")</f>
        <v/>
      </c>
      <c r="D2080" t="str">
        <f>IF(ROW(D2080)&lt;=Raw_hydro_bm!$J$2,Raw_hydro_bm!E2080,"")</f>
        <v/>
      </c>
      <c r="E2080" t="str">
        <f>IF(ROW(E2080)&lt;=Raw_hydro_bm!$J$2,Raw_hydro_bm!F2080,"")</f>
        <v/>
      </c>
      <c r="F2080" t="str">
        <f>IF(ROW(F2080)&lt;=Raw_hydro_bm!$J$2,Raw_hydro_bm!G2080,"")</f>
        <v/>
      </c>
      <c r="G2080" t="str">
        <f>IF(ROW(G2080)&lt;=Raw_hydro_bm!$J$2,Raw_hydro_bm!H2080,"")</f>
        <v/>
      </c>
      <c r="H2080" t="str">
        <f>IF(ROW(H2080)&lt;=Raw_hydro_bm!$J$2,Raw_hydro_bm!I2080,"")</f>
        <v/>
      </c>
      <c r="I2080" s="16" t="str">
        <f t="shared" si="32"/>
        <v/>
      </c>
    </row>
    <row r="2081" spans="1:9" x14ac:dyDescent="0.2">
      <c r="A2081" t="str">
        <f>IF(ROW(A2081)&lt;=Raw_hydro_bm!$J$2,Raw_hydro_bm!B2081,"")</f>
        <v/>
      </c>
      <c r="B2081" t="str">
        <f>IF(ROW(B2081)&lt;=Raw_hydro_bm!$J$2,Raw_hydro_bm!C2081,"")</f>
        <v/>
      </c>
      <c r="C2081" t="str">
        <f>IF(ROW(C2081)&lt;=Raw_hydro_bm!$J$2,Raw_hydro_bm!D2081,"")</f>
        <v/>
      </c>
      <c r="D2081" t="str">
        <f>IF(ROW(D2081)&lt;=Raw_hydro_bm!$J$2,Raw_hydro_bm!E2081,"")</f>
        <v/>
      </c>
      <c r="E2081" t="str">
        <f>IF(ROW(E2081)&lt;=Raw_hydro_bm!$J$2,Raw_hydro_bm!F2081,"")</f>
        <v/>
      </c>
      <c r="F2081" t="str">
        <f>IF(ROW(F2081)&lt;=Raw_hydro_bm!$J$2,Raw_hydro_bm!G2081,"")</f>
        <v/>
      </c>
      <c r="G2081" t="str">
        <f>IF(ROW(G2081)&lt;=Raw_hydro_bm!$J$2,Raw_hydro_bm!H2081,"")</f>
        <v/>
      </c>
      <c r="H2081" t="str">
        <f>IF(ROW(H2081)&lt;=Raw_hydro_bm!$J$2,Raw_hydro_bm!I2081,"")</f>
        <v/>
      </c>
      <c r="I2081" s="16" t="str">
        <f t="shared" si="32"/>
        <v/>
      </c>
    </row>
    <row r="2082" spans="1:9" x14ac:dyDescent="0.2">
      <c r="A2082" t="str">
        <f>IF(ROW(A2082)&lt;=Raw_hydro_bm!$J$2,Raw_hydro_bm!B2082,"")</f>
        <v/>
      </c>
      <c r="B2082" t="str">
        <f>IF(ROW(B2082)&lt;=Raw_hydro_bm!$J$2,Raw_hydro_bm!C2082,"")</f>
        <v/>
      </c>
      <c r="C2082" t="str">
        <f>IF(ROW(C2082)&lt;=Raw_hydro_bm!$J$2,Raw_hydro_bm!D2082,"")</f>
        <v/>
      </c>
      <c r="D2082" t="str">
        <f>IF(ROW(D2082)&lt;=Raw_hydro_bm!$J$2,Raw_hydro_bm!E2082,"")</f>
        <v/>
      </c>
      <c r="E2082" t="str">
        <f>IF(ROW(E2082)&lt;=Raw_hydro_bm!$J$2,Raw_hydro_bm!F2082,"")</f>
        <v/>
      </c>
      <c r="F2082" t="str">
        <f>IF(ROW(F2082)&lt;=Raw_hydro_bm!$J$2,Raw_hydro_bm!G2082,"")</f>
        <v/>
      </c>
      <c r="G2082" t="str">
        <f>IF(ROW(G2082)&lt;=Raw_hydro_bm!$J$2,Raw_hydro_bm!H2082,"")</f>
        <v/>
      </c>
      <c r="H2082" t="str">
        <f>IF(ROW(H2082)&lt;=Raw_hydro_bm!$J$2,Raw_hydro_bm!I2082,"")</f>
        <v/>
      </c>
      <c r="I2082" s="16" t="str">
        <f t="shared" si="32"/>
        <v/>
      </c>
    </row>
    <row r="2083" spans="1:9" x14ac:dyDescent="0.2">
      <c r="A2083" t="str">
        <f>IF(ROW(A2083)&lt;=Raw_hydro_bm!$J$2,Raw_hydro_bm!B2083,"")</f>
        <v/>
      </c>
      <c r="B2083" t="str">
        <f>IF(ROW(B2083)&lt;=Raw_hydro_bm!$J$2,Raw_hydro_bm!C2083,"")</f>
        <v/>
      </c>
      <c r="C2083" t="str">
        <f>IF(ROW(C2083)&lt;=Raw_hydro_bm!$J$2,Raw_hydro_bm!D2083,"")</f>
        <v/>
      </c>
      <c r="D2083" t="str">
        <f>IF(ROW(D2083)&lt;=Raw_hydro_bm!$J$2,Raw_hydro_bm!E2083,"")</f>
        <v/>
      </c>
      <c r="E2083" t="str">
        <f>IF(ROW(E2083)&lt;=Raw_hydro_bm!$J$2,Raw_hydro_bm!F2083,"")</f>
        <v/>
      </c>
      <c r="F2083" t="str">
        <f>IF(ROW(F2083)&lt;=Raw_hydro_bm!$J$2,Raw_hydro_bm!G2083,"")</f>
        <v/>
      </c>
      <c r="G2083" t="str">
        <f>IF(ROW(G2083)&lt;=Raw_hydro_bm!$J$2,Raw_hydro_bm!H2083,"")</f>
        <v/>
      </c>
      <c r="H2083" t="str">
        <f>IF(ROW(H2083)&lt;=Raw_hydro_bm!$J$2,Raw_hydro_bm!I2083,"")</f>
        <v/>
      </c>
      <c r="I2083" s="16" t="str">
        <f t="shared" si="32"/>
        <v/>
      </c>
    </row>
    <row r="2084" spans="1:9" x14ac:dyDescent="0.2">
      <c r="A2084" t="str">
        <f>IF(ROW(A2084)&lt;=Raw_hydro_bm!$J$2,Raw_hydro_bm!B2084,"")</f>
        <v/>
      </c>
      <c r="B2084" t="str">
        <f>IF(ROW(B2084)&lt;=Raw_hydro_bm!$J$2,Raw_hydro_bm!C2084,"")</f>
        <v/>
      </c>
      <c r="C2084" t="str">
        <f>IF(ROW(C2084)&lt;=Raw_hydro_bm!$J$2,Raw_hydro_bm!D2084,"")</f>
        <v/>
      </c>
      <c r="D2084" t="str">
        <f>IF(ROW(D2084)&lt;=Raw_hydro_bm!$J$2,Raw_hydro_bm!E2084,"")</f>
        <v/>
      </c>
      <c r="E2084" t="str">
        <f>IF(ROW(E2084)&lt;=Raw_hydro_bm!$J$2,Raw_hydro_bm!F2084,"")</f>
        <v/>
      </c>
      <c r="F2084" t="str">
        <f>IF(ROW(F2084)&lt;=Raw_hydro_bm!$J$2,Raw_hydro_bm!G2084,"")</f>
        <v/>
      </c>
      <c r="G2084" t="str">
        <f>IF(ROW(G2084)&lt;=Raw_hydro_bm!$J$2,Raw_hydro_bm!H2084,"")</f>
        <v/>
      </c>
      <c r="H2084" t="str">
        <f>IF(ROW(H2084)&lt;=Raw_hydro_bm!$J$2,Raw_hydro_bm!I2084,"")</f>
        <v/>
      </c>
      <c r="I2084" s="16" t="str">
        <f t="shared" si="32"/>
        <v/>
      </c>
    </row>
    <row r="2085" spans="1:9" x14ac:dyDescent="0.2">
      <c r="A2085" t="str">
        <f>IF(ROW(A2085)&lt;=Raw_hydro_bm!$J$2,Raw_hydro_bm!B2085,"")</f>
        <v/>
      </c>
      <c r="B2085" t="str">
        <f>IF(ROW(B2085)&lt;=Raw_hydro_bm!$J$2,Raw_hydro_bm!C2085,"")</f>
        <v/>
      </c>
      <c r="C2085" t="str">
        <f>IF(ROW(C2085)&lt;=Raw_hydro_bm!$J$2,Raw_hydro_bm!D2085,"")</f>
        <v/>
      </c>
      <c r="D2085" t="str">
        <f>IF(ROW(D2085)&lt;=Raw_hydro_bm!$J$2,Raw_hydro_bm!E2085,"")</f>
        <v/>
      </c>
      <c r="E2085" t="str">
        <f>IF(ROW(E2085)&lt;=Raw_hydro_bm!$J$2,Raw_hydro_bm!F2085,"")</f>
        <v/>
      </c>
      <c r="F2085" t="str">
        <f>IF(ROW(F2085)&lt;=Raw_hydro_bm!$J$2,Raw_hydro_bm!G2085,"")</f>
        <v/>
      </c>
      <c r="G2085" t="str">
        <f>IF(ROW(G2085)&lt;=Raw_hydro_bm!$J$2,Raw_hydro_bm!H2085,"")</f>
        <v/>
      </c>
      <c r="H2085" t="str">
        <f>IF(ROW(H2085)&lt;=Raw_hydro_bm!$J$2,Raw_hydro_bm!I2085,"")</f>
        <v/>
      </c>
      <c r="I2085" s="16" t="str">
        <f t="shared" si="32"/>
        <v/>
      </c>
    </row>
    <row r="2086" spans="1:9" x14ac:dyDescent="0.2">
      <c r="A2086" t="str">
        <f>IF(ROW(A2086)&lt;=Raw_hydro_bm!$J$2,Raw_hydro_bm!B2086,"")</f>
        <v/>
      </c>
      <c r="B2086" t="str">
        <f>IF(ROW(B2086)&lt;=Raw_hydro_bm!$J$2,Raw_hydro_bm!C2086,"")</f>
        <v/>
      </c>
      <c r="C2086" t="str">
        <f>IF(ROW(C2086)&lt;=Raw_hydro_bm!$J$2,Raw_hydro_bm!D2086,"")</f>
        <v/>
      </c>
      <c r="D2086" t="str">
        <f>IF(ROW(D2086)&lt;=Raw_hydro_bm!$J$2,Raw_hydro_bm!E2086,"")</f>
        <v/>
      </c>
      <c r="E2086" t="str">
        <f>IF(ROW(E2086)&lt;=Raw_hydro_bm!$J$2,Raw_hydro_bm!F2086,"")</f>
        <v/>
      </c>
      <c r="F2086" t="str">
        <f>IF(ROW(F2086)&lt;=Raw_hydro_bm!$J$2,Raw_hydro_bm!G2086,"")</f>
        <v/>
      </c>
      <c r="G2086" t="str">
        <f>IF(ROW(G2086)&lt;=Raw_hydro_bm!$J$2,Raw_hydro_bm!H2086,"")</f>
        <v/>
      </c>
      <c r="H2086" t="str">
        <f>IF(ROW(H2086)&lt;=Raw_hydro_bm!$J$2,Raw_hydro_bm!I2086,"")</f>
        <v/>
      </c>
      <c r="I2086" s="16" t="str">
        <f t="shared" si="32"/>
        <v/>
      </c>
    </row>
    <row r="2087" spans="1:9" x14ac:dyDescent="0.2">
      <c r="A2087" t="str">
        <f>IF(ROW(A2087)&lt;=Raw_hydro_bm!$J$2,Raw_hydro_bm!B2087,"")</f>
        <v/>
      </c>
      <c r="B2087" t="str">
        <f>IF(ROW(B2087)&lt;=Raw_hydro_bm!$J$2,Raw_hydro_bm!C2087,"")</f>
        <v/>
      </c>
      <c r="C2087" t="str">
        <f>IF(ROW(C2087)&lt;=Raw_hydro_bm!$J$2,Raw_hydro_bm!D2087,"")</f>
        <v/>
      </c>
      <c r="D2087" t="str">
        <f>IF(ROW(D2087)&lt;=Raw_hydro_bm!$J$2,Raw_hydro_bm!E2087,"")</f>
        <v/>
      </c>
      <c r="E2087" t="str">
        <f>IF(ROW(E2087)&lt;=Raw_hydro_bm!$J$2,Raw_hydro_bm!F2087,"")</f>
        <v/>
      </c>
      <c r="F2087" t="str">
        <f>IF(ROW(F2087)&lt;=Raw_hydro_bm!$J$2,Raw_hydro_bm!G2087,"")</f>
        <v/>
      </c>
      <c r="G2087" t="str">
        <f>IF(ROW(G2087)&lt;=Raw_hydro_bm!$J$2,Raw_hydro_bm!H2087,"")</f>
        <v/>
      </c>
      <c r="H2087" t="str">
        <f>IF(ROW(H2087)&lt;=Raw_hydro_bm!$J$2,Raw_hydro_bm!I2087,"")</f>
        <v/>
      </c>
      <c r="I2087" s="16" t="str">
        <f t="shared" si="32"/>
        <v/>
      </c>
    </row>
    <row r="2088" spans="1:9" x14ac:dyDescent="0.2">
      <c r="A2088" t="str">
        <f>IF(ROW(A2088)&lt;=Raw_hydro_bm!$J$2,Raw_hydro_bm!B2088,"")</f>
        <v/>
      </c>
      <c r="B2088" t="str">
        <f>IF(ROW(B2088)&lt;=Raw_hydro_bm!$J$2,Raw_hydro_bm!C2088,"")</f>
        <v/>
      </c>
      <c r="C2088" t="str">
        <f>IF(ROW(C2088)&lt;=Raw_hydro_bm!$J$2,Raw_hydro_bm!D2088,"")</f>
        <v/>
      </c>
      <c r="D2088" t="str">
        <f>IF(ROW(D2088)&lt;=Raw_hydro_bm!$J$2,Raw_hydro_bm!E2088,"")</f>
        <v/>
      </c>
      <c r="E2088" t="str">
        <f>IF(ROW(E2088)&lt;=Raw_hydro_bm!$J$2,Raw_hydro_bm!F2088,"")</f>
        <v/>
      </c>
      <c r="F2088" t="str">
        <f>IF(ROW(F2088)&lt;=Raw_hydro_bm!$J$2,Raw_hydro_bm!G2088,"")</f>
        <v/>
      </c>
      <c r="G2088" t="str">
        <f>IF(ROW(G2088)&lt;=Raw_hydro_bm!$J$2,Raw_hydro_bm!H2088,"")</f>
        <v/>
      </c>
      <c r="H2088" t="str">
        <f>IF(ROW(H2088)&lt;=Raw_hydro_bm!$J$2,Raw_hydro_bm!I2088,"")</f>
        <v/>
      </c>
      <c r="I2088" s="16" t="str">
        <f t="shared" si="32"/>
        <v/>
      </c>
    </row>
    <row r="2089" spans="1:9" x14ac:dyDescent="0.2">
      <c r="A2089" t="str">
        <f>IF(ROW(A2089)&lt;=Raw_hydro_bm!$J$2,Raw_hydro_bm!B2089,"")</f>
        <v/>
      </c>
      <c r="B2089" t="str">
        <f>IF(ROW(B2089)&lt;=Raw_hydro_bm!$J$2,Raw_hydro_bm!C2089,"")</f>
        <v/>
      </c>
      <c r="C2089" t="str">
        <f>IF(ROW(C2089)&lt;=Raw_hydro_bm!$J$2,Raw_hydro_bm!D2089,"")</f>
        <v/>
      </c>
      <c r="D2089" t="str">
        <f>IF(ROW(D2089)&lt;=Raw_hydro_bm!$J$2,Raw_hydro_bm!E2089,"")</f>
        <v/>
      </c>
      <c r="E2089" t="str">
        <f>IF(ROW(E2089)&lt;=Raw_hydro_bm!$J$2,Raw_hydro_bm!F2089,"")</f>
        <v/>
      </c>
      <c r="F2089" t="str">
        <f>IF(ROW(F2089)&lt;=Raw_hydro_bm!$J$2,Raw_hydro_bm!G2089,"")</f>
        <v/>
      </c>
      <c r="G2089" t="str">
        <f>IF(ROW(G2089)&lt;=Raw_hydro_bm!$J$2,Raw_hydro_bm!H2089,"")</f>
        <v/>
      </c>
      <c r="H2089" t="str">
        <f>IF(ROW(H2089)&lt;=Raw_hydro_bm!$J$2,Raw_hydro_bm!I2089,"")</f>
        <v/>
      </c>
      <c r="I2089" s="16" t="str">
        <f t="shared" si="32"/>
        <v/>
      </c>
    </row>
    <row r="2090" spans="1:9" x14ac:dyDescent="0.2">
      <c r="A2090" t="str">
        <f>IF(ROW(A2090)&lt;=Raw_hydro_bm!$J$2,Raw_hydro_bm!B2090,"")</f>
        <v/>
      </c>
      <c r="B2090" t="str">
        <f>IF(ROW(B2090)&lt;=Raw_hydro_bm!$J$2,Raw_hydro_bm!C2090,"")</f>
        <v/>
      </c>
      <c r="C2090" t="str">
        <f>IF(ROW(C2090)&lt;=Raw_hydro_bm!$J$2,Raw_hydro_bm!D2090,"")</f>
        <v/>
      </c>
      <c r="D2090" t="str">
        <f>IF(ROW(D2090)&lt;=Raw_hydro_bm!$J$2,Raw_hydro_bm!E2090,"")</f>
        <v/>
      </c>
      <c r="E2090" t="str">
        <f>IF(ROW(E2090)&lt;=Raw_hydro_bm!$J$2,Raw_hydro_bm!F2090,"")</f>
        <v/>
      </c>
      <c r="F2090" t="str">
        <f>IF(ROW(F2090)&lt;=Raw_hydro_bm!$J$2,Raw_hydro_bm!G2090,"")</f>
        <v/>
      </c>
      <c r="G2090" t="str">
        <f>IF(ROW(G2090)&lt;=Raw_hydro_bm!$J$2,Raw_hydro_bm!H2090,"")</f>
        <v/>
      </c>
      <c r="H2090" t="str">
        <f>IF(ROW(H2090)&lt;=Raw_hydro_bm!$J$2,Raw_hydro_bm!I2090,"")</f>
        <v/>
      </c>
      <c r="I2090" s="16" t="str">
        <f t="shared" si="32"/>
        <v/>
      </c>
    </row>
    <row r="2091" spans="1:9" x14ac:dyDescent="0.2">
      <c r="A2091" t="str">
        <f>IF(ROW(A2091)&lt;=Raw_hydro_bm!$J$2,Raw_hydro_bm!B2091,"")</f>
        <v/>
      </c>
      <c r="B2091" t="str">
        <f>IF(ROW(B2091)&lt;=Raw_hydro_bm!$J$2,Raw_hydro_bm!C2091,"")</f>
        <v/>
      </c>
      <c r="C2091" t="str">
        <f>IF(ROW(C2091)&lt;=Raw_hydro_bm!$J$2,Raw_hydro_bm!D2091,"")</f>
        <v/>
      </c>
      <c r="D2091" t="str">
        <f>IF(ROW(D2091)&lt;=Raw_hydro_bm!$J$2,Raw_hydro_bm!E2091,"")</f>
        <v/>
      </c>
      <c r="E2091" t="str">
        <f>IF(ROW(E2091)&lt;=Raw_hydro_bm!$J$2,Raw_hydro_bm!F2091,"")</f>
        <v/>
      </c>
      <c r="F2091" t="str">
        <f>IF(ROW(F2091)&lt;=Raw_hydro_bm!$J$2,Raw_hydro_bm!G2091,"")</f>
        <v/>
      </c>
      <c r="G2091" t="str">
        <f>IF(ROW(G2091)&lt;=Raw_hydro_bm!$J$2,Raw_hydro_bm!H2091,"")</f>
        <v/>
      </c>
      <c r="H2091" t="str">
        <f>IF(ROW(H2091)&lt;=Raw_hydro_bm!$J$2,Raw_hydro_bm!I2091,"")</f>
        <v/>
      </c>
      <c r="I2091" s="16" t="str">
        <f t="shared" si="32"/>
        <v/>
      </c>
    </row>
    <row r="2092" spans="1:9" x14ac:dyDescent="0.2">
      <c r="A2092" t="str">
        <f>IF(ROW(A2092)&lt;=Raw_hydro_bm!$J$2,Raw_hydro_bm!B2092,"")</f>
        <v/>
      </c>
      <c r="B2092" t="str">
        <f>IF(ROW(B2092)&lt;=Raw_hydro_bm!$J$2,Raw_hydro_bm!C2092,"")</f>
        <v/>
      </c>
      <c r="C2092" t="str">
        <f>IF(ROW(C2092)&lt;=Raw_hydro_bm!$J$2,Raw_hydro_bm!D2092,"")</f>
        <v/>
      </c>
      <c r="D2092" t="str">
        <f>IF(ROW(D2092)&lt;=Raw_hydro_bm!$J$2,Raw_hydro_bm!E2092,"")</f>
        <v/>
      </c>
      <c r="E2092" t="str">
        <f>IF(ROW(E2092)&lt;=Raw_hydro_bm!$J$2,Raw_hydro_bm!F2092,"")</f>
        <v/>
      </c>
      <c r="F2092" t="str">
        <f>IF(ROW(F2092)&lt;=Raw_hydro_bm!$J$2,Raw_hydro_bm!G2092,"")</f>
        <v/>
      </c>
      <c r="G2092" t="str">
        <f>IF(ROW(G2092)&lt;=Raw_hydro_bm!$J$2,Raw_hydro_bm!H2092,"")</f>
        <v/>
      </c>
      <c r="H2092" t="str">
        <f>IF(ROW(H2092)&lt;=Raw_hydro_bm!$J$2,Raw_hydro_bm!I2092,"")</f>
        <v/>
      </c>
      <c r="I2092" s="16" t="str">
        <f t="shared" si="32"/>
        <v/>
      </c>
    </row>
    <row r="2093" spans="1:9" x14ac:dyDescent="0.2">
      <c r="A2093" t="str">
        <f>IF(ROW(A2093)&lt;=Raw_hydro_bm!$J$2,Raw_hydro_bm!B2093,"")</f>
        <v/>
      </c>
      <c r="B2093" t="str">
        <f>IF(ROW(B2093)&lt;=Raw_hydro_bm!$J$2,Raw_hydro_bm!C2093,"")</f>
        <v/>
      </c>
      <c r="C2093" t="str">
        <f>IF(ROW(C2093)&lt;=Raw_hydro_bm!$J$2,Raw_hydro_bm!D2093,"")</f>
        <v/>
      </c>
      <c r="D2093" t="str">
        <f>IF(ROW(D2093)&lt;=Raw_hydro_bm!$J$2,Raw_hydro_bm!E2093,"")</f>
        <v/>
      </c>
      <c r="E2093" t="str">
        <f>IF(ROW(E2093)&lt;=Raw_hydro_bm!$J$2,Raw_hydro_bm!F2093,"")</f>
        <v/>
      </c>
      <c r="F2093" t="str">
        <f>IF(ROW(F2093)&lt;=Raw_hydro_bm!$J$2,Raw_hydro_bm!G2093,"")</f>
        <v/>
      </c>
      <c r="G2093" t="str">
        <f>IF(ROW(G2093)&lt;=Raw_hydro_bm!$J$2,Raw_hydro_bm!H2093,"")</f>
        <v/>
      </c>
      <c r="H2093" t="str">
        <f>IF(ROW(H2093)&lt;=Raw_hydro_bm!$J$2,Raw_hydro_bm!I2093,"")</f>
        <v/>
      </c>
      <c r="I2093" s="16" t="str">
        <f t="shared" si="32"/>
        <v/>
      </c>
    </row>
    <row r="2094" spans="1:9" x14ac:dyDescent="0.2">
      <c r="A2094" t="str">
        <f>IF(ROW(A2094)&lt;=Raw_hydro_bm!$J$2,Raw_hydro_bm!B2094,"")</f>
        <v/>
      </c>
      <c r="B2094" t="str">
        <f>IF(ROW(B2094)&lt;=Raw_hydro_bm!$J$2,Raw_hydro_bm!C2094,"")</f>
        <v/>
      </c>
      <c r="C2094" t="str">
        <f>IF(ROW(C2094)&lt;=Raw_hydro_bm!$J$2,Raw_hydro_bm!D2094,"")</f>
        <v/>
      </c>
      <c r="D2094" t="str">
        <f>IF(ROW(D2094)&lt;=Raw_hydro_bm!$J$2,Raw_hydro_bm!E2094,"")</f>
        <v/>
      </c>
      <c r="E2094" t="str">
        <f>IF(ROW(E2094)&lt;=Raw_hydro_bm!$J$2,Raw_hydro_bm!F2094,"")</f>
        <v/>
      </c>
      <c r="F2094" t="str">
        <f>IF(ROW(F2094)&lt;=Raw_hydro_bm!$J$2,Raw_hydro_bm!G2094,"")</f>
        <v/>
      </c>
      <c r="G2094" t="str">
        <f>IF(ROW(G2094)&lt;=Raw_hydro_bm!$J$2,Raw_hydro_bm!H2094,"")</f>
        <v/>
      </c>
      <c r="H2094" t="str">
        <f>IF(ROW(H2094)&lt;=Raw_hydro_bm!$J$2,Raw_hydro_bm!I2094,"")</f>
        <v/>
      </c>
      <c r="I2094" s="16" t="str">
        <f t="shared" si="32"/>
        <v/>
      </c>
    </row>
    <row r="2095" spans="1:9" x14ac:dyDescent="0.2">
      <c r="A2095" t="str">
        <f>IF(ROW(A2095)&lt;=Raw_hydro_bm!$J$2,Raw_hydro_bm!B2095,"")</f>
        <v/>
      </c>
      <c r="B2095" t="str">
        <f>IF(ROW(B2095)&lt;=Raw_hydro_bm!$J$2,Raw_hydro_bm!C2095,"")</f>
        <v/>
      </c>
      <c r="C2095" t="str">
        <f>IF(ROW(C2095)&lt;=Raw_hydro_bm!$J$2,Raw_hydro_bm!D2095,"")</f>
        <v/>
      </c>
      <c r="D2095" t="str">
        <f>IF(ROW(D2095)&lt;=Raw_hydro_bm!$J$2,Raw_hydro_bm!E2095,"")</f>
        <v/>
      </c>
      <c r="E2095" t="str">
        <f>IF(ROW(E2095)&lt;=Raw_hydro_bm!$J$2,Raw_hydro_bm!F2095,"")</f>
        <v/>
      </c>
      <c r="F2095" t="str">
        <f>IF(ROW(F2095)&lt;=Raw_hydro_bm!$J$2,Raw_hydro_bm!G2095,"")</f>
        <v/>
      </c>
      <c r="G2095" t="str">
        <f>IF(ROW(G2095)&lt;=Raw_hydro_bm!$J$2,Raw_hydro_bm!H2095,"")</f>
        <v/>
      </c>
      <c r="H2095" t="str">
        <f>IF(ROW(H2095)&lt;=Raw_hydro_bm!$J$2,Raw_hydro_bm!I2095,"")</f>
        <v/>
      </c>
      <c r="I2095" s="16" t="str">
        <f t="shared" si="32"/>
        <v/>
      </c>
    </row>
    <row r="2096" spans="1:9" x14ac:dyDescent="0.2">
      <c r="A2096" t="str">
        <f>IF(ROW(A2096)&lt;=Raw_hydro_bm!$J$2,Raw_hydro_bm!B2096,"")</f>
        <v/>
      </c>
      <c r="B2096" t="str">
        <f>IF(ROW(B2096)&lt;=Raw_hydro_bm!$J$2,Raw_hydro_bm!C2096,"")</f>
        <v/>
      </c>
      <c r="C2096" t="str">
        <f>IF(ROW(C2096)&lt;=Raw_hydro_bm!$J$2,Raw_hydro_bm!D2096,"")</f>
        <v/>
      </c>
      <c r="D2096" t="str">
        <f>IF(ROW(D2096)&lt;=Raw_hydro_bm!$J$2,Raw_hydro_bm!E2096,"")</f>
        <v/>
      </c>
      <c r="E2096" t="str">
        <f>IF(ROW(E2096)&lt;=Raw_hydro_bm!$J$2,Raw_hydro_bm!F2096,"")</f>
        <v/>
      </c>
      <c r="F2096" t="str">
        <f>IF(ROW(F2096)&lt;=Raw_hydro_bm!$J$2,Raw_hydro_bm!G2096,"")</f>
        <v/>
      </c>
      <c r="G2096" t="str">
        <f>IF(ROW(G2096)&lt;=Raw_hydro_bm!$J$2,Raw_hydro_bm!H2096,"")</f>
        <v/>
      </c>
      <c r="H2096" t="str">
        <f>IF(ROW(H2096)&lt;=Raw_hydro_bm!$J$2,Raw_hydro_bm!I2096,"")</f>
        <v/>
      </c>
      <c r="I2096" s="16" t="str">
        <f t="shared" si="32"/>
        <v/>
      </c>
    </row>
    <row r="2097" spans="1:9" x14ac:dyDescent="0.2">
      <c r="A2097" t="str">
        <f>IF(ROW(A2097)&lt;=Raw_hydro_bm!$J$2,Raw_hydro_bm!B2097,"")</f>
        <v/>
      </c>
      <c r="B2097" t="str">
        <f>IF(ROW(B2097)&lt;=Raw_hydro_bm!$J$2,Raw_hydro_bm!C2097,"")</f>
        <v/>
      </c>
      <c r="C2097" t="str">
        <f>IF(ROW(C2097)&lt;=Raw_hydro_bm!$J$2,Raw_hydro_bm!D2097,"")</f>
        <v/>
      </c>
      <c r="D2097" t="str">
        <f>IF(ROW(D2097)&lt;=Raw_hydro_bm!$J$2,Raw_hydro_bm!E2097,"")</f>
        <v/>
      </c>
      <c r="E2097" t="str">
        <f>IF(ROW(E2097)&lt;=Raw_hydro_bm!$J$2,Raw_hydro_bm!F2097,"")</f>
        <v/>
      </c>
      <c r="F2097" t="str">
        <f>IF(ROW(F2097)&lt;=Raw_hydro_bm!$J$2,Raw_hydro_bm!G2097,"")</f>
        <v/>
      </c>
      <c r="G2097" t="str">
        <f>IF(ROW(G2097)&lt;=Raw_hydro_bm!$J$2,Raw_hydro_bm!H2097,"")</f>
        <v/>
      </c>
      <c r="H2097" t="str">
        <f>IF(ROW(H2097)&lt;=Raw_hydro_bm!$J$2,Raw_hydro_bm!I2097,"")</f>
        <v/>
      </c>
      <c r="I2097" s="16" t="str">
        <f t="shared" si="32"/>
        <v/>
      </c>
    </row>
    <row r="2098" spans="1:9" x14ac:dyDescent="0.2">
      <c r="A2098" t="str">
        <f>IF(ROW(A2098)&lt;=Raw_hydro_bm!$J$2,Raw_hydro_bm!B2098,"")</f>
        <v/>
      </c>
      <c r="B2098" t="str">
        <f>IF(ROW(B2098)&lt;=Raw_hydro_bm!$J$2,Raw_hydro_bm!C2098,"")</f>
        <v/>
      </c>
      <c r="C2098" t="str">
        <f>IF(ROW(C2098)&lt;=Raw_hydro_bm!$J$2,Raw_hydro_bm!D2098,"")</f>
        <v/>
      </c>
      <c r="D2098" t="str">
        <f>IF(ROW(D2098)&lt;=Raw_hydro_bm!$J$2,Raw_hydro_bm!E2098,"")</f>
        <v/>
      </c>
      <c r="E2098" t="str">
        <f>IF(ROW(E2098)&lt;=Raw_hydro_bm!$J$2,Raw_hydro_bm!F2098,"")</f>
        <v/>
      </c>
      <c r="F2098" t="str">
        <f>IF(ROW(F2098)&lt;=Raw_hydro_bm!$J$2,Raw_hydro_bm!G2098,"")</f>
        <v/>
      </c>
      <c r="G2098" t="str">
        <f>IF(ROW(G2098)&lt;=Raw_hydro_bm!$J$2,Raw_hydro_bm!H2098,"")</f>
        <v/>
      </c>
      <c r="H2098" t="str">
        <f>IF(ROW(H2098)&lt;=Raw_hydro_bm!$J$2,Raw_hydro_bm!I2098,"")</f>
        <v/>
      </c>
      <c r="I2098" s="16" t="str">
        <f t="shared" si="32"/>
        <v/>
      </c>
    </row>
    <row r="2099" spans="1:9" x14ac:dyDescent="0.2">
      <c r="A2099" t="str">
        <f>IF(ROW(A2099)&lt;=Raw_hydro_bm!$J$2,Raw_hydro_bm!B2099,"")</f>
        <v/>
      </c>
      <c r="B2099" t="str">
        <f>IF(ROW(B2099)&lt;=Raw_hydro_bm!$J$2,Raw_hydro_bm!C2099,"")</f>
        <v/>
      </c>
      <c r="C2099" t="str">
        <f>IF(ROW(C2099)&lt;=Raw_hydro_bm!$J$2,Raw_hydro_bm!D2099,"")</f>
        <v/>
      </c>
      <c r="D2099" t="str">
        <f>IF(ROW(D2099)&lt;=Raw_hydro_bm!$J$2,Raw_hydro_bm!E2099,"")</f>
        <v/>
      </c>
      <c r="E2099" t="str">
        <f>IF(ROW(E2099)&lt;=Raw_hydro_bm!$J$2,Raw_hydro_bm!F2099,"")</f>
        <v/>
      </c>
      <c r="F2099" t="str">
        <f>IF(ROW(F2099)&lt;=Raw_hydro_bm!$J$2,Raw_hydro_bm!G2099,"")</f>
        <v/>
      </c>
      <c r="G2099" t="str">
        <f>IF(ROW(G2099)&lt;=Raw_hydro_bm!$J$2,Raw_hydro_bm!H2099,"")</f>
        <v/>
      </c>
      <c r="H2099" t="str">
        <f>IF(ROW(H2099)&lt;=Raw_hydro_bm!$J$2,Raw_hydro_bm!I2099,"")</f>
        <v/>
      </c>
      <c r="I2099" s="16" t="str">
        <f t="shared" si="32"/>
        <v/>
      </c>
    </row>
    <row r="2100" spans="1:9" x14ac:dyDescent="0.2">
      <c r="A2100" t="str">
        <f>IF(ROW(A2100)&lt;=Raw_hydro_bm!$J$2,Raw_hydro_bm!B2100,"")</f>
        <v/>
      </c>
      <c r="B2100" t="str">
        <f>IF(ROW(B2100)&lt;=Raw_hydro_bm!$J$2,Raw_hydro_bm!C2100,"")</f>
        <v/>
      </c>
      <c r="C2100" t="str">
        <f>IF(ROW(C2100)&lt;=Raw_hydro_bm!$J$2,Raw_hydro_bm!D2100,"")</f>
        <v/>
      </c>
      <c r="D2100" t="str">
        <f>IF(ROW(D2100)&lt;=Raw_hydro_bm!$J$2,Raw_hydro_bm!E2100,"")</f>
        <v/>
      </c>
      <c r="E2100" t="str">
        <f>IF(ROW(E2100)&lt;=Raw_hydro_bm!$J$2,Raw_hydro_bm!F2100,"")</f>
        <v/>
      </c>
      <c r="F2100" t="str">
        <f>IF(ROW(F2100)&lt;=Raw_hydro_bm!$J$2,Raw_hydro_bm!G2100,"")</f>
        <v/>
      </c>
      <c r="G2100" t="str">
        <f>IF(ROW(G2100)&lt;=Raw_hydro_bm!$J$2,Raw_hydro_bm!H2100,"")</f>
        <v/>
      </c>
      <c r="H2100" t="str">
        <f>IF(ROW(H2100)&lt;=Raw_hydro_bm!$J$2,Raw_hydro_bm!I2100,"")</f>
        <v/>
      </c>
      <c r="I2100" s="16" t="str">
        <f t="shared" si="32"/>
        <v/>
      </c>
    </row>
    <row r="2101" spans="1:9" x14ac:dyDescent="0.2">
      <c r="A2101" t="str">
        <f>IF(ROW(A2101)&lt;=Raw_hydro_bm!$J$2,Raw_hydro_bm!B2101,"")</f>
        <v/>
      </c>
      <c r="B2101" t="str">
        <f>IF(ROW(B2101)&lt;=Raw_hydro_bm!$J$2,Raw_hydro_bm!C2101,"")</f>
        <v/>
      </c>
      <c r="C2101" t="str">
        <f>IF(ROW(C2101)&lt;=Raw_hydro_bm!$J$2,Raw_hydro_bm!D2101,"")</f>
        <v/>
      </c>
      <c r="D2101" t="str">
        <f>IF(ROW(D2101)&lt;=Raw_hydro_bm!$J$2,Raw_hydro_bm!E2101,"")</f>
        <v/>
      </c>
      <c r="E2101" t="str">
        <f>IF(ROW(E2101)&lt;=Raw_hydro_bm!$J$2,Raw_hydro_bm!F2101,"")</f>
        <v/>
      </c>
      <c r="F2101" t="str">
        <f>IF(ROW(F2101)&lt;=Raw_hydro_bm!$J$2,Raw_hydro_bm!G2101,"")</f>
        <v/>
      </c>
      <c r="G2101" t="str">
        <f>IF(ROW(G2101)&lt;=Raw_hydro_bm!$J$2,Raw_hydro_bm!H2101,"")</f>
        <v/>
      </c>
      <c r="H2101" t="str">
        <f>IF(ROW(H2101)&lt;=Raw_hydro_bm!$J$2,Raw_hydro_bm!I2101,"")</f>
        <v/>
      </c>
      <c r="I2101" s="16" t="str">
        <f t="shared" si="32"/>
        <v/>
      </c>
    </row>
    <row r="2102" spans="1:9" x14ac:dyDescent="0.2">
      <c r="A2102" t="str">
        <f>IF(ROW(A2102)&lt;=Raw_hydro_bm!$J$2,Raw_hydro_bm!B2102,"")</f>
        <v/>
      </c>
      <c r="B2102" t="str">
        <f>IF(ROW(B2102)&lt;=Raw_hydro_bm!$J$2,Raw_hydro_bm!C2102,"")</f>
        <v/>
      </c>
      <c r="C2102" t="str">
        <f>IF(ROW(C2102)&lt;=Raw_hydro_bm!$J$2,Raw_hydro_bm!D2102,"")</f>
        <v/>
      </c>
      <c r="D2102" t="str">
        <f>IF(ROW(D2102)&lt;=Raw_hydro_bm!$J$2,Raw_hydro_bm!E2102,"")</f>
        <v/>
      </c>
      <c r="E2102" t="str">
        <f>IF(ROW(E2102)&lt;=Raw_hydro_bm!$J$2,Raw_hydro_bm!F2102,"")</f>
        <v/>
      </c>
      <c r="F2102" t="str">
        <f>IF(ROW(F2102)&lt;=Raw_hydro_bm!$J$2,Raw_hydro_bm!G2102,"")</f>
        <v/>
      </c>
      <c r="G2102" t="str">
        <f>IF(ROW(G2102)&lt;=Raw_hydro_bm!$J$2,Raw_hydro_bm!H2102,"")</f>
        <v/>
      </c>
      <c r="H2102" t="str">
        <f>IF(ROW(H2102)&lt;=Raw_hydro_bm!$J$2,Raw_hydro_bm!I2102,"")</f>
        <v/>
      </c>
      <c r="I2102" s="16" t="str">
        <f t="shared" si="32"/>
        <v/>
      </c>
    </row>
    <row r="2103" spans="1:9" x14ac:dyDescent="0.2">
      <c r="A2103" t="str">
        <f>IF(ROW(A2103)&lt;=Raw_hydro_bm!$J$2,Raw_hydro_bm!B2103,"")</f>
        <v/>
      </c>
      <c r="B2103" t="str">
        <f>IF(ROW(B2103)&lt;=Raw_hydro_bm!$J$2,Raw_hydro_bm!C2103,"")</f>
        <v/>
      </c>
      <c r="C2103" t="str">
        <f>IF(ROW(C2103)&lt;=Raw_hydro_bm!$J$2,Raw_hydro_bm!D2103,"")</f>
        <v/>
      </c>
      <c r="D2103" t="str">
        <f>IF(ROW(D2103)&lt;=Raw_hydro_bm!$J$2,Raw_hydro_bm!E2103,"")</f>
        <v/>
      </c>
      <c r="E2103" t="str">
        <f>IF(ROW(E2103)&lt;=Raw_hydro_bm!$J$2,Raw_hydro_bm!F2103,"")</f>
        <v/>
      </c>
      <c r="F2103" t="str">
        <f>IF(ROW(F2103)&lt;=Raw_hydro_bm!$J$2,Raw_hydro_bm!G2103,"")</f>
        <v/>
      </c>
      <c r="G2103" t="str">
        <f>IF(ROW(G2103)&lt;=Raw_hydro_bm!$J$2,Raw_hydro_bm!H2103,"")</f>
        <v/>
      </c>
      <c r="H2103" t="str">
        <f>IF(ROW(H2103)&lt;=Raw_hydro_bm!$J$2,Raw_hydro_bm!I2103,"")</f>
        <v/>
      </c>
      <c r="I2103" s="16" t="str">
        <f t="shared" si="32"/>
        <v/>
      </c>
    </row>
    <row r="2104" spans="1:9" x14ac:dyDescent="0.2">
      <c r="A2104" t="str">
        <f>IF(ROW(A2104)&lt;=Raw_hydro_bm!$J$2,Raw_hydro_bm!B2104,"")</f>
        <v/>
      </c>
      <c r="B2104" t="str">
        <f>IF(ROW(B2104)&lt;=Raw_hydro_bm!$J$2,Raw_hydro_bm!C2104,"")</f>
        <v/>
      </c>
      <c r="C2104" t="str">
        <f>IF(ROW(C2104)&lt;=Raw_hydro_bm!$J$2,Raw_hydro_bm!D2104,"")</f>
        <v/>
      </c>
      <c r="D2104" t="str">
        <f>IF(ROW(D2104)&lt;=Raw_hydro_bm!$J$2,Raw_hydro_bm!E2104,"")</f>
        <v/>
      </c>
      <c r="E2104" t="str">
        <f>IF(ROW(E2104)&lt;=Raw_hydro_bm!$J$2,Raw_hydro_bm!F2104,"")</f>
        <v/>
      </c>
      <c r="F2104" t="str">
        <f>IF(ROW(F2104)&lt;=Raw_hydro_bm!$J$2,Raw_hydro_bm!G2104,"")</f>
        <v/>
      </c>
      <c r="G2104" t="str">
        <f>IF(ROW(G2104)&lt;=Raw_hydro_bm!$J$2,Raw_hydro_bm!H2104,"")</f>
        <v/>
      </c>
      <c r="H2104" t="str">
        <f>IF(ROW(H2104)&lt;=Raw_hydro_bm!$J$2,Raw_hydro_bm!I2104,"")</f>
        <v/>
      </c>
      <c r="I2104" s="16" t="str">
        <f t="shared" si="32"/>
        <v/>
      </c>
    </row>
    <row r="2105" spans="1:9" x14ac:dyDescent="0.2">
      <c r="A2105" t="str">
        <f>IF(ROW(A2105)&lt;=Raw_hydro_bm!$J$2,Raw_hydro_bm!B2105,"")</f>
        <v/>
      </c>
      <c r="B2105" t="str">
        <f>IF(ROW(B2105)&lt;=Raw_hydro_bm!$J$2,Raw_hydro_bm!C2105,"")</f>
        <v/>
      </c>
      <c r="C2105" t="str">
        <f>IF(ROW(C2105)&lt;=Raw_hydro_bm!$J$2,Raw_hydro_bm!D2105,"")</f>
        <v/>
      </c>
      <c r="D2105" t="str">
        <f>IF(ROW(D2105)&lt;=Raw_hydro_bm!$J$2,Raw_hydro_bm!E2105,"")</f>
        <v/>
      </c>
      <c r="E2105" t="str">
        <f>IF(ROW(E2105)&lt;=Raw_hydro_bm!$J$2,Raw_hydro_bm!F2105,"")</f>
        <v/>
      </c>
      <c r="F2105" t="str">
        <f>IF(ROW(F2105)&lt;=Raw_hydro_bm!$J$2,Raw_hydro_bm!G2105,"")</f>
        <v/>
      </c>
      <c r="G2105" t="str">
        <f>IF(ROW(G2105)&lt;=Raw_hydro_bm!$J$2,Raw_hydro_bm!H2105,"")</f>
        <v/>
      </c>
      <c r="H2105" t="str">
        <f>IF(ROW(H2105)&lt;=Raw_hydro_bm!$J$2,Raw_hydro_bm!I2105,"")</f>
        <v/>
      </c>
      <c r="I2105" s="16" t="str">
        <f t="shared" si="32"/>
        <v/>
      </c>
    </row>
    <row r="2106" spans="1:9" x14ac:dyDescent="0.2">
      <c r="A2106" t="str">
        <f>IF(ROW(A2106)&lt;=Raw_hydro_bm!$J$2,Raw_hydro_bm!B2106,"")</f>
        <v/>
      </c>
      <c r="B2106" t="str">
        <f>IF(ROW(B2106)&lt;=Raw_hydro_bm!$J$2,Raw_hydro_bm!C2106,"")</f>
        <v/>
      </c>
      <c r="C2106" t="str">
        <f>IF(ROW(C2106)&lt;=Raw_hydro_bm!$J$2,Raw_hydro_bm!D2106,"")</f>
        <v/>
      </c>
      <c r="D2106" t="str">
        <f>IF(ROW(D2106)&lt;=Raw_hydro_bm!$J$2,Raw_hydro_bm!E2106,"")</f>
        <v/>
      </c>
      <c r="E2106" t="str">
        <f>IF(ROW(E2106)&lt;=Raw_hydro_bm!$J$2,Raw_hydro_bm!F2106,"")</f>
        <v/>
      </c>
      <c r="F2106" t="str">
        <f>IF(ROW(F2106)&lt;=Raw_hydro_bm!$J$2,Raw_hydro_bm!G2106,"")</f>
        <v/>
      </c>
      <c r="G2106" t="str">
        <f>IF(ROW(G2106)&lt;=Raw_hydro_bm!$J$2,Raw_hydro_bm!H2106,"")</f>
        <v/>
      </c>
      <c r="H2106" t="str">
        <f>IF(ROW(H2106)&lt;=Raw_hydro_bm!$J$2,Raw_hydro_bm!I2106,"")</f>
        <v/>
      </c>
      <c r="I2106" s="16" t="str">
        <f t="shared" si="32"/>
        <v/>
      </c>
    </row>
    <row r="2107" spans="1:9" x14ac:dyDescent="0.2">
      <c r="A2107" t="str">
        <f>IF(ROW(A2107)&lt;=Raw_hydro_bm!$J$2,Raw_hydro_bm!B2107,"")</f>
        <v/>
      </c>
      <c r="B2107" t="str">
        <f>IF(ROW(B2107)&lt;=Raw_hydro_bm!$J$2,Raw_hydro_bm!C2107,"")</f>
        <v/>
      </c>
      <c r="C2107" t="str">
        <f>IF(ROW(C2107)&lt;=Raw_hydro_bm!$J$2,Raw_hydro_bm!D2107,"")</f>
        <v/>
      </c>
      <c r="D2107" t="str">
        <f>IF(ROW(D2107)&lt;=Raw_hydro_bm!$J$2,Raw_hydro_bm!E2107,"")</f>
        <v/>
      </c>
      <c r="E2107" t="str">
        <f>IF(ROW(E2107)&lt;=Raw_hydro_bm!$J$2,Raw_hydro_bm!F2107,"")</f>
        <v/>
      </c>
      <c r="F2107" t="str">
        <f>IF(ROW(F2107)&lt;=Raw_hydro_bm!$J$2,Raw_hydro_bm!G2107,"")</f>
        <v/>
      </c>
      <c r="G2107" t="str">
        <f>IF(ROW(G2107)&lt;=Raw_hydro_bm!$J$2,Raw_hydro_bm!H2107,"")</f>
        <v/>
      </c>
      <c r="H2107" t="str">
        <f>IF(ROW(H2107)&lt;=Raw_hydro_bm!$J$2,Raw_hydro_bm!I2107,"")</f>
        <v/>
      </c>
      <c r="I2107" s="16" t="str">
        <f t="shared" si="32"/>
        <v/>
      </c>
    </row>
    <row r="2108" spans="1:9" x14ac:dyDescent="0.2">
      <c r="A2108" t="str">
        <f>IF(ROW(A2108)&lt;=Raw_hydro_bm!$J$2,Raw_hydro_bm!B2108,"")</f>
        <v/>
      </c>
      <c r="B2108" t="str">
        <f>IF(ROW(B2108)&lt;=Raw_hydro_bm!$J$2,Raw_hydro_bm!C2108,"")</f>
        <v/>
      </c>
      <c r="C2108" t="str">
        <f>IF(ROW(C2108)&lt;=Raw_hydro_bm!$J$2,Raw_hydro_bm!D2108,"")</f>
        <v/>
      </c>
      <c r="D2108" t="str">
        <f>IF(ROW(D2108)&lt;=Raw_hydro_bm!$J$2,Raw_hydro_bm!E2108,"")</f>
        <v/>
      </c>
      <c r="E2108" t="str">
        <f>IF(ROW(E2108)&lt;=Raw_hydro_bm!$J$2,Raw_hydro_bm!F2108,"")</f>
        <v/>
      </c>
      <c r="F2108" t="str">
        <f>IF(ROW(F2108)&lt;=Raw_hydro_bm!$J$2,Raw_hydro_bm!G2108,"")</f>
        <v/>
      </c>
      <c r="G2108" t="str">
        <f>IF(ROW(G2108)&lt;=Raw_hydro_bm!$J$2,Raw_hydro_bm!H2108,"")</f>
        <v/>
      </c>
      <c r="H2108" t="str">
        <f>IF(ROW(H2108)&lt;=Raw_hydro_bm!$J$2,Raw_hydro_bm!I2108,"")</f>
        <v/>
      </c>
      <c r="I2108" s="16" t="str">
        <f t="shared" si="32"/>
        <v/>
      </c>
    </row>
    <row r="2109" spans="1:9" x14ac:dyDescent="0.2">
      <c r="A2109" t="str">
        <f>IF(ROW(A2109)&lt;=Raw_hydro_bm!$J$2,Raw_hydro_bm!B2109,"")</f>
        <v/>
      </c>
      <c r="B2109" t="str">
        <f>IF(ROW(B2109)&lt;=Raw_hydro_bm!$J$2,Raw_hydro_bm!C2109,"")</f>
        <v/>
      </c>
      <c r="C2109" t="str">
        <f>IF(ROW(C2109)&lt;=Raw_hydro_bm!$J$2,Raw_hydro_bm!D2109,"")</f>
        <v/>
      </c>
      <c r="D2109" t="str">
        <f>IF(ROW(D2109)&lt;=Raw_hydro_bm!$J$2,Raw_hydro_bm!E2109,"")</f>
        <v/>
      </c>
      <c r="E2109" t="str">
        <f>IF(ROW(E2109)&lt;=Raw_hydro_bm!$J$2,Raw_hydro_bm!F2109,"")</f>
        <v/>
      </c>
      <c r="F2109" t="str">
        <f>IF(ROW(F2109)&lt;=Raw_hydro_bm!$J$2,Raw_hydro_bm!G2109,"")</f>
        <v/>
      </c>
      <c r="G2109" t="str">
        <f>IF(ROW(G2109)&lt;=Raw_hydro_bm!$J$2,Raw_hydro_bm!H2109,"")</f>
        <v/>
      </c>
      <c r="H2109" t="str">
        <f>IF(ROW(H2109)&lt;=Raw_hydro_bm!$J$2,Raw_hydro_bm!I2109,"")</f>
        <v/>
      </c>
      <c r="I2109" s="16" t="str">
        <f t="shared" si="32"/>
        <v/>
      </c>
    </row>
    <row r="2110" spans="1:9" x14ac:dyDescent="0.2">
      <c r="A2110" t="str">
        <f>IF(ROW(A2110)&lt;=Raw_hydro_bm!$J$2,Raw_hydro_bm!B2110,"")</f>
        <v/>
      </c>
      <c r="B2110" t="str">
        <f>IF(ROW(B2110)&lt;=Raw_hydro_bm!$J$2,Raw_hydro_bm!C2110,"")</f>
        <v/>
      </c>
      <c r="C2110" t="str">
        <f>IF(ROW(C2110)&lt;=Raw_hydro_bm!$J$2,Raw_hydro_bm!D2110,"")</f>
        <v/>
      </c>
      <c r="D2110" t="str">
        <f>IF(ROW(D2110)&lt;=Raw_hydro_bm!$J$2,Raw_hydro_bm!E2110,"")</f>
        <v/>
      </c>
      <c r="E2110" t="str">
        <f>IF(ROW(E2110)&lt;=Raw_hydro_bm!$J$2,Raw_hydro_bm!F2110,"")</f>
        <v/>
      </c>
      <c r="F2110" t="str">
        <f>IF(ROW(F2110)&lt;=Raw_hydro_bm!$J$2,Raw_hydro_bm!G2110,"")</f>
        <v/>
      </c>
      <c r="G2110" t="str">
        <f>IF(ROW(G2110)&lt;=Raw_hydro_bm!$J$2,Raw_hydro_bm!H2110,"")</f>
        <v/>
      </c>
      <c r="H2110" t="str">
        <f>IF(ROW(H2110)&lt;=Raw_hydro_bm!$J$2,Raw_hydro_bm!I2110,"")</f>
        <v/>
      </c>
      <c r="I2110" s="16" t="str">
        <f t="shared" si="32"/>
        <v/>
      </c>
    </row>
    <row r="2111" spans="1:9" x14ac:dyDescent="0.2">
      <c r="A2111" t="str">
        <f>IF(ROW(A2111)&lt;=Raw_hydro_bm!$J$2,Raw_hydro_bm!B2111,"")</f>
        <v/>
      </c>
      <c r="B2111" t="str">
        <f>IF(ROW(B2111)&lt;=Raw_hydro_bm!$J$2,Raw_hydro_bm!C2111,"")</f>
        <v/>
      </c>
      <c r="C2111" t="str">
        <f>IF(ROW(C2111)&lt;=Raw_hydro_bm!$J$2,Raw_hydro_bm!D2111,"")</f>
        <v/>
      </c>
      <c r="D2111" t="str">
        <f>IF(ROW(D2111)&lt;=Raw_hydro_bm!$J$2,Raw_hydro_bm!E2111,"")</f>
        <v/>
      </c>
      <c r="E2111" t="str">
        <f>IF(ROW(E2111)&lt;=Raw_hydro_bm!$J$2,Raw_hydro_bm!F2111,"")</f>
        <v/>
      </c>
      <c r="F2111" t="str">
        <f>IF(ROW(F2111)&lt;=Raw_hydro_bm!$J$2,Raw_hydro_bm!G2111,"")</f>
        <v/>
      </c>
      <c r="G2111" t="str">
        <f>IF(ROW(G2111)&lt;=Raw_hydro_bm!$J$2,Raw_hydro_bm!H2111,"")</f>
        <v/>
      </c>
      <c r="H2111" t="str">
        <f>IF(ROW(H2111)&lt;=Raw_hydro_bm!$J$2,Raw_hydro_bm!I2111,"")</f>
        <v/>
      </c>
      <c r="I2111" s="16" t="str">
        <f t="shared" si="32"/>
        <v/>
      </c>
    </row>
    <row r="2112" spans="1:9" x14ac:dyDescent="0.2">
      <c r="A2112" t="str">
        <f>IF(ROW(A2112)&lt;=Raw_hydro_bm!$J$2,Raw_hydro_bm!B2112,"")</f>
        <v/>
      </c>
      <c r="B2112" t="str">
        <f>IF(ROW(B2112)&lt;=Raw_hydro_bm!$J$2,Raw_hydro_bm!C2112,"")</f>
        <v/>
      </c>
      <c r="C2112" t="str">
        <f>IF(ROW(C2112)&lt;=Raw_hydro_bm!$J$2,Raw_hydro_bm!D2112,"")</f>
        <v/>
      </c>
      <c r="D2112" t="str">
        <f>IF(ROW(D2112)&lt;=Raw_hydro_bm!$J$2,Raw_hydro_bm!E2112,"")</f>
        <v/>
      </c>
      <c r="E2112" t="str">
        <f>IF(ROW(E2112)&lt;=Raw_hydro_bm!$J$2,Raw_hydro_bm!F2112,"")</f>
        <v/>
      </c>
      <c r="F2112" t="str">
        <f>IF(ROW(F2112)&lt;=Raw_hydro_bm!$J$2,Raw_hydro_bm!G2112,"")</f>
        <v/>
      </c>
      <c r="G2112" t="str">
        <f>IF(ROW(G2112)&lt;=Raw_hydro_bm!$J$2,Raw_hydro_bm!H2112,"")</f>
        <v/>
      </c>
      <c r="H2112" t="str">
        <f>IF(ROW(H2112)&lt;=Raw_hydro_bm!$J$2,Raw_hydro_bm!I2112,"")</f>
        <v/>
      </c>
      <c r="I2112" s="16" t="str">
        <f t="shared" si="32"/>
        <v/>
      </c>
    </row>
    <row r="2113" spans="1:9" x14ac:dyDescent="0.2">
      <c r="A2113" t="str">
        <f>IF(ROW(A2113)&lt;=Raw_hydro_bm!$J$2,Raw_hydro_bm!B2113,"")</f>
        <v/>
      </c>
      <c r="B2113" t="str">
        <f>IF(ROW(B2113)&lt;=Raw_hydro_bm!$J$2,Raw_hydro_bm!C2113,"")</f>
        <v/>
      </c>
      <c r="C2113" t="str">
        <f>IF(ROW(C2113)&lt;=Raw_hydro_bm!$J$2,Raw_hydro_bm!D2113,"")</f>
        <v/>
      </c>
      <c r="D2113" t="str">
        <f>IF(ROW(D2113)&lt;=Raw_hydro_bm!$J$2,Raw_hydro_bm!E2113,"")</f>
        <v/>
      </c>
      <c r="E2113" t="str">
        <f>IF(ROW(E2113)&lt;=Raw_hydro_bm!$J$2,Raw_hydro_bm!F2113,"")</f>
        <v/>
      </c>
      <c r="F2113" t="str">
        <f>IF(ROW(F2113)&lt;=Raw_hydro_bm!$J$2,Raw_hydro_bm!G2113,"")</f>
        <v/>
      </c>
      <c r="G2113" t="str">
        <f>IF(ROW(G2113)&lt;=Raw_hydro_bm!$J$2,Raw_hydro_bm!H2113,"")</f>
        <v/>
      </c>
      <c r="H2113" t="str">
        <f>IF(ROW(H2113)&lt;=Raw_hydro_bm!$J$2,Raw_hydro_bm!I2113,"")</f>
        <v/>
      </c>
      <c r="I2113" s="16" t="str">
        <f t="shared" si="32"/>
        <v/>
      </c>
    </row>
    <row r="2114" spans="1:9" x14ac:dyDescent="0.2">
      <c r="A2114" t="str">
        <f>IF(ROW(A2114)&lt;=Raw_hydro_bm!$J$2,Raw_hydro_bm!B2114,"")</f>
        <v/>
      </c>
      <c r="B2114" t="str">
        <f>IF(ROW(B2114)&lt;=Raw_hydro_bm!$J$2,Raw_hydro_bm!C2114,"")</f>
        <v/>
      </c>
      <c r="C2114" t="str">
        <f>IF(ROW(C2114)&lt;=Raw_hydro_bm!$J$2,Raw_hydro_bm!D2114,"")</f>
        <v/>
      </c>
      <c r="D2114" t="str">
        <f>IF(ROW(D2114)&lt;=Raw_hydro_bm!$J$2,Raw_hydro_bm!E2114,"")</f>
        <v/>
      </c>
      <c r="E2114" t="str">
        <f>IF(ROW(E2114)&lt;=Raw_hydro_bm!$J$2,Raw_hydro_bm!F2114,"")</f>
        <v/>
      </c>
      <c r="F2114" t="str">
        <f>IF(ROW(F2114)&lt;=Raw_hydro_bm!$J$2,Raw_hydro_bm!G2114,"")</f>
        <v/>
      </c>
      <c r="G2114" t="str">
        <f>IF(ROW(G2114)&lt;=Raw_hydro_bm!$J$2,Raw_hydro_bm!H2114,"")</f>
        <v/>
      </c>
      <c r="H2114" t="str">
        <f>IF(ROW(H2114)&lt;=Raw_hydro_bm!$J$2,Raw_hydro_bm!I2114,"")</f>
        <v/>
      </c>
      <c r="I2114" s="16" t="str">
        <f t="shared" ref="I2114:I2177" si="33">IF(IFERROR(FIND("e",H2114),-1)&lt;0,IFERROR(_xlfn.NUMBERVALUE(LEFT(H2114,FIND(".",H2114)-1))+_xlfn.NUMBERVALUE("0,"&amp;RIGHT(H2114,LEN(H2114)-FIND(".",H2114))),""),0)</f>
        <v/>
      </c>
    </row>
    <row r="2115" spans="1:9" x14ac:dyDescent="0.2">
      <c r="A2115" t="str">
        <f>IF(ROW(A2115)&lt;=Raw_hydro_bm!$J$2,Raw_hydro_bm!B2115,"")</f>
        <v/>
      </c>
      <c r="B2115" t="str">
        <f>IF(ROW(B2115)&lt;=Raw_hydro_bm!$J$2,Raw_hydro_bm!C2115,"")</f>
        <v/>
      </c>
      <c r="C2115" t="str">
        <f>IF(ROW(C2115)&lt;=Raw_hydro_bm!$J$2,Raw_hydro_bm!D2115,"")</f>
        <v/>
      </c>
      <c r="D2115" t="str">
        <f>IF(ROW(D2115)&lt;=Raw_hydro_bm!$J$2,Raw_hydro_bm!E2115,"")</f>
        <v/>
      </c>
      <c r="E2115" t="str">
        <f>IF(ROW(E2115)&lt;=Raw_hydro_bm!$J$2,Raw_hydro_bm!F2115,"")</f>
        <v/>
      </c>
      <c r="F2115" t="str">
        <f>IF(ROW(F2115)&lt;=Raw_hydro_bm!$J$2,Raw_hydro_bm!G2115,"")</f>
        <v/>
      </c>
      <c r="G2115" t="str">
        <f>IF(ROW(G2115)&lt;=Raw_hydro_bm!$J$2,Raw_hydro_bm!H2115,"")</f>
        <v/>
      </c>
      <c r="H2115" t="str">
        <f>IF(ROW(H2115)&lt;=Raw_hydro_bm!$J$2,Raw_hydro_bm!I2115,"")</f>
        <v/>
      </c>
      <c r="I2115" s="16" t="str">
        <f t="shared" si="33"/>
        <v/>
      </c>
    </row>
    <row r="2116" spans="1:9" x14ac:dyDescent="0.2">
      <c r="A2116" t="str">
        <f>IF(ROW(A2116)&lt;=Raw_hydro_bm!$J$2,Raw_hydro_bm!B2116,"")</f>
        <v/>
      </c>
      <c r="B2116" t="str">
        <f>IF(ROW(B2116)&lt;=Raw_hydro_bm!$J$2,Raw_hydro_bm!C2116,"")</f>
        <v/>
      </c>
      <c r="C2116" t="str">
        <f>IF(ROW(C2116)&lt;=Raw_hydro_bm!$J$2,Raw_hydro_bm!D2116,"")</f>
        <v/>
      </c>
      <c r="D2116" t="str">
        <f>IF(ROW(D2116)&lt;=Raw_hydro_bm!$J$2,Raw_hydro_bm!E2116,"")</f>
        <v/>
      </c>
      <c r="E2116" t="str">
        <f>IF(ROW(E2116)&lt;=Raw_hydro_bm!$J$2,Raw_hydro_bm!F2116,"")</f>
        <v/>
      </c>
      <c r="F2116" t="str">
        <f>IF(ROW(F2116)&lt;=Raw_hydro_bm!$J$2,Raw_hydro_bm!G2116,"")</f>
        <v/>
      </c>
      <c r="G2116" t="str">
        <f>IF(ROW(G2116)&lt;=Raw_hydro_bm!$J$2,Raw_hydro_bm!H2116,"")</f>
        <v/>
      </c>
      <c r="H2116" t="str">
        <f>IF(ROW(H2116)&lt;=Raw_hydro_bm!$J$2,Raw_hydro_bm!I2116,"")</f>
        <v/>
      </c>
      <c r="I2116" s="16" t="str">
        <f t="shared" si="33"/>
        <v/>
      </c>
    </row>
    <row r="2117" spans="1:9" x14ac:dyDescent="0.2">
      <c r="A2117" t="str">
        <f>IF(ROW(A2117)&lt;=Raw_hydro_bm!$J$2,Raw_hydro_bm!B2117,"")</f>
        <v/>
      </c>
      <c r="B2117" t="str">
        <f>IF(ROW(B2117)&lt;=Raw_hydro_bm!$J$2,Raw_hydro_bm!C2117,"")</f>
        <v/>
      </c>
      <c r="C2117" t="str">
        <f>IF(ROW(C2117)&lt;=Raw_hydro_bm!$J$2,Raw_hydro_bm!D2117,"")</f>
        <v/>
      </c>
      <c r="D2117" t="str">
        <f>IF(ROW(D2117)&lt;=Raw_hydro_bm!$J$2,Raw_hydro_bm!E2117,"")</f>
        <v/>
      </c>
      <c r="E2117" t="str">
        <f>IF(ROW(E2117)&lt;=Raw_hydro_bm!$J$2,Raw_hydro_bm!F2117,"")</f>
        <v/>
      </c>
      <c r="F2117" t="str">
        <f>IF(ROW(F2117)&lt;=Raw_hydro_bm!$J$2,Raw_hydro_bm!G2117,"")</f>
        <v/>
      </c>
      <c r="G2117" t="str">
        <f>IF(ROW(G2117)&lt;=Raw_hydro_bm!$J$2,Raw_hydro_bm!H2117,"")</f>
        <v/>
      </c>
      <c r="H2117" t="str">
        <f>IF(ROW(H2117)&lt;=Raw_hydro_bm!$J$2,Raw_hydro_bm!I2117,"")</f>
        <v/>
      </c>
      <c r="I2117" s="16" t="str">
        <f t="shared" si="33"/>
        <v/>
      </c>
    </row>
    <row r="2118" spans="1:9" x14ac:dyDescent="0.2">
      <c r="A2118" t="str">
        <f>IF(ROW(A2118)&lt;=Raw_hydro_bm!$J$2,Raw_hydro_bm!B2118,"")</f>
        <v/>
      </c>
      <c r="B2118" t="str">
        <f>IF(ROW(B2118)&lt;=Raw_hydro_bm!$J$2,Raw_hydro_bm!C2118,"")</f>
        <v/>
      </c>
      <c r="C2118" t="str">
        <f>IF(ROW(C2118)&lt;=Raw_hydro_bm!$J$2,Raw_hydro_bm!D2118,"")</f>
        <v/>
      </c>
      <c r="D2118" t="str">
        <f>IF(ROW(D2118)&lt;=Raw_hydro_bm!$J$2,Raw_hydro_bm!E2118,"")</f>
        <v/>
      </c>
      <c r="E2118" t="str">
        <f>IF(ROW(E2118)&lt;=Raw_hydro_bm!$J$2,Raw_hydro_bm!F2118,"")</f>
        <v/>
      </c>
      <c r="F2118" t="str">
        <f>IF(ROW(F2118)&lt;=Raw_hydro_bm!$J$2,Raw_hydro_bm!G2118,"")</f>
        <v/>
      </c>
      <c r="G2118" t="str">
        <f>IF(ROW(G2118)&lt;=Raw_hydro_bm!$J$2,Raw_hydro_bm!H2118,"")</f>
        <v/>
      </c>
      <c r="H2118" t="str">
        <f>IF(ROW(H2118)&lt;=Raw_hydro_bm!$J$2,Raw_hydro_bm!I2118,"")</f>
        <v/>
      </c>
      <c r="I2118" s="16" t="str">
        <f t="shared" si="33"/>
        <v/>
      </c>
    </row>
    <row r="2119" spans="1:9" x14ac:dyDescent="0.2">
      <c r="A2119" t="str">
        <f>IF(ROW(A2119)&lt;=Raw_hydro_bm!$J$2,Raw_hydro_bm!B2119,"")</f>
        <v/>
      </c>
      <c r="B2119" t="str">
        <f>IF(ROW(B2119)&lt;=Raw_hydro_bm!$J$2,Raw_hydro_bm!C2119,"")</f>
        <v/>
      </c>
      <c r="C2119" t="str">
        <f>IF(ROW(C2119)&lt;=Raw_hydro_bm!$J$2,Raw_hydro_bm!D2119,"")</f>
        <v/>
      </c>
      <c r="D2119" t="str">
        <f>IF(ROW(D2119)&lt;=Raw_hydro_bm!$J$2,Raw_hydro_bm!E2119,"")</f>
        <v/>
      </c>
      <c r="E2119" t="str">
        <f>IF(ROW(E2119)&lt;=Raw_hydro_bm!$J$2,Raw_hydro_bm!F2119,"")</f>
        <v/>
      </c>
      <c r="F2119" t="str">
        <f>IF(ROW(F2119)&lt;=Raw_hydro_bm!$J$2,Raw_hydro_bm!G2119,"")</f>
        <v/>
      </c>
      <c r="G2119" t="str">
        <f>IF(ROW(G2119)&lt;=Raw_hydro_bm!$J$2,Raw_hydro_bm!H2119,"")</f>
        <v/>
      </c>
      <c r="H2119" t="str">
        <f>IF(ROW(H2119)&lt;=Raw_hydro_bm!$J$2,Raw_hydro_bm!I2119,"")</f>
        <v/>
      </c>
      <c r="I2119" s="16" t="str">
        <f t="shared" si="33"/>
        <v/>
      </c>
    </row>
    <row r="2120" spans="1:9" x14ac:dyDescent="0.2">
      <c r="A2120" t="str">
        <f>IF(ROW(A2120)&lt;=Raw_hydro_bm!$J$2,Raw_hydro_bm!B2120,"")</f>
        <v/>
      </c>
      <c r="B2120" t="str">
        <f>IF(ROW(B2120)&lt;=Raw_hydro_bm!$J$2,Raw_hydro_bm!C2120,"")</f>
        <v/>
      </c>
      <c r="C2120" t="str">
        <f>IF(ROW(C2120)&lt;=Raw_hydro_bm!$J$2,Raw_hydro_bm!D2120,"")</f>
        <v/>
      </c>
      <c r="D2120" t="str">
        <f>IF(ROW(D2120)&lt;=Raw_hydro_bm!$J$2,Raw_hydro_bm!E2120,"")</f>
        <v/>
      </c>
      <c r="E2120" t="str">
        <f>IF(ROW(E2120)&lt;=Raw_hydro_bm!$J$2,Raw_hydro_bm!F2120,"")</f>
        <v/>
      </c>
      <c r="F2120" t="str">
        <f>IF(ROW(F2120)&lt;=Raw_hydro_bm!$J$2,Raw_hydro_bm!G2120,"")</f>
        <v/>
      </c>
      <c r="G2120" t="str">
        <f>IF(ROW(G2120)&lt;=Raw_hydro_bm!$J$2,Raw_hydro_bm!H2120,"")</f>
        <v/>
      </c>
      <c r="H2120" t="str">
        <f>IF(ROW(H2120)&lt;=Raw_hydro_bm!$J$2,Raw_hydro_bm!I2120,"")</f>
        <v/>
      </c>
      <c r="I2120" s="16" t="str">
        <f t="shared" si="33"/>
        <v/>
      </c>
    </row>
    <row r="2121" spans="1:9" x14ac:dyDescent="0.2">
      <c r="A2121" t="str">
        <f>IF(ROW(A2121)&lt;=Raw_hydro_bm!$J$2,Raw_hydro_bm!B2121,"")</f>
        <v/>
      </c>
      <c r="B2121" t="str">
        <f>IF(ROW(B2121)&lt;=Raw_hydro_bm!$J$2,Raw_hydro_bm!C2121,"")</f>
        <v/>
      </c>
      <c r="C2121" t="str">
        <f>IF(ROW(C2121)&lt;=Raw_hydro_bm!$J$2,Raw_hydro_bm!D2121,"")</f>
        <v/>
      </c>
      <c r="D2121" t="str">
        <f>IF(ROW(D2121)&lt;=Raw_hydro_bm!$J$2,Raw_hydro_bm!E2121,"")</f>
        <v/>
      </c>
      <c r="E2121" t="str">
        <f>IF(ROW(E2121)&lt;=Raw_hydro_bm!$J$2,Raw_hydro_bm!F2121,"")</f>
        <v/>
      </c>
      <c r="F2121" t="str">
        <f>IF(ROW(F2121)&lt;=Raw_hydro_bm!$J$2,Raw_hydro_bm!G2121,"")</f>
        <v/>
      </c>
      <c r="G2121" t="str">
        <f>IF(ROW(G2121)&lt;=Raw_hydro_bm!$J$2,Raw_hydro_bm!H2121,"")</f>
        <v/>
      </c>
      <c r="H2121" t="str">
        <f>IF(ROW(H2121)&lt;=Raw_hydro_bm!$J$2,Raw_hydro_bm!I2121,"")</f>
        <v/>
      </c>
      <c r="I2121" s="16" t="str">
        <f t="shared" si="33"/>
        <v/>
      </c>
    </row>
    <row r="2122" spans="1:9" x14ac:dyDescent="0.2">
      <c r="A2122" t="str">
        <f>IF(ROW(A2122)&lt;=Raw_hydro_bm!$J$2,Raw_hydro_bm!B2122,"")</f>
        <v/>
      </c>
      <c r="B2122" t="str">
        <f>IF(ROW(B2122)&lt;=Raw_hydro_bm!$J$2,Raw_hydro_bm!C2122,"")</f>
        <v/>
      </c>
      <c r="C2122" t="str">
        <f>IF(ROW(C2122)&lt;=Raw_hydro_bm!$J$2,Raw_hydro_bm!D2122,"")</f>
        <v/>
      </c>
      <c r="D2122" t="str">
        <f>IF(ROW(D2122)&lt;=Raw_hydro_bm!$J$2,Raw_hydro_bm!E2122,"")</f>
        <v/>
      </c>
      <c r="E2122" t="str">
        <f>IF(ROW(E2122)&lt;=Raw_hydro_bm!$J$2,Raw_hydro_bm!F2122,"")</f>
        <v/>
      </c>
      <c r="F2122" t="str">
        <f>IF(ROW(F2122)&lt;=Raw_hydro_bm!$J$2,Raw_hydro_bm!G2122,"")</f>
        <v/>
      </c>
      <c r="G2122" t="str">
        <f>IF(ROW(G2122)&lt;=Raw_hydro_bm!$J$2,Raw_hydro_bm!H2122,"")</f>
        <v/>
      </c>
      <c r="H2122" t="str">
        <f>IF(ROW(H2122)&lt;=Raw_hydro_bm!$J$2,Raw_hydro_bm!I2122,"")</f>
        <v/>
      </c>
      <c r="I2122" s="16" t="str">
        <f t="shared" si="33"/>
        <v/>
      </c>
    </row>
    <row r="2123" spans="1:9" x14ac:dyDescent="0.2">
      <c r="A2123" t="str">
        <f>IF(ROW(A2123)&lt;=Raw_hydro_bm!$J$2,Raw_hydro_bm!B2123,"")</f>
        <v/>
      </c>
      <c r="B2123" t="str">
        <f>IF(ROW(B2123)&lt;=Raw_hydro_bm!$J$2,Raw_hydro_bm!C2123,"")</f>
        <v/>
      </c>
      <c r="C2123" t="str">
        <f>IF(ROW(C2123)&lt;=Raw_hydro_bm!$J$2,Raw_hydro_bm!D2123,"")</f>
        <v/>
      </c>
      <c r="D2123" t="str">
        <f>IF(ROW(D2123)&lt;=Raw_hydro_bm!$J$2,Raw_hydro_bm!E2123,"")</f>
        <v/>
      </c>
      <c r="E2123" t="str">
        <f>IF(ROW(E2123)&lt;=Raw_hydro_bm!$J$2,Raw_hydro_bm!F2123,"")</f>
        <v/>
      </c>
      <c r="F2123" t="str">
        <f>IF(ROW(F2123)&lt;=Raw_hydro_bm!$J$2,Raw_hydro_bm!G2123,"")</f>
        <v/>
      </c>
      <c r="G2123" t="str">
        <f>IF(ROW(G2123)&lt;=Raw_hydro_bm!$J$2,Raw_hydro_bm!H2123,"")</f>
        <v/>
      </c>
      <c r="H2123" t="str">
        <f>IF(ROW(H2123)&lt;=Raw_hydro_bm!$J$2,Raw_hydro_bm!I2123,"")</f>
        <v/>
      </c>
      <c r="I2123" s="16" t="str">
        <f t="shared" si="33"/>
        <v/>
      </c>
    </row>
    <row r="2124" spans="1:9" x14ac:dyDescent="0.2">
      <c r="A2124" t="str">
        <f>IF(ROW(A2124)&lt;=Raw_hydro_bm!$J$2,Raw_hydro_bm!B2124,"")</f>
        <v/>
      </c>
      <c r="B2124" t="str">
        <f>IF(ROW(B2124)&lt;=Raw_hydro_bm!$J$2,Raw_hydro_bm!C2124,"")</f>
        <v/>
      </c>
      <c r="C2124" t="str">
        <f>IF(ROW(C2124)&lt;=Raw_hydro_bm!$J$2,Raw_hydro_bm!D2124,"")</f>
        <v/>
      </c>
      <c r="D2124" t="str">
        <f>IF(ROW(D2124)&lt;=Raw_hydro_bm!$J$2,Raw_hydro_bm!E2124,"")</f>
        <v/>
      </c>
      <c r="E2124" t="str">
        <f>IF(ROW(E2124)&lt;=Raw_hydro_bm!$J$2,Raw_hydro_bm!F2124,"")</f>
        <v/>
      </c>
      <c r="F2124" t="str">
        <f>IF(ROW(F2124)&lt;=Raw_hydro_bm!$J$2,Raw_hydro_bm!G2124,"")</f>
        <v/>
      </c>
      <c r="G2124" t="str">
        <f>IF(ROW(G2124)&lt;=Raw_hydro_bm!$J$2,Raw_hydro_bm!H2124,"")</f>
        <v/>
      </c>
      <c r="H2124" t="str">
        <f>IF(ROW(H2124)&lt;=Raw_hydro_bm!$J$2,Raw_hydro_bm!I2124,"")</f>
        <v/>
      </c>
      <c r="I2124" s="16" t="str">
        <f t="shared" si="33"/>
        <v/>
      </c>
    </row>
    <row r="2125" spans="1:9" x14ac:dyDescent="0.2">
      <c r="A2125" t="str">
        <f>IF(ROW(A2125)&lt;=Raw_hydro_bm!$J$2,Raw_hydro_bm!B2125,"")</f>
        <v/>
      </c>
      <c r="B2125" t="str">
        <f>IF(ROW(B2125)&lt;=Raw_hydro_bm!$J$2,Raw_hydro_bm!C2125,"")</f>
        <v/>
      </c>
      <c r="C2125" t="str">
        <f>IF(ROW(C2125)&lt;=Raw_hydro_bm!$J$2,Raw_hydro_bm!D2125,"")</f>
        <v/>
      </c>
      <c r="D2125" t="str">
        <f>IF(ROW(D2125)&lt;=Raw_hydro_bm!$J$2,Raw_hydro_bm!E2125,"")</f>
        <v/>
      </c>
      <c r="E2125" t="str">
        <f>IF(ROW(E2125)&lt;=Raw_hydro_bm!$J$2,Raw_hydro_bm!F2125,"")</f>
        <v/>
      </c>
      <c r="F2125" t="str">
        <f>IF(ROW(F2125)&lt;=Raw_hydro_bm!$J$2,Raw_hydro_bm!G2125,"")</f>
        <v/>
      </c>
      <c r="G2125" t="str">
        <f>IF(ROW(G2125)&lt;=Raw_hydro_bm!$J$2,Raw_hydro_bm!H2125,"")</f>
        <v/>
      </c>
      <c r="H2125" t="str">
        <f>IF(ROW(H2125)&lt;=Raw_hydro_bm!$J$2,Raw_hydro_bm!I2125,"")</f>
        <v/>
      </c>
      <c r="I2125" s="16" t="str">
        <f t="shared" si="33"/>
        <v/>
      </c>
    </row>
    <row r="2126" spans="1:9" x14ac:dyDescent="0.2">
      <c r="A2126" t="str">
        <f>IF(ROW(A2126)&lt;=Raw_hydro_bm!$J$2,Raw_hydro_bm!B2126,"")</f>
        <v/>
      </c>
      <c r="B2126" t="str">
        <f>IF(ROW(B2126)&lt;=Raw_hydro_bm!$J$2,Raw_hydro_bm!C2126,"")</f>
        <v/>
      </c>
      <c r="C2126" t="str">
        <f>IF(ROW(C2126)&lt;=Raw_hydro_bm!$J$2,Raw_hydro_bm!D2126,"")</f>
        <v/>
      </c>
      <c r="D2126" t="str">
        <f>IF(ROW(D2126)&lt;=Raw_hydro_bm!$J$2,Raw_hydro_bm!E2126,"")</f>
        <v/>
      </c>
      <c r="E2126" t="str">
        <f>IF(ROW(E2126)&lt;=Raw_hydro_bm!$J$2,Raw_hydro_bm!F2126,"")</f>
        <v/>
      </c>
      <c r="F2126" t="str">
        <f>IF(ROW(F2126)&lt;=Raw_hydro_bm!$J$2,Raw_hydro_bm!G2126,"")</f>
        <v/>
      </c>
      <c r="G2126" t="str">
        <f>IF(ROW(G2126)&lt;=Raw_hydro_bm!$J$2,Raw_hydro_bm!H2126,"")</f>
        <v/>
      </c>
      <c r="H2126" t="str">
        <f>IF(ROW(H2126)&lt;=Raw_hydro_bm!$J$2,Raw_hydro_bm!I2126,"")</f>
        <v/>
      </c>
      <c r="I2126" s="16" t="str">
        <f t="shared" si="33"/>
        <v/>
      </c>
    </row>
    <row r="2127" spans="1:9" x14ac:dyDescent="0.2">
      <c r="A2127" t="str">
        <f>IF(ROW(A2127)&lt;=Raw_hydro_bm!$J$2,Raw_hydro_bm!B2127,"")</f>
        <v/>
      </c>
      <c r="B2127" t="str">
        <f>IF(ROW(B2127)&lt;=Raw_hydro_bm!$J$2,Raw_hydro_bm!C2127,"")</f>
        <v/>
      </c>
      <c r="C2127" t="str">
        <f>IF(ROW(C2127)&lt;=Raw_hydro_bm!$J$2,Raw_hydro_bm!D2127,"")</f>
        <v/>
      </c>
      <c r="D2127" t="str">
        <f>IF(ROW(D2127)&lt;=Raw_hydro_bm!$J$2,Raw_hydro_bm!E2127,"")</f>
        <v/>
      </c>
      <c r="E2127" t="str">
        <f>IF(ROW(E2127)&lt;=Raw_hydro_bm!$J$2,Raw_hydro_bm!F2127,"")</f>
        <v/>
      </c>
      <c r="F2127" t="str">
        <f>IF(ROW(F2127)&lt;=Raw_hydro_bm!$J$2,Raw_hydro_bm!G2127,"")</f>
        <v/>
      </c>
      <c r="G2127" t="str">
        <f>IF(ROW(G2127)&lt;=Raw_hydro_bm!$J$2,Raw_hydro_bm!H2127,"")</f>
        <v/>
      </c>
      <c r="H2127" t="str">
        <f>IF(ROW(H2127)&lt;=Raw_hydro_bm!$J$2,Raw_hydro_bm!I2127,"")</f>
        <v/>
      </c>
      <c r="I2127" s="16" t="str">
        <f t="shared" si="33"/>
        <v/>
      </c>
    </row>
    <row r="2128" spans="1:9" x14ac:dyDescent="0.2">
      <c r="A2128" t="str">
        <f>IF(ROW(A2128)&lt;=Raw_hydro_bm!$J$2,Raw_hydro_bm!B2128,"")</f>
        <v/>
      </c>
      <c r="B2128" t="str">
        <f>IF(ROW(B2128)&lt;=Raw_hydro_bm!$J$2,Raw_hydro_bm!C2128,"")</f>
        <v/>
      </c>
      <c r="C2128" t="str">
        <f>IF(ROW(C2128)&lt;=Raw_hydro_bm!$J$2,Raw_hydro_bm!D2128,"")</f>
        <v/>
      </c>
      <c r="D2128" t="str">
        <f>IF(ROW(D2128)&lt;=Raw_hydro_bm!$J$2,Raw_hydro_bm!E2128,"")</f>
        <v/>
      </c>
      <c r="E2128" t="str">
        <f>IF(ROW(E2128)&lt;=Raw_hydro_bm!$J$2,Raw_hydro_bm!F2128,"")</f>
        <v/>
      </c>
      <c r="F2128" t="str">
        <f>IF(ROW(F2128)&lt;=Raw_hydro_bm!$J$2,Raw_hydro_bm!G2128,"")</f>
        <v/>
      </c>
      <c r="G2128" t="str">
        <f>IF(ROW(G2128)&lt;=Raw_hydro_bm!$J$2,Raw_hydro_bm!H2128,"")</f>
        <v/>
      </c>
      <c r="H2128" t="str">
        <f>IF(ROW(H2128)&lt;=Raw_hydro_bm!$J$2,Raw_hydro_bm!I2128,"")</f>
        <v/>
      </c>
      <c r="I2128" s="16" t="str">
        <f t="shared" si="33"/>
        <v/>
      </c>
    </row>
    <row r="2129" spans="1:9" x14ac:dyDescent="0.2">
      <c r="A2129" t="str">
        <f>IF(ROW(A2129)&lt;=Raw_hydro_bm!$J$2,Raw_hydro_bm!B2129,"")</f>
        <v/>
      </c>
      <c r="B2129" t="str">
        <f>IF(ROW(B2129)&lt;=Raw_hydro_bm!$J$2,Raw_hydro_bm!C2129,"")</f>
        <v/>
      </c>
      <c r="C2129" t="str">
        <f>IF(ROW(C2129)&lt;=Raw_hydro_bm!$J$2,Raw_hydro_bm!D2129,"")</f>
        <v/>
      </c>
      <c r="D2129" t="str">
        <f>IF(ROW(D2129)&lt;=Raw_hydro_bm!$J$2,Raw_hydro_bm!E2129,"")</f>
        <v/>
      </c>
      <c r="E2129" t="str">
        <f>IF(ROW(E2129)&lt;=Raw_hydro_bm!$J$2,Raw_hydro_bm!F2129,"")</f>
        <v/>
      </c>
      <c r="F2129" t="str">
        <f>IF(ROW(F2129)&lt;=Raw_hydro_bm!$J$2,Raw_hydro_bm!G2129,"")</f>
        <v/>
      </c>
      <c r="G2129" t="str">
        <f>IF(ROW(G2129)&lt;=Raw_hydro_bm!$J$2,Raw_hydro_bm!H2129,"")</f>
        <v/>
      </c>
      <c r="H2129" t="str">
        <f>IF(ROW(H2129)&lt;=Raw_hydro_bm!$J$2,Raw_hydro_bm!I2129,"")</f>
        <v/>
      </c>
      <c r="I2129" s="16" t="str">
        <f t="shared" si="33"/>
        <v/>
      </c>
    </row>
    <row r="2130" spans="1:9" x14ac:dyDescent="0.2">
      <c r="A2130" t="str">
        <f>IF(ROW(A2130)&lt;=Raw_hydro_bm!$J$2,Raw_hydro_bm!B2130,"")</f>
        <v/>
      </c>
      <c r="B2130" t="str">
        <f>IF(ROW(B2130)&lt;=Raw_hydro_bm!$J$2,Raw_hydro_bm!C2130,"")</f>
        <v/>
      </c>
      <c r="C2130" t="str">
        <f>IF(ROW(C2130)&lt;=Raw_hydro_bm!$J$2,Raw_hydro_bm!D2130,"")</f>
        <v/>
      </c>
      <c r="D2130" t="str">
        <f>IF(ROW(D2130)&lt;=Raw_hydro_bm!$J$2,Raw_hydro_bm!E2130,"")</f>
        <v/>
      </c>
      <c r="E2130" t="str">
        <f>IF(ROW(E2130)&lt;=Raw_hydro_bm!$J$2,Raw_hydro_bm!F2130,"")</f>
        <v/>
      </c>
      <c r="F2130" t="str">
        <f>IF(ROW(F2130)&lt;=Raw_hydro_bm!$J$2,Raw_hydro_bm!G2130,"")</f>
        <v/>
      </c>
      <c r="G2130" t="str">
        <f>IF(ROW(G2130)&lt;=Raw_hydro_bm!$J$2,Raw_hydro_bm!H2130,"")</f>
        <v/>
      </c>
      <c r="H2130" t="str">
        <f>IF(ROW(H2130)&lt;=Raw_hydro_bm!$J$2,Raw_hydro_bm!I2130,"")</f>
        <v/>
      </c>
      <c r="I2130" s="16" t="str">
        <f t="shared" si="33"/>
        <v/>
      </c>
    </row>
    <row r="2131" spans="1:9" x14ac:dyDescent="0.2">
      <c r="A2131" t="str">
        <f>IF(ROW(A2131)&lt;=Raw_hydro_bm!$J$2,Raw_hydro_bm!B2131,"")</f>
        <v/>
      </c>
      <c r="B2131" t="str">
        <f>IF(ROW(B2131)&lt;=Raw_hydro_bm!$J$2,Raw_hydro_bm!C2131,"")</f>
        <v/>
      </c>
      <c r="C2131" t="str">
        <f>IF(ROW(C2131)&lt;=Raw_hydro_bm!$J$2,Raw_hydro_bm!D2131,"")</f>
        <v/>
      </c>
      <c r="D2131" t="str">
        <f>IF(ROW(D2131)&lt;=Raw_hydro_bm!$J$2,Raw_hydro_bm!E2131,"")</f>
        <v/>
      </c>
      <c r="E2131" t="str">
        <f>IF(ROW(E2131)&lt;=Raw_hydro_bm!$J$2,Raw_hydro_bm!F2131,"")</f>
        <v/>
      </c>
      <c r="F2131" t="str">
        <f>IF(ROW(F2131)&lt;=Raw_hydro_bm!$J$2,Raw_hydro_bm!G2131,"")</f>
        <v/>
      </c>
      <c r="G2131" t="str">
        <f>IF(ROW(G2131)&lt;=Raw_hydro_bm!$J$2,Raw_hydro_bm!H2131,"")</f>
        <v/>
      </c>
      <c r="H2131" t="str">
        <f>IF(ROW(H2131)&lt;=Raw_hydro_bm!$J$2,Raw_hydro_bm!I2131,"")</f>
        <v/>
      </c>
      <c r="I2131" s="16" t="str">
        <f t="shared" si="33"/>
        <v/>
      </c>
    </row>
    <row r="2132" spans="1:9" x14ac:dyDescent="0.2">
      <c r="A2132" t="str">
        <f>IF(ROW(A2132)&lt;=Raw_hydro_bm!$J$2,Raw_hydro_bm!B2132,"")</f>
        <v/>
      </c>
      <c r="B2132" t="str">
        <f>IF(ROW(B2132)&lt;=Raw_hydro_bm!$J$2,Raw_hydro_bm!C2132,"")</f>
        <v/>
      </c>
      <c r="C2132" t="str">
        <f>IF(ROW(C2132)&lt;=Raw_hydro_bm!$J$2,Raw_hydro_bm!D2132,"")</f>
        <v/>
      </c>
      <c r="D2132" t="str">
        <f>IF(ROW(D2132)&lt;=Raw_hydro_bm!$J$2,Raw_hydro_bm!E2132,"")</f>
        <v/>
      </c>
      <c r="E2132" t="str">
        <f>IF(ROW(E2132)&lt;=Raw_hydro_bm!$J$2,Raw_hydro_bm!F2132,"")</f>
        <v/>
      </c>
      <c r="F2132" t="str">
        <f>IF(ROW(F2132)&lt;=Raw_hydro_bm!$J$2,Raw_hydro_bm!G2132,"")</f>
        <v/>
      </c>
      <c r="G2132" t="str">
        <f>IF(ROW(G2132)&lt;=Raw_hydro_bm!$J$2,Raw_hydro_bm!H2132,"")</f>
        <v/>
      </c>
      <c r="H2132" t="str">
        <f>IF(ROW(H2132)&lt;=Raw_hydro_bm!$J$2,Raw_hydro_bm!I2132,"")</f>
        <v/>
      </c>
      <c r="I2132" s="16" t="str">
        <f t="shared" si="33"/>
        <v/>
      </c>
    </row>
    <row r="2133" spans="1:9" x14ac:dyDescent="0.2">
      <c r="A2133" t="str">
        <f>IF(ROW(A2133)&lt;=Raw_hydro_bm!$J$2,Raw_hydro_bm!B2133,"")</f>
        <v/>
      </c>
      <c r="B2133" t="str">
        <f>IF(ROW(B2133)&lt;=Raw_hydro_bm!$J$2,Raw_hydro_bm!C2133,"")</f>
        <v/>
      </c>
      <c r="C2133" t="str">
        <f>IF(ROW(C2133)&lt;=Raw_hydro_bm!$J$2,Raw_hydro_bm!D2133,"")</f>
        <v/>
      </c>
      <c r="D2133" t="str">
        <f>IF(ROW(D2133)&lt;=Raw_hydro_bm!$J$2,Raw_hydro_bm!E2133,"")</f>
        <v/>
      </c>
      <c r="E2133" t="str">
        <f>IF(ROW(E2133)&lt;=Raw_hydro_bm!$J$2,Raw_hydro_bm!F2133,"")</f>
        <v/>
      </c>
      <c r="F2133" t="str">
        <f>IF(ROW(F2133)&lt;=Raw_hydro_bm!$J$2,Raw_hydro_bm!G2133,"")</f>
        <v/>
      </c>
      <c r="G2133" t="str">
        <f>IF(ROW(G2133)&lt;=Raw_hydro_bm!$J$2,Raw_hydro_bm!H2133,"")</f>
        <v/>
      </c>
      <c r="H2133" t="str">
        <f>IF(ROW(H2133)&lt;=Raw_hydro_bm!$J$2,Raw_hydro_bm!I2133,"")</f>
        <v/>
      </c>
      <c r="I2133" s="16" t="str">
        <f t="shared" si="33"/>
        <v/>
      </c>
    </row>
    <row r="2134" spans="1:9" x14ac:dyDescent="0.2">
      <c r="A2134" t="str">
        <f>IF(ROW(A2134)&lt;=Raw_hydro_bm!$J$2,Raw_hydro_bm!B2134,"")</f>
        <v/>
      </c>
      <c r="B2134" t="str">
        <f>IF(ROW(B2134)&lt;=Raw_hydro_bm!$J$2,Raw_hydro_bm!C2134,"")</f>
        <v/>
      </c>
      <c r="C2134" t="str">
        <f>IF(ROW(C2134)&lt;=Raw_hydro_bm!$J$2,Raw_hydro_bm!D2134,"")</f>
        <v/>
      </c>
      <c r="D2134" t="str">
        <f>IF(ROW(D2134)&lt;=Raw_hydro_bm!$J$2,Raw_hydro_bm!E2134,"")</f>
        <v/>
      </c>
      <c r="E2134" t="str">
        <f>IF(ROW(E2134)&lt;=Raw_hydro_bm!$J$2,Raw_hydro_bm!F2134,"")</f>
        <v/>
      </c>
      <c r="F2134" t="str">
        <f>IF(ROW(F2134)&lt;=Raw_hydro_bm!$J$2,Raw_hydro_bm!G2134,"")</f>
        <v/>
      </c>
      <c r="G2134" t="str">
        <f>IF(ROW(G2134)&lt;=Raw_hydro_bm!$J$2,Raw_hydro_bm!H2134,"")</f>
        <v/>
      </c>
      <c r="H2134" t="str">
        <f>IF(ROW(H2134)&lt;=Raw_hydro_bm!$J$2,Raw_hydro_bm!I2134,"")</f>
        <v/>
      </c>
      <c r="I2134" s="16" t="str">
        <f t="shared" si="33"/>
        <v/>
      </c>
    </row>
    <row r="2135" spans="1:9" x14ac:dyDescent="0.2">
      <c r="A2135" t="str">
        <f>IF(ROW(A2135)&lt;=Raw_hydro_bm!$J$2,Raw_hydro_bm!B2135,"")</f>
        <v/>
      </c>
      <c r="B2135" t="str">
        <f>IF(ROW(B2135)&lt;=Raw_hydro_bm!$J$2,Raw_hydro_bm!C2135,"")</f>
        <v/>
      </c>
      <c r="C2135" t="str">
        <f>IF(ROW(C2135)&lt;=Raw_hydro_bm!$J$2,Raw_hydro_bm!D2135,"")</f>
        <v/>
      </c>
      <c r="D2135" t="str">
        <f>IF(ROW(D2135)&lt;=Raw_hydro_bm!$J$2,Raw_hydro_bm!E2135,"")</f>
        <v/>
      </c>
      <c r="E2135" t="str">
        <f>IF(ROW(E2135)&lt;=Raw_hydro_bm!$J$2,Raw_hydro_bm!F2135,"")</f>
        <v/>
      </c>
      <c r="F2135" t="str">
        <f>IF(ROW(F2135)&lt;=Raw_hydro_bm!$J$2,Raw_hydro_bm!G2135,"")</f>
        <v/>
      </c>
      <c r="G2135" t="str">
        <f>IF(ROW(G2135)&lt;=Raw_hydro_bm!$J$2,Raw_hydro_bm!H2135,"")</f>
        <v/>
      </c>
      <c r="H2135" t="str">
        <f>IF(ROW(H2135)&lt;=Raw_hydro_bm!$J$2,Raw_hydro_bm!I2135,"")</f>
        <v/>
      </c>
      <c r="I2135" s="16" t="str">
        <f t="shared" si="33"/>
        <v/>
      </c>
    </row>
    <row r="2136" spans="1:9" x14ac:dyDescent="0.2">
      <c r="A2136" t="str">
        <f>IF(ROW(A2136)&lt;=Raw_hydro_bm!$J$2,Raw_hydro_bm!B2136,"")</f>
        <v/>
      </c>
      <c r="B2136" t="str">
        <f>IF(ROW(B2136)&lt;=Raw_hydro_bm!$J$2,Raw_hydro_bm!C2136,"")</f>
        <v/>
      </c>
      <c r="C2136" t="str">
        <f>IF(ROW(C2136)&lt;=Raw_hydro_bm!$J$2,Raw_hydro_bm!D2136,"")</f>
        <v/>
      </c>
      <c r="D2136" t="str">
        <f>IF(ROW(D2136)&lt;=Raw_hydro_bm!$J$2,Raw_hydro_bm!E2136,"")</f>
        <v/>
      </c>
      <c r="E2136" t="str">
        <f>IF(ROW(E2136)&lt;=Raw_hydro_bm!$J$2,Raw_hydro_bm!F2136,"")</f>
        <v/>
      </c>
      <c r="F2136" t="str">
        <f>IF(ROW(F2136)&lt;=Raw_hydro_bm!$J$2,Raw_hydro_bm!G2136,"")</f>
        <v/>
      </c>
      <c r="G2136" t="str">
        <f>IF(ROW(G2136)&lt;=Raw_hydro_bm!$J$2,Raw_hydro_bm!H2136,"")</f>
        <v/>
      </c>
      <c r="H2136" t="str">
        <f>IF(ROW(H2136)&lt;=Raw_hydro_bm!$J$2,Raw_hydro_bm!I2136,"")</f>
        <v/>
      </c>
      <c r="I2136" s="16" t="str">
        <f t="shared" si="33"/>
        <v/>
      </c>
    </row>
    <row r="2137" spans="1:9" x14ac:dyDescent="0.2">
      <c r="A2137" t="str">
        <f>IF(ROW(A2137)&lt;=Raw_hydro_bm!$J$2,Raw_hydro_bm!B2137,"")</f>
        <v/>
      </c>
      <c r="B2137" t="str">
        <f>IF(ROW(B2137)&lt;=Raw_hydro_bm!$J$2,Raw_hydro_bm!C2137,"")</f>
        <v/>
      </c>
      <c r="C2137" t="str">
        <f>IF(ROW(C2137)&lt;=Raw_hydro_bm!$J$2,Raw_hydro_bm!D2137,"")</f>
        <v/>
      </c>
      <c r="D2137" t="str">
        <f>IF(ROW(D2137)&lt;=Raw_hydro_bm!$J$2,Raw_hydro_bm!E2137,"")</f>
        <v/>
      </c>
      <c r="E2137" t="str">
        <f>IF(ROW(E2137)&lt;=Raw_hydro_bm!$J$2,Raw_hydro_bm!F2137,"")</f>
        <v/>
      </c>
      <c r="F2137" t="str">
        <f>IF(ROW(F2137)&lt;=Raw_hydro_bm!$J$2,Raw_hydro_bm!G2137,"")</f>
        <v/>
      </c>
      <c r="G2137" t="str">
        <f>IF(ROW(G2137)&lt;=Raw_hydro_bm!$J$2,Raw_hydro_bm!H2137,"")</f>
        <v/>
      </c>
      <c r="H2137" t="str">
        <f>IF(ROW(H2137)&lt;=Raw_hydro_bm!$J$2,Raw_hydro_bm!I2137,"")</f>
        <v/>
      </c>
      <c r="I2137" s="16" t="str">
        <f t="shared" si="33"/>
        <v/>
      </c>
    </row>
    <row r="2138" spans="1:9" x14ac:dyDescent="0.2">
      <c r="A2138" t="str">
        <f>IF(ROW(A2138)&lt;=Raw_hydro_bm!$J$2,Raw_hydro_bm!B2138,"")</f>
        <v/>
      </c>
      <c r="B2138" t="str">
        <f>IF(ROW(B2138)&lt;=Raw_hydro_bm!$J$2,Raw_hydro_bm!C2138,"")</f>
        <v/>
      </c>
      <c r="C2138" t="str">
        <f>IF(ROW(C2138)&lt;=Raw_hydro_bm!$J$2,Raw_hydro_bm!D2138,"")</f>
        <v/>
      </c>
      <c r="D2138" t="str">
        <f>IF(ROW(D2138)&lt;=Raw_hydro_bm!$J$2,Raw_hydro_bm!E2138,"")</f>
        <v/>
      </c>
      <c r="E2138" t="str">
        <f>IF(ROW(E2138)&lt;=Raw_hydro_bm!$J$2,Raw_hydro_bm!F2138,"")</f>
        <v/>
      </c>
      <c r="F2138" t="str">
        <f>IF(ROW(F2138)&lt;=Raw_hydro_bm!$J$2,Raw_hydro_bm!G2138,"")</f>
        <v/>
      </c>
      <c r="G2138" t="str">
        <f>IF(ROW(G2138)&lt;=Raw_hydro_bm!$J$2,Raw_hydro_bm!H2138,"")</f>
        <v/>
      </c>
      <c r="H2138" t="str">
        <f>IF(ROW(H2138)&lt;=Raw_hydro_bm!$J$2,Raw_hydro_bm!I2138,"")</f>
        <v/>
      </c>
      <c r="I2138" s="16" t="str">
        <f t="shared" si="33"/>
        <v/>
      </c>
    </row>
    <row r="2139" spans="1:9" x14ac:dyDescent="0.2">
      <c r="A2139" t="str">
        <f>IF(ROW(A2139)&lt;=Raw_hydro_bm!$J$2,Raw_hydro_bm!B2139,"")</f>
        <v/>
      </c>
      <c r="B2139" t="str">
        <f>IF(ROW(B2139)&lt;=Raw_hydro_bm!$J$2,Raw_hydro_bm!C2139,"")</f>
        <v/>
      </c>
      <c r="C2139" t="str">
        <f>IF(ROW(C2139)&lt;=Raw_hydro_bm!$J$2,Raw_hydro_bm!D2139,"")</f>
        <v/>
      </c>
      <c r="D2139" t="str">
        <f>IF(ROW(D2139)&lt;=Raw_hydro_bm!$J$2,Raw_hydro_bm!E2139,"")</f>
        <v/>
      </c>
      <c r="E2139" t="str">
        <f>IF(ROW(E2139)&lt;=Raw_hydro_bm!$J$2,Raw_hydro_bm!F2139,"")</f>
        <v/>
      </c>
      <c r="F2139" t="str">
        <f>IF(ROW(F2139)&lt;=Raw_hydro_bm!$J$2,Raw_hydro_bm!G2139,"")</f>
        <v/>
      </c>
      <c r="G2139" t="str">
        <f>IF(ROW(G2139)&lt;=Raw_hydro_bm!$J$2,Raw_hydro_bm!H2139,"")</f>
        <v/>
      </c>
      <c r="H2139" t="str">
        <f>IF(ROW(H2139)&lt;=Raw_hydro_bm!$J$2,Raw_hydro_bm!I2139,"")</f>
        <v/>
      </c>
      <c r="I2139" s="16" t="str">
        <f t="shared" si="33"/>
        <v/>
      </c>
    </row>
    <row r="2140" spans="1:9" x14ac:dyDescent="0.2">
      <c r="A2140" t="str">
        <f>IF(ROW(A2140)&lt;=Raw_hydro_bm!$J$2,Raw_hydro_bm!B2140,"")</f>
        <v/>
      </c>
      <c r="B2140" t="str">
        <f>IF(ROW(B2140)&lt;=Raw_hydro_bm!$J$2,Raw_hydro_bm!C2140,"")</f>
        <v/>
      </c>
      <c r="C2140" t="str">
        <f>IF(ROW(C2140)&lt;=Raw_hydro_bm!$J$2,Raw_hydro_bm!D2140,"")</f>
        <v/>
      </c>
      <c r="D2140" t="str">
        <f>IF(ROW(D2140)&lt;=Raw_hydro_bm!$J$2,Raw_hydro_bm!E2140,"")</f>
        <v/>
      </c>
      <c r="E2140" t="str">
        <f>IF(ROW(E2140)&lt;=Raw_hydro_bm!$J$2,Raw_hydro_bm!F2140,"")</f>
        <v/>
      </c>
      <c r="F2140" t="str">
        <f>IF(ROW(F2140)&lt;=Raw_hydro_bm!$J$2,Raw_hydro_bm!G2140,"")</f>
        <v/>
      </c>
      <c r="G2140" t="str">
        <f>IF(ROW(G2140)&lt;=Raw_hydro_bm!$J$2,Raw_hydro_bm!H2140,"")</f>
        <v/>
      </c>
      <c r="H2140" t="str">
        <f>IF(ROW(H2140)&lt;=Raw_hydro_bm!$J$2,Raw_hydro_bm!I2140,"")</f>
        <v/>
      </c>
      <c r="I2140" s="16" t="str">
        <f t="shared" si="33"/>
        <v/>
      </c>
    </row>
    <row r="2141" spans="1:9" x14ac:dyDescent="0.2">
      <c r="A2141" t="str">
        <f>IF(ROW(A2141)&lt;=Raw_hydro_bm!$J$2,Raw_hydro_bm!B2141,"")</f>
        <v/>
      </c>
      <c r="B2141" t="str">
        <f>IF(ROW(B2141)&lt;=Raw_hydro_bm!$J$2,Raw_hydro_bm!C2141,"")</f>
        <v/>
      </c>
      <c r="C2141" t="str">
        <f>IF(ROW(C2141)&lt;=Raw_hydro_bm!$J$2,Raw_hydro_bm!D2141,"")</f>
        <v/>
      </c>
      <c r="D2141" t="str">
        <f>IF(ROW(D2141)&lt;=Raw_hydro_bm!$J$2,Raw_hydro_bm!E2141,"")</f>
        <v/>
      </c>
      <c r="E2141" t="str">
        <f>IF(ROW(E2141)&lt;=Raw_hydro_bm!$J$2,Raw_hydro_bm!F2141,"")</f>
        <v/>
      </c>
      <c r="F2141" t="str">
        <f>IF(ROW(F2141)&lt;=Raw_hydro_bm!$J$2,Raw_hydro_bm!G2141,"")</f>
        <v/>
      </c>
      <c r="G2141" t="str">
        <f>IF(ROW(G2141)&lt;=Raw_hydro_bm!$J$2,Raw_hydro_bm!H2141,"")</f>
        <v/>
      </c>
      <c r="H2141" t="str">
        <f>IF(ROW(H2141)&lt;=Raw_hydro_bm!$J$2,Raw_hydro_bm!I2141,"")</f>
        <v/>
      </c>
      <c r="I2141" s="16" t="str">
        <f t="shared" si="33"/>
        <v/>
      </c>
    </row>
    <row r="2142" spans="1:9" x14ac:dyDescent="0.2">
      <c r="A2142" t="str">
        <f>IF(ROW(A2142)&lt;=Raw_hydro_bm!$J$2,Raw_hydro_bm!B2142,"")</f>
        <v/>
      </c>
      <c r="B2142" t="str">
        <f>IF(ROW(B2142)&lt;=Raw_hydro_bm!$J$2,Raw_hydro_bm!C2142,"")</f>
        <v/>
      </c>
      <c r="C2142" t="str">
        <f>IF(ROW(C2142)&lt;=Raw_hydro_bm!$J$2,Raw_hydro_bm!D2142,"")</f>
        <v/>
      </c>
      <c r="D2142" t="str">
        <f>IF(ROW(D2142)&lt;=Raw_hydro_bm!$J$2,Raw_hydro_bm!E2142,"")</f>
        <v/>
      </c>
      <c r="E2142" t="str">
        <f>IF(ROW(E2142)&lt;=Raw_hydro_bm!$J$2,Raw_hydro_bm!F2142,"")</f>
        <v/>
      </c>
      <c r="F2142" t="str">
        <f>IF(ROW(F2142)&lt;=Raw_hydro_bm!$J$2,Raw_hydro_bm!G2142,"")</f>
        <v/>
      </c>
      <c r="G2142" t="str">
        <f>IF(ROW(G2142)&lt;=Raw_hydro_bm!$J$2,Raw_hydro_bm!H2142,"")</f>
        <v/>
      </c>
      <c r="H2142" t="str">
        <f>IF(ROW(H2142)&lt;=Raw_hydro_bm!$J$2,Raw_hydro_bm!I2142,"")</f>
        <v/>
      </c>
      <c r="I2142" s="16" t="str">
        <f t="shared" si="33"/>
        <v/>
      </c>
    </row>
    <row r="2143" spans="1:9" x14ac:dyDescent="0.2">
      <c r="A2143" t="str">
        <f>IF(ROW(A2143)&lt;=Raw_hydro_bm!$J$2,Raw_hydro_bm!B2143,"")</f>
        <v/>
      </c>
      <c r="B2143" t="str">
        <f>IF(ROW(B2143)&lt;=Raw_hydro_bm!$J$2,Raw_hydro_bm!C2143,"")</f>
        <v/>
      </c>
      <c r="C2143" t="str">
        <f>IF(ROW(C2143)&lt;=Raw_hydro_bm!$J$2,Raw_hydro_bm!D2143,"")</f>
        <v/>
      </c>
      <c r="D2143" t="str">
        <f>IF(ROW(D2143)&lt;=Raw_hydro_bm!$J$2,Raw_hydro_bm!E2143,"")</f>
        <v/>
      </c>
      <c r="E2143" t="str">
        <f>IF(ROW(E2143)&lt;=Raw_hydro_bm!$J$2,Raw_hydro_bm!F2143,"")</f>
        <v/>
      </c>
      <c r="F2143" t="str">
        <f>IF(ROW(F2143)&lt;=Raw_hydro_bm!$J$2,Raw_hydro_bm!G2143,"")</f>
        <v/>
      </c>
      <c r="G2143" t="str">
        <f>IF(ROW(G2143)&lt;=Raw_hydro_bm!$J$2,Raw_hydro_bm!H2143,"")</f>
        <v/>
      </c>
      <c r="H2143" t="str">
        <f>IF(ROW(H2143)&lt;=Raw_hydro_bm!$J$2,Raw_hydro_bm!I2143,"")</f>
        <v/>
      </c>
      <c r="I2143" s="16" t="str">
        <f t="shared" si="33"/>
        <v/>
      </c>
    </row>
    <row r="2144" spans="1:9" x14ac:dyDescent="0.2">
      <c r="A2144" t="str">
        <f>IF(ROW(A2144)&lt;=Raw_hydro_bm!$J$2,Raw_hydro_bm!B2144,"")</f>
        <v/>
      </c>
      <c r="B2144" t="str">
        <f>IF(ROW(B2144)&lt;=Raw_hydro_bm!$J$2,Raw_hydro_bm!C2144,"")</f>
        <v/>
      </c>
      <c r="C2144" t="str">
        <f>IF(ROW(C2144)&lt;=Raw_hydro_bm!$J$2,Raw_hydro_bm!D2144,"")</f>
        <v/>
      </c>
      <c r="D2144" t="str">
        <f>IF(ROW(D2144)&lt;=Raw_hydro_bm!$J$2,Raw_hydro_bm!E2144,"")</f>
        <v/>
      </c>
      <c r="E2144" t="str">
        <f>IF(ROW(E2144)&lt;=Raw_hydro_bm!$J$2,Raw_hydro_bm!F2144,"")</f>
        <v/>
      </c>
      <c r="F2144" t="str">
        <f>IF(ROW(F2144)&lt;=Raw_hydro_bm!$J$2,Raw_hydro_bm!G2144,"")</f>
        <v/>
      </c>
      <c r="G2144" t="str">
        <f>IF(ROW(G2144)&lt;=Raw_hydro_bm!$J$2,Raw_hydro_bm!H2144,"")</f>
        <v/>
      </c>
      <c r="H2144" t="str">
        <f>IF(ROW(H2144)&lt;=Raw_hydro_bm!$J$2,Raw_hydro_bm!I2144,"")</f>
        <v/>
      </c>
      <c r="I2144" s="16" t="str">
        <f t="shared" si="33"/>
        <v/>
      </c>
    </row>
    <row r="2145" spans="1:9" x14ac:dyDescent="0.2">
      <c r="A2145" t="str">
        <f>IF(ROW(A2145)&lt;=Raw_hydro_bm!$J$2,Raw_hydro_bm!B2145,"")</f>
        <v/>
      </c>
      <c r="B2145" t="str">
        <f>IF(ROW(B2145)&lt;=Raw_hydro_bm!$J$2,Raw_hydro_bm!C2145,"")</f>
        <v/>
      </c>
      <c r="C2145" t="str">
        <f>IF(ROW(C2145)&lt;=Raw_hydro_bm!$J$2,Raw_hydro_bm!D2145,"")</f>
        <v/>
      </c>
      <c r="D2145" t="str">
        <f>IF(ROW(D2145)&lt;=Raw_hydro_bm!$J$2,Raw_hydro_bm!E2145,"")</f>
        <v/>
      </c>
      <c r="E2145" t="str">
        <f>IF(ROW(E2145)&lt;=Raw_hydro_bm!$J$2,Raw_hydro_bm!F2145,"")</f>
        <v/>
      </c>
      <c r="F2145" t="str">
        <f>IF(ROW(F2145)&lt;=Raw_hydro_bm!$J$2,Raw_hydro_bm!G2145,"")</f>
        <v/>
      </c>
      <c r="G2145" t="str">
        <f>IF(ROW(G2145)&lt;=Raw_hydro_bm!$J$2,Raw_hydro_bm!H2145,"")</f>
        <v/>
      </c>
      <c r="H2145" t="str">
        <f>IF(ROW(H2145)&lt;=Raw_hydro_bm!$J$2,Raw_hydro_bm!I2145,"")</f>
        <v/>
      </c>
      <c r="I2145" s="16" t="str">
        <f t="shared" si="33"/>
        <v/>
      </c>
    </row>
    <row r="2146" spans="1:9" x14ac:dyDescent="0.2">
      <c r="A2146" t="str">
        <f>IF(ROW(A2146)&lt;=Raw_hydro_bm!$J$2,Raw_hydro_bm!B2146,"")</f>
        <v/>
      </c>
      <c r="B2146" t="str">
        <f>IF(ROW(B2146)&lt;=Raw_hydro_bm!$J$2,Raw_hydro_bm!C2146,"")</f>
        <v/>
      </c>
      <c r="C2146" t="str">
        <f>IF(ROW(C2146)&lt;=Raw_hydro_bm!$J$2,Raw_hydro_bm!D2146,"")</f>
        <v/>
      </c>
      <c r="D2146" t="str">
        <f>IF(ROW(D2146)&lt;=Raw_hydro_bm!$J$2,Raw_hydro_bm!E2146,"")</f>
        <v/>
      </c>
      <c r="E2146" t="str">
        <f>IF(ROW(E2146)&lt;=Raw_hydro_bm!$J$2,Raw_hydro_bm!F2146,"")</f>
        <v/>
      </c>
      <c r="F2146" t="str">
        <f>IF(ROW(F2146)&lt;=Raw_hydro_bm!$J$2,Raw_hydro_bm!G2146,"")</f>
        <v/>
      </c>
      <c r="G2146" t="str">
        <f>IF(ROW(G2146)&lt;=Raw_hydro_bm!$J$2,Raw_hydro_bm!H2146,"")</f>
        <v/>
      </c>
      <c r="H2146" t="str">
        <f>IF(ROW(H2146)&lt;=Raw_hydro_bm!$J$2,Raw_hydro_bm!I2146,"")</f>
        <v/>
      </c>
      <c r="I2146" s="16" t="str">
        <f t="shared" si="33"/>
        <v/>
      </c>
    </row>
    <row r="2147" spans="1:9" x14ac:dyDescent="0.2">
      <c r="A2147" t="str">
        <f>IF(ROW(A2147)&lt;=Raw_hydro_bm!$J$2,Raw_hydro_bm!B2147,"")</f>
        <v/>
      </c>
      <c r="B2147" t="str">
        <f>IF(ROW(B2147)&lt;=Raw_hydro_bm!$J$2,Raw_hydro_bm!C2147,"")</f>
        <v/>
      </c>
      <c r="C2147" t="str">
        <f>IF(ROW(C2147)&lt;=Raw_hydro_bm!$J$2,Raw_hydro_bm!D2147,"")</f>
        <v/>
      </c>
      <c r="D2147" t="str">
        <f>IF(ROW(D2147)&lt;=Raw_hydro_bm!$J$2,Raw_hydro_bm!E2147,"")</f>
        <v/>
      </c>
      <c r="E2147" t="str">
        <f>IF(ROW(E2147)&lt;=Raw_hydro_bm!$J$2,Raw_hydro_bm!F2147,"")</f>
        <v/>
      </c>
      <c r="F2147" t="str">
        <f>IF(ROW(F2147)&lt;=Raw_hydro_bm!$J$2,Raw_hydro_bm!G2147,"")</f>
        <v/>
      </c>
      <c r="G2147" t="str">
        <f>IF(ROW(G2147)&lt;=Raw_hydro_bm!$J$2,Raw_hydro_bm!H2147,"")</f>
        <v/>
      </c>
      <c r="H2147" t="str">
        <f>IF(ROW(H2147)&lt;=Raw_hydro_bm!$J$2,Raw_hydro_bm!I2147,"")</f>
        <v/>
      </c>
      <c r="I2147" s="16" t="str">
        <f t="shared" si="33"/>
        <v/>
      </c>
    </row>
    <row r="2148" spans="1:9" x14ac:dyDescent="0.2">
      <c r="A2148" t="str">
        <f>IF(ROW(A2148)&lt;=Raw_hydro_bm!$J$2,Raw_hydro_bm!B2148,"")</f>
        <v/>
      </c>
      <c r="B2148" t="str">
        <f>IF(ROW(B2148)&lt;=Raw_hydro_bm!$J$2,Raw_hydro_bm!C2148,"")</f>
        <v/>
      </c>
      <c r="C2148" t="str">
        <f>IF(ROW(C2148)&lt;=Raw_hydro_bm!$J$2,Raw_hydro_bm!D2148,"")</f>
        <v/>
      </c>
      <c r="D2148" t="str">
        <f>IF(ROW(D2148)&lt;=Raw_hydro_bm!$J$2,Raw_hydro_bm!E2148,"")</f>
        <v/>
      </c>
      <c r="E2148" t="str">
        <f>IF(ROW(E2148)&lt;=Raw_hydro_bm!$J$2,Raw_hydro_bm!F2148,"")</f>
        <v/>
      </c>
      <c r="F2148" t="str">
        <f>IF(ROW(F2148)&lt;=Raw_hydro_bm!$J$2,Raw_hydro_bm!G2148,"")</f>
        <v/>
      </c>
      <c r="G2148" t="str">
        <f>IF(ROW(G2148)&lt;=Raw_hydro_bm!$J$2,Raw_hydro_bm!H2148,"")</f>
        <v/>
      </c>
      <c r="H2148" t="str">
        <f>IF(ROW(H2148)&lt;=Raw_hydro_bm!$J$2,Raw_hydro_bm!I2148,"")</f>
        <v/>
      </c>
      <c r="I2148" s="16" t="str">
        <f t="shared" si="33"/>
        <v/>
      </c>
    </row>
    <row r="2149" spans="1:9" x14ac:dyDescent="0.2">
      <c r="A2149" t="str">
        <f>IF(ROW(A2149)&lt;=Raw_hydro_bm!$J$2,Raw_hydro_bm!B2149,"")</f>
        <v/>
      </c>
      <c r="B2149" t="str">
        <f>IF(ROW(B2149)&lt;=Raw_hydro_bm!$J$2,Raw_hydro_bm!C2149,"")</f>
        <v/>
      </c>
      <c r="C2149" t="str">
        <f>IF(ROW(C2149)&lt;=Raw_hydro_bm!$J$2,Raw_hydro_bm!D2149,"")</f>
        <v/>
      </c>
      <c r="D2149" t="str">
        <f>IF(ROW(D2149)&lt;=Raw_hydro_bm!$J$2,Raw_hydro_bm!E2149,"")</f>
        <v/>
      </c>
      <c r="E2149" t="str">
        <f>IF(ROW(E2149)&lt;=Raw_hydro_bm!$J$2,Raw_hydro_bm!F2149,"")</f>
        <v/>
      </c>
      <c r="F2149" t="str">
        <f>IF(ROW(F2149)&lt;=Raw_hydro_bm!$J$2,Raw_hydro_bm!G2149,"")</f>
        <v/>
      </c>
      <c r="G2149" t="str">
        <f>IF(ROW(G2149)&lt;=Raw_hydro_bm!$J$2,Raw_hydro_bm!H2149,"")</f>
        <v/>
      </c>
      <c r="H2149" t="str">
        <f>IF(ROW(H2149)&lt;=Raw_hydro_bm!$J$2,Raw_hydro_bm!I2149,"")</f>
        <v/>
      </c>
      <c r="I2149" s="16" t="str">
        <f t="shared" si="33"/>
        <v/>
      </c>
    </row>
    <row r="2150" spans="1:9" x14ac:dyDescent="0.2">
      <c r="A2150" t="str">
        <f>IF(ROW(A2150)&lt;=Raw_hydro_bm!$J$2,Raw_hydro_bm!B2150,"")</f>
        <v/>
      </c>
      <c r="B2150" t="str">
        <f>IF(ROW(B2150)&lt;=Raw_hydro_bm!$J$2,Raw_hydro_bm!C2150,"")</f>
        <v/>
      </c>
      <c r="C2150" t="str">
        <f>IF(ROW(C2150)&lt;=Raw_hydro_bm!$J$2,Raw_hydro_bm!D2150,"")</f>
        <v/>
      </c>
      <c r="D2150" t="str">
        <f>IF(ROW(D2150)&lt;=Raw_hydro_bm!$J$2,Raw_hydro_bm!E2150,"")</f>
        <v/>
      </c>
      <c r="E2150" t="str">
        <f>IF(ROW(E2150)&lt;=Raw_hydro_bm!$J$2,Raw_hydro_bm!F2150,"")</f>
        <v/>
      </c>
      <c r="F2150" t="str">
        <f>IF(ROW(F2150)&lt;=Raw_hydro_bm!$J$2,Raw_hydro_bm!G2150,"")</f>
        <v/>
      </c>
      <c r="G2150" t="str">
        <f>IF(ROW(G2150)&lt;=Raw_hydro_bm!$J$2,Raw_hydro_bm!H2150,"")</f>
        <v/>
      </c>
      <c r="H2150" t="str">
        <f>IF(ROW(H2150)&lt;=Raw_hydro_bm!$J$2,Raw_hydro_bm!I2150,"")</f>
        <v/>
      </c>
      <c r="I2150" s="16" t="str">
        <f t="shared" si="33"/>
        <v/>
      </c>
    </row>
    <row r="2151" spans="1:9" x14ac:dyDescent="0.2">
      <c r="A2151" t="str">
        <f>IF(ROW(A2151)&lt;=Raw_hydro_bm!$J$2,Raw_hydro_bm!B2151,"")</f>
        <v/>
      </c>
      <c r="B2151" t="str">
        <f>IF(ROW(B2151)&lt;=Raw_hydro_bm!$J$2,Raw_hydro_bm!C2151,"")</f>
        <v/>
      </c>
      <c r="C2151" t="str">
        <f>IF(ROW(C2151)&lt;=Raw_hydro_bm!$J$2,Raw_hydro_bm!D2151,"")</f>
        <v/>
      </c>
      <c r="D2151" t="str">
        <f>IF(ROW(D2151)&lt;=Raw_hydro_bm!$J$2,Raw_hydro_bm!E2151,"")</f>
        <v/>
      </c>
      <c r="E2151" t="str">
        <f>IF(ROW(E2151)&lt;=Raw_hydro_bm!$J$2,Raw_hydro_bm!F2151,"")</f>
        <v/>
      </c>
      <c r="F2151" t="str">
        <f>IF(ROW(F2151)&lt;=Raw_hydro_bm!$J$2,Raw_hydro_bm!G2151,"")</f>
        <v/>
      </c>
      <c r="G2151" t="str">
        <f>IF(ROW(G2151)&lt;=Raw_hydro_bm!$J$2,Raw_hydro_bm!H2151,"")</f>
        <v/>
      </c>
      <c r="H2151" t="str">
        <f>IF(ROW(H2151)&lt;=Raw_hydro_bm!$J$2,Raw_hydro_bm!I2151,"")</f>
        <v/>
      </c>
      <c r="I2151" s="16" t="str">
        <f t="shared" si="33"/>
        <v/>
      </c>
    </row>
    <row r="2152" spans="1:9" x14ac:dyDescent="0.2">
      <c r="A2152" t="str">
        <f>IF(ROW(A2152)&lt;=Raw_hydro_bm!$J$2,Raw_hydro_bm!B2152,"")</f>
        <v/>
      </c>
      <c r="B2152" t="str">
        <f>IF(ROW(B2152)&lt;=Raw_hydro_bm!$J$2,Raw_hydro_bm!C2152,"")</f>
        <v/>
      </c>
      <c r="C2152" t="str">
        <f>IF(ROW(C2152)&lt;=Raw_hydro_bm!$J$2,Raw_hydro_bm!D2152,"")</f>
        <v/>
      </c>
      <c r="D2152" t="str">
        <f>IF(ROW(D2152)&lt;=Raw_hydro_bm!$J$2,Raw_hydro_bm!E2152,"")</f>
        <v/>
      </c>
      <c r="E2152" t="str">
        <f>IF(ROW(E2152)&lt;=Raw_hydro_bm!$J$2,Raw_hydro_bm!F2152,"")</f>
        <v/>
      </c>
      <c r="F2152" t="str">
        <f>IF(ROW(F2152)&lt;=Raw_hydro_bm!$J$2,Raw_hydro_bm!G2152,"")</f>
        <v/>
      </c>
      <c r="G2152" t="str">
        <f>IF(ROW(G2152)&lt;=Raw_hydro_bm!$J$2,Raw_hydro_bm!H2152,"")</f>
        <v/>
      </c>
      <c r="H2152" t="str">
        <f>IF(ROW(H2152)&lt;=Raw_hydro_bm!$J$2,Raw_hydro_bm!I2152,"")</f>
        <v/>
      </c>
      <c r="I2152" s="16" t="str">
        <f t="shared" si="33"/>
        <v/>
      </c>
    </row>
    <row r="2153" spans="1:9" x14ac:dyDescent="0.2">
      <c r="A2153" t="str">
        <f>IF(ROW(A2153)&lt;=Raw_hydro_bm!$J$2,Raw_hydro_bm!B2153,"")</f>
        <v/>
      </c>
      <c r="B2153" t="str">
        <f>IF(ROW(B2153)&lt;=Raw_hydro_bm!$J$2,Raw_hydro_bm!C2153,"")</f>
        <v/>
      </c>
      <c r="C2153" t="str">
        <f>IF(ROW(C2153)&lt;=Raw_hydro_bm!$J$2,Raw_hydro_bm!D2153,"")</f>
        <v/>
      </c>
      <c r="D2153" t="str">
        <f>IF(ROW(D2153)&lt;=Raw_hydro_bm!$J$2,Raw_hydro_bm!E2153,"")</f>
        <v/>
      </c>
      <c r="E2153" t="str">
        <f>IF(ROW(E2153)&lt;=Raw_hydro_bm!$J$2,Raw_hydro_bm!F2153,"")</f>
        <v/>
      </c>
      <c r="F2153" t="str">
        <f>IF(ROW(F2153)&lt;=Raw_hydro_bm!$J$2,Raw_hydro_bm!G2153,"")</f>
        <v/>
      </c>
      <c r="G2153" t="str">
        <f>IF(ROW(G2153)&lt;=Raw_hydro_bm!$J$2,Raw_hydro_bm!H2153,"")</f>
        <v/>
      </c>
      <c r="H2153" t="str">
        <f>IF(ROW(H2153)&lt;=Raw_hydro_bm!$J$2,Raw_hydro_bm!I2153,"")</f>
        <v/>
      </c>
      <c r="I2153" s="16" t="str">
        <f t="shared" si="33"/>
        <v/>
      </c>
    </row>
    <row r="2154" spans="1:9" x14ac:dyDescent="0.2">
      <c r="A2154" t="str">
        <f>IF(ROW(A2154)&lt;=Raw_hydro_bm!$J$2,Raw_hydro_bm!B2154,"")</f>
        <v/>
      </c>
      <c r="B2154" t="str">
        <f>IF(ROW(B2154)&lt;=Raw_hydro_bm!$J$2,Raw_hydro_bm!C2154,"")</f>
        <v/>
      </c>
      <c r="C2154" t="str">
        <f>IF(ROW(C2154)&lt;=Raw_hydro_bm!$J$2,Raw_hydro_bm!D2154,"")</f>
        <v/>
      </c>
      <c r="D2154" t="str">
        <f>IF(ROW(D2154)&lt;=Raw_hydro_bm!$J$2,Raw_hydro_bm!E2154,"")</f>
        <v/>
      </c>
      <c r="E2154" t="str">
        <f>IF(ROW(E2154)&lt;=Raw_hydro_bm!$J$2,Raw_hydro_bm!F2154,"")</f>
        <v/>
      </c>
      <c r="F2154" t="str">
        <f>IF(ROW(F2154)&lt;=Raw_hydro_bm!$J$2,Raw_hydro_bm!G2154,"")</f>
        <v/>
      </c>
      <c r="G2154" t="str">
        <f>IF(ROW(G2154)&lt;=Raw_hydro_bm!$J$2,Raw_hydro_bm!H2154,"")</f>
        <v/>
      </c>
      <c r="H2154" t="str">
        <f>IF(ROW(H2154)&lt;=Raw_hydro_bm!$J$2,Raw_hydro_bm!I2154,"")</f>
        <v/>
      </c>
      <c r="I2154" s="16" t="str">
        <f t="shared" si="33"/>
        <v/>
      </c>
    </row>
    <row r="2155" spans="1:9" x14ac:dyDescent="0.2">
      <c r="A2155" t="str">
        <f>IF(ROW(A2155)&lt;=Raw_hydro_bm!$J$2,Raw_hydro_bm!B2155,"")</f>
        <v/>
      </c>
      <c r="B2155" t="str">
        <f>IF(ROW(B2155)&lt;=Raw_hydro_bm!$J$2,Raw_hydro_bm!C2155,"")</f>
        <v/>
      </c>
      <c r="C2155" t="str">
        <f>IF(ROW(C2155)&lt;=Raw_hydro_bm!$J$2,Raw_hydro_bm!D2155,"")</f>
        <v/>
      </c>
      <c r="D2155" t="str">
        <f>IF(ROW(D2155)&lt;=Raw_hydro_bm!$J$2,Raw_hydro_bm!E2155,"")</f>
        <v/>
      </c>
      <c r="E2155" t="str">
        <f>IF(ROW(E2155)&lt;=Raw_hydro_bm!$J$2,Raw_hydro_bm!F2155,"")</f>
        <v/>
      </c>
      <c r="F2155" t="str">
        <f>IF(ROW(F2155)&lt;=Raw_hydro_bm!$J$2,Raw_hydro_bm!G2155,"")</f>
        <v/>
      </c>
      <c r="G2155" t="str">
        <f>IF(ROW(G2155)&lt;=Raw_hydro_bm!$J$2,Raw_hydro_bm!H2155,"")</f>
        <v/>
      </c>
      <c r="H2155" t="str">
        <f>IF(ROW(H2155)&lt;=Raw_hydro_bm!$J$2,Raw_hydro_bm!I2155,"")</f>
        <v/>
      </c>
      <c r="I2155" s="16" t="str">
        <f t="shared" si="33"/>
        <v/>
      </c>
    </row>
    <row r="2156" spans="1:9" x14ac:dyDescent="0.2">
      <c r="A2156" t="str">
        <f>IF(ROW(A2156)&lt;=Raw_hydro_bm!$J$2,Raw_hydro_bm!B2156,"")</f>
        <v/>
      </c>
      <c r="B2156" t="str">
        <f>IF(ROW(B2156)&lt;=Raw_hydro_bm!$J$2,Raw_hydro_bm!C2156,"")</f>
        <v/>
      </c>
      <c r="C2156" t="str">
        <f>IF(ROW(C2156)&lt;=Raw_hydro_bm!$J$2,Raw_hydro_bm!D2156,"")</f>
        <v/>
      </c>
      <c r="D2156" t="str">
        <f>IF(ROW(D2156)&lt;=Raw_hydro_bm!$J$2,Raw_hydro_bm!E2156,"")</f>
        <v/>
      </c>
      <c r="E2156" t="str">
        <f>IF(ROW(E2156)&lt;=Raw_hydro_bm!$J$2,Raw_hydro_bm!F2156,"")</f>
        <v/>
      </c>
      <c r="F2156" t="str">
        <f>IF(ROW(F2156)&lt;=Raw_hydro_bm!$J$2,Raw_hydro_bm!G2156,"")</f>
        <v/>
      </c>
      <c r="G2156" t="str">
        <f>IF(ROW(G2156)&lt;=Raw_hydro_bm!$J$2,Raw_hydro_bm!H2156,"")</f>
        <v/>
      </c>
      <c r="H2156" t="str">
        <f>IF(ROW(H2156)&lt;=Raw_hydro_bm!$J$2,Raw_hydro_bm!I2156,"")</f>
        <v/>
      </c>
      <c r="I2156" s="16" t="str">
        <f t="shared" si="33"/>
        <v/>
      </c>
    </row>
    <row r="2157" spans="1:9" x14ac:dyDescent="0.2">
      <c r="A2157" t="str">
        <f>IF(ROW(A2157)&lt;=Raw_hydro_bm!$J$2,Raw_hydro_bm!B2157,"")</f>
        <v/>
      </c>
      <c r="B2157" t="str">
        <f>IF(ROW(B2157)&lt;=Raw_hydro_bm!$J$2,Raw_hydro_bm!C2157,"")</f>
        <v/>
      </c>
      <c r="C2157" t="str">
        <f>IF(ROW(C2157)&lt;=Raw_hydro_bm!$J$2,Raw_hydro_bm!D2157,"")</f>
        <v/>
      </c>
      <c r="D2157" t="str">
        <f>IF(ROW(D2157)&lt;=Raw_hydro_bm!$J$2,Raw_hydro_bm!E2157,"")</f>
        <v/>
      </c>
      <c r="E2157" t="str">
        <f>IF(ROW(E2157)&lt;=Raw_hydro_bm!$J$2,Raw_hydro_bm!F2157,"")</f>
        <v/>
      </c>
      <c r="F2157" t="str">
        <f>IF(ROW(F2157)&lt;=Raw_hydro_bm!$J$2,Raw_hydro_bm!G2157,"")</f>
        <v/>
      </c>
      <c r="G2157" t="str">
        <f>IF(ROW(G2157)&lt;=Raw_hydro_bm!$J$2,Raw_hydro_bm!H2157,"")</f>
        <v/>
      </c>
      <c r="H2157" t="str">
        <f>IF(ROW(H2157)&lt;=Raw_hydro_bm!$J$2,Raw_hydro_bm!I2157,"")</f>
        <v/>
      </c>
      <c r="I2157" s="16" t="str">
        <f t="shared" si="33"/>
        <v/>
      </c>
    </row>
    <row r="2158" spans="1:9" x14ac:dyDescent="0.2">
      <c r="A2158" t="str">
        <f>IF(ROW(A2158)&lt;=Raw_hydro_bm!$J$2,Raw_hydro_bm!B2158,"")</f>
        <v/>
      </c>
      <c r="B2158" t="str">
        <f>IF(ROW(B2158)&lt;=Raw_hydro_bm!$J$2,Raw_hydro_bm!C2158,"")</f>
        <v/>
      </c>
      <c r="C2158" t="str">
        <f>IF(ROW(C2158)&lt;=Raw_hydro_bm!$J$2,Raw_hydro_bm!D2158,"")</f>
        <v/>
      </c>
      <c r="D2158" t="str">
        <f>IF(ROW(D2158)&lt;=Raw_hydro_bm!$J$2,Raw_hydro_bm!E2158,"")</f>
        <v/>
      </c>
      <c r="E2158" t="str">
        <f>IF(ROW(E2158)&lt;=Raw_hydro_bm!$J$2,Raw_hydro_bm!F2158,"")</f>
        <v/>
      </c>
      <c r="F2158" t="str">
        <f>IF(ROW(F2158)&lt;=Raw_hydro_bm!$J$2,Raw_hydro_bm!G2158,"")</f>
        <v/>
      </c>
      <c r="G2158" t="str">
        <f>IF(ROW(G2158)&lt;=Raw_hydro_bm!$J$2,Raw_hydro_bm!H2158,"")</f>
        <v/>
      </c>
      <c r="H2158" t="str">
        <f>IF(ROW(H2158)&lt;=Raw_hydro_bm!$J$2,Raw_hydro_bm!I2158,"")</f>
        <v/>
      </c>
      <c r="I2158" s="16" t="str">
        <f t="shared" si="33"/>
        <v/>
      </c>
    </row>
    <row r="2159" spans="1:9" x14ac:dyDescent="0.2">
      <c r="A2159" t="str">
        <f>IF(ROW(A2159)&lt;=Raw_hydro_bm!$J$2,Raw_hydro_bm!B2159,"")</f>
        <v/>
      </c>
      <c r="B2159" t="str">
        <f>IF(ROW(B2159)&lt;=Raw_hydro_bm!$J$2,Raw_hydro_bm!C2159,"")</f>
        <v/>
      </c>
      <c r="C2159" t="str">
        <f>IF(ROW(C2159)&lt;=Raw_hydro_bm!$J$2,Raw_hydro_bm!D2159,"")</f>
        <v/>
      </c>
      <c r="D2159" t="str">
        <f>IF(ROW(D2159)&lt;=Raw_hydro_bm!$J$2,Raw_hydro_bm!E2159,"")</f>
        <v/>
      </c>
      <c r="E2159" t="str">
        <f>IF(ROW(E2159)&lt;=Raw_hydro_bm!$J$2,Raw_hydro_bm!F2159,"")</f>
        <v/>
      </c>
      <c r="F2159" t="str">
        <f>IF(ROW(F2159)&lt;=Raw_hydro_bm!$J$2,Raw_hydro_bm!G2159,"")</f>
        <v/>
      </c>
      <c r="G2159" t="str">
        <f>IF(ROW(G2159)&lt;=Raw_hydro_bm!$J$2,Raw_hydro_bm!H2159,"")</f>
        <v/>
      </c>
      <c r="H2159" t="str">
        <f>IF(ROW(H2159)&lt;=Raw_hydro_bm!$J$2,Raw_hydro_bm!I2159,"")</f>
        <v/>
      </c>
      <c r="I2159" s="16" t="str">
        <f t="shared" si="33"/>
        <v/>
      </c>
    </row>
    <row r="2160" spans="1:9" x14ac:dyDescent="0.2">
      <c r="A2160" t="str">
        <f>IF(ROW(A2160)&lt;=Raw_hydro_bm!$J$2,Raw_hydro_bm!B2160,"")</f>
        <v/>
      </c>
      <c r="B2160" t="str">
        <f>IF(ROW(B2160)&lt;=Raw_hydro_bm!$J$2,Raw_hydro_bm!C2160,"")</f>
        <v/>
      </c>
      <c r="C2160" t="str">
        <f>IF(ROW(C2160)&lt;=Raw_hydro_bm!$J$2,Raw_hydro_bm!D2160,"")</f>
        <v/>
      </c>
      <c r="D2160" t="str">
        <f>IF(ROW(D2160)&lt;=Raw_hydro_bm!$J$2,Raw_hydro_bm!E2160,"")</f>
        <v/>
      </c>
      <c r="E2160" t="str">
        <f>IF(ROW(E2160)&lt;=Raw_hydro_bm!$J$2,Raw_hydro_bm!F2160,"")</f>
        <v/>
      </c>
      <c r="F2160" t="str">
        <f>IF(ROW(F2160)&lt;=Raw_hydro_bm!$J$2,Raw_hydro_bm!G2160,"")</f>
        <v/>
      </c>
      <c r="G2160" t="str">
        <f>IF(ROW(G2160)&lt;=Raw_hydro_bm!$J$2,Raw_hydro_bm!H2160,"")</f>
        <v/>
      </c>
      <c r="H2160" t="str">
        <f>IF(ROW(H2160)&lt;=Raw_hydro_bm!$J$2,Raw_hydro_bm!I2160,"")</f>
        <v/>
      </c>
      <c r="I2160" s="16" t="str">
        <f t="shared" si="33"/>
        <v/>
      </c>
    </row>
    <row r="2161" spans="1:9" x14ac:dyDescent="0.2">
      <c r="A2161" t="str">
        <f>IF(ROW(A2161)&lt;=Raw_hydro_bm!$J$2,Raw_hydro_bm!B2161,"")</f>
        <v/>
      </c>
      <c r="B2161" t="str">
        <f>IF(ROW(B2161)&lt;=Raw_hydro_bm!$J$2,Raw_hydro_bm!C2161,"")</f>
        <v/>
      </c>
      <c r="C2161" t="str">
        <f>IF(ROW(C2161)&lt;=Raw_hydro_bm!$J$2,Raw_hydro_bm!D2161,"")</f>
        <v/>
      </c>
      <c r="D2161" t="str">
        <f>IF(ROW(D2161)&lt;=Raw_hydro_bm!$J$2,Raw_hydro_bm!E2161,"")</f>
        <v/>
      </c>
      <c r="E2161" t="str">
        <f>IF(ROW(E2161)&lt;=Raw_hydro_bm!$J$2,Raw_hydro_bm!F2161,"")</f>
        <v/>
      </c>
      <c r="F2161" t="str">
        <f>IF(ROW(F2161)&lt;=Raw_hydro_bm!$J$2,Raw_hydro_bm!G2161,"")</f>
        <v/>
      </c>
      <c r="G2161" t="str">
        <f>IF(ROW(G2161)&lt;=Raw_hydro_bm!$J$2,Raw_hydro_bm!H2161,"")</f>
        <v/>
      </c>
      <c r="H2161" t="str">
        <f>IF(ROW(H2161)&lt;=Raw_hydro_bm!$J$2,Raw_hydro_bm!I2161,"")</f>
        <v/>
      </c>
      <c r="I2161" s="16" t="str">
        <f t="shared" si="33"/>
        <v/>
      </c>
    </row>
    <row r="2162" spans="1:9" x14ac:dyDescent="0.2">
      <c r="A2162" t="str">
        <f>IF(ROW(A2162)&lt;=Raw_hydro_bm!$J$2,Raw_hydro_bm!B2162,"")</f>
        <v/>
      </c>
      <c r="B2162" t="str">
        <f>IF(ROW(B2162)&lt;=Raw_hydro_bm!$J$2,Raw_hydro_bm!C2162,"")</f>
        <v/>
      </c>
      <c r="C2162" t="str">
        <f>IF(ROW(C2162)&lt;=Raw_hydro_bm!$J$2,Raw_hydro_bm!D2162,"")</f>
        <v/>
      </c>
      <c r="D2162" t="str">
        <f>IF(ROW(D2162)&lt;=Raw_hydro_bm!$J$2,Raw_hydro_bm!E2162,"")</f>
        <v/>
      </c>
      <c r="E2162" t="str">
        <f>IF(ROW(E2162)&lt;=Raw_hydro_bm!$J$2,Raw_hydro_bm!F2162,"")</f>
        <v/>
      </c>
      <c r="F2162" t="str">
        <f>IF(ROW(F2162)&lt;=Raw_hydro_bm!$J$2,Raw_hydro_bm!G2162,"")</f>
        <v/>
      </c>
      <c r="G2162" t="str">
        <f>IF(ROW(G2162)&lt;=Raw_hydro_bm!$J$2,Raw_hydro_bm!H2162,"")</f>
        <v/>
      </c>
      <c r="H2162" t="str">
        <f>IF(ROW(H2162)&lt;=Raw_hydro_bm!$J$2,Raw_hydro_bm!I2162,"")</f>
        <v/>
      </c>
      <c r="I2162" s="16" t="str">
        <f t="shared" si="33"/>
        <v/>
      </c>
    </row>
    <row r="2163" spans="1:9" x14ac:dyDescent="0.2">
      <c r="A2163" t="str">
        <f>IF(ROW(A2163)&lt;=Raw_hydro_bm!$J$2,Raw_hydro_bm!B2163,"")</f>
        <v/>
      </c>
      <c r="B2163" t="str">
        <f>IF(ROW(B2163)&lt;=Raw_hydro_bm!$J$2,Raw_hydro_bm!C2163,"")</f>
        <v/>
      </c>
      <c r="C2163" t="str">
        <f>IF(ROW(C2163)&lt;=Raw_hydro_bm!$J$2,Raw_hydro_bm!D2163,"")</f>
        <v/>
      </c>
      <c r="D2163" t="str">
        <f>IF(ROW(D2163)&lt;=Raw_hydro_bm!$J$2,Raw_hydro_bm!E2163,"")</f>
        <v/>
      </c>
      <c r="E2163" t="str">
        <f>IF(ROW(E2163)&lt;=Raw_hydro_bm!$J$2,Raw_hydro_bm!F2163,"")</f>
        <v/>
      </c>
      <c r="F2163" t="str">
        <f>IF(ROW(F2163)&lt;=Raw_hydro_bm!$J$2,Raw_hydro_bm!G2163,"")</f>
        <v/>
      </c>
      <c r="G2163" t="str">
        <f>IF(ROW(G2163)&lt;=Raw_hydro_bm!$J$2,Raw_hydro_bm!H2163,"")</f>
        <v/>
      </c>
      <c r="H2163" t="str">
        <f>IF(ROW(H2163)&lt;=Raw_hydro_bm!$J$2,Raw_hydro_bm!I2163,"")</f>
        <v/>
      </c>
      <c r="I2163" s="16" t="str">
        <f t="shared" si="33"/>
        <v/>
      </c>
    </row>
    <row r="2164" spans="1:9" x14ac:dyDescent="0.2">
      <c r="A2164" t="str">
        <f>IF(ROW(A2164)&lt;=Raw_hydro_bm!$J$2,Raw_hydro_bm!B2164,"")</f>
        <v/>
      </c>
      <c r="B2164" t="str">
        <f>IF(ROW(B2164)&lt;=Raw_hydro_bm!$J$2,Raw_hydro_bm!C2164,"")</f>
        <v/>
      </c>
      <c r="C2164" t="str">
        <f>IF(ROW(C2164)&lt;=Raw_hydro_bm!$J$2,Raw_hydro_bm!D2164,"")</f>
        <v/>
      </c>
      <c r="D2164" t="str">
        <f>IF(ROW(D2164)&lt;=Raw_hydro_bm!$J$2,Raw_hydro_bm!E2164,"")</f>
        <v/>
      </c>
      <c r="E2164" t="str">
        <f>IF(ROW(E2164)&lt;=Raw_hydro_bm!$J$2,Raw_hydro_bm!F2164,"")</f>
        <v/>
      </c>
      <c r="F2164" t="str">
        <f>IF(ROW(F2164)&lt;=Raw_hydro_bm!$J$2,Raw_hydro_bm!G2164,"")</f>
        <v/>
      </c>
      <c r="G2164" t="str">
        <f>IF(ROW(G2164)&lt;=Raw_hydro_bm!$J$2,Raw_hydro_bm!H2164,"")</f>
        <v/>
      </c>
      <c r="H2164" t="str">
        <f>IF(ROW(H2164)&lt;=Raw_hydro_bm!$J$2,Raw_hydro_bm!I2164,"")</f>
        <v/>
      </c>
      <c r="I2164" s="16" t="str">
        <f t="shared" si="33"/>
        <v/>
      </c>
    </row>
    <row r="2165" spans="1:9" x14ac:dyDescent="0.2">
      <c r="A2165" t="str">
        <f>IF(ROW(A2165)&lt;=Raw_hydro_bm!$J$2,Raw_hydro_bm!B2165,"")</f>
        <v/>
      </c>
      <c r="B2165" t="str">
        <f>IF(ROW(B2165)&lt;=Raw_hydro_bm!$J$2,Raw_hydro_bm!C2165,"")</f>
        <v/>
      </c>
      <c r="C2165" t="str">
        <f>IF(ROW(C2165)&lt;=Raw_hydro_bm!$J$2,Raw_hydro_bm!D2165,"")</f>
        <v/>
      </c>
      <c r="D2165" t="str">
        <f>IF(ROW(D2165)&lt;=Raw_hydro_bm!$J$2,Raw_hydro_bm!E2165,"")</f>
        <v/>
      </c>
      <c r="E2165" t="str">
        <f>IF(ROW(E2165)&lt;=Raw_hydro_bm!$J$2,Raw_hydro_bm!F2165,"")</f>
        <v/>
      </c>
      <c r="F2165" t="str">
        <f>IF(ROW(F2165)&lt;=Raw_hydro_bm!$J$2,Raw_hydro_bm!G2165,"")</f>
        <v/>
      </c>
      <c r="G2165" t="str">
        <f>IF(ROW(G2165)&lt;=Raw_hydro_bm!$J$2,Raw_hydro_bm!H2165,"")</f>
        <v/>
      </c>
      <c r="H2165" t="str">
        <f>IF(ROW(H2165)&lt;=Raw_hydro_bm!$J$2,Raw_hydro_bm!I2165,"")</f>
        <v/>
      </c>
      <c r="I2165" s="16" t="str">
        <f t="shared" si="33"/>
        <v/>
      </c>
    </row>
    <row r="2166" spans="1:9" x14ac:dyDescent="0.2">
      <c r="A2166" t="str">
        <f>IF(ROW(A2166)&lt;=Raw_hydro_bm!$J$2,Raw_hydro_bm!B2166,"")</f>
        <v/>
      </c>
      <c r="B2166" t="str">
        <f>IF(ROW(B2166)&lt;=Raw_hydro_bm!$J$2,Raw_hydro_bm!C2166,"")</f>
        <v/>
      </c>
      <c r="C2166" t="str">
        <f>IF(ROW(C2166)&lt;=Raw_hydro_bm!$J$2,Raw_hydro_bm!D2166,"")</f>
        <v/>
      </c>
      <c r="D2166" t="str">
        <f>IF(ROW(D2166)&lt;=Raw_hydro_bm!$J$2,Raw_hydro_bm!E2166,"")</f>
        <v/>
      </c>
      <c r="E2166" t="str">
        <f>IF(ROW(E2166)&lt;=Raw_hydro_bm!$J$2,Raw_hydro_bm!F2166,"")</f>
        <v/>
      </c>
      <c r="F2166" t="str">
        <f>IF(ROW(F2166)&lt;=Raw_hydro_bm!$J$2,Raw_hydro_bm!G2166,"")</f>
        <v/>
      </c>
      <c r="G2166" t="str">
        <f>IF(ROW(G2166)&lt;=Raw_hydro_bm!$J$2,Raw_hydro_bm!H2166,"")</f>
        <v/>
      </c>
      <c r="H2166" t="str">
        <f>IF(ROW(H2166)&lt;=Raw_hydro_bm!$J$2,Raw_hydro_bm!I2166,"")</f>
        <v/>
      </c>
      <c r="I2166" s="16" t="str">
        <f t="shared" si="33"/>
        <v/>
      </c>
    </row>
    <row r="2167" spans="1:9" x14ac:dyDescent="0.2">
      <c r="A2167" t="str">
        <f>IF(ROW(A2167)&lt;=Raw_hydro_bm!$J$2,Raw_hydro_bm!B2167,"")</f>
        <v/>
      </c>
      <c r="B2167" t="str">
        <f>IF(ROW(B2167)&lt;=Raw_hydro_bm!$J$2,Raw_hydro_bm!C2167,"")</f>
        <v/>
      </c>
      <c r="C2167" t="str">
        <f>IF(ROW(C2167)&lt;=Raw_hydro_bm!$J$2,Raw_hydro_bm!D2167,"")</f>
        <v/>
      </c>
      <c r="D2167" t="str">
        <f>IF(ROW(D2167)&lt;=Raw_hydro_bm!$J$2,Raw_hydro_bm!E2167,"")</f>
        <v/>
      </c>
      <c r="E2167" t="str">
        <f>IF(ROW(E2167)&lt;=Raw_hydro_bm!$J$2,Raw_hydro_bm!F2167,"")</f>
        <v/>
      </c>
      <c r="F2167" t="str">
        <f>IF(ROW(F2167)&lt;=Raw_hydro_bm!$J$2,Raw_hydro_bm!G2167,"")</f>
        <v/>
      </c>
      <c r="G2167" t="str">
        <f>IF(ROW(G2167)&lt;=Raw_hydro_bm!$J$2,Raw_hydro_bm!H2167,"")</f>
        <v/>
      </c>
      <c r="H2167" t="str">
        <f>IF(ROW(H2167)&lt;=Raw_hydro_bm!$J$2,Raw_hydro_bm!I2167,"")</f>
        <v/>
      </c>
      <c r="I2167" s="16" t="str">
        <f t="shared" si="33"/>
        <v/>
      </c>
    </row>
    <row r="2168" spans="1:9" x14ac:dyDescent="0.2">
      <c r="A2168" t="str">
        <f>IF(ROW(A2168)&lt;=Raw_hydro_bm!$J$2,Raw_hydro_bm!B2168,"")</f>
        <v/>
      </c>
      <c r="B2168" t="str">
        <f>IF(ROW(B2168)&lt;=Raw_hydro_bm!$J$2,Raw_hydro_bm!C2168,"")</f>
        <v/>
      </c>
      <c r="C2168" t="str">
        <f>IF(ROW(C2168)&lt;=Raw_hydro_bm!$J$2,Raw_hydro_bm!D2168,"")</f>
        <v/>
      </c>
      <c r="D2168" t="str">
        <f>IF(ROW(D2168)&lt;=Raw_hydro_bm!$J$2,Raw_hydro_bm!E2168,"")</f>
        <v/>
      </c>
      <c r="E2168" t="str">
        <f>IF(ROW(E2168)&lt;=Raw_hydro_bm!$J$2,Raw_hydro_bm!F2168,"")</f>
        <v/>
      </c>
      <c r="F2168" t="str">
        <f>IF(ROW(F2168)&lt;=Raw_hydro_bm!$J$2,Raw_hydro_bm!G2168,"")</f>
        <v/>
      </c>
      <c r="G2168" t="str">
        <f>IF(ROW(G2168)&lt;=Raw_hydro_bm!$J$2,Raw_hydro_bm!H2168,"")</f>
        <v/>
      </c>
      <c r="H2168" t="str">
        <f>IF(ROW(H2168)&lt;=Raw_hydro_bm!$J$2,Raw_hydro_bm!I2168,"")</f>
        <v/>
      </c>
      <c r="I2168" s="16" t="str">
        <f t="shared" si="33"/>
        <v/>
      </c>
    </row>
    <row r="2169" spans="1:9" x14ac:dyDescent="0.2">
      <c r="A2169" t="str">
        <f>IF(ROW(A2169)&lt;=Raw_hydro_bm!$J$2,Raw_hydro_bm!B2169,"")</f>
        <v/>
      </c>
      <c r="B2169" t="str">
        <f>IF(ROW(B2169)&lt;=Raw_hydro_bm!$J$2,Raw_hydro_bm!C2169,"")</f>
        <v/>
      </c>
      <c r="C2169" t="str">
        <f>IF(ROW(C2169)&lt;=Raw_hydro_bm!$J$2,Raw_hydro_bm!D2169,"")</f>
        <v/>
      </c>
      <c r="D2169" t="str">
        <f>IF(ROW(D2169)&lt;=Raw_hydro_bm!$J$2,Raw_hydro_bm!E2169,"")</f>
        <v/>
      </c>
      <c r="E2169" t="str">
        <f>IF(ROW(E2169)&lt;=Raw_hydro_bm!$J$2,Raw_hydro_bm!F2169,"")</f>
        <v/>
      </c>
      <c r="F2169" t="str">
        <f>IF(ROW(F2169)&lt;=Raw_hydro_bm!$J$2,Raw_hydro_bm!G2169,"")</f>
        <v/>
      </c>
      <c r="G2169" t="str">
        <f>IF(ROW(G2169)&lt;=Raw_hydro_bm!$J$2,Raw_hydro_bm!H2169,"")</f>
        <v/>
      </c>
      <c r="H2169" t="str">
        <f>IF(ROW(H2169)&lt;=Raw_hydro_bm!$J$2,Raw_hydro_bm!I2169,"")</f>
        <v/>
      </c>
      <c r="I2169" s="16" t="str">
        <f t="shared" si="33"/>
        <v/>
      </c>
    </row>
    <row r="2170" spans="1:9" x14ac:dyDescent="0.2">
      <c r="A2170" t="str">
        <f>IF(ROW(A2170)&lt;=Raw_hydro_bm!$J$2,Raw_hydro_bm!B2170,"")</f>
        <v/>
      </c>
      <c r="B2170" t="str">
        <f>IF(ROW(B2170)&lt;=Raw_hydro_bm!$J$2,Raw_hydro_bm!C2170,"")</f>
        <v/>
      </c>
      <c r="C2170" t="str">
        <f>IF(ROW(C2170)&lt;=Raw_hydro_bm!$J$2,Raw_hydro_bm!D2170,"")</f>
        <v/>
      </c>
      <c r="D2170" t="str">
        <f>IF(ROW(D2170)&lt;=Raw_hydro_bm!$J$2,Raw_hydro_bm!E2170,"")</f>
        <v/>
      </c>
      <c r="E2170" t="str">
        <f>IF(ROW(E2170)&lt;=Raw_hydro_bm!$J$2,Raw_hydro_bm!F2170,"")</f>
        <v/>
      </c>
      <c r="F2170" t="str">
        <f>IF(ROW(F2170)&lt;=Raw_hydro_bm!$J$2,Raw_hydro_bm!G2170,"")</f>
        <v/>
      </c>
      <c r="G2170" t="str">
        <f>IF(ROW(G2170)&lt;=Raw_hydro_bm!$J$2,Raw_hydro_bm!H2170,"")</f>
        <v/>
      </c>
      <c r="H2170" t="str">
        <f>IF(ROW(H2170)&lt;=Raw_hydro_bm!$J$2,Raw_hydro_bm!I2170,"")</f>
        <v/>
      </c>
      <c r="I2170" s="16" t="str">
        <f t="shared" si="33"/>
        <v/>
      </c>
    </row>
    <row r="2171" spans="1:9" x14ac:dyDescent="0.2">
      <c r="A2171" t="str">
        <f>IF(ROW(A2171)&lt;=Raw_hydro_bm!$J$2,Raw_hydro_bm!B2171,"")</f>
        <v/>
      </c>
      <c r="B2171" t="str">
        <f>IF(ROW(B2171)&lt;=Raw_hydro_bm!$J$2,Raw_hydro_bm!C2171,"")</f>
        <v/>
      </c>
      <c r="C2171" t="str">
        <f>IF(ROW(C2171)&lt;=Raw_hydro_bm!$J$2,Raw_hydro_bm!D2171,"")</f>
        <v/>
      </c>
      <c r="D2171" t="str">
        <f>IF(ROW(D2171)&lt;=Raw_hydro_bm!$J$2,Raw_hydro_bm!E2171,"")</f>
        <v/>
      </c>
      <c r="E2171" t="str">
        <f>IF(ROW(E2171)&lt;=Raw_hydro_bm!$J$2,Raw_hydro_bm!F2171,"")</f>
        <v/>
      </c>
      <c r="F2171" t="str">
        <f>IF(ROW(F2171)&lt;=Raw_hydro_bm!$J$2,Raw_hydro_bm!G2171,"")</f>
        <v/>
      </c>
      <c r="G2171" t="str">
        <f>IF(ROW(G2171)&lt;=Raw_hydro_bm!$J$2,Raw_hydro_bm!H2171,"")</f>
        <v/>
      </c>
      <c r="H2171" t="str">
        <f>IF(ROW(H2171)&lt;=Raw_hydro_bm!$J$2,Raw_hydro_bm!I2171,"")</f>
        <v/>
      </c>
      <c r="I2171" s="16" t="str">
        <f t="shared" si="33"/>
        <v/>
      </c>
    </row>
    <row r="2172" spans="1:9" x14ac:dyDescent="0.2">
      <c r="A2172" t="str">
        <f>IF(ROW(A2172)&lt;=Raw_hydro_bm!$J$2,Raw_hydro_bm!B2172,"")</f>
        <v/>
      </c>
      <c r="B2172" t="str">
        <f>IF(ROW(B2172)&lt;=Raw_hydro_bm!$J$2,Raw_hydro_bm!C2172,"")</f>
        <v/>
      </c>
      <c r="C2172" t="str">
        <f>IF(ROW(C2172)&lt;=Raw_hydro_bm!$J$2,Raw_hydro_bm!D2172,"")</f>
        <v/>
      </c>
      <c r="D2172" t="str">
        <f>IF(ROW(D2172)&lt;=Raw_hydro_bm!$J$2,Raw_hydro_bm!E2172,"")</f>
        <v/>
      </c>
      <c r="E2172" t="str">
        <f>IF(ROW(E2172)&lt;=Raw_hydro_bm!$J$2,Raw_hydro_bm!F2172,"")</f>
        <v/>
      </c>
      <c r="F2172" t="str">
        <f>IF(ROW(F2172)&lt;=Raw_hydro_bm!$J$2,Raw_hydro_bm!G2172,"")</f>
        <v/>
      </c>
      <c r="G2172" t="str">
        <f>IF(ROW(G2172)&lt;=Raw_hydro_bm!$J$2,Raw_hydro_bm!H2172,"")</f>
        <v/>
      </c>
      <c r="H2172" t="str">
        <f>IF(ROW(H2172)&lt;=Raw_hydro_bm!$J$2,Raw_hydro_bm!I2172,"")</f>
        <v/>
      </c>
      <c r="I2172" s="16" t="str">
        <f t="shared" si="33"/>
        <v/>
      </c>
    </row>
    <row r="2173" spans="1:9" x14ac:dyDescent="0.2">
      <c r="A2173" t="str">
        <f>IF(ROW(A2173)&lt;=Raw_hydro_bm!$J$2,Raw_hydro_bm!B2173,"")</f>
        <v/>
      </c>
      <c r="B2173" t="str">
        <f>IF(ROW(B2173)&lt;=Raw_hydro_bm!$J$2,Raw_hydro_bm!C2173,"")</f>
        <v/>
      </c>
      <c r="C2173" t="str">
        <f>IF(ROW(C2173)&lt;=Raw_hydro_bm!$J$2,Raw_hydro_bm!D2173,"")</f>
        <v/>
      </c>
      <c r="D2173" t="str">
        <f>IF(ROW(D2173)&lt;=Raw_hydro_bm!$J$2,Raw_hydro_bm!E2173,"")</f>
        <v/>
      </c>
      <c r="E2173" t="str">
        <f>IF(ROW(E2173)&lt;=Raw_hydro_bm!$J$2,Raw_hydro_bm!F2173,"")</f>
        <v/>
      </c>
      <c r="F2173" t="str">
        <f>IF(ROW(F2173)&lt;=Raw_hydro_bm!$J$2,Raw_hydro_bm!G2173,"")</f>
        <v/>
      </c>
      <c r="G2173" t="str">
        <f>IF(ROW(G2173)&lt;=Raw_hydro_bm!$J$2,Raw_hydro_bm!H2173,"")</f>
        <v/>
      </c>
      <c r="H2173" t="str">
        <f>IF(ROW(H2173)&lt;=Raw_hydro_bm!$J$2,Raw_hydro_bm!I2173,"")</f>
        <v/>
      </c>
      <c r="I2173" s="16" t="str">
        <f t="shared" si="33"/>
        <v/>
      </c>
    </row>
    <row r="2174" spans="1:9" x14ac:dyDescent="0.2">
      <c r="A2174" t="str">
        <f>IF(ROW(A2174)&lt;=Raw_hydro_bm!$J$2,Raw_hydro_bm!B2174,"")</f>
        <v/>
      </c>
      <c r="B2174" t="str">
        <f>IF(ROW(B2174)&lt;=Raw_hydro_bm!$J$2,Raw_hydro_bm!C2174,"")</f>
        <v/>
      </c>
      <c r="C2174" t="str">
        <f>IF(ROW(C2174)&lt;=Raw_hydro_bm!$J$2,Raw_hydro_bm!D2174,"")</f>
        <v/>
      </c>
      <c r="D2174" t="str">
        <f>IF(ROW(D2174)&lt;=Raw_hydro_bm!$J$2,Raw_hydro_bm!E2174,"")</f>
        <v/>
      </c>
      <c r="E2174" t="str">
        <f>IF(ROW(E2174)&lt;=Raw_hydro_bm!$J$2,Raw_hydro_bm!F2174,"")</f>
        <v/>
      </c>
      <c r="F2174" t="str">
        <f>IF(ROW(F2174)&lt;=Raw_hydro_bm!$J$2,Raw_hydro_bm!G2174,"")</f>
        <v/>
      </c>
      <c r="G2174" t="str">
        <f>IF(ROW(G2174)&lt;=Raw_hydro_bm!$J$2,Raw_hydro_bm!H2174,"")</f>
        <v/>
      </c>
      <c r="H2174" t="str">
        <f>IF(ROW(H2174)&lt;=Raw_hydro_bm!$J$2,Raw_hydro_bm!I2174,"")</f>
        <v/>
      </c>
      <c r="I2174" s="16" t="str">
        <f t="shared" si="33"/>
        <v/>
      </c>
    </row>
    <row r="2175" spans="1:9" x14ac:dyDescent="0.2">
      <c r="A2175" t="str">
        <f>IF(ROW(A2175)&lt;=Raw_hydro_bm!$J$2,Raw_hydro_bm!B2175,"")</f>
        <v/>
      </c>
      <c r="B2175" t="str">
        <f>IF(ROW(B2175)&lt;=Raw_hydro_bm!$J$2,Raw_hydro_bm!C2175,"")</f>
        <v/>
      </c>
      <c r="C2175" t="str">
        <f>IF(ROW(C2175)&lt;=Raw_hydro_bm!$J$2,Raw_hydro_bm!D2175,"")</f>
        <v/>
      </c>
      <c r="D2175" t="str">
        <f>IF(ROW(D2175)&lt;=Raw_hydro_bm!$J$2,Raw_hydro_bm!E2175,"")</f>
        <v/>
      </c>
      <c r="E2175" t="str">
        <f>IF(ROW(E2175)&lt;=Raw_hydro_bm!$J$2,Raw_hydro_bm!F2175,"")</f>
        <v/>
      </c>
      <c r="F2175" t="str">
        <f>IF(ROW(F2175)&lt;=Raw_hydro_bm!$J$2,Raw_hydro_bm!G2175,"")</f>
        <v/>
      </c>
      <c r="G2175" t="str">
        <f>IF(ROW(G2175)&lt;=Raw_hydro_bm!$J$2,Raw_hydro_bm!H2175,"")</f>
        <v/>
      </c>
      <c r="H2175" t="str">
        <f>IF(ROW(H2175)&lt;=Raw_hydro_bm!$J$2,Raw_hydro_bm!I2175,"")</f>
        <v/>
      </c>
      <c r="I2175" s="16" t="str">
        <f t="shared" si="33"/>
        <v/>
      </c>
    </row>
    <row r="2176" spans="1:9" x14ac:dyDescent="0.2">
      <c r="A2176" t="str">
        <f>IF(ROW(A2176)&lt;=Raw_hydro_bm!$J$2,Raw_hydro_bm!B2176,"")</f>
        <v/>
      </c>
      <c r="B2176" t="str">
        <f>IF(ROW(B2176)&lt;=Raw_hydro_bm!$J$2,Raw_hydro_bm!C2176,"")</f>
        <v/>
      </c>
      <c r="C2176" t="str">
        <f>IF(ROW(C2176)&lt;=Raw_hydro_bm!$J$2,Raw_hydro_bm!D2176,"")</f>
        <v/>
      </c>
      <c r="D2176" t="str">
        <f>IF(ROW(D2176)&lt;=Raw_hydro_bm!$J$2,Raw_hydro_bm!E2176,"")</f>
        <v/>
      </c>
      <c r="E2176" t="str">
        <f>IF(ROW(E2176)&lt;=Raw_hydro_bm!$J$2,Raw_hydro_bm!F2176,"")</f>
        <v/>
      </c>
      <c r="F2176" t="str">
        <f>IF(ROW(F2176)&lt;=Raw_hydro_bm!$J$2,Raw_hydro_bm!G2176,"")</f>
        <v/>
      </c>
      <c r="G2176" t="str">
        <f>IF(ROW(G2176)&lt;=Raw_hydro_bm!$J$2,Raw_hydro_bm!H2176,"")</f>
        <v/>
      </c>
      <c r="H2176" t="str">
        <f>IF(ROW(H2176)&lt;=Raw_hydro_bm!$J$2,Raw_hydro_bm!I2176,"")</f>
        <v/>
      </c>
      <c r="I2176" s="16" t="str">
        <f t="shared" si="33"/>
        <v/>
      </c>
    </row>
    <row r="2177" spans="1:9" x14ac:dyDescent="0.2">
      <c r="A2177" t="str">
        <f>IF(ROW(A2177)&lt;=Raw_hydro_bm!$J$2,Raw_hydro_bm!B2177,"")</f>
        <v/>
      </c>
      <c r="B2177" t="str">
        <f>IF(ROW(B2177)&lt;=Raw_hydro_bm!$J$2,Raw_hydro_bm!C2177,"")</f>
        <v/>
      </c>
      <c r="C2177" t="str">
        <f>IF(ROW(C2177)&lt;=Raw_hydro_bm!$J$2,Raw_hydro_bm!D2177,"")</f>
        <v/>
      </c>
      <c r="D2177" t="str">
        <f>IF(ROW(D2177)&lt;=Raw_hydro_bm!$J$2,Raw_hydro_bm!E2177,"")</f>
        <v/>
      </c>
      <c r="E2177" t="str">
        <f>IF(ROW(E2177)&lt;=Raw_hydro_bm!$J$2,Raw_hydro_bm!F2177,"")</f>
        <v/>
      </c>
      <c r="F2177" t="str">
        <f>IF(ROW(F2177)&lt;=Raw_hydro_bm!$J$2,Raw_hydro_bm!G2177,"")</f>
        <v/>
      </c>
      <c r="G2177" t="str">
        <f>IF(ROW(G2177)&lt;=Raw_hydro_bm!$J$2,Raw_hydro_bm!H2177,"")</f>
        <v/>
      </c>
      <c r="H2177" t="str">
        <f>IF(ROW(H2177)&lt;=Raw_hydro_bm!$J$2,Raw_hydro_bm!I2177,"")</f>
        <v/>
      </c>
      <c r="I2177" s="16" t="str">
        <f t="shared" si="33"/>
        <v/>
      </c>
    </row>
    <row r="2178" spans="1:9" x14ac:dyDescent="0.2">
      <c r="A2178" t="str">
        <f>IF(ROW(A2178)&lt;=Raw_hydro_bm!$J$2,Raw_hydro_bm!B2178,"")</f>
        <v/>
      </c>
      <c r="B2178" t="str">
        <f>IF(ROW(B2178)&lt;=Raw_hydro_bm!$J$2,Raw_hydro_bm!C2178,"")</f>
        <v/>
      </c>
      <c r="C2178" t="str">
        <f>IF(ROW(C2178)&lt;=Raw_hydro_bm!$J$2,Raw_hydro_bm!D2178,"")</f>
        <v/>
      </c>
      <c r="D2178" t="str">
        <f>IF(ROW(D2178)&lt;=Raw_hydro_bm!$J$2,Raw_hydro_bm!E2178,"")</f>
        <v/>
      </c>
      <c r="E2178" t="str">
        <f>IF(ROW(E2178)&lt;=Raw_hydro_bm!$J$2,Raw_hydro_bm!F2178,"")</f>
        <v/>
      </c>
      <c r="F2178" t="str">
        <f>IF(ROW(F2178)&lt;=Raw_hydro_bm!$J$2,Raw_hydro_bm!G2178,"")</f>
        <v/>
      </c>
      <c r="G2178" t="str">
        <f>IF(ROW(G2178)&lt;=Raw_hydro_bm!$J$2,Raw_hydro_bm!H2178,"")</f>
        <v/>
      </c>
      <c r="H2178" t="str">
        <f>IF(ROW(H2178)&lt;=Raw_hydro_bm!$J$2,Raw_hydro_bm!I2178,"")</f>
        <v/>
      </c>
      <c r="I2178" s="16" t="str">
        <f t="shared" ref="I2178:I2241" si="34">IF(IFERROR(FIND("e",H2178),-1)&lt;0,IFERROR(_xlfn.NUMBERVALUE(LEFT(H2178,FIND(".",H2178)-1))+_xlfn.NUMBERVALUE("0,"&amp;RIGHT(H2178,LEN(H2178)-FIND(".",H2178))),""),0)</f>
        <v/>
      </c>
    </row>
    <row r="2179" spans="1:9" x14ac:dyDescent="0.2">
      <c r="A2179" t="str">
        <f>IF(ROW(A2179)&lt;=Raw_hydro_bm!$J$2,Raw_hydro_bm!B2179,"")</f>
        <v/>
      </c>
      <c r="B2179" t="str">
        <f>IF(ROW(B2179)&lt;=Raw_hydro_bm!$J$2,Raw_hydro_bm!C2179,"")</f>
        <v/>
      </c>
      <c r="C2179" t="str">
        <f>IF(ROW(C2179)&lt;=Raw_hydro_bm!$J$2,Raw_hydro_bm!D2179,"")</f>
        <v/>
      </c>
      <c r="D2179" t="str">
        <f>IF(ROW(D2179)&lt;=Raw_hydro_bm!$J$2,Raw_hydro_bm!E2179,"")</f>
        <v/>
      </c>
      <c r="E2179" t="str">
        <f>IF(ROW(E2179)&lt;=Raw_hydro_bm!$J$2,Raw_hydro_bm!F2179,"")</f>
        <v/>
      </c>
      <c r="F2179" t="str">
        <f>IF(ROW(F2179)&lt;=Raw_hydro_bm!$J$2,Raw_hydro_bm!G2179,"")</f>
        <v/>
      </c>
      <c r="G2179" t="str">
        <f>IF(ROW(G2179)&lt;=Raw_hydro_bm!$J$2,Raw_hydro_bm!H2179,"")</f>
        <v/>
      </c>
      <c r="H2179" t="str">
        <f>IF(ROW(H2179)&lt;=Raw_hydro_bm!$J$2,Raw_hydro_bm!I2179,"")</f>
        <v/>
      </c>
      <c r="I2179" s="16" t="str">
        <f t="shared" si="34"/>
        <v/>
      </c>
    </row>
    <row r="2180" spans="1:9" x14ac:dyDescent="0.2">
      <c r="A2180" t="str">
        <f>IF(ROW(A2180)&lt;=Raw_hydro_bm!$J$2,Raw_hydro_bm!B2180,"")</f>
        <v/>
      </c>
      <c r="B2180" t="str">
        <f>IF(ROW(B2180)&lt;=Raw_hydro_bm!$J$2,Raw_hydro_bm!C2180,"")</f>
        <v/>
      </c>
      <c r="C2180" t="str">
        <f>IF(ROW(C2180)&lt;=Raw_hydro_bm!$J$2,Raw_hydro_bm!D2180,"")</f>
        <v/>
      </c>
      <c r="D2180" t="str">
        <f>IF(ROW(D2180)&lt;=Raw_hydro_bm!$J$2,Raw_hydro_bm!E2180,"")</f>
        <v/>
      </c>
      <c r="E2180" t="str">
        <f>IF(ROW(E2180)&lt;=Raw_hydro_bm!$J$2,Raw_hydro_bm!F2180,"")</f>
        <v/>
      </c>
      <c r="F2180" t="str">
        <f>IF(ROW(F2180)&lt;=Raw_hydro_bm!$J$2,Raw_hydro_bm!G2180,"")</f>
        <v/>
      </c>
      <c r="G2180" t="str">
        <f>IF(ROW(G2180)&lt;=Raw_hydro_bm!$J$2,Raw_hydro_bm!H2180,"")</f>
        <v/>
      </c>
      <c r="H2180" t="str">
        <f>IF(ROW(H2180)&lt;=Raw_hydro_bm!$J$2,Raw_hydro_bm!I2180,"")</f>
        <v/>
      </c>
      <c r="I2180" s="16" t="str">
        <f t="shared" si="34"/>
        <v/>
      </c>
    </row>
    <row r="2181" spans="1:9" x14ac:dyDescent="0.2">
      <c r="A2181" t="str">
        <f>IF(ROW(A2181)&lt;=Raw_hydro_bm!$J$2,Raw_hydro_bm!B2181,"")</f>
        <v/>
      </c>
      <c r="B2181" t="str">
        <f>IF(ROW(B2181)&lt;=Raw_hydro_bm!$J$2,Raw_hydro_bm!C2181,"")</f>
        <v/>
      </c>
      <c r="C2181" t="str">
        <f>IF(ROW(C2181)&lt;=Raw_hydro_bm!$J$2,Raw_hydro_bm!D2181,"")</f>
        <v/>
      </c>
      <c r="D2181" t="str">
        <f>IF(ROW(D2181)&lt;=Raw_hydro_bm!$J$2,Raw_hydro_bm!E2181,"")</f>
        <v/>
      </c>
      <c r="E2181" t="str">
        <f>IF(ROW(E2181)&lt;=Raw_hydro_bm!$J$2,Raw_hydro_bm!F2181,"")</f>
        <v/>
      </c>
      <c r="F2181" t="str">
        <f>IF(ROW(F2181)&lt;=Raw_hydro_bm!$J$2,Raw_hydro_bm!G2181,"")</f>
        <v/>
      </c>
      <c r="G2181" t="str">
        <f>IF(ROW(G2181)&lt;=Raw_hydro_bm!$J$2,Raw_hydro_bm!H2181,"")</f>
        <v/>
      </c>
      <c r="H2181" t="str">
        <f>IF(ROW(H2181)&lt;=Raw_hydro_bm!$J$2,Raw_hydro_bm!I2181,"")</f>
        <v/>
      </c>
      <c r="I2181" s="16" t="str">
        <f t="shared" si="34"/>
        <v/>
      </c>
    </row>
    <row r="2182" spans="1:9" x14ac:dyDescent="0.2">
      <c r="A2182" t="str">
        <f>IF(ROW(A2182)&lt;=Raw_hydro_bm!$J$2,Raw_hydro_bm!B2182,"")</f>
        <v/>
      </c>
      <c r="B2182" t="str">
        <f>IF(ROW(B2182)&lt;=Raw_hydro_bm!$J$2,Raw_hydro_bm!C2182,"")</f>
        <v/>
      </c>
      <c r="C2182" t="str">
        <f>IF(ROW(C2182)&lt;=Raw_hydro_bm!$J$2,Raw_hydro_bm!D2182,"")</f>
        <v/>
      </c>
      <c r="D2182" t="str">
        <f>IF(ROW(D2182)&lt;=Raw_hydro_bm!$J$2,Raw_hydro_bm!E2182,"")</f>
        <v/>
      </c>
      <c r="E2182" t="str">
        <f>IF(ROW(E2182)&lt;=Raw_hydro_bm!$J$2,Raw_hydro_bm!F2182,"")</f>
        <v/>
      </c>
      <c r="F2182" t="str">
        <f>IF(ROW(F2182)&lt;=Raw_hydro_bm!$J$2,Raw_hydro_bm!G2182,"")</f>
        <v/>
      </c>
      <c r="G2182" t="str">
        <f>IF(ROW(G2182)&lt;=Raw_hydro_bm!$J$2,Raw_hydro_bm!H2182,"")</f>
        <v/>
      </c>
      <c r="H2182" t="str">
        <f>IF(ROW(H2182)&lt;=Raw_hydro_bm!$J$2,Raw_hydro_bm!I2182,"")</f>
        <v/>
      </c>
      <c r="I2182" s="16" t="str">
        <f t="shared" si="34"/>
        <v/>
      </c>
    </row>
    <row r="2183" spans="1:9" x14ac:dyDescent="0.2">
      <c r="A2183" t="str">
        <f>IF(ROW(A2183)&lt;=Raw_hydro_bm!$J$2,Raw_hydro_bm!B2183,"")</f>
        <v/>
      </c>
      <c r="B2183" t="str">
        <f>IF(ROW(B2183)&lt;=Raw_hydro_bm!$J$2,Raw_hydro_bm!C2183,"")</f>
        <v/>
      </c>
      <c r="C2183" t="str">
        <f>IF(ROW(C2183)&lt;=Raw_hydro_bm!$J$2,Raw_hydro_bm!D2183,"")</f>
        <v/>
      </c>
      <c r="D2183" t="str">
        <f>IF(ROW(D2183)&lt;=Raw_hydro_bm!$J$2,Raw_hydro_bm!E2183,"")</f>
        <v/>
      </c>
      <c r="E2183" t="str">
        <f>IF(ROW(E2183)&lt;=Raw_hydro_bm!$J$2,Raw_hydro_bm!F2183,"")</f>
        <v/>
      </c>
      <c r="F2183" t="str">
        <f>IF(ROW(F2183)&lt;=Raw_hydro_bm!$J$2,Raw_hydro_bm!G2183,"")</f>
        <v/>
      </c>
      <c r="G2183" t="str">
        <f>IF(ROW(G2183)&lt;=Raw_hydro_bm!$J$2,Raw_hydro_bm!H2183,"")</f>
        <v/>
      </c>
      <c r="H2183" t="str">
        <f>IF(ROW(H2183)&lt;=Raw_hydro_bm!$J$2,Raw_hydro_bm!I2183,"")</f>
        <v/>
      </c>
      <c r="I2183" s="16" t="str">
        <f t="shared" si="34"/>
        <v/>
      </c>
    </row>
    <row r="2184" spans="1:9" x14ac:dyDescent="0.2">
      <c r="A2184" t="str">
        <f>IF(ROW(A2184)&lt;=Raw_hydro_bm!$J$2,Raw_hydro_bm!B2184,"")</f>
        <v/>
      </c>
      <c r="B2184" t="str">
        <f>IF(ROW(B2184)&lt;=Raw_hydro_bm!$J$2,Raw_hydro_bm!C2184,"")</f>
        <v/>
      </c>
      <c r="C2184" t="str">
        <f>IF(ROW(C2184)&lt;=Raw_hydro_bm!$J$2,Raw_hydro_bm!D2184,"")</f>
        <v/>
      </c>
      <c r="D2184" t="str">
        <f>IF(ROW(D2184)&lt;=Raw_hydro_bm!$J$2,Raw_hydro_bm!E2184,"")</f>
        <v/>
      </c>
      <c r="E2184" t="str">
        <f>IF(ROW(E2184)&lt;=Raw_hydro_bm!$J$2,Raw_hydro_bm!F2184,"")</f>
        <v/>
      </c>
      <c r="F2184" t="str">
        <f>IF(ROW(F2184)&lt;=Raw_hydro_bm!$J$2,Raw_hydro_bm!G2184,"")</f>
        <v/>
      </c>
      <c r="G2184" t="str">
        <f>IF(ROW(G2184)&lt;=Raw_hydro_bm!$J$2,Raw_hydro_bm!H2184,"")</f>
        <v/>
      </c>
      <c r="H2184" t="str">
        <f>IF(ROW(H2184)&lt;=Raw_hydro_bm!$J$2,Raw_hydro_bm!I2184,"")</f>
        <v/>
      </c>
      <c r="I2184" s="16" t="str">
        <f t="shared" si="34"/>
        <v/>
      </c>
    </row>
    <row r="2185" spans="1:9" x14ac:dyDescent="0.2">
      <c r="A2185" t="str">
        <f>IF(ROW(A2185)&lt;=Raw_hydro_bm!$J$2,Raw_hydro_bm!B2185,"")</f>
        <v/>
      </c>
      <c r="B2185" t="str">
        <f>IF(ROW(B2185)&lt;=Raw_hydro_bm!$J$2,Raw_hydro_bm!C2185,"")</f>
        <v/>
      </c>
      <c r="C2185" t="str">
        <f>IF(ROW(C2185)&lt;=Raw_hydro_bm!$J$2,Raw_hydro_bm!D2185,"")</f>
        <v/>
      </c>
      <c r="D2185" t="str">
        <f>IF(ROW(D2185)&lt;=Raw_hydro_bm!$J$2,Raw_hydro_bm!E2185,"")</f>
        <v/>
      </c>
      <c r="E2185" t="str">
        <f>IF(ROW(E2185)&lt;=Raw_hydro_bm!$J$2,Raw_hydro_bm!F2185,"")</f>
        <v/>
      </c>
      <c r="F2185" t="str">
        <f>IF(ROW(F2185)&lt;=Raw_hydro_bm!$J$2,Raw_hydro_bm!G2185,"")</f>
        <v/>
      </c>
      <c r="G2185" t="str">
        <f>IF(ROW(G2185)&lt;=Raw_hydro_bm!$J$2,Raw_hydro_bm!H2185,"")</f>
        <v/>
      </c>
      <c r="H2185" t="str">
        <f>IF(ROW(H2185)&lt;=Raw_hydro_bm!$J$2,Raw_hydro_bm!I2185,"")</f>
        <v/>
      </c>
      <c r="I2185" s="16" t="str">
        <f t="shared" si="34"/>
        <v/>
      </c>
    </row>
    <row r="2186" spans="1:9" x14ac:dyDescent="0.2">
      <c r="A2186" t="str">
        <f>IF(ROW(A2186)&lt;=Raw_hydro_bm!$J$2,Raw_hydro_bm!B2186,"")</f>
        <v/>
      </c>
      <c r="B2186" t="str">
        <f>IF(ROW(B2186)&lt;=Raw_hydro_bm!$J$2,Raw_hydro_bm!C2186,"")</f>
        <v/>
      </c>
      <c r="C2186" t="str">
        <f>IF(ROW(C2186)&lt;=Raw_hydro_bm!$J$2,Raw_hydro_bm!D2186,"")</f>
        <v/>
      </c>
      <c r="D2186" t="str">
        <f>IF(ROW(D2186)&lt;=Raw_hydro_bm!$J$2,Raw_hydro_bm!E2186,"")</f>
        <v/>
      </c>
      <c r="E2186" t="str">
        <f>IF(ROW(E2186)&lt;=Raw_hydro_bm!$J$2,Raw_hydro_bm!F2186,"")</f>
        <v/>
      </c>
      <c r="F2186" t="str">
        <f>IF(ROW(F2186)&lt;=Raw_hydro_bm!$J$2,Raw_hydro_bm!G2186,"")</f>
        <v/>
      </c>
      <c r="G2186" t="str">
        <f>IF(ROW(G2186)&lt;=Raw_hydro_bm!$J$2,Raw_hydro_bm!H2186,"")</f>
        <v/>
      </c>
      <c r="H2186" t="str">
        <f>IF(ROW(H2186)&lt;=Raw_hydro_bm!$J$2,Raw_hydro_bm!I2186,"")</f>
        <v/>
      </c>
      <c r="I2186" s="16" t="str">
        <f t="shared" si="34"/>
        <v/>
      </c>
    </row>
    <row r="2187" spans="1:9" x14ac:dyDescent="0.2">
      <c r="A2187" t="str">
        <f>IF(ROW(A2187)&lt;=Raw_hydro_bm!$J$2,Raw_hydro_bm!B2187,"")</f>
        <v/>
      </c>
      <c r="B2187" t="str">
        <f>IF(ROW(B2187)&lt;=Raw_hydro_bm!$J$2,Raw_hydro_bm!C2187,"")</f>
        <v/>
      </c>
      <c r="C2187" t="str">
        <f>IF(ROW(C2187)&lt;=Raw_hydro_bm!$J$2,Raw_hydro_bm!D2187,"")</f>
        <v/>
      </c>
      <c r="D2187" t="str">
        <f>IF(ROW(D2187)&lt;=Raw_hydro_bm!$J$2,Raw_hydro_bm!E2187,"")</f>
        <v/>
      </c>
      <c r="E2187" t="str">
        <f>IF(ROW(E2187)&lt;=Raw_hydro_bm!$J$2,Raw_hydro_bm!F2187,"")</f>
        <v/>
      </c>
      <c r="F2187" t="str">
        <f>IF(ROW(F2187)&lt;=Raw_hydro_bm!$J$2,Raw_hydro_bm!G2187,"")</f>
        <v/>
      </c>
      <c r="G2187" t="str">
        <f>IF(ROW(G2187)&lt;=Raw_hydro_bm!$J$2,Raw_hydro_bm!H2187,"")</f>
        <v/>
      </c>
      <c r="H2187" t="str">
        <f>IF(ROW(H2187)&lt;=Raw_hydro_bm!$J$2,Raw_hydro_bm!I2187,"")</f>
        <v/>
      </c>
      <c r="I2187" s="16" t="str">
        <f t="shared" si="34"/>
        <v/>
      </c>
    </row>
    <row r="2188" spans="1:9" x14ac:dyDescent="0.2">
      <c r="A2188" t="str">
        <f>IF(ROW(A2188)&lt;=Raw_hydro_bm!$J$2,Raw_hydro_bm!B2188,"")</f>
        <v/>
      </c>
      <c r="B2188" t="str">
        <f>IF(ROW(B2188)&lt;=Raw_hydro_bm!$J$2,Raw_hydro_bm!C2188,"")</f>
        <v/>
      </c>
      <c r="C2188" t="str">
        <f>IF(ROW(C2188)&lt;=Raw_hydro_bm!$J$2,Raw_hydro_bm!D2188,"")</f>
        <v/>
      </c>
      <c r="D2188" t="str">
        <f>IF(ROW(D2188)&lt;=Raw_hydro_bm!$J$2,Raw_hydro_bm!E2188,"")</f>
        <v/>
      </c>
      <c r="E2188" t="str">
        <f>IF(ROW(E2188)&lt;=Raw_hydro_bm!$J$2,Raw_hydro_bm!F2188,"")</f>
        <v/>
      </c>
      <c r="F2188" t="str">
        <f>IF(ROW(F2188)&lt;=Raw_hydro_bm!$J$2,Raw_hydro_bm!G2188,"")</f>
        <v/>
      </c>
      <c r="G2188" t="str">
        <f>IF(ROW(G2188)&lt;=Raw_hydro_bm!$J$2,Raw_hydro_bm!H2188,"")</f>
        <v/>
      </c>
      <c r="H2188" t="str">
        <f>IF(ROW(H2188)&lt;=Raw_hydro_bm!$J$2,Raw_hydro_bm!I2188,"")</f>
        <v/>
      </c>
      <c r="I2188" s="16" t="str">
        <f t="shared" si="34"/>
        <v/>
      </c>
    </row>
    <row r="2189" spans="1:9" x14ac:dyDescent="0.2">
      <c r="A2189" t="str">
        <f>IF(ROW(A2189)&lt;=Raw_hydro_bm!$J$2,Raw_hydro_bm!B2189,"")</f>
        <v/>
      </c>
      <c r="B2189" t="str">
        <f>IF(ROW(B2189)&lt;=Raw_hydro_bm!$J$2,Raw_hydro_bm!C2189,"")</f>
        <v/>
      </c>
      <c r="C2189" t="str">
        <f>IF(ROW(C2189)&lt;=Raw_hydro_bm!$J$2,Raw_hydro_bm!D2189,"")</f>
        <v/>
      </c>
      <c r="D2189" t="str">
        <f>IF(ROW(D2189)&lt;=Raw_hydro_bm!$J$2,Raw_hydro_bm!E2189,"")</f>
        <v/>
      </c>
      <c r="E2189" t="str">
        <f>IF(ROW(E2189)&lt;=Raw_hydro_bm!$J$2,Raw_hydro_bm!F2189,"")</f>
        <v/>
      </c>
      <c r="F2189" t="str">
        <f>IF(ROW(F2189)&lt;=Raw_hydro_bm!$J$2,Raw_hydro_bm!G2189,"")</f>
        <v/>
      </c>
      <c r="G2189" t="str">
        <f>IF(ROW(G2189)&lt;=Raw_hydro_bm!$J$2,Raw_hydro_bm!H2189,"")</f>
        <v/>
      </c>
      <c r="H2189" t="str">
        <f>IF(ROW(H2189)&lt;=Raw_hydro_bm!$J$2,Raw_hydro_bm!I2189,"")</f>
        <v/>
      </c>
      <c r="I2189" s="16" t="str">
        <f t="shared" si="34"/>
        <v/>
      </c>
    </row>
    <row r="2190" spans="1:9" x14ac:dyDescent="0.2">
      <c r="A2190" t="str">
        <f>IF(ROW(A2190)&lt;=Raw_hydro_bm!$J$2,Raw_hydro_bm!B2190,"")</f>
        <v/>
      </c>
      <c r="B2190" t="str">
        <f>IF(ROW(B2190)&lt;=Raw_hydro_bm!$J$2,Raw_hydro_bm!C2190,"")</f>
        <v/>
      </c>
      <c r="C2190" t="str">
        <f>IF(ROW(C2190)&lt;=Raw_hydro_bm!$J$2,Raw_hydro_bm!D2190,"")</f>
        <v/>
      </c>
      <c r="D2190" t="str">
        <f>IF(ROW(D2190)&lt;=Raw_hydro_bm!$J$2,Raw_hydro_bm!E2190,"")</f>
        <v/>
      </c>
      <c r="E2190" t="str">
        <f>IF(ROW(E2190)&lt;=Raw_hydro_bm!$J$2,Raw_hydro_bm!F2190,"")</f>
        <v/>
      </c>
      <c r="F2190" t="str">
        <f>IF(ROW(F2190)&lt;=Raw_hydro_bm!$J$2,Raw_hydro_bm!G2190,"")</f>
        <v/>
      </c>
      <c r="G2190" t="str">
        <f>IF(ROW(G2190)&lt;=Raw_hydro_bm!$J$2,Raw_hydro_bm!H2190,"")</f>
        <v/>
      </c>
      <c r="H2190" t="str">
        <f>IF(ROW(H2190)&lt;=Raw_hydro_bm!$J$2,Raw_hydro_bm!I2190,"")</f>
        <v/>
      </c>
      <c r="I2190" s="16" t="str">
        <f t="shared" si="34"/>
        <v/>
      </c>
    </row>
    <row r="2191" spans="1:9" x14ac:dyDescent="0.2">
      <c r="A2191" t="str">
        <f>IF(ROW(A2191)&lt;=Raw_hydro_bm!$J$2,Raw_hydro_bm!B2191,"")</f>
        <v/>
      </c>
      <c r="B2191" t="str">
        <f>IF(ROW(B2191)&lt;=Raw_hydro_bm!$J$2,Raw_hydro_bm!C2191,"")</f>
        <v/>
      </c>
      <c r="C2191" t="str">
        <f>IF(ROW(C2191)&lt;=Raw_hydro_bm!$J$2,Raw_hydro_bm!D2191,"")</f>
        <v/>
      </c>
      <c r="D2191" t="str">
        <f>IF(ROW(D2191)&lt;=Raw_hydro_bm!$J$2,Raw_hydro_bm!E2191,"")</f>
        <v/>
      </c>
      <c r="E2191" t="str">
        <f>IF(ROW(E2191)&lt;=Raw_hydro_bm!$J$2,Raw_hydro_bm!F2191,"")</f>
        <v/>
      </c>
      <c r="F2191" t="str">
        <f>IF(ROW(F2191)&lt;=Raw_hydro_bm!$J$2,Raw_hydro_bm!G2191,"")</f>
        <v/>
      </c>
      <c r="G2191" t="str">
        <f>IF(ROW(G2191)&lt;=Raw_hydro_bm!$J$2,Raw_hydro_bm!H2191,"")</f>
        <v/>
      </c>
      <c r="H2191" t="str">
        <f>IF(ROW(H2191)&lt;=Raw_hydro_bm!$J$2,Raw_hydro_bm!I2191,"")</f>
        <v/>
      </c>
      <c r="I2191" s="16" t="str">
        <f t="shared" si="34"/>
        <v/>
      </c>
    </row>
    <row r="2192" spans="1:9" x14ac:dyDescent="0.2">
      <c r="A2192" t="str">
        <f>IF(ROW(A2192)&lt;=Raw_hydro_bm!$J$2,Raw_hydro_bm!B2192,"")</f>
        <v/>
      </c>
      <c r="B2192" t="str">
        <f>IF(ROW(B2192)&lt;=Raw_hydro_bm!$J$2,Raw_hydro_bm!C2192,"")</f>
        <v/>
      </c>
      <c r="C2192" t="str">
        <f>IF(ROW(C2192)&lt;=Raw_hydro_bm!$J$2,Raw_hydro_bm!D2192,"")</f>
        <v/>
      </c>
      <c r="D2192" t="str">
        <f>IF(ROW(D2192)&lt;=Raw_hydro_bm!$J$2,Raw_hydro_bm!E2192,"")</f>
        <v/>
      </c>
      <c r="E2192" t="str">
        <f>IF(ROW(E2192)&lt;=Raw_hydro_bm!$J$2,Raw_hydro_bm!F2192,"")</f>
        <v/>
      </c>
      <c r="F2192" t="str">
        <f>IF(ROW(F2192)&lt;=Raw_hydro_bm!$J$2,Raw_hydro_bm!G2192,"")</f>
        <v/>
      </c>
      <c r="G2192" t="str">
        <f>IF(ROW(G2192)&lt;=Raw_hydro_bm!$J$2,Raw_hydro_bm!H2192,"")</f>
        <v/>
      </c>
      <c r="H2192" t="str">
        <f>IF(ROW(H2192)&lt;=Raw_hydro_bm!$J$2,Raw_hydro_bm!I2192,"")</f>
        <v/>
      </c>
      <c r="I2192" s="16" t="str">
        <f t="shared" si="34"/>
        <v/>
      </c>
    </row>
    <row r="2193" spans="1:9" x14ac:dyDescent="0.2">
      <c r="A2193" t="str">
        <f>IF(ROW(A2193)&lt;=Raw_hydro_bm!$J$2,Raw_hydro_bm!B2193,"")</f>
        <v/>
      </c>
      <c r="B2193" t="str">
        <f>IF(ROW(B2193)&lt;=Raw_hydro_bm!$J$2,Raw_hydro_bm!C2193,"")</f>
        <v/>
      </c>
      <c r="C2193" t="str">
        <f>IF(ROW(C2193)&lt;=Raw_hydro_bm!$J$2,Raw_hydro_bm!D2193,"")</f>
        <v/>
      </c>
      <c r="D2193" t="str">
        <f>IF(ROW(D2193)&lt;=Raw_hydro_bm!$J$2,Raw_hydro_bm!E2193,"")</f>
        <v/>
      </c>
      <c r="E2193" t="str">
        <f>IF(ROW(E2193)&lt;=Raw_hydro_bm!$J$2,Raw_hydro_bm!F2193,"")</f>
        <v/>
      </c>
      <c r="F2193" t="str">
        <f>IF(ROW(F2193)&lt;=Raw_hydro_bm!$J$2,Raw_hydro_bm!G2193,"")</f>
        <v/>
      </c>
      <c r="G2193" t="str">
        <f>IF(ROW(G2193)&lt;=Raw_hydro_bm!$J$2,Raw_hydro_bm!H2193,"")</f>
        <v/>
      </c>
      <c r="H2193" t="str">
        <f>IF(ROW(H2193)&lt;=Raw_hydro_bm!$J$2,Raw_hydro_bm!I2193,"")</f>
        <v/>
      </c>
      <c r="I2193" s="16" t="str">
        <f t="shared" si="34"/>
        <v/>
      </c>
    </row>
    <row r="2194" spans="1:9" x14ac:dyDescent="0.2">
      <c r="A2194" t="str">
        <f>IF(ROW(A2194)&lt;=Raw_hydro_bm!$J$2,Raw_hydro_bm!B2194,"")</f>
        <v/>
      </c>
      <c r="B2194" t="str">
        <f>IF(ROW(B2194)&lt;=Raw_hydro_bm!$J$2,Raw_hydro_bm!C2194,"")</f>
        <v/>
      </c>
      <c r="C2194" t="str">
        <f>IF(ROW(C2194)&lt;=Raw_hydro_bm!$J$2,Raw_hydro_bm!D2194,"")</f>
        <v/>
      </c>
      <c r="D2194" t="str">
        <f>IF(ROW(D2194)&lt;=Raw_hydro_bm!$J$2,Raw_hydro_bm!E2194,"")</f>
        <v/>
      </c>
      <c r="E2194" t="str">
        <f>IF(ROW(E2194)&lt;=Raw_hydro_bm!$J$2,Raw_hydro_bm!F2194,"")</f>
        <v/>
      </c>
      <c r="F2194" t="str">
        <f>IF(ROW(F2194)&lt;=Raw_hydro_bm!$J$2,Raw_hydro_bm!G2194,"")</f>
        <v/>
      </c>
      <c r="G2194" t="str">
        <f>IF(ROW(G2194)&lt;=Raw_hydro_bm!$J$2,Raw_hydro_bm!H2194,"")</f>
        <v/>
      </c>
      <c r="H2194" t="str">
        <f>IF(ROW(H2194)&lt;=Raw_hydro_bm!$J$2,Raw_hydro_bm!I2194,"")</f>
        <v/>
      </c>
      <c r="I2194" s="16" t="str">
        <f t="shared" si="34"/>
        <v/>
      </c>
    </row>
    <row r="2195" spans="1:9" x14ac:dyDescent="0.2">
      <c r="A2195" t="str">
        <f>IF(ROW(A2195)&lt;=Raw_hydro_bm!$J$2,Raw_hydro_bm!B2195,"")</f>
        <v/>
      </c>
      <c r="B2195" t="str">
        <f>IF(ROW(B2195)&lt;=Raw_hydro_bm!$J$2,Raw_hydro_bm!C2195,"")</f>
        <v/>
      </c>
      <c r="C2195" t="str">
        <f>IF(ROW(C2195)&lt;=Raw_hydro_bm!$J$2,Raw_hydro_bm!D2195,"")</f>
        <v/>
      </c>
      <c r="D2195" t="str">
        <f>IF(ROW(D2195)&lt;=Raw_hydro_bm!$J$2,Raw_hydro_bm!E2195,"")</f>
        <v/>
      </c>
      <c r="E2195" t="str">
        <f>IF(ROW(E2195)&lt;=Raw_hydro_bm!$J$2,Raw_hydro_bm!F2195,"")</f>
        <v/>
      </c>
      <c r="F2195" t="str">
        <f>IF(ROW(F2195)&lt;=Raw_hydro_bm!$J$2,Raw_hydro_bm!G2195,"")</f>
        <v/>
      </c>
      <c r="G2195" t="str">
        <f>IF(ROW(G2195)&lt;=Raw_hydro_bm!$J$2,Raw_hydro_bm!H2195,"")</f>
        <v/>
      </c>
      <c r="H2195" t="str">
        <f>IF(ROW(H2195)&lt;=Raw_hydro_bm!$J$2,Raw_hydro_bm!I2195,"")</f>
        <v/>
      </c>
      <c r="I2195" s="16" t="str">
        <f t="shared" si="34"/>
        <v/>
      </c>
    </row>
    <row r="2196" spans="1:9" x14ac:dyDescent="0.2">
      <c r="A2196" t="str">
        <f>IF(ROW(A2196)&lt;=Raw_hydro_bm!$J$2,Raw_hydro_bm!B2196,"")</f>
        <v/>
      </c>
      <c r="B2196" t="str">
        <f>IF(ROW(B2196)&lt;=Raw_hydro_bm!$J$2,Raw_hydro_bm!C2196,"")</f>
        <v/>
      </c>
      <c r="C2196" t="str">
        <f>IF(ROW(C2196)&lt;=Raw_hydro_bm!$J$2,Raw_hydro_bm!D2196,"")</f>
        <v/>
      </c>
      <c r="D2196" t="str">
        <f>IF(ROW(D2196)&lt;=Raw_hydro_bm!$J$2,Raw_hydro_bm!E2196,"")</f>
        <v/>
      </c>
      <c r="E2196" t="str">
        <f>IF(ROW(E2196)&lt;=Raw_hydro_bm!$J$2,Raw_hydro_bm!F2196,"")</f>
        <v/>
      </c>
      <c r="F2196" t="str">
        <f>IF(ROW(F2196)&lt;=Raw_hydro_bm!$J$2,Raw_hydro_bm!G2196,"")</f>
        <v/>
      </c>
      <c r="G2196" t="str">
        <f>IF(ROW(G2196)&lt;=Raw_hydro_bm!$J$2,Raw_hydro_bm!H2196,"")</f>
        <v/>
      </c>
      <c r="H2196" t="str">
        <f>IF(ROW(H2196)&lt;=Raw_hydro_bm!$J$2,Raw_hydro_bm!I2196,"")</f>
        <v/>
      </c>
      <c r="I2196" s="16" t="str">
        <f t="shared" si="34"/>
        <v/>
      </c>
    </row>
    <row r="2197" spans="1:9" x14ac:dyDescent="0.2">
      <c r="A2197" t="str">
        <f>IF(ROW(A2197)&lt;=Raw_hydro_bm!$J$2,Raw_hydro_bm!B2197,"")</f>
        <v/>
      </c>
      <c r="B2197" t="str">
        <f>IF(ROW(B2197)&lt;=Raw_hydro_bm!$J$2,Raw_hydro_bm!C2197,"")</f>
        <v/>
      </c>
      <c r="C2197" t="str">
        <f>IF(ROW(C2197)&lt;=Raw_hydro_bm!$J$2,Raw_hydro_bm!D2197,"")</f>
        <v/>
      </c>
      <c r="D2197" t="str">
        <f>IF(ROW(D2197)&lt;=Raw_hydro_bm!$J$2,Raw_hydro_bm!E2197,"")</f>
        <v/>
      </c>
      <c r="E2197" t="str">
        <f>IF(ROW(E2197)&lt;=Raw_hydro_bm!$J$2,Raw_hydro_bm!F2197,"")</f>
        <v/>
      </c>
      <c r="F2197" t="str">
        <f>IF(ROW(F2197)&lt;=Raw_hydro_bm!$J$2,Raw_hydro_bm!G2197,"")</f>
        <v/>
      </c>
      <c r="G2197" t="str">
        <f>IF(ROW(G2197)&lt;=Raw_hydro_bm!$J$2,Raw_hydro_bm!H2197,"")</f>
        <v/>
      </c>
      <c r="H2197" t="str">
        <f>IF(ROW(H2197)&lt;=Raw_hydro_bm!$J$2,Raw_hydro_bm!I2197,"")</f>
        <v/>
      </c>
      <c r="I2197" s="16" t="str">
        <f t="shared" si="34"/>
        <v/>
      </c>
    </row>
    <row r="2198" spans="1:9" x14ac:dyDescent="0.2">
      <c r="A2198" t="str">
        <f>IF(ROW(A2198)&lt;=Raw_hydro_bm!$J$2,Raw_hydro_bm!B2198,"")</f>
        <v/>
      </c>
      <c r="B2198" t="str">
        <f>IF(ROW(B2198)&lt;=Raw_hydro_bm!$J$2,Raw_hydro_bm!C2198,"")</f>
        <v/>
      </c>
      <c r="C2198" t="str">
        <f>IF(ROW(C2198)&lt;=Raw_hydro_bm!$J$2,Raw_hydro_bm!D2198,"")</f>
        <v/>
      </c>
      <c r="D2198" t="str">
        <f>IF(ROW(D2198)&lt;=Raw_hydro_bm!$J$2,Raw_hydro_bm!E2198,"")</f>
        <v/>
      </c>
      <c r="E2198" t="str">
        <f>IF(ROW(E2198)&lt;=Raw_hydro_bm!$J$2,Raw_hydro_bm!F2198,"")</f>
        <v/>
      </c>
      <c r="F2198" t="str">
        <f>IF(ROW(F2198)&lt;=Raw_hydro_bm!$J$2,Raw_hydro_bm!G2198,"")</f>
        <v/>
      </c>
      <c r="G2198" t="str">
        <f>IF(ROW(G2198)&lt;=Raw_hydro_bm!$J$2,Raw_hydro_bm!H2198,"")</f>
        <v/>
      </c>
      <c r="H2198" t="str">
        <f>IF(ROW(H2198)&lt;=Raw_hydro_bm!$J$2,Raw_hydro_bm!I2198,"")</f>
        <v/>
      </c>
      <c r="I2198" s="16" t="str">
        <f t="shared" si="34"/>
        <v/>
      </c>
    </row>
    <row r="2199" spans="1:9" x14ac:dyDescent="0.2">
      <c r="A2199" t="str">
        <f>IF(ROW(A2199)&lt;=Raw_hydro_bm!$J$2,Raw_hydro_bm!B2199,"")</f>
        <v/>
      </c>
      <c r="B2199" t="str">
        <f>IF(ROW(B2199)&lt;=Raw_hydro_bm!$J$2,Raw_hydro_bm!C2199,"")</f>
        <v/>
      </c>
      <c r="C2199" t="str">
        <f>IF(ROW(C2199)&lt;=Raw_hydro_bm!$J$2,Raw_hydro_bm!D2199,"")</f>
        <v/>
      </c>
      <c r="D2199" t="str">
        <f>IF(ROW(D2199)&lt;=Raw_hydro_bm!$J$2,Raw_hydro_bm!E2199,"")</f>
        <v/>
      </c>
      <c r="E2199" t="str">
        <f>IF(ROW(E2199)&lt;=Raw_hydro_bm!$J$2,Raw_hydro_bm!F2199,"")</f>
        <v/>
      </c>
      <c r="F2199" t="str">
        <f>IF(ROW(F2199)&lt;=Raw_hydro_bm!$J$2,Raw_hydro_bm!G2199,"")</f>
        <v/>
      </c>
      <c r="G2199" t="str">
        <f>IF(ROW(G2199)&lt;=Raw_hydro_bm!$J$2,Raw_hydro_bm!H2199,"")</f>
        <v/>
      </c>
      <c r="H2199" t="str">
        <f>IF(ROW(H2199)&lt;=Raw_hydro_bm!$J$2,Raw_hydro_bm!I2199,"")</f>
        <v/>
      </c>
      <c r="I2199" s="16" t="str">
        <f t="shared" si="34"/>
        <v/>
      </c>
    </row>
    <row r="2200" spans="1:9" x14ac:dyDescent="0.2">
      <c r="A2200" t="str">
        <f>IF(ROW(A2200)&lt;=Raw_hydro_bm!$J$2,Raw_hydro_bm!B2200,"")</f>
        <v/>
      </c>
      <c r="B2200" t="str">
        <f>IF(ROW(B2200)&lt;=Raw_hydro_bm!$J$2,Raw_hydro_bm!C2200,"")</f>
        <v/>
      </c>
      <c r="C2200" t="str">
        <f>IF(ROW(C2200)&lt;=Raw_hydro_bm!$J$2,Raw_hydro_bm!D2200,"")</f>
        <v/>
      </c>
      <c r="D2200" t="str">
        <f>IF(ROW(D2200)&lt;=Raw_hydro_bm!$J$2,Raw_hydro_bm!E2200,"")</f>
        <v/>
      </c>
      <c r="E2200" t="str">
        <f>IF(ROW(E2200)&lt;=Raw_hydro_bm!$J$2,Raw_hydro_bm!F2200,"")</f>
        <v/>
      </c>
      <c r="F2200" t="str">
        <f>IF(ROW(F2200)&lt;=Raw_hydro_bm!$J$2,Raw_hydro_bm!G2200,"")</f>
        <v/>
      </c>
      <c r="G2200" t="str">
        <f>IF(ROW(G2200)&lt;=Raw_hydro_bm!$J$2,Raw_hydro_bm!H2200,"")</f>
        <v/>
      </c>
      <c r="H2200" t="str">
        <f>IF(ROW(H2200)&lt;=Raw_hydro_bm!$J$2,Raw_hydro_bm!I2200,"")</f>
        <v/>
      </c>
      <c r="I2200" s="16" t="str">
        <f t="shared" si="34"/>
        <v/>
      </c>
    </row>
    <row r="2201" spans="1:9" x14ac:dyDescent="0.2">
      <c r="A2201" t="str">
        <f>IF(ROW(A2201)&lt;=Raw_hydro_bm!$J$2,Raw_hydro_bm!B2201,"")</f>
        <v/>
      </c>
      <c r="B2201" t="str">
        <f>IF(ROW(B2201)&lt;=Raw_hydro_bm!$J$2,Raw_hydro_bm!C2201,"")</f>
        <v/>
      </c>
      <c r="C2201" t="str">
        <f>IF(ROW(C2201)&lt;=Raw_hydro_bm!$J$2,Raw_hydro_bm!D2201,"")</f>
        <v/>
      </c>
      <c r="D2201" t="str">
        <f>IF(ROW(D2201)&lt;=Raw_hydro_bm!$J$2,Raw_hydro_bm!E2201,"")</f>
        <v/>
      </c>
      <c r="E2201" t="str">
        <f>IF(ROW(E2201)&lt;=Raw_hydro_bm!$J$2,Raw_hydro_bm!F2201,"")</f>
        <v/>
      </c>
      <c r="F2201" t="str">
        <f>IF(ROW(F2201)&lt;=Raw_hydro_bm!$J$2,Raw_hydro_bm!G2201,"")</f>
        <v/>
      </c>
      <c r="G2201" t="str">
        <f>IF(ROW(G2201)&lt;=Raw_hydro_bm!$J$2,Raw_hydro_bm!H2201,"")</f>
        <v/>
      </c>
      <c r="H2201" t="str">
        <f>IF(ROW(H2201)&lt;=Raw_hydro_bm!$J$2,Raw_hydro_bm!I2201,"")</f>
        <v/>
      </c>
      <c r="I2201" s="16" t="str">
        <f t="shared" si="34"/>
        <v/>
      </c>
    </row>
    <row r="2202" spans="1:9" x14ac:dyDescent="0.2">
      <c r="A2202" t="str">
        <f>IF(ROW(A2202)&lt;=Raw_hydro_bm!$J$2,Raw_hydro_bm!B2202,"")</f>
        <v/>
      </c>
      <c r="B2202" t="str">
        <f>IF(ROW(B2202)&lt;=Raw_hydro_bm!$J$2,Raw_hydro_bm!C2202,"")</f>
        <v/>
      </c>
      <c r="C2202" t="str">
        <f>IF(ROW(C2202)&lt;=Raw_hydro_bm!$J$2,Raw_hydro_bm!D2202,"")</f>
        <v/>
      </c>
      <c r="D2202" t="str">
        <f>IF(ROW(D2202)&lt;=Raw_hydro_bm!$J$2,Raw_hydro_bm!E2202,"")</f>
        <v/>
      </c>
      <c r="E2202" t="str">
        <f>IF(ROW(E2202)&lt;=Raw_hydro_bm!$J$2,Raw_hydro_bm!F2202,"")</f>
        <v/>
      </c>
      <c r="F2202" t="str">
        <f>IF(ROW(F2202)&lt;=Raw_hydro_bm!$J$2,Raw_hydro_bm!G2202,"")</f>
        <v/>
      </c>
      <c r="G2202" t="str">
        <f>IF(ROW(G2202)&lt;=Raw_hydro_bm!$J$2,Raw_hydro_bm!H2202,"")</f>
        <v/>
      </c>
      <c r="H2202" t="str">
        <f>IF(ROW(H2202)&lt;=Raw_hydro_bm!$J$2,Raw_hydro_bm!I2202,"")</f>
        <v/>
      </c>
      <c r="I2202" s="16" t="str">
        <f t="shared" si="34"/>
        <v/>
      </c>
    </row>
    <row r="2203" spans="1:9" x14ac:dyDescent="0.2">
      <c r="A2203" t="str">
        <f>IF(ROW(A2203)&lt;=Raw_hydro_bm!$J$2,Raw_hydro_bm!B2203,"")</f>
        <v/>
      </c>
      <c r="B2203" t="str">
        <f>IF(ROW(B2203)&lt;=Raw_hydro_bm!$J$2,Raw_hydro_bm!C2203,"")</f>
        <v/>
      </c>
      <c r="C2203" t="str">
        <f>IF(ROW(C2203)&lt;=Raw_hydro_bm!$J$2,Raw_hydro_bm!D2203,"")</f>
        <v/>
      </c>
      <c r="D2203" t="str">
        <f>IF(ROW(D2203)&lt;=Raw_hydro_bm!$J$2,Raw_hydro_bm!E2203,"")</f>
        <v/>
      </c>
      <c r="E2203" t="str">
        <f>IF(ROW(E2203)&lt;=Raw_hydro_bm!$J$2,Raw_hydro_bm!F2203,"")</f>
        <v/>
      </c>
      <c r="F2203" t="str">
        <f>IF(ROW(F2203)&lt;=Raw_hydro_bm!$J$2,Raw_hydro_bm!G2203,"")</f>
        <v/>
      </c>
      <c r="G2203" t="str">
        <f>IF(ROW(G2203)&lt;=Raw_hydro_bm!$J$2,Raw_hydro_bm!H2203,"")</f>
        <v/>
      </c>
      <c r="H2203" t="str">
        <f>IF(ROW(H2203)&lt;=Raw_hydro_bm!$J$2,Raw_hydro_bm!I2203,"")</f>
        <v/>
      </c>
      <c r="I2203" s="16" t="str">
        <f t="shared" si="34"/>
        <v/>
      </c>
    </row>
    <row r="2204" spans="1:9" x14ac:dyDescent="0.2">
      <c r="A2204" t="str">
        <f>IF(ROW(A2204)&lt;=Raw_hydro_bm!$J$2,Raw_hydro_bm!B2204,"")</f>
        <v/>
      </c>
      <c r="B2204" t="str">
        <f>IF(ROW(B2204)&lt;=Raw_hydro_bm!$J$2,Raw_hydro_bm!C2204,"")</f>
        <v/>
      </c>
      <c r="C2204" t="str">
        <f>IF(ROW(C2204)&lt;=Raw_hydro_bm!$J$2,Raw_hydro_bm!D2204,"")</f>
        <v/>
      </c>
      <c r="D2204" t="str">
        <f>IF(ROW(D2204)&lt;=Raw_hydro_bm!$J$2,Raw_hydro_bm!E2204,"")</f>
        <v/>
      </c>
      <c r="E2204" t="str">
        <f>IF(ROW(E2204)&lt;=Raw_hydro_bm!$J$2,Raw_hydro_bm!F2204,"")</f>
        <v/>
      </c>
      <c r="F2204" t="str">
        <f>IF(ROW(F2204)&lt;=Raw_hydro_bm!$J$2,Raw_hydro_bm!G2204,"")</f>
        <v/>
      </c>
      <c r="G2204" t="str">
        <f>IF(ROW(G2204)&lt;=Raw_hydro_bm!$J$2,Raw_hydro_bm!H2204,"")</f>
        <v/>
      </c>
      <c r="H2204" t="str">
        <f>IF(ROW(H2204)&lt;=Raw_hydro_bm!$J$2,Raw_hydro_bm!I2204,"")</f>
        <v/>
      </c>
      <c r="I2204" s="16" t="str">
        <f t="shared" si="34"/>
        <v/>
      </c>
    </row>
    <row r="2205" spans="1:9" x14ac:dyDescent="0.2">
      <c r="A2205" t="str">
        <f>IF(ROW(A2205)&lt;=Raw_hydro_bm!$J$2,Raw_hydro_bm!B2205,"")</f>
        <v/>
      </c>
      <c r="B2205" t="str">
        <f>IF(ROW(B2205)&lt;=Raw_hydro_bm!$J$2,Raw_hydro_bm!C2205,"")</f>
        <v/>
      </c>
      <c r="C2205" t="str">
        <f>IF(ROW(C2205)&lt;=Raw_hydro_bm!$J$2,Raw_hydro_bm!D2205,"")</f>
        <v/>
      </c>
      <c r="D2205" t="str">
        <f>IF(ROW(D2205)&lt;=Raw_hydro_bm!$J$2,Raw_hydro_bm!E2205,"")</f>
        <v/>
      </c>
      <c r="E2205" t="str">
        <f>IF(ROW(E2205)&lt;=Raw_hydro_bm!$J$2,Raw_hydro_bm!F2205,"")</f>
        <v/>
      </c>
      <c r="F2205" t="str">
        <f>IF(ROW(F2205)&lt;=Raw_hydro_bm!$J$2,Raw_hydro_bm!G2205,"")</f>
        <v/>
      </c>
      <c r="G2205" t="str">
        <f>IF(ROW(G2205)&lt;=Raw_hydro_bm!$J$2,Raw_hydro_bm!H2205,"")</f>
        <v/>
      </c>
      <c r="H2205" t="str">
        <f>IF(ROW(H2205)&lt;=Raw_hydro_bm!$J$2,Raw_hydro_bm!I2205,"")</f>
        <v/>
      </c>
      <c r="I2205" s="16" t="str">
        <f t="shared" si="34"/>
        <v/>
      </c>
    </row>
    <row r="2206" spans="1:9" x14ac:dyDescent="0.2">
      <c r="A2206" t="str">
        <f>IF(ROW(A2206)&lt;=Raw_hydro_bm!$J$2,Raw_hydro_bm!B2206,"")</f>
        <v/>
      </c>
      <c r="B2206" t="str">
        <f>IF(ROW(B2206)&lt;=Raw_hydro_bm!$J$2,Raw_hydro_bm!C2206,"")</f>
        <v/>
      </c>
      <c r="C2206" t="str">
        <f>IF(ROW(C2206)&lt;=Raw_hydro_bm!$J$2,Raw_hydro_bm!D2206,"")</f>
        <v/>
      </c>
      <c r="D2206" t="str">
        <f>IF(ROW(D2206)&lt;=Raw_hydro_bm!$J$2,Raw_hydro_bm!E2206,"")</f>
        <v/>
      </c>
      <c r="E2206" t="str">
        <f>IF(ROW(E2206)&lt;=Raw_hydro_bm!$J$2,Raw_hydro_bm!F2206,"")</f>
        <v/>
      </c>
      <c r="F2206" t="str">
        <f>IF(ROW(F2206)&lt;=Raw_hydro_bm!$J$2,Raw_hydro_bm!G2206,"")</f>
        <v/>
      </c>
      <c r="G2206" t="str">
        <f>IF(ROW(G2206)&lt;=Raw_hydro_bm!$J$2,Raw_hydro_bm!H2206,"")</f>
        <v/>
      </c>
      <c r="H2206" t="str">
        <f>IF(ROW(H2206)&lt;=Raw_hydro_bm!$J$2,Raw_hydro_bm!I2206,"")</f>
        <v/>
      </c>
      <c r="I2206" s="16" t="str">
        <f t="shared" si="34"/>
        <v/>
      </c>
    </row>
    <row r="2207" spans="1:9" x14ac:dyDescent="0.2">
      <c r="A2207" t="str">
        <f>IF(ROW(A2207)&lt;=Raw_hydro_bm!$J$2,Raw_hydro_bm!B2207,"")</f>
        <v/>
      </c>
      <c r="B2207" t="str">
        <f>IF(ROW(B2207)&lt;=Raw_hydro_bm!$J$2,Raw_hydro_bm!C2207,"")</f>
        <v/>
      </c>
      <c r="C2207" t="str">
        <f>IF(ROW(C2207)&lt;=Raw_hydro_bm!$J$2,Raw_hydro_bm!D2207,"")</f>
        <v/>
      </c>
      <c r="D2207" t="str">
        <f>IF(ROW(D2207)&lt;=Raw_hydro_bm!$J$2,Raw_hydro_bm!E2207,"")</f>
        <v/>
      </c>
      <c r="E2207" t="str">
        <f>IF(ROW(E2207)&lt;=Raw_hydro_bm!$J$2,Raw_hydro_bm!F2207,"")</f>
        <v/>
      </c>
      <c r="F2207" t="str">
        <f>IF(ROW(F2207)&lt;=Raw_hydro_bm!$J$2,Raw_hydro_bm!G2207,"")</f>
        <v/>
      </c>
      <c r="G2207" t="str">
        <f>IF(ROW(G2207)&lt;=Raw_hydro_bm!$J$2,Raw_hydro_bm!H2207,"")</f>
        <v/>
      </c>
      <c r="H2207" t="str">
        <f>IF(ROW(H2207)&lt;=Raw_hydro_bm!$J$2,Raw_hydro_bm!I2207,"")</f>
        <v/>
      </c>
      <c r="I2207" s="16" t="str">
        <f t="shared" si="34"/>
        <v/>
      </c>
    </row>
    <row r="2208" spans="1:9" x14ac:dyDescent="0.2">
      <c r="A2208" t="str">
        <f>IF(ROW(A2208)&lt;=Raw_hydro_bm!$J$2,Raw_hydro_bm!B2208,"")</f>
        <v/>
      </c>
      <c r="B2208" t="str">
        <f>IF(ROW(B2208)&lt;=Raw_hydro_bm!$J$2,Raw_hydro_bm!C2208,"")</f>
        <v/>
      </c>
      <c r="C2208" t="str">
        <f>IF(ROW(C2208)&lt;=Raw_hydro_bm!$J$2,Raw_hydro_bm!D2208,"")</f>
        <v/>
      </c>
      <c r="D2208" t="str">
        <f>IF(ROW(D2208)&lt;=Raw_hydro_bm!$J$2,Raw_hydro_bm!E2208,"")</f>
        <v/>
      </c>
      <c r="E2208" t="str">
        <f>IF(ROW(E2208)&lt;=Raw_hydro_bm!$J$2,Raw_hydro_bm!F2208,"")</f>
        <v/>
      </c>
      <c r="F2208" t="str">
        <f>IF(ROW(F2208)&lt;=Raw_hydro_bm!$J$2,Raw_hydro_bm!G2208,"")</f>
        <v/>
      </c>
      <c r="G2208" t="str">
        <f>IF(ROW(G2208)&lt;=Raw_hydro_bm!$J$2,Raw_hydro_bm!H2208,"")</f>
        <v/>
      </c>
      <c r="H2208" t="str">
        <f>IF(ROW(H2208)&lt;=Raw_hydro_bm!$J$2,Raw_hydro_bm!I2208,"")</f>
        <v/>
      </c>
      <c r="I2208" s="16" t="str">
        <f t="shared" si="34"/>
        <v/>
      </c>
    </row>
    <row r="2209" spans="1:9" x14ac:dyDescent="0.2">
      <c r="A2209" t="str">
        <f>IF(ROW(A2209)&lt;=Raw_hydro_bm!$J$2,Raw_hydro_bm!B2209,"")</f>
        <v/>
      </c>
      <c r="B2209" t="str">
        <f>IF(ROW(B2209)&lt;=Raw_hydro_bm!$J$2,Raw_hydro_bm!C2209,"")</f>
        <v/>
      </c>
      <c r="C2209" t="str">
        <f>IF(ROW(C2209)&lt;=Raw_hydro_bm!$J$2,Raw_hydro_bm!D2209,"")</f>
        <v/>
      </c>
      <c r="D2209" t="str">
        <f>IF(ROW(D2209)&lt;=Raw_hydro_bm!$J$2,Raw_hydro_bm!E2209,"")</f>
        <v/>
      </c>
      <c r="E2209" t="str">
        <f>IF(ROW(E2209)&lt;=Raw_hydro_bm!$J$2,Raw_hydro_bm!F2209,"")</f>
        <v/>
      </c>
      <c r="F2209" t="str">
        <f>IF(ROW(F2209)&lt;=Raw_hydro_bm!$J$2,Raw_hydro_bm!G2209,"")</f>
        <v/>
      </c>
      <c r="G2209" t="str">
        <f>IF(ROW(G2209)&lt;=Raw_hydro_bm!$J$2,Raw_hydro_bm!H2209,"")</f>
        <v/>
      </c>
      <c r="H2209" t="str">
        <f>IF(ROW(H2209)&lt;=Raw_hydro_bm!$J$2,Raw_hydro_bm!I2209,"")</f>
        <v/>
      </c>
      <c r="I2209" s="16" t="str">
        <f t="shared" si="34"/>
        <v/>
      </c>
    </row>
    <row r="2210" spans="1:9" x14ac:dyDescent="0.2">
      <c r="A2210" t="str">
        <f>IF(ROW(A2210)&lt;=Raw_hydro_bm!$J$2,Raw_hydro_bm!B2210,"")</f>
        <v/>
      </c>
      <c r="B2210" t="str">
        <f>IF(ROW(B2210)&lt;=Raw_hydro_bm!$J$2,Raw_hydro_bm!C2210,"")</f>
        <v/>
      </c>
      <c r="C2210" t="str">
        <f>IF(ROW(C2210)&lt;=Raw_hydro_bm!$J$2,Raw_hydro_bm!D2210,"")</f>
        <v/>
      </c>
      <c r="D2210" t="str">
        <f>IF(ROW(D2210)&lt;=Raw_hydro_bm!$J$2,Raw_hydro_bm!E2210,"")</f>
        <v/>
      </c>
      <c r="E2210" t="str">
        <f>IF(ROW(E2210)&lt;=Raw_hydro_bm!$J$2,Raw_hydro_bm!F2210,"")</f>
        <v/>
      </c>
      <c r="F2210" t="str">
        <f>IF(ROW(F2210)&lt;=Raw_hydro_bm!$J$2,Raw_hydro_bm!G2210,"")</f>
        <v/>
      </c>
      <c r="G2210" t="str">
        <f>IF(ROW(G2210)&lt;=Raw_hydro_bm!$J$2,Raw_hydro_bm!H2210,"")</f>
        <v/>
      </c>
      <c r="H2210" t="str">
        <f>IF(ROW(H2210)&lt;=Raw_hydro_bm!$J$2,Raw_hydro_bm!I2210,"")</f>
        <v/>
      </c>
      <c r="I2210" s="16" t="str">
        <f t="shared" si="34"/>
        <v/>
      </c>
    </row>
    <row r="2211" spans="1:9" x14ac:dyDescent="0.2">
      <c r="A2211" t="str">
        <f>IF(ROW(A2211)&lt;=Raw_hydro_bm!$J$2,Raw_hydro_bm!B2211,"")</f>
        <v/>
      </c>
      <c r="B2211" t="str">
        <f>IF(ROW(B2211)&lt;=Raw_hydro_bm!$J$2,Raw_hydro_bm!C2211,"")</f>
        <v/>
      </c>
      <c r="C2211" t="str">
        <f>IF(ROW(C2211)&lt;=Raw_hydro_bm!$J$2,Raw_hydro_bm!D2211,"")</f>
        <v/>
      </c>
      <c r="D2211" t="str">
        <f>IF(ROW(D2211)&lt;=Raw_hydro_bm!$J$2,Raw_hydro_bm!E2211,"")</f>
        <v/>
      </c>
      <c r="E2211" t="str">
        <f>IF(ROW(E2211)&lt;=Raw_hydro_bm!$J$2,Raw_hydro_bm!F2211,"")</f>
        <v/>
      </c>
      <c r="F2211" t="str">
        <f>IF(ROW(F2211)&lt;=Raw_hydro_bm!$J$2,Raw_hydro_bm!G2211,"")</f>
        <v/>
      </c>
      <c r="G2211" t="str">
        <f>IF(ROW(G2211)&lt;=Raw_hydro_bm!$J$2,Raw_hydro_bm!H2211,"")</f>
        <v/>
      </c>
      <c r="H2211" t="str">
        <f>IF(ROW(H2211)&lt;=Raw_hydro_bm!$J$2,Raw_hydro_bm!I2211,"")</f>
        <v/>
      </c>
      <c r="I2211" s="16" t="str">
        <f t="shared" si="34"/>
        <v/>
      </c>
    </row>
    <row r="2212" spans="1:9" x14ac:dyDescent="0.2">
      <c r="A2212" t="str">
        <f>IF(ROW(A2212)&lt;=Raw_hydro_bm!$J$2,Raw_hydro_bm!B2212,"")</f>
        <v/>
      </c>
      <c r="B2212" t="str">
        <f>IF(ROW(B2212)&lt;=Raw_hydro_bm!$J$2,Raw_hydro_bm!C2212,"")</f>
        <v/>
      </c>
      <c r="C2212" t="str">
        <f>IF(ROW(C2212)&lt;=Raw_hydro_bm!$J$2,Raw_hydro_bm!D2212,"")</f>
        <v/>
      </c>
      <c r="D2212" t="str">
        <f>IF(ROW(D2212)&lt;=Raw_hydro_bm!$J$2,Raw_hydro_bm!E2212,"")</f>
        <v/>
      </c>
      <c r="E2212" t="str">
        <f>IF(ROW(E2212)&lt;=Raw_hydro_bm!$J$2,Raw_hydro_bm!F2212,"")</f>
        <v/>
      </c>
      <c r="F2212" t="str">
        <f>IF(ROW(F2212)&lt;=Raw_hydro_bm!$J$2,Raw_hydro_bm!G2212,"")</f>
        <v/>
      </c>
      <c r="G2212" t="str">
        <f>IF(ROW(G2212)&lt;=Raw_hydro_bm!$J$2,Raw_hydro_bm!H2212,"")</f>
        <v/>
      </c>
      <c r="H2212" t="str">
        <f>IF(ROW(H2212)&lt;=Raw_hydro_bm!$J$2,Raw_hydro_bm!I2212,"")</f>
        <v/>
      </c>
      <c r="I2212" s="16" t="str">
        <f t="shared" si="34"/>
        <v/>
      </c>
    </row>
    <row r="2213" spans="1:9" x14ac:dyDescent="0.2">
      <c r="A2213" t="str">
        <f>IF(ROW(A2213)&lt;=Raw_hydro_bm!$J$2,Raw_hydro_bm!B2213,"")</f>
        <v/>
      </c>
      <c r="B2213" t="str">
        <f>IF(ROW(B2213)&lt;=Raw_hydro_bm!$J$2,Raw_hydro_bm!C2213,"")</f>
        <v/>
      </c>
      <c r="C2213" t="str">
        <f>IF(ROW(C2213)&lt;=Raw_hydro_bm!$J$2,Raw_hydro_bm!D2213,"")</f>
        <v/>
      </c>
      <c r="D2213" t="str">
        <f>IF(ROW(D2213)&lt;=Raw_hydro_bm!$J$2,Raw_hydro_bm!E2213,"")</f>
        <v/>
      </c>
      <c r="E2213" t="str">
        <f>IF(ROW(E2213)&lt;=Raw_hydro_bm!$J$2,Raw_hydro_bm!F2213,"")</f>
        <v/>
      </c>
      <c r="F2213" t="str">
        <f>IF(ROW(F2213)&lt;=Raw_hydro_bm!$J$2,Raw_hydro_bm!G2213,"")</f>
        <v/>
      </c>
      <c r="G2213" t="str">
        <f>IF(ROW(G2213)&lt;=Raw_hydro_bm!$J$2,Raw_hydro_bm!H2213,"")</f>
        <v/>
      </c>
      <c r="H2213" t="str">
        <f>IF(ROW(H2213)&lt;=Raw_hydro_bm!$J$2,Raw_hydro_bm!I2213,"")</f>
        <v/>
      </c>
      <c r="I2213" s="16" t="str">
        <f t="shared" si="34"/>
        <v/>
      </c>
    </row>
    <row r="2214" spans="1:9" x14ac:dyDescent="0.2">
      <c r="A2214" t="str">
        <f>IF(ROW(A2214)&lt;=Raw_hydro_bm!$J$2,Raw_hydro_bm!B2214,"")</f>
        <v/>
      </c>
      <c r="B2214" t="str">
        <f>IF(ROW(B2214)&lt;=Raw_hydro_bm!$J$2,Raw_hydro_bm!C2214,"")</f>
        <v/>
      </c>
      <c r="C2214" t="str">
        <f>IF(ROW(C2214)&lt;=Raw_hydro_bm!$J$2,Raw_hydro_bm!D2214,"")</f>
        <v/>
      </c>
      <c r="D2214" t="str">
        <f>IF(ROW(D2214)&lt;=Raw_hydro_bm!$J$2,Raw_hydro_bm!E2214,"")</f>
        <v/>
      </c>
      <c r="E2214" t="str">
        <f>IF(ROW(E2214)&lt;=Raw_hydro_bm!$J$2,Raw_hydro_bm!F2214,"")</f>
        <v/>
      </c>
      <c r="F2214" t="str">
        <f>IF(ROW(F2214)&lt;=Raw_hydro_bm!$J$2,Raw_hydro_bm!G2214,"")</f>
        <v/>
      </c>
      <c r="G2214" t="str">
        <f>IF(ROW(G2214)&lt;=Raw_hydro_bm!$J$2,Raw_hydro_bm!H2214,"")</f>
        <v/>
      </c>
      <c r="H2214" t="str">
        <f>IF(ROW(H2214)&lt;=Raw_hydro_bm!$J$2,Raw_hydro_bm!I2214,"")</f>
        <v/>
      </c>
      <c r="I2214" s="16" t="str">
        <f t="shared" si="34"/>
        <v/>
      </c>
    </row>
    <row r="2215" spans="1:9" x14ac:dyDescent="0.2">
      <c r="A2215" t="str">
        <f>IF(ROW(A2215)&lt;=Raw_hydro_bm!$J$2,Raw_hydro_bm!B2215,"")</f>
        <v/>
      </c>
      <c r="B2215" t="str">
        <f>IF(ROW(B2215)&lt;=Raw_hydro_bm!$J$2,Raw_hydro_bm!C2215,"")</f>
        <v/>
      </c>
      <c r="C2215" t="str">
        <f>IF(ROW(C2215)&lt;=Raw_hydro_bm!$J$2,Raw_hydro_bm!D2215,"")</f>
        <v/>
      </c>
      <c r="D2215" t="str">
        <f>IF(ROW(D2215)&lt;=Raw_hydro_bm!$J$2,Raw_hydro_bm!E2215,"")</f>
        <v/>
      </c>
      <c r="E2215" t="str">
        <f>IF(ROW(E2215)&lt;=Raw_hydro_bm!$J$2,Raw_hydro_bm!F2215,"")</f>
        <v/>
      </c>
      <c r="F2215" t="str">
        <f>IF(ROW(F2215)&lt;=Raw_hydro_bm!$J$2,Raw_hydro_bm!G2215,"")</f>
        <v/>
      </c>
      <c r="G2215" t="str">
        <f>IF(ROW(G2215)&lt;=Raw_hydro_bm!$J$2,Raw_hydro_bm!H2215,"")</f>
        <v/>
      </c>
      <c r="H2215" t="str">
        <f>IF(ROW(H2215)&lt;=Raw_hydro_bm!$J$2,Raw_hydro_bm!I2215,"")</f>
        <v/>
      </c>
      <c r="I2215" s="16" t="str">
        <f t="shared" si="34"/>
        <v/>
      </c>
    </row>
    <row r="2216" spans="1:9" x14ac:dyDescent="0.2">
      <c r="A2216" t="str">
        <f>IF(ROW(A2216)&lt;=Raw_hydro_bm!$J$2,Raw_hydro_bm!B2216,"")</f>
        <v/>
      </c>
      <c r="B2216" t="str">
        <f>IF(ROW(B2216)&lt;=Raw_hydro_bm!$J$2,Raw_hydro_bm!C2216,"")</f>
        <v/>
      </c>
      <c r="C2216" t="str">
        <f>IF(ROW(C2216)&lt;=Raw_hydro_bm!$J$2,Raw_hydro_bm!D2216,"")</f>
        <v/>
      </c>
      <c r="D2216" t="str">
        <f>IF(ROW(D2216)&lt;=Raw_hydro_bm!$J$2,Raw_hydro_bm!E2216,"")</f>
        <v/>
      </c>
      <c r="E2216" t="str">
        <f>IF(ROW(E2216)&lt;=Raw_hydro_bm!$J$2,Raw_hydro_bm!F2216,"")</f>
        <v/>
      </c>
      <c r="F2216" t="str">
        <f>IF(ROW(F2216)&lt;=Raw_hydro_bm!$J$2,Raw_hydro_bm!G2216,"")</f>
        <v/>
      </c>
      <c r="G2216" t="str">
        <f>IF(ROW(G2216)&lt;=Raw_hydro_bm!$J$2,Raw_hydro_bm!H2216,"")</f>
        <v/>
      </c>
      <c r="H2216" t="str">
        <f>IF(ROW(H2216)&lt;=Raw_hydro_bm!$J$2,Raw_hydro_bm!I2216,"")</f>
        <v/>
      </c>
      <c r="I2216" s="16" t="str">
        <f t="shared" si="34"/>
        <v/>
      </c>
    </row>
    <row r="2217" spans="1:9" x14ac:dyDescent="0.2">
      <c r="A2217" t="str">
        <f>IF(ROW(A2217)&lt;=Raw_hydro_bm!$J$2,Raw_hydro_bm!B2217,"")</f>
        <v/>
      </c>
      <c r="B2217" t="str">
        <f>IF(ROW(B2217)&lt;=Raw_hydro_bm!$J$2,Raw_hydro_bm!C2217,"")</f>
        <v/>
      </c>
      <c r="C2217" t="str">
        <f>IF(ROW(C2217)&lt;=Raw_hydro_bm!$J$2,Raw_hydro_bm!D2217,"")</f>
        <v/>
      </c>
      <c r="D2217" t="str">
        <f>IF(ROW(D2217)&lt;=Raw_hydro_bm!$J$2,Raw_hydro_bm!E2217,"")</f>
        <v/>
      </c>
      <c r="E2217" t="str">
        <f>IF(ROW(E2217)&lt;=Raw_hydro_bm!$J$2,Raw_hydro_bm!F2217,"")</f>
        <v/>
      </c>
      <c r="F2217" t="str">
        <f>IF(ROW(F2217)&lt;=Raw_hydro_bm!$J$2,Raw_hydro_bm!G2217,"")</f>
        <v/>
      </c>
      <c r="G2217" t="str">
        <f>IF(ROW(G2217)&lt;=Raw_hydro_bm!$J$2,Raw_hydro_bm!H2217,"")</f>
        <v/>
      </c>
      <c r="H2217" t="str">
        <f>IF(ROW(H2217)&lt;=Raw_hydro_bm!$J$2,Raw_hydro_bm!I2217,"")</f>
        <v/>
      </c>
      <c r="I2217" s="16" t="str">
        <f t="shared" si="34"/>
        <v/>
      </c>
    </row>
    <row r="2218" spans="1:9" x14ac:dyDescent="0.2">
      <c r="A2218" t="str">
        <f>IF(ROW(A2218)&lt;=Raw_hydro_bm!$J$2,Raw_hydro_bm!B2218,"")</f>
        <v/>
      </c>
      <c r="B2218" t="str">
        <f>IF(ROW(B2218)&lt;=Raw_hydro_bm!$J$2,Raw_hydro_bm!C2218,"")</f>
        <v/>
      </c>
      <c r="C2218" t="str">
        <f>IF(ROW(C2218)&lt;=Raw_hydro_bm!$J$2,Raw_hydro_bm!D2218,"")</f>
        <v/>
      </c>
      <c r="D2218" t="str">
        <f>IF(ROW(D2218)&lt;=Raw_hydro_bm!$J$2,Raw_hydro_bm!E2218,"")</f>
        <v/>
      </c>
      <c r="E2218" t="str">
        <f>IF(ROW(E2218)&lt;=Raw_hydro_bm!$J$2,Raw_hydro_bm!F2218,"")</f>
        <v/>
      </c>
      <c r="F2218" t="str">
        <f>IF(ROW(F2218)&lt;=Raw_hydro_bm!$J$2,Raw_hydro_bm!G2218,"")</f>
        <v/>
      </c>
      <c r="G2218" t="str">
        <f>IF(ROW(G2218)&lt;=Raw_hydro_bm!$J$2,Raw_hydro_bm!H2218,"")</f>
        <v/>
      </c>
      <c r="H2218" t="str">
        <f>IF(ROW(H2218)&lt;=Raw_hydro_bm!$J$2,Raw_hydro_bm!I2218,"")</f>
        <v/>
      </c>
      <c r="I2218" s="16" t="str">
        <f t="shared" si="34"/>
        <v/>
      </c>
    </row>
    <row r="2219" spans="1:9" x14ac:dyDescent="0.2">
      <c r="A2219" t="str">
        <f>IF(ROW(A2219)&lt;=Raw_hydro_bm!$J$2,Raw_hydro_bm!B2219,"")</f>
        <v/>
      </c>
      <c r="B2219" t="str">
        <f>IF(ROW(B2219)&lt;=Raw_hydro_bm!$J$2,Raw_hydro_bm!C2219,"")</f>
        <v/>
      </c>
      <c r="C2219" t="str">
        <f>IF(ROW(C2219)&lt;=Raw_hydro_bm!$J$2,Raw_hydro_bm!D2219,"")</f>
        <v/>
      </c>
      <c r="D2219" t="str">
        <f>IF(ROW(D2219)&lt;=Raw_hydro_bm!$J$2,Raw_hydro_bm!E2219,"")</f>
        <v/>
      </c>
      <c r="E2219" t="str">
        <f>IF(ROW(E2219)&lt;=Raw_hydro_bm!$J$2,Raw_hydro_bm!F2219,"")</f>
        <v/>
      </c>
      <c r="F2219" t="str">
        <f>IF(ROW(F2219)&lt;=Raw_hydro_bm!$J$2,Raw_hydro_bm!G2219,"")</f>
        <v/>
      </c>
      <c r="G2219" t="str">
        <f>IF(ROW(G2219)&lt;=Raw_hydro_bm!$J$2,Raw_hydro_bm!H2219,"")</f>
        <v/>
      </c>
      <c r="H2219" t="str">
        <f>IF(ROW(H2219)&lt;=Raw_hydro_bm!$J$2,Raw_hydro_bm!I2219,"")</f>
        <v/>
      </c>
      <c r="I2219" s="16" t="str">
        <f t="shared" si="34"/>
        <v/>
      </c>
    </row>
    <row r="2220" spans="1:9" x14ac:dyDescent="0.2">
      <c r="A2220" t="str">
        <f>IF(ROW(A2220)&lt;=Raw_hydro_bm!$J$2,Raw_hydro_bm!B2220,"")</f>
        <v/>
      </c>
      <c r="B2220" t="str">
        <f>IF(ROW(B2220)&lt;=Raw_hydro_bm!$J$2,Raw_hydro_bm!C2220,"")</f>
        <v/>
      </c>
      <c r="C2220" t="str">
        <f>IF(ROW(C2220)&lt;=Raw_hydro_bm!$J$2,Raw_hydro_bm!D2220,"")</f>
        <v/>
      </c>
      <c r="D2220" t="str">
        <f>IF(ROW(D2220)&lt;=Raw_hydro_bm!$J$2,Raw_hydro_bm!E2220,"")</f>
        <v/>
      </c>
      <c r="E2220" t="str">
        <f>IF(ROW(E2220)&lt;=Raw_hydro_bm!$J$2,Raw_hydro_bm!F2220,"")</f>
        <v/>
      </c>
      <c r="F2220" t="str">
        <f>IF(ROW(F2220)&lt;=Raw_hydro_bm!$J$2,Raw_hydro_bm!G2220,"")</f>
        <v/>
      </c>
      <c r="G2220" t="str">
        <f>IF(ROW(G2220)&lt;=Raw_hydro_bm!$J$2,Raw_hydro_bm!H2220,"")</f>
        <v/>
      </c>
      <c r="H2220" t="str">
        <f>IF(ROW(H2220)&lt;=Raw_hydro_bm!$J$2,Raw_hydro_bm!I2220,"")</f>
        <v/>
      </c>
      <c r="I2220" s="16" t="str">
        <f t="shared" si="34"/>
        <v/>
      </c>
    </row>
    <row r="2221" spans="1:9" x14ac:dyDescent="0.2">
      <c r="A2221" t="str">
        <f>IF(ROW(A2221)&lt;=Raw_hydro_bm!$J$2,Raw_hydro_bm!B2221,"")</f>
        <v/>
      </c>
      <c r="B2221" t="str">
        <f>IF(ROW(B2221)&lt;=Raw_hydro_bm!$J$2,Raw_hydro_bm!C2221,"")</f>
        <v/>
      </c>
      <c r="C2221" t="str">
        <f>IF(ROW(C2221)&lt;=Raw_hydro_bm!$J$2,Raw_hydro_bm!D2221,"")</f>
        <v/>
      </c>
      <c r="D2221" t="str">
        <f>IF(ROW(D2221)&lt;=Raw_hydro_bm!$J$2,Raw_hydro_bm!E2221,"")</f>
        <v/>
      </c>
      <c r="E2221" t="str">
        <f>IF(ROW(E2221)&lt;=Raw_hydro_bm!$J$2,Raw_hydro_bm!F2221,"")</f>
        <v/>
      </c>
      <c r="F2221" t="str">
        <f>IF(ROW(F2221)&lt;=Raw_hydro_bm!$J$2,Raw_hydro_bm!G2221,"")</f>
        <v/>
      </c>
      <c r="G2221" t="str">
        <f>IF(ROW(G2221)&lt;=Raw_hydro_bm!$J$2,Raw_hydro_bm!H2221,"")</f>
        <v/>
      </c>
      <c r="H2221" t="str">
        <f>IF(ROW(H2221)&lt;=Raw_hydro_bm!$J$2,Raw_hydro_bm!I2221,"")</f>
        <v/>
      </c>
      <c r="I2221" s="16" t="str">
        <f t="shared" si="34"/>
        <v/>
      </c>
    </row>
    <row r="2222" spans="1:9" x14ac:dyDescent="0.2">
      <c r="A2222" t="str">
        <f>IF(ROW(A2222)&lt;=Raw_hydro_bm!$J$2,Raw_hydro_bm!B2222,"")</f>
        <v/>
      </c>
      <c r="B2222" t="str">
        <f>IF(ROW(B2222)&lt;=Raw_hydro_bm!$J$2,Raw_hydro_bm!C2222,"")</f>
        <v/>
      </c>
      <c r="C2222" t="str">
        <f>IF(ROW(C2222)&lt;=Raw_hydro_bm!$J$2,Raw_hydro_bm!D2222,"")</f>
        <v/>
      </c>
      <c r="D2222" t="str">
        <f>IF(ROW(D2222)&lt;=Raw_hydro_bm!$J$2,Raw_hydro_bm!E2222,"")</f>
        <v/>
      </c>
      <c r="E2222" t="str">
        <f>IF(ROW(E2222)&lt;=Raw_hydro_bm!$J$2,Raw_hydro_bm!F2222,"")</f>
        <v/>
      </c>
      <c r="F2222" t="str">
        <f>IF(ROW(F2222)&lt;=Raw_hydro_bm!$J$2,Raw_hydro_bm!G2222,"")</f>
        <v/>
      </c>
      <c r="G2222" t="str">
        <f>IF(ROW(G2222)&lt;=Raw_hydro_bm!$J$2,Raw_hydro_bm!H2222,"")</f>
        <v/>
      </c>
      <c r="H2222" t="str">
        <f>IF(ROW(H2222)&lt;=Raw_hydro_bm!$J$2,Raw_hydro_bm!I2222,"")</f>
        <v/>
      </c>
      <c r="I2222" s="16" t="str">
        <f t="shared" si="34"/>
        <v/>
      </c>
    </row>
    <row r="2223" spans="1:9" x14ac:dyDescent="0.2">
      <c r="A2223" t="str">
        <f>IF(ROW(A2223)&lt;=Raw_hydro_bm!$J$2,Raw_hydro_bm!B2223,"")</f>
        <v/>
      </c>
      <c r="B2223" t="str">
        <f>IF(ROW(B2223)&lt;=Raw_hydro_bm!$J$2,Raw_hydro_bm!C2223,"")</f>
        <v/>
      </c>
      <c r="C2223" t="str">
        <f>IF(ROW(C2223)&lt;=Raw_hydro_bm!$J$2,Raw_hydro_bm!D2223,"")</f>
        <v/>
      </c>
      <c r="D2223" t="str">
        <f>IF(ROW(D2223)&lt;=Raw_hydro_bm!$J$2,Raw_hydro_bm!E2223,"")</f>
        <v/>
      </c>
      <c r="E2223" t="str">
        <f>IF(ROW(E2223)&lt;=Raw_hydro_bm!$J$2,Raw_hydro_bm!F2223,"")</f>
        <v/>
      </c>
      <c r="F2223" t="str">
        <f>IF(ROW(F2223)&lt;=Raw_hydro_bm!$J$2,Raw_hydro_bm!G2223,"")</f>
        <v/>
      </c>
      <c r="G2223" t="str">
        <f>IF(ROW(G2223)&lt;=Raw_hydro_bm!$J$2,Raw_hydro_bm!H2223,"")</f>
        <v/>
      </c>
      <c r="H2223" t="str">
        <f>IF(ROW(H2223)&lt;=Raw_hydro_bm!$J$2,Raw_hydro_bm!I2223,"")</f>
        <v/>
      </c>
      <c r="I2223" s="16" t="str">
        <f t="shared" si="34"/>
        <v/>
      </c>
    </row>
    <row r="2224" spans="1:9" x14ac:dyDescent="0.2">
      <c r="A2224" t="str">
        <f>IF(ROW(A2224)&lt;=Raw_hydro_bm!$J$2,Raw_hydro_bm!B2224,"")</f>
        <v/>
      </c>
      <c r="B2224" t="str">
        <f>IF(ROW(B2224)&lt;=Raw_hydro_bm!$J$2,Raw_hydro_bm!C2224,"")</f>
        <v/>
      </c>
      <c r="C2224" t="str">
        <f>IF(ROW(C2224)&lt;=Raw_hydro_bm!$J$2,Raw_hydro_bm!D2224,"")</f>
        <v/>
      </c>
      <c r="D2224" t="str">
        <f>IF(ROW(D2224)&lt;=Raw_hydro_bm!$J$2,Raw_hydro_bm!E2224,"")</f>
        <v/>
      </c>
      <c r="E2224" t="str">
        <f>IF(ROW(E2224)&lt;=Raw_hydro_bm!$J$2,Raw_hydro_bm!F2224,"")</f>
        <v/>
      </c>
      <c r="F2224" t="str">
        <f>IF(ROW(F2224)&lt;=Raw_hydro_bm!$J$2,Raw_hydro_bm!G2224,"")</f>
        <v/>
      </c>
      <c r="G2224" t="str">
        <f>IF(ROW(G2224)&lt;=Raw_hydro_bm!$J$2,Raw_hydro_bm!H2224,"")</f>
        <v/>
      </c>
      <c r="H2224" t="str">
        <f>IF(ROW(H2224)&lt;=Raw_hydro_bm!$J$2,Raw_hydro_bm!I2224,"")</f>
        <v/>
      </c>
      <c r="I2224" s="16" t="str">
        <f t="shared" si="34"/>
        <v/>
      </c>
    </row>
    <row r="2225" spans="1:9" x14ac:dyDescent="0.2">
      <c r="A2225" t="str">
        <f>IF(ROW(A2225)&lt;=Raw_hydro_bm!$J$2,Raw_hydro_bm!B2225,"")</f>
        <v/>
      </c>
      <c r="B2225" t="str">
        <f>IF(ROW(B2225)&lt;=Raw_hydro_bm!$J$2,Raw_hydro_bm!C2225,"")</f>
        <v/>
      </c>
      <c r="C2225" t="str">
        <f>IF(ROW(C2225)&lt;=Raw_hydro_bm!$J$2,Raw_hydro_bm!D2225,"")</f>
        <v/>
      </c>
      <c r="D2225" t="str">
        <f>IF(ROW(D2225)&lt;=Raw_hydro_bm!$J$2,Raw_hydro_bm!E2225,"")</f>
        <v/>
      </c>
      <c r="E2225" t="str">
        <f>IF(ROW(E2225)&lt;=Raw_hydro_bm!$J$2,Raw_hydro_bm!F2225,"")</f>
        <v/>
      </c>
      <c r="F2225" t="str">
        <f>IF(ROW(F2225)&lt;=Raw_hydro_bm!$J$2,Raw_hydro_bm!G2225,"")</f>
        <v/>
      </c>
      <c r="G2225" t="str">
        <f>IF(ROW(G2225)&lt;=Raw_hydro_bm!$J$2,Raw_hydro_bm!H2225,"")</f>
        <v/>
      </c>
      <c r="H2225" t="str">
        <f>IF(ROW(H2225)&lt;=Raw_hydro_bm!$J$2,Raw_hydro_bm!I2225,"")</f>
        <v/>
      </c>
      <c r="I2225" s="16" t="str">
        <f t="shared" si="34"/>
        <v/>
      </c>
    </row>
    <row r="2226" spans="1:9" x14ac:dyDescent="0.2">
      <c r="A2226" t="str">
        <f>IF(ROW(A2226)&lt;=Raw_hydro_bm!$J$2,Raw_hydro_bm!B2226,"")</f>
        <v/>
      </c>
      <c r="B2226" t="str">
        <f>IF(ROW(B2226)&lt;=Raw_hydro_bm!$J$2,Raw_hydro_bm!C2226,"")</f>
        <v/>
      </c>
      <c r="C2226" t="str">
        <f>IF(ROW(C2226)&lt;=Raw_hydro_bm!$J$2,Raw_hydro_bm!D2226,"")</f>
        <v/>
      </c>
      <c r="D2226" t="str">
        <f>IF(ROW(D2226)&lt;=Raw_hydro_bm!$J$2,Raw_hydro_bm!E2226,"")</f>
        <v/>
      </c>
      <c r="E2226" t="str">
        <f>IF(ROW(E2226)&lt;=Raw_hydro_bm!$J$2,Raw_hydro_bm!F2226,"")</f>
        <v/>
      </c>
      <c r="F2226" t="str">
        <f>IF(ROW(F2226)&lt;=Raw_hydro_bm!$J$2,Raw_hydro_bm!G2226,"")</f>
        <v/>
      </c>
      <c r="G2226" t="str">
        <f>IF(ROW(G2226)&lt;=Raw_hydro_bm!$J$2,Raw_hydro_bm!H2226,"")</f>
        <v/>
      </c>
      <c r="H2226" t="str">
        <f>IF(ROW(H2226)&lt;=Raw_hydro_bm!$J$2,Raw_hydro_bm!I2226,"")</f>
        <v/>
      </c>
      <c r="I2226" s="16" t="str">
        <f t="shared" si="34"/>
        <v/>
      </c>
    </row>
    <row r="2227" spans="1:9" x14ac:dyDescent="0.2">
      <c r="A2227" t="str">
        <f>IF(ROW(A2227)&lt;=Raw_hydro_bm!$J$2,Raw_hydro_bm!B2227,"")</f>
        <v/>
      </c>
      <c r="B2227" t="str">
        <f>IF(ROW(B2227)&lt;=Raw_hydro_bm!$J$2,Raw_hydro_bm!C2227,"")</f>
        <v/>
      </c>
      <c r="C2227" t="str">
        <f>IF(ROW(C2227)&lt;=Raw_hydro_bm!$J$2,Raw_hydro_bm!D2227,"")</f>
        <v/>
      </c>
      <c r="D2227" t="str">
        <f>IF(ROW(D2227)&lt;=Raw_hydro_bm!$J$2,Raw_hydro_bm!E2227,"")</f>
        <v/>
      </c>
      <c r="E2227" t="str">
        <f>IF(ROW(E2227)&lt;=Raw_hydro_bm!$J$2,Raw_hydro_bm!F2227,"")</f>
        <v/>
      </c>
      <c r="F2227" t="str">
        <f>IF(ROW(F2227)&lt;=Raw_hydro_bm!$J$2,Raw_hydro_bm!G2227,"")</f>
        <v/>
      </c>
      <c r="G2227" t="str">
        <f>IF(ROW(G2227)&lt;=Raw_hydro_bm!$J$2,Raw_hydro_bm!H2227,"")</f>
        <v/>
      </c>
      <c r="H2227" t="str">
        <f>IF(ROW(H2227)&lt;=Raw_hydro_bm!$J$2,Raw_hydro_bm!I2227,"")</f>
        <v/>
      </c>
      <c r="I2227" s="16" t="str">
        <f t="shared" si="34"/>
        <v/>
      </c>
    </row>
    <row r="2228" spans="1:9" x14ac:dyDescent="0.2">
      <c r="A2228" t="str">
        <f>IF(ROW(A2228)&lt;=Raw_hydro_bm!$J$2,Raw_hydro_bm!B2228,"")</f>
        <v/>
      </c>
      <c r="B2228" t="str">
        <f>IF(ROW(B2228)&lt;=Raw_hydro_bm!$J$2,Raw_hydro_bm!C2228,"")</f>
        <v/>
      </c>
      <c r="C2228" t="str">
        <f>IF(ROW(C2228)&lt;=Raw_hydro_bm!$J$2,Raw_hydro_bm!D2228,"")</f>
        <v/>
      </c>
      <c r="D2228" t="str">
        <f>IF(ROW(D2228)&lt;=Raw_hydro_bm!$J$2,Raw_hydro_bm!E2228,"")</f>
        <v/>
      </c>
      <c r="E2228" t="str">
        <f>IF(ROW(E2228)&lt;=Raw_hydro_bm!$J$2,Raw_hydro_bm!F2228,"")</f>
        <v/>
      </c>
      <c r="F2228" t="str">
        <f>IF(ROW(F2228)&lt;=Raw_hydro_bm!$J$2,Raw_hydro_bm!G2228,"")</f>
        <v/>
      </c>
      <c r="G2228" t="str">
        <f>IF(ROW(G2228)&lt;=Raw_hydro_bm!$J$2,Raw_hydro_bm!H2228,"")</f>
        <v/>
      </c>
      <c r="H2228" t="str">
        <f>IF(ROW(H2228)&lt;=Raw_hydro_bm!$J$2,Raw_hydro_bm!I2228,"")</f>
        <v/>
      </c>
      <c r="I2228" s="16" t="str">
        <f t="shared" si="34"/>
        <v/>
      </c>
    </row>
    <row r="2229" spans="1:9" x14ac:dyDescent="0.2">
      <c r="A2229" t="str">
        <f>IF(ROW(A2229)&lt;=Raw_hydro_bm!$J$2,Raw_hydro_bm!B2229,"")</f>
        <v/>
      </c>
      <c r="B2229" t="str">
        <f>IF(ROW(B2229)&lt;=Raw_hydro_bm!$J$2,Raw_hydro_bm!C2229,"")</f>
        <v/>
      </c>
      <c r="C2229" t="str">
        <f>IF(ROW(C2229)&lt;=Raw_hydro_bm!$J$2,Raw_hydro_bm!D2229,"")</f>
        <v/>
      </c>
      <c r="D2229" t="str">
        <f>IF(ROW(D2229)&lt;=Raw_hydro_bm!$J$2,Raw_hydro_bm!E2229,"")</f>
        <v/>
      </c>
      <c r="E2229" t="str">
        <f>IF(ROW(E2229)&lt;=Raw_hydro_bm!$J$2,Raw_hydro_bm!F2229,"")</f>
        <v/>
      </c>
      <c r="F2229" t="str">
        <f>IF(ROW(F2229)&lt;=Raw_hydro_bm!$J$2,Raw_hydro_bm!G2229,"")</f>
        <v/>
      </c>
      <c r="G2229" t="str">
        <f>IF(ROW(G2229)&lt;=Raw_hydro_bm!$J$2,Raw_hydro_bm!H2229,"")</f>
        <v/>
      </c>
      <c r="H2229" t="str">
        <f>IF(ROW(H2229)&lt;=Raw_hydro_bm!$J$2,Raw_hydro_bm!I2229,"")</f>
        <v/>
      </c>
      <c r="I2229" s="16" t="str">
        <f t="shared" si="34"/>
        <v/>
      </c>
    </row>
    <row r="2230" spans="1:9" x14ac:dyDescent="0.2">
      <c r="A2230" t="str">
        <f>IF(ROW(A2230)&lt;=Raw_hydro_bm!$J$2,Raw_hydro_bm!B2230,"")</f>
        <v/>
      </c>
      <c r="B2230" t="str">
        <f>IF(ROW(B2230)&lt;=Raw_hydro_bm!$J$2,Raw_hydro_bm!C2230,"")</f>
        <v/>
      </c>
      <c r="C2230" t="str">
        <f>IF(ROW(C2230)&lt;=Raw_hydro_bm!$J$2,Raw_hydro_bm!D2230,"")</f>
        <v/>
      </c>
      <c r="D2230" t="str">
        <f>IF(ROW(D2230)&lt;=Raw_hydro_bm!$J$2,Raw_hydro_bm!E2230,"")</f>
        <v/>
      </c>
      <c r="E2230" t="str">
        <f>IF(ROW(E2230)&lt;=Raw_hydro_bm!$J$2,Raw_hydro_bm!F2230,"")</f>
        <v/>
      </c>
      <c r="F2230" t="str">
        <f>IF(ROW(F2230)&lt;=Raw_hydro_bm!$J$2,Raw_hydro_bm!G2230,"")</f>
        <v/>
      </c>
      <c r="G2230" t="str">
        <f>IF(ROW(G2230)&lt;=Raw_hydro_bm!$J$2,Raw_hydro_bm!H2230,"")</f>
        <v/>
      </c>
      <c r="H2230" t="str">
        <f>IF(ROW(H2230)&lt;=Raw_hydro_bm!$J$2,Raw_hydro_bm!I2230,"")</f>
        <v/>
      </c>
      <c r="I2230" s="16" t="str">
        <f t="shared" si="34"/>
        <v/>
      </c>
    </row>
    <row r="2231" spans="1:9" x14ac:dyDescent="0.2">
      <c r="A2231" t="str">
        <f>IF(ROW(A2231)&lt;=Raw_hydro_bm!$J$2,Raw_hydro_bm!B2231,"")</f>
        <v/>
      </c>
      <c r="B2231" t="str">
        <f>IF(ROW(B2231)&lt;=Raw_hydro_bm!$J$2,Raw_hydro_bm!C2231,"")</f>
        <v/>
      </c>
      <c r="C2231" t="str">
        <f>IF(ROW(C2231)&lt;=Raw_hydro_bm!$J$2,Raw_hydro_bm!D2231,"")</f>
        <v/>
      </c>
      <c r="D2231" t="str">
        <f>IF(ROW(D2231)&lt;=Raw_hydro_bm!$J$2,Raw_hydro_bm!E2231,"")</f>
        <v/>
      </c>
      <c r="E2231" t="str">
        <f>IF(ROW(E2231)&lt;=Raw_hydro_bm!$J$2,Raw_hydro_bm!F2231,"")</f>
        <v/>
      </c>
      <c r="F2231" t="str">
        <f>IF(ROW(F2231)&lt;=Raw_hydro_bm!$J$2,Raw_hydro_bm!G2231,"")</f>
        <v/>
      </c>
      <c r="G2231" t="str">
        <f>IF(ROW(G2231)&lt;=Raw_hydro_bm!$J$2,Raw_hydro_bm!H2231,"")</f>
        <v/>
      </c>
      <c r="H2231" t="str">
        <f>IF(ROW(H2231)&lt;=Raw_hydro_bm!$J$2,Raw_hydro_bm!I2231,"")</f>
        <v/>
      </c>
      <c r="I2231" s="16" t="str">
        <f t="shared" si="34"/>
        <v/>
      </c>
    </row>
    <row r="2232" spans="1:9" x14ac:dyDescent="0.2">
      <c r="A2232" t="str">
        <f>IF(ROW(A2232)&lt;=Raw_hydro_bm!$J$2,Raw_hydro_bm!B2232,"")</f>
        <v/>
      </c>
      <c r="B2232" t="str">
        <f>IF(ROW(B2232)&lt;=Raw_hydro_bm!$J$2,Raw_hydro_bm!C2232,"")</f>
        <v/>
      </c>
      <c r="C2232" t="str">
        <f>IF(ROW(C2232)&lt;=Raw_hydro_bm!$J$2,Raw_hydro_bm!D2232,"")</f>
        <v/>
      </c>
      <c r="D2232" t="str">
        <f>IF(ROW(D2232)&lt;=Raw_hydro_bm!$J$2,Raw_hydro_bm!E2232,"")</f>
        <v/>
      </c>
      <c r="E2232" t="str">
        <f>IF(ROW(E2232)&lt;=Raw_hydro_bm!$J$2,Raw_hydro_bm!F2232,"")</f>
        <v/>
      </c>
      <c r="F2232" t="str">
        <f>IF(ROW(F2232)&lt;=Raw_hydro_bm!$J$2,Raw_hydro_bm!G2232,"")</f>
        <v/>
      </c>
      <c r="G2232" t="str">
        <f>IF(ROW(G2232)&lt;=Raw_hydro_bm!$J$2,Raw_hydro_bm!H2232,"")</f>
        <v/>
      </c>
      <c r="H2232" t="str">
        <f>IF(ROW(H2232)&lt;=Raw_hydro_bm!$J$2,Raw_hydro_bm!I2232,"")</f>
        <v/>
      </c>
      <c r="I2232" s="16" t="str">
        <f t="shared" si="34"/>
        <v/>
      </c>
    </row>
    <row r="2233" spans="1:9" x14ac:dyDescent="0.2">
      <c r="A2233" t="str">
        <f>IF(ROW(A2233)&lt;=Raw_hydro_bm!$J$2,Raw_hydro_bm!B2233,"")</f>
        <v/>
      </c>
      <c r="B2233" t="str">
        <f>IF(ROW(B2233)&lt;=Raw_hydro_bm!$J$2,Raw_hydro_bm!C2233,"")</f>
        <v/>
      </c>
      <c r="C2233" t="str">
        <f>IF(ROW(C2233)&lt;=Raw_hydro_bm!$J$2,Raw_hydro_bm!D2233,"")</f>
        <v/>
      </c>
      <c r="D2233" t="str">
        <f>IF(ROW(D2233)&lt;=Raw_hydro_bm!$J$2,Raw_hydro_bm!E2233,"")</f>
        <v/>
      </c>
      <c r="E2233" t="str">
        <f>IF(ROW(E2233)&lt;=Raw_hydro_bm!$J$2,Raw_hydro_bm!F2233,"")</f>
        <v/>
      </c>
      <c r="F2233" t="str">
        <f>IF(ROW(F2233)&lt;=Raw_hydro_bm!$J$2,Raw_hydro_bm!G2233,"")</f>
        <v/>
      </c>
      <c r="G2233" t="str">
        <f>IF(ROW(G2233)&lt;=Raw_hydro_bm!$J$2,Raw_hydro_bm!H2233,"")</f>
        <v/>
      </c>
      <c r="H2233" t="str">
        <f>IF(ROW(H2233)&lt;=Raw_hydro_bm!$J$2,Raw_hydro_bm!I2233,"")</f>
        <v/>
      </c>
      <c r="I2233" s="16" t="str">
        <f t="shared" si="34"/>
        <v/>
      </c>
    </row>
    <row r="2234" spans="1:9" x14ac:dyDescent="0.2">
      <c r="A2234" t="str">
        <f>IF(ROW(A2234)&lt;=Raw_hydro_bm!$J$2,Raw_hydro_bm!B2234,"")</f>
        <v/>
      </c>
      <c r="B2234" t="str">
        <f>IF(ROW(B2234)&lt;=Raw_hydro_bm!$J$2,Raw_hydro_bm!C2234,"")</f>
        <v/>
      </c>
      <c r="C2234" t="str">
        <f>IF(ROW(C2234)&lt;=Raw_hydro_bm!$J$2,Raw_hydro_bm!D2234,"")</f>
        <v/>
      </c>
      <c r="D2234" t="str">
        <f>IF(ROW(D2234)&lt;=Raw_hydro_bm!$J$2,Raw_hydro_bm!E2234,"")</f>
        <v/>
      </c>
      <c r="E2234" t="str">
        <f>IF(ROW(E2234)&lt;=Raw_hydro_bm!$J$2,Raw_hydro_bm!F2234,"")</f>
        <v/>
      </c>
      <c r="F2234" t="str">
        <f>IF(ROW(F2234)&lt;=Raw_hydro_bm!$J$2,Raw_hydro_bm!G2234,"")</f>
        <v/>
      </c>
      <c r="G2234" t="str">
        <f>IF(ROW(G2234)&lt;=Raw_hydro_bm!$J$2,Raw_hydro_bm!H2234,"")</f>
        <v/>
      </c>
      <c r="H2234" t="str">
        <f>IF(ROW(H2234)&lt;=Raw_hydro_bm!$J$2,Raw_hydro_bm!I2234,"")</f>
        <v/>
      </c>
      <c r="I2234" s="16" t="str">
        <f t="shared" si="34"/>
        <v/>
      </c>
    </row>
    <row r="2235" spans="1:9" x14ac:dyDescent="0.2">
      <c r="A2235" t="str">
        <f>IF(ROW(A2235)&lt;=Raw_hydro_bm!$J$2,Raw_hydro_bm!B2235,"")</f>
        <v/>
      </c>
      <c r="B2235" t="str">
        <f>IF(ROW(B2235)&lt;=Raw_hydro_bm!$J$2,Raw_hydro_bm!C2235,"")</f>
        <v/>
      </c>
      <c r="C2235" t="str">
        <f>IF(ROW(C2235)&lt;=Raw_hydro_bm!$J$2,Raw_hydro_bm!D2235,"")</f>
        <v/>
      </c>
      <c r="D2235" t="str">
        <f>IF(ROW(D2235)&lt;=Raw_hydro_bm!$J$2,Raw_hydro_bm!E2235,"")</f>
        <v/>
      </c>
      <c r="E2235" t="str">
        <f>IF(ROW(E2235)&lt;=Raw_hydro_bm!$J$2,Raw_hydro_bm!F2235,"")</f>
        <v/>
      </c>
      <c r="F2235" t="str">
        <f>IF(ROW(F2235)&lt;=Raw_hydro_bm!$J$2,Raw_hydro_bm!G2235,"")</f>
        <v/>
      </c>
      <c r="G2235" t="str">
        <f>IF(ROW(G2235)&lt;=Raw_hydro_bm!$J$2,Raw_hydro_bm!H2235,"")</f>
        <v/>
      </c>
      <c r="H2235" t="str">
        <f>IF(ROW(H2235)&lt;=Raw_hydro_bm!$J$2,Raw_hydro_bm!I2235,"")</f>
        <v/>
      </c>
      <c r="I2235" s="16" t="str">
        <f t="shared" si="34"/>
        <v/>
      </c>
    </row>
    <row r="2236" spans="1:9" x14ac:dyDescent="0.2">
      <c r="A2236" t="str">
        <f>IF(ROW(A2236)&lt;=Raw_hydro_bm!$J$2,Raw_hydro_bm!B2236,"")</f>
        <v/>
      </c>
      <c r="B2236" t="str">
        <f>IF(ROW(B2236)&lt;=Raw_hydro_bm!$J$2,Raw_hydro_bm!C2236,"")</f>
        <v/>
      </c>
      <c r="C2236" t="str">
        <f>IF(ROW(C2236)&lt;=Raw_hydro_bm!$J$2,Raw_hydro_bm!D2236,"")</f>
        <v/>
      </c>
      <c r="D2236" t="str">
        <f>IF(ROW(D2236)&lt;=Raw_hydro_bm!$J$2,Raw_hydro_bm!E2236,"")</f>
        <v/>
      </c>
      <c r="E2236" t="str">
        <f>IF(ROW(E2236)&lt;=Raw_hydro_bm!$J$2,Raw_hydro_bm!F2236,"")</f>
        <v/>
      </c>
      <c r="F2236" t="str">
        <f>IF(ROW(F2236)&lt;=Raw_hydro_bm!$J$2,Raw_hydro_bm!G2236,"")</f>
        <v/>
      </c>
      <c r="G2236" t="str">
        <f>IF(ROW(G2236)&lt;=Raw_hydro_bm!$J$2,Raw_hydro_bm!H2236,"")</f>
        <v/>
      </c>
      <c r="H2236" t="str">
        <f>IF(ROW(H2236)&lt;=Raw_hydro_bm!$J$2,Raw_hydro_bm!I2236,"")</f>
        <v/>
      </c>
      <c r="I2236" s="16" t="str">
        <f t="shared" si="34"/>
        <v/>
      </c>
    </row>
    <row r="2237" spans="1:9" x14ac:dyDescent="0.2">
      <c r="A2237" t="str">
        <f>IF(ROW(A2237)&lt;=Raw_hydro_bm!$J$2,Raw_hydro_bm!B2237,"")</f>
        <v/>
      </c>
      <c r="B2237" t="str">
        <f>IF(ROW(B2237)&lt;=Raw_hydro_bm!$J$2,Raw_hydro_bm!C2237,"")</f>
        <v/>
      </c>
      <c r="C2237" t="str">
        <f>IF(ROW(C2237)&lt;=Raw_hydro_bm!$J$2,Raw_hydro_bm!D2237,"")</f>
        <v/>
      </c>
      <c r="D2237" t="str">
        <f>IF(ROW(D2237)&lt;=Raw_hydro_bm!$J$2,Raw_hydro_bm!E2237,"")</f>
        <v/>
      </c>
      <c r="E2237" t="str">
        <f>IF(ROW(E2237)&lt;=Raw_hydro_bm!$J$2,Raw_hydro_bm!F2237,"")</f>
        <v/>
      </c>
      <c r="F2237" t="str">
        <f>IF(ROW(F2237)&lt;=Raw_hydro_bm!$J$2,Raw_hydro_bm!G2237,"")</f>
        <v/>
      </c>
      <c r="G2237" t="str">
        <f>IF(ROW(G2237)&lt;=Raw_hydro_bm!$J$2,Raw_hydro_bm!H2237,"")</f>
        <v/>
      </c>
      <c r="H2237" t="str">
        <f>IF(ROW(H2237)&lt;=Raw_hydro_bm!$J$2,Raw_hydro_bm!I2237,"")</f>
        <v/>
      </c>
      <c r="I2237" s="16" t="str">
        <f t="shared" si="34"/>
        <v/>
      </c>
    </row>
    <row r="2238" spans="1:9" x14ac:dyDescent="0.2">
      <c r="A2238" t="str">
        <f>IF(ROW(A2238)&lt;=Raw_hydro_bm!$J$2,Raw_hydro_bm!B2238,"")</f>
        <v/>
      </c>
      <c r="B2238" t="str">
        <f>IF(ROW(B2238)&lt;=Raw_hydro_bm!$J$2,Raw_hydro_bm!C2238,"")</f>
        <v/>
      </c>
      <c r="C2238" t="str">
        <f>IF(ROW(C2238)&lt;=Raw_hydro_bm!$J$2,Raw_hydro_bm!D2238,"")</f>
        <v/>
      </c>
      <c r="D2238" t="str">
        <f>IF(ROW(D2238)&lt;=Raw_hydro_bm!$J$2,Raw_hydro_bm!E2238,"")</f>
        <v/>
      </c>
      <c r="E2238" t="str">
        <f>IF(ROW(E2238)&lt;=Raw_hydro_bm!$J$2,Raw_hydro_bm!F2238,"")</f>
        <v/>
      </c>
      <c r="F2238" t="str">
        <f>IF(ROW(F2238)&lt;=Raw_hydro_bm!$J$2,Raw_hydro_bm!G2238,"")</f>
        <v/>
      </c>
      <c r="G2238" t="str">
        <f>IF(ROW(G2238)&lt;=Raw_hydro_bm!$J$2,Raw_hydro_bm!H2238,"")</f>
        <v/>
      </c>
      <c r="H2238" t="str">
        <f>IF(ROW(H2238)&lt;=Raw_hydro_bm!$J$2,Raw_hydro_bm!I2238,"")</f>
        <v/>
      </c>
      <c r="I2238" s="16" t="str">
        <f t="shared" si="34"/>
        <v/>
      </c>
    </row>
    <row r="2239" spans="1:9" x14ac:dyDescent="0.2">
      <c r="A2239" t="str">
        <f>IF(ROW(A2239)&lt;=Raw_hydro_bm!$J$2,Raw_hydro_bm!B2239,"")</f>
        <v/>
      </c>
      <c r="B2239" t="str">
        <f>IF(ROW(B2239)&lt;=Raw_hydro_bm!$J$2,Raw_hydro_bm!C2239,"")</f>
        <v/>
      </c>
      <c r="C2239" t="str">
        <f>IF(ROW(C2239)&lt;=Raw_hydro_bm!$J$2,Raw_hydro_bm!D2239,"")</f>
        <v/>
      </c>
      <c r="D2239" t="str">
        <f>IF(ROW(D2239)&lt;=Raw_hydro_bm!$J$2,Raw_hydro_bm!E2239,"")</f>
        <v/>
      </c>
      <c r="E2239" t="str">
        <f>IF(ROW(E2239)&lt;=Raw_hydro_bm!$J$2,Raw_hydro_bm!F2239,"")</f>
        <v/>
      </c>
      <c r="F2239" t="str">
        <f>IF(ROW(F2239)&lt;=Raw_hydro_bm!$J$2,Raw_hydro_bm!G2239,"")</f>
        <v/>
      </c>
      <c r="G2239" t="str">
        <f>IF(ROW(G2239)&lt;=Raw_hydro_bm!$J$2,Raw_hydro_bm!H2239,"")</f>
        <v/>
      </c>
      <c r="H2239" t="str">
        <f>IF(ROW(H2239)&lt;=Raw_hydro_bm!$J$2,Raw_hydro_bm!I2239,"")</f>
        <v/>
      </c>
      <c r="I2239" s="16" t="str">
        <f t="shared" si="34"/>
        <v/>
      </c>
    </row>
    <row r="2240" spans="1:9" x14ac:dyDescent="0.2">
      <c r="A2240" t="str">
        <f>IF(ROW(A2240)&lt;=Raw_hydro_bm!$J$2,Raw_hydro_bm!B2240,"")</f>
        <v/>
      </c>
      <c r="B2240" t="str">
        <f>IF(ROW(B2240)&lt;=Raw_hydro_bm!$J$2,Raw_hydro_bm!C2240,"")</f>
        <v/>
      </c>
      <c r="C2240" t="str">
        <f>IF(ROW(C2240)&lt;=Raw_hydro_bm!$J$2,Raw_hydro_bm!D2240,"")</f>
        <v/>
      </c>
      <c r="D2240" t="str">
        <f>IF(ROW(D2240)&lt;=Raw_hydro_bm!$J$2,Raw_hydro_bm!E2240,"")</f>
        <v/>
      </c>
      <c r="E2240" t="str">
        <f>IF(ROW(E2240)&lt;=Raw_hydro_bm!$J$2,Raw_hydro_bm!F2240,"")</f>
        <v/>
      </c>
      <c r="F2240" t="str">
        <f>IF(ROW(F2240)&lt;=Raw_hydro_bm!$J$2,Raw_hydro_bm!G2240,"")</f>
        <v/>
      </c>
      <c r="G2240" t="str">
        <f>IF(ROW(G2240)&lt;=Raw_hydro_bm!$J$2,Raw_hydro_bm!H2240,"")</f>
        <v/>
      </c>
      <c r="H2240" t="str">
        <f>IF(ROW(H2240)&lt;=Raw_hydro_bm!$J$2,Raw_hydro_bm!I2240,"")</f>
        <v/>
      </c>
      <c r="I2240" s="16" t="str">
        <f t="shared" si="34"/>
        <v/>
      </c>
    </row>
    <row r="2241" spans="1:9" x14ac:dyDescent="0.2">
      <c r="A2241" t="str">
        <f>IF(ROW(A2241)&lt;=Raw_hydro_bm!$J$2,Raw_hydro_bm!B2241,"")</f>
        <v/>
      </c>
      <c r="B2241" t="str">
        <f>IF(ROW(B2241)&lt;=Raw_hydro_bm!$J$2,Raw_hydro_bm!C2241,"")</f>
        <v/>
      </c>
      <c r="C2241" t="str">
        <f>IF(ROW(C2241)&lt;=Raw_hydro_bm!$J$2,Raw_hydro_bm!D2241,"")</f>
        <v/>
      </c>
      <c r="D2241" t="str">
        <f>IF(ROW(D2241)&lt;=Raw_hydro_bm!$J$2,Raw_hydro_bm!E2241,"")</f>
        <v/>
      </c>
      <c r="E2241" t="str">
        <f>IF(ROW(E2241)&lt;=Raw_hydro_bm!$J$2,Raw_hydro_bm!F2241,"")</f>
        <v/>
      </c>
      <c r="F2241" t="str">
        <f>IF(ROW(F2241)&lt;=Raw_hydro_bm!$J$2,Raw_hydro_bm!G2241,"")</f>
        <v/>
      </c>
      <c r="G2241" t="str">
        <f>IF(ROW(G2241)&lt;=Raw_hydro_bm!$J$2,Raw_hydro_bm!H2241,"")</f>
        <v/>
      </c>
      <c r="H2241" t="str">
        <f>IF(ROW(H2241)&lt;=Raw_hydro_bm!$J$2,Raw_hydro_bm!I2241,"")</f>
        <v/>
      </c>
      <c r="I2241" s="16" t="str">
        <f t="shared" si="34"/>
        <v/>
      </c>
    </row>
    <row r="2242" spans="1:9" x14ac:dyDescent="0.2">
      <c r="A2242" t="str">
        <f>IF(ROW(A2242)&lt;=Raw_hydro_bm!$J$2,Raw_hydro_bm!B2242,"")</f>
        <v/>
      </c>
      <c r="B2242" t="str">
        <f>IF(ROW(B2242)&lt;=Raw_hydro_bm!$J$2,Raw_hydro_bm!C2242,"")</f>
        <v/>
      </c>
      <c r="C2242" t="str">
        <f>IF(ROW(C2242)&lt;=Raw_hydro_bm!$J$2,Raw_hydro_bm!D2242,"")</f>
        <v/>
      </c>
      <c r="D2242" t="str">
        <f>IF(ROW(D2242)&lt;=Raw_hydro_bm!$J$2,Raw_hydro_bm!E2242,"")</f>
        <v/>
      </c>
      <c r="E2242" t="str">
        <f>IF(ROW(E2242)&lt;=Raw_hydro_bm!$J$2,Raw_hydro_bm!F2242,"")</f>
        <v/>
      </c>
      <c r="F2242" t="str">
        <f>IF(ROW(F2242)&lt;=Raw_hydro_bm!$J$2,Raw_hydro_bm!G2242,"")</f>
        <v/>
      </c>
      <c r="G2242" t="str">
        <f>IF(ROW(G2242)&lt;=Raw_hydro_bm!$J$2,Raw_hydro_bm!H2242,"")</f>
        <v/>
      </c>
      <c r="H2242" t="str">
        <f>IF(ROW(H2242)&lt;=Raw_hydro_bm!$J$2,Raw_hydro_bm!I2242,"")</f>
        <v/>
      </c>
      <c r="I2242" s="16" t="str">
        <f t="shared" ref="I2242:I2305" si="35">IF(IFERROR(FIND("e",H2242),-1)&lt;0,IFERROR(_xlfn.NUMBERVALUE(LEFT(H2242,FIND(".",H2242)-1))+_xlfn.NUMBERVALUE("0,"&amp;RIGHT(H2242,LEN(H2242)-FIND(".",H2242))),""),0)</f>
        <v/>
      </c>
    </row>
    <row r="2243" spans="1:9" x14ac:dyDescent="0.2">
      <c r="A2243" t="str">
        <f>IF(ROW(A2243)&lt;=Raw_hydro_bm!$J$2,Raw_hydro_bm!B2243,"")</f>
        <v/>
      </c>
      <c r="B2243" t="str">
        <f>IF(ROW(B2243)&lt;=Raw_hydro_bm!$J$2,Raw_hydro_bm!C2243,"")</f>
        <v/>
      </c>
      <c r="C2243" t="str">
        <f>IF(ROW(C2243)&lt;=Raw_hydro_bm!$J$2,Raw_hydro_bm!D2243,"")</f>
        <v/>
      </c>
      <c r="D2243" t="str">
        <f>IF(ROW(D2243)&lt;=Raw_hydro_bm!$J$2,Raw_hydro_bm!E2243,"")</f>
        <v/>
      </c>
      <c r="E2243" t="str">
        <f>IF(ROW(E2243)&lt;=Raw_hydro_bm!$J$2,Raw_hydro_bm!F2243,"")</f>
        <v/>
      </c>
      <c r="F2243" t="str">
        <f>IF(ROW(F2243)&lt;=Raw_hydro_bm!$J$2,Raw_hydro_bm!G2243,"")</f>
        <v/>
      </c>
      <c r="G2243" t="str">
        <f>IF(ROW(G2243)&lt;=Raw_hydro_bm!$J$2,Raw_hydro_bm!H2243,"")</f>
        <v/>
      </c>
      <c r="H2243" t="str">
        <f>IF(ROW(H2243)&lt;=Raw_hydro_bm!$J$2,Raw_hydro_bm!I2243,"")</f>
        <v/>
      </c>
      <c r="I2243" s="16" t="str">
        <f t="shared" si="35"/>
        <v/>
      </c>
    </row>
    <row r="2244" spans="1:9" x14ac:dyDescent="0.2">
      <c r="A2244" t="str">
        <f>IF(ROW(A2244)&lt;=Raw_hydro_bm!$J$2,Raw_hydro_bm!B2244,"")</f>
        <v/>
      </c>
      <c r="B2244" t="str">
        <f>IF(ROW(B2244)&lt;=Raw_hydro_bm!$J$2,Raw_hydro_bm!C2244,"")</f>
        <v/>
      </c>
      <c r="C2244" t="str">
        <f>IF(ROW(C2244)&lt;=Raw_hydro_bm!$J$2,Raw_hydro_bm!D2244,"")</f>
        <v/>
      </c>
      <c r="D2244" t="str">
        <f>IF(ROW(D2244)&lt;=Raw_hydro_bm!$J$2,Raw_hydro_bm!E2244,"")</f>
        <v/>
      </c>
      <c r="E2244" t="str">
        <f>IF(ROW(E2244)&lt;=Raw_hydro_bm!$J$2,Raw_hydro_bm!F2244,"")</f>
        <v/>
      </c>
      <c r="F2244" t="str">
        <f>IF(ROW(F2244)&lt;=Raw_hydro_bm!$J$2,Raw_hydro_bm!G2244,"")</f>
        <v/>
      </c>
      <c r="G2244" t="str">
        <f>IF(ROW(G2244)&lt;=Raw_hydro_bm!$J$2,Raw_hydro_bm!H2244,"")</f>
        <v/>
      </c>
      <c r="H2244" t="str">
        <f>IF(ROW(H2244)&lt;=Raw_hydro_bm!$J$2,Raw_hydro_bm!I2244,"")</f>
        <v/>
      </c>
      <c r="I2244" s="16" t="str">
        <f t="shared" si="35"/>
        <v/>
      </c>
    </row>
    <row r="2245" spans="1:9" x14ac:dyDescent="0.2">
      <c r="A2245" t="str">
        <f>IF(ROW(A2245)&lt;=Raw_hydro_bm!$J$2,Raw_hydro_bm!B2245,"")</f>
        <v/>
      </c>
      <c r="B2245" t="str">
        <f>IF(ROW(B2245)&lt;=Raw_hydro_bm!$J$2,Raw_hydro_bm!C2245,"")</f>
        <v/>
      </c>
      <c r="C2245" t="str">
        <f>IF(ROW(C2245)&lt;=Raw_hydro_bm!$J$2,Raw_hydro_bm!D2245,"")</f>
        <v/>
      </c>
      <c r="D2245" t="str">
        <f>IF(ROW(D2245)&lt;=Raw_hydro_bm!$J$2,Raw_hydro_bm!E2245,"")</f>
        <v/>
      </c>
      <c r="E2245" t="str">
        <f>IF(ROW(E2245)&lt;=Raw_hydro_bm!$J$2,Raw_hydro_bm!F2245,"")</f>
        <v/>
      </c>
      <c r="F2245" t="str">
        <f>IF(ROW(F2245)&lt;=Raw_hydro_bm!$J$2,Raw_hydro_bm!G2245,"")</f>
        <v/>
      </c>
      <c r="G2245" t="str">
        <f>IF(ROW(G2245)&lt;=Raw_hydro_bm!$J$2,Raw_hydro_bm!H2245,"")</f>
        <v/>
      </c>
      <c r="H2245" t="str">
        <f>IF(ROW(H2245)&lt;=Raw_hydro_bm!$J$2,Raw_hydro_bm!I2245,"")</f>
        <v/>
      </c>
      <c r="I2245" s="16" t="str">
        <f t="shared" si="35"/>
        <v/>
      </c>
    </row>
    <row r="2246" spans="1:9" x14ac:dyDescent="0.2">
      <c r="A2246" t="str">
        <f>IF(ROW(A2246)&lt;=Raw_hydro_bm!$J$2,Raw_hydro_bm!B2246,"")</f>
        <v/>
      </c>
      <c r="B2246" t="str">
        <f>IF(ROW(B2246)&lt;=Raw_hydro_bm!$J$2,Raw_hydro_bm!C2246,"")</f>
        <v/>
      </c>
      <c r="C2246" t="str">
        <f>IF(ROW(C2246)&lt;=Raw_hydro_bm!$J$2,Raw_hydro_bm!D2246,"")</f>
        <v/>
      </c>
      <c r="D2246" t="str">
        <f>IF(ROW(D2246)&lt;=Raw_hydro_bm!$J$2,Raw_hydro_bm!E2246,"")</f>
        <v/>
      </c>
      <c r="E2246" t="str">
        <f>IF(ROW(E2246)&lt;=Raw_hydro_bm!$J$2,Raw_hydro_bm!F2246,"")</f>
        <v/>
      </c>
      <c r="F2246" t="str">
        <f>IF(ROW(F2246)&lt;=Raw_hydro_bm!$J$2,Raw_hydro_bm!G2246,"")</f>
        <v/>
      </c>
      <c r="G2246" t="str">
        <f>IF(ROW(G2246)&lt;=Raw_hydro_bm!$J$2,Raw_hydro_bm!H2246,"")</f>
        <v/>
      </c>
      <c r="H2246" t="str">
        <f>IF(ROW(H2246)&lt;=Raw_hydro_bm!$J$2,Raw_hydro_bm!I2246,"")</f>
        <v/>
      </c>
      <c r="I2246" s="16" t="str">
        <f t="shared" si="35"/>
        <v/>
      </c>
    </row>
    <row r="2247" spans="1:9" x14ac:dyDescent="0.2">
      <c r="A2247" t="str">
        <f>IF(ROW(A2247)&lt;=Raw_hydro_bm!$J$2,Raw_hydro_bm!B2247,"")</f>
        <v/>
      </c>
      <c r="B2247" t="str">
        <f>IF(ROW(B2247)&lt;=Raw_hydro_bm!$J$2,Raw_hydro_bm!C2247,"")</f>
        <v/>
      </c>
      <c r="C2247" t="str">
        <f>IF(ROW(C2247)&lt;=Raw_hydro_bm!$J$2,Raw_hydro_bm!D2247,"")</f>
        <v/>
      </c>
      <c r="D2247" t="str">
        <f>IF(ROW(D2247)&lt;=Raw_hydro_bm!$J$2,Raw_hydro_bm!E2247,"")</f>
        <v/>
      </c>
      <c r="E2247" t="str">
        <f>IF(ROW(E2247)&lt;=Raw_hydro_bm!$J$2,Raw_hydro_bm!F2247,"")</f>
        <v/>
      </c>
      <c r="F2247" t="str">
        <f>IF(ROW(F2247)&lt;=Raw_hydro_bm!$J$2,Raw_hydro_bm!G2247,"")</f>
        <v/>
      </c>
      <c r="G2247" t="str">
        <f>IF(ROW(G2247)&lt;=Raw_hydro_bm!$J$2,Raw_hydro_bm!H2247,"")</f>
        <v/>
      </c>
      <c r="H2247" t="str">
        <f>IF(ROW(H2247)&lt;=Raw_hydro_bm!$J$2,Raw_hydro_bm!I2247,"")</f>
        <v/>
      </c>
      <c r="I2247" s="16" t="str">
        <f t="shared" si="35"/>
        <v/>
      </c>
    </row>
    <row r="2248" spans="1:9" x14ac:dyDescent="0.2">
      <c r="A2248" t="str">
        <f>IF(ROW(A2248)&lt;=Raw_hydro_bm!$J$2,Raw_hydro_bm!B2248,"")</f>
        <v/>
      </c>
      <c r="B2248" t="str">
        <f>IF(ROW(B2248)&lt;=Raw_hydro_bm!$J$2,Raw_hydro_bm!C2248,"")</f>
        <v/>
      </c>
      <c r="C2248" t="str">
        <f>IF(ROW(C2248)&lt;=Raw_hydro_bm!$J$2,Raw_hydro_bm!D2248,"")</f>
        <v/>
      </c>
      <c r="D2248" t="str">
        <f>IF(ROW(D2248)&lt;=Raw_hydro_bm!$J$2,Raw_hydro_bm!E2248,"")</f>
        <v/>
      </c>
      <c r="E2248" t="str">
        <f>IF(ROW(E2248)&lt;=Raw_hydro_bm!$J$2,Raw_hydro_bm!F2248,"")</f>
        <v/>
      </c>
      <c r="F2248" t="str">
        <f>IF(ROW(F2248)&lt;=Raw_hydro_bm!$J$2,Raw_hydro_bm!G2248,"")</f>
        <v/>
      </c>
      <c r="G2248" t="str">
        <f>IF(ROW(G2248)&lt;=Raw_hydro_bm!$J$2,Raw_hydro_bm!H2248,"")</f>
        <v/>
      </c>
      <c r="H2248" t="str">
        <f>IF(ROW(H2248)&lt;=Raw_hydro_bm!$J$2,Raw_hydro_bm!I2248,"")</f>
        <v/>
      </c>
      <c r="I2248" s="16" t="str">
        <f t="shared" si="35"/>
        <v/>
      </c>
    </row>
    <row r="2249" spans="1:9" x14ac:dyDescent="0.2">
      <c r="A2249" t="str">
        <f>IF(ROW(A2249)&lt;=Raw_hydro_bm!$J$2,Raw_hydro_bm!B2249,"")</f>
        <v/>
      </c>
      <c r="B2249" t="str">
        <f>IF(ROW(B2249)&lt;=Raw_hydro_bm!$J$2,Raw_hydro_bm!C2249,"")</f>
        <v/>
      </c>
      <c r="C2249" t="str">
        <f>IF(ROW(C2249)&lt;=Raw_hydro_bm!$J$2,Raw_hydro_bm!D2249,"")</f>
        <v/>
      </c>
      <c r="D2249" t="str">
        <f>IF(ROW(D2249)&lt;=Raw_hydro_bm!$J$2,Raw_hydro_bm!E2249,"")</f>
        <v/>
      </c>
      <c r="E2249" t="str">
        <f>IF(ROW(E2249)&lt;=Raw_hydro_bm!$J$2,Raw_hydro_bm!F2249,"")</f>
        <v/>
      </c>
      <c r="F2249" t="str">
        <f>IF(ROW(F2249)&lt;=Raw_hydro_bm!$J$2,Raw_hydro_bm!G2249,"")</f>
        <v/>
      </c>
      <c r="G2249" t="str">
        <f>IF(ROW(G2249)&lt;=Raw_hydro_bm!$J$2,Raw_hydro_bm!H2249,"")</f>
        <v/>
      </c>
      <c r="H2249" t="str">
        <f>IF(ROW(H2249)&lt;=Raw_hydro_bm!$J$2,Raw_hydro_bm!I2249,"")</f>
        <v/>
      </c>
      <c r="I2249" s="16" t="str">
        <f t="shared" si="35"/>
        <v/>
      </c>
    </row>
    <row r="2250" spans="1:9" x14ac:dyDescent="0.2">
      <c r="A2250" t="str">
        <f>IF(ROW(A2250)&lt;=Raw_hydro_bm!$J$2,Raw_hydro_bm!B2250,"")</f>
        <v/>
      </c>
      <c r="B2250" t="str">
        <f>IF(ROW(B2250)&lt;=Raw_hydro_bm!$J$2,Raw_hydro_bm!C2250,"")</f>
        <v/>
      </c>
      <c r="C2250" t="str">
        <f>IF(ROW(C2250)&lt;=Raw_hydro_bm!$J$2,Raw_hydro_bm!D2250,"")</f>
        <v/>
      </c>
      <c r="D2250" t="str">
        <f>IF(ROW(D2250)&lt;=Raw_hydro_bm!$J$2,Raw_hydro_bm!E2250,"")</f>
        <v/>
      </c>
      <c r="E2250" t="str">
        <f>IF(ROW(E2250)&lt;=Raw_hydro_bm!$J$2,Raw_hydro_bm!F2250,"")</f>
        <v/>
      </c>
      <c r="F2250" t="str">
        <f>IF(ROW(F2250)&lt;=Raw_hydro_bm!$J$2,Raw_hydro_bm!G2250,"")</f>
        <v/>
      </c>
      <c r="G2250" t="str">
        <f>IF(ROW(G2250)&lt;=Raw_hydro_bm!$J$2,Raw_hydro_bm!H2250,"")</f>
        <v/>
      </c>
      <c r="H2250" t="str">
        <f>IF(ROW(H2250)&lt;=Raw_hydro_bm!$J$2,Raw_hydro_bm!I2250,"")</f>
        <v/>
      </c>
      <c r="I2250" s="16" t="str">
        <f t="shared" si="35"/>
        <v/>
      </c>
    </row>
    <row r="2251" spans="1:9" x14ac:dyDescent="0.2">
      <c r="A2251" t="str">
        <f>IF(ROW(A2251)&lt;=Raw_hydro_bm!$J$2,Raw_hydro_bm!B2251,"")</f>
        <v/>
      </c>
      <c r="B2251" t="str">
        <f>IF(ROW(B2251)&lt;=Raw_hydro_bm!$J$2,Raw_hydro_bm!C2251,"")</f>
        <v/>
      </c>
      <c r="C2251" t="str">
        <f>IF(ROW(C2251)&lt;=Raw_hydro_bm!$J$2,Raw_hydro_bm!D2251,"")</f>
        <v/>
      </c>
      <c r="D2251" t="str">
        <f>IF(ROW(D2251)&lt;=Raw_hydro_bm!$J$2,Raw_hydro_bm!E2251,"")</f>
        <v/>
      </c>
      <c r="E2251" t="str">
        <f>IF(ROW(E2251)&lt;=Raw_hydro_bm!$J$2,Raw_hydro_bm!F2251,"")</f>
        <v/>
      </c>
      <c r="F2251" t="str">
        <f>IF(ROW(F2251)&lt;=Raw_hydro_bm!$J$2,Raw_hydro_bm!G2251,"")</f>
        <v/>
      </c>
      <c r="G2251" t="str">
        <f>IF(ROW(G2251)&lt;=Raw_hydro_bm!$J$2,Raw_hydro_bm!H2251,"")</f>
        <v/>
      </c>
      <c r="H2251" t="str">
        <f>IF(ROW(H2251)&lt;=Raw_hydro_bm!$J$2,Raw_hydro_bm!I2251,"")</f>
        <v/>
      </c>
      <c r="I2251" s="16" t="str">
        <f t="shared" si="35"/>
        <v/>
      </c>
    </row>
    <row r="2252" spans="1:9" x14ac:dyDescent="0.2">
      <c r="A2252" t="str">
        <f>IF(ROW(A2252)&lt;=Raw_hydro_bm!$J$2,Raw_hydro_bm!B2252,"")</f>
        <v/>
      </c>
      <c r="B2252" t="str">
        <f>IF(ROW(B2252)&lt;=Raw_hydro_bm!$J$2,Raw_hydro_bm!C2252,"")</f>
        <v/>
      </c>
      <c r="C2252" t="str">
        <f>IF(ROW(C2252)&lt;=Raw_hydro_bm!$J$2,Raw_hydro_bm!D2252,"")</f>
        <v/>
      </c>
      <c r="D2252" t="str">
        <f>IF(ROW(D2252)&lt;=Raw_hydro_bm!$J$2,Raw_hydro_bm!E2252,"")</f>
        <v/>
      </c>
      <c r="E2252" t="str">
        <f>IF(ROW(E2252)&lt;=Raw_hydro_bm!$J$2,Raw_hydro_bm!F2252,"")</f>
        <v/>
      </c>
      <c r="F2252" t="str">
        <f>IF(ROW(F2252)&lt;=Raw_hydro_bm!$J$2,Raw_hydro_bm!G2252,"")</f>
        <v/>
      </c>
      <c r="G2252" t="str">
        <f>IF(ROW(G2252)&lt;=Raw_hydro_bm!$J$2,Raw_hydro_bm!H2252,"")</f>
        <v/>
      </c>
      <c r="H2252" t="str">
        <f>IF(ROW(H2252)&lt;=Raw_hydro_bm!$J$2,Raw_hydro_bm!I2252,"")</f>
        <v/>
      </c>
      <c r="I2252" s="16" t="str">
        <f t="shared" si="35"/>
        <v/>
      </c>
    </row>
    <row r="2253" spans="1:9" x14ac:dyDescent="0.2">
      <c r="A2253" t="str">
        <f>IF(ROW(A2253)&lt;=Raw_hydro_bm!$J$2,Raw_hydro_bm!B2253,"")</f>
        <v/>
      </c>
      <c r="B2253" t="str">
        <f>IF(ROW(B2253)&lt;=Raw_hydro_bm!$J$2,Raw_hydro_bm!C2253,"")</f>
        <v/>
      </c>
      <c r="C2253" t="str">
        <f>IF(ROW(C2253)&lt;=Raw_hydro_bm!$J$2,Raw_hydro_bm!D2253,"")</f>
        <v/>
      </c>
      <c r="D2253" t="str">
        <f>IF(ROW(D2253)&lt;=Raw_hydro_bm!$J$2,Raw_hydro_bm!E2253,"")</f>
        <v/>
      </c>
      <c r="E2253" t="str">
        <f>IF(ROW(E2253)&lt;=Raw_hydro_bm!$J$2,Raw_hydro_bm!F2253,"")</f>
        <v/>
      </c>
      <c r="F2253" t="str">
        <f>IF(ROW(F2253)&lt;=Raw_hydro_bm!$J$2,Raw_hydro_bm!G2253,"")</f>
        <v/>
      </c>
      <c r="G2253" t="str">
        <f>IF(ROW(G2253)&lt;=Raw_hydro_bm!$J$2,Raw_hydro_bm!H2253,"")</f>
        <v/>
      </c>
      <c r="H2253" t="str">
        <f>IF(ROW(H2253)&lt;=Raw_hydro_bm!$J$2,Raw_hydro_bm!I2253,"")</f>
        <v/>
      </c>
      <c r="I2253" s="16" t="str">
        <f t="shared" si="35"/>
        <v/>
      </c>
    </row>
    <row r="2254" spans="1:9" x14ac:dyDescent="0.2">
      <c r="A2254" t="str">
        <f>IF(ROW(A2254)&lt;=Raw_hydro_bm!$J$2,Raw_hydro_bm!B2254,"")</f>
        <v/>
      </c>
      <c r="B2254" t="str">
        <f>IF(ROW(B2254)&lt;=Raw_hydro_bm!$J$2,Raw_hydro_bm!C2254,"")</f>
        <v/>
      </c>
      <c r="C2254" t="str">
        <f>IF(ROW(C2254)&lt;=Raw_hydro_bm!$J$2,Raw_hydro_bm!D2254,"")</f>
        <v/>
      </c>
      <c r="D2254" t="str">
        <f>IF(ROW(D2254)&lt;=Raw_hydro_bm!$J$2,Raw_hydro_bm!E2254,"")</f>
        <v/>
      </c>
      <c r="E2254" t="str">
        <f>IF(ROW(E2254)&lt;=Raw_hydro_bm!$J$2,Raw_hydro_bm!F2254,"")</f>
        <v/>
      </c>
      <c r="F2254" t="str">
        <f>IF(ROW(F2254)&lt;=Raw_hydro_bm!$J$2,Raw_hydro_bm!G2254,"")</f>
        <v/>
      </c>
      <c r="G2254" t="str">
        <f>IF(ROW(G2254)&lt;=Raw_hydro_bm!$J$2,Raw_hydro_bm!H2254,"")</f>
        <v/>
      </c>
      <c r="H2254" t="str">
        <f>IF(ROW(H2254)&lt;=Raw_hydro_bm!$J$2,Raw_hydro_bm!I2254,"")</f>
        <v/>
      </c>
      <c r="I2254" s="16" t="str">
        <f t="shared" si="35"/>
        <v/>
      </c>
    </row>
    <row r="2255" spans="1:9" x14ac:dyDescent="0.2">
      <c r="A2255" t="str">
        <f>IF(ROW(A2255)&lt;=Raw_hydro_bm!$J$2,Raw_hydro_bm!B2255,"")</f>
        <v/>
      </c>
      <c r="B2255" t="str">
        <f>IF(ROW(B2255)&lt;=Raw_hydro_bm!$J$2,Raw_hydro_bm!C2255,"")</f>
        <v/>
      </c>
      <c r="C2255" t="str">
        <f>IF(ROW(C2255)&lt;=Raw_hydro_bm!$J$2,Raw_hydro_bm!D2255,"")</f>
        <v/>
      </c>
      <c r="D2255" t="str">
        <f>IF(ROW(D2255)&lt;=Raw_hydro_bm!$J$2,Raw_hydro_bm!E2255,"")</f>
        <v/>
      </c>
      <c r="E2255" t="str">
        <f>IF(ROW(E2255)&lt;=Raw_hydro_bm!$J$2,Raw_hydro_bm!F2255,"")</f>
        <v/>
      </c>
      <c r="F2255" t="str">
        <f>IF(ROW(F2255)&lt;=Raw_hydro_bm!$J$2,Raw_hydro_bm!G2255,"")</f>
        <v/>
      </c>
      <c r="G2255" t="str">
        <f>IF(ROW(G2255)&lt;=Raw_hydro_bm!$J$2,Raw_hydro_bm!H2255,"")</f>
        <v/>
      </c>
      <c r="H2255" t="str">
        <f>IF(ROW(H2255)&lt;=Raw_hydro_bm!$J$2,Raw_hydro_bm!I2255,"")</f>
        <v/>
      </c>
      <c r="I2255" s="16" t="str">
        <f t="shared" si="35"/>
        <v/>
      </c>
    </row>
    <row r="2256" spans="1:9" x14ac:dyDescent="0.2">
      <c r="A2256" t="str">
        <f>IF(ROW(A2256)&lt;=Raw_hydro_bm!$J$2,Raw_hydro_bm!B2256,"")</f>
        <v/>
      </c>
      <c r="B2256" t="str">
        <f>IF(ROW(B2256)&lt;=Raw_hydro_bm!$J$2,Raw_hydro_bm!C2256,"")</f>
        <v/>
      </c>
      <c r="C2256" t="str">
        <f>IF(ROW(C2256)&lt;=Raw_hydro_bm!$J$2,Raw_hydro_bm!D2256,"")</f>
        <v/>
      </c>
      <c r="D2256" t="str">
        <f>IF(ROW(D2256)&lt;=Raw_hydro_bm!$J$2,Raw_hydro_bm!E2256,"")</f>
        <v/>
      </c>
      <c r="E2256" t="str">
        <f>IF(ROW(E2256)&lt;=Raw_hydro_bm!$J$2,Raw_hydro_bm!F2256,"")</f>
        <v/>
      </c>
      <c r="F2256" t="str">
        <f>IF(ROW(F2256)&lt;=Raw_hydro_bm!$J$2,Raw_hydro_bm!G2256,"")</f>
        <v/>
      </c>
      <c r="G2256" t="str">
        <f>IF(ROW(G2256)&lt;=Raw_hydro_bm!$J$2,Raw_hydro_bm!H2256,"")</f>
        <v/>
      </c>
      <c r="H2256" t="str">
        <f>IF(ROW(H2256)&lt;=Raw_hydro_bm!$J$2,Raw_hydro_bm!I2256,"")</f>
        <v/>
      </c>
      <c r="I2256" s="16" t="str">
        <f t="shared" si="35"/>
        <v/>
      </c>
    </row>
    <row r="2257" spans="1:9" x14ac:dyDescent="0.2">
      <c r="A2257" t="str">
        <f>IF(ROW(A2257)&lt;=Raw_hydro_bm!$J$2,Raw_hydro_bm!B2257,"")</f>
        <v/>
      </c>
      <c r="B2257" t="str">
        <f>IF(ROW(B2257)&lt;=Raw_hydro_bm!$J$2,Raw_hydro_bm!C2257,"")</f>
        <v/>
      </c>
      <c r="C2257" t="str">
        <f>IF(ROW(C2257)&lt;=Raw_hydro_bm!$J$2,Raw_hydro_bm!D2257,"")</f>
        <v/>
      </c>
      <c r="D2257" t="str">
        <f>IF(ROW(D2257)&lt;=Raw_hydro_bm!$J$2,Raw_hydro_bm!E2257,"")</f>
        <v/>
      </c>
      <c r="E2257" t="str">
        <f>IF(ROW(E2257)&lt;=Raw_hydro_bm!$J$2,Raw_hydro_bm!F2257,"")</f>
        <v/>
      </c>
      <c r="F2257" t="str">
        <f>IF(ROW(F2257)&lt;=Raw_hydro_bm!$J$2,Raw_hydro_bm!G2257,"")</f>
        <v/>
      </c>
      <c r="G2257" t="str">
        <f>IF(ROW(G2257)&lt;=Raw_hydro_bm!$J$2,Raw_hydro_bm!H2257,"")</f>
        <v/>
      </c>
      <c r="H2257" t="str">
        <f>IF(ROW(H2257)&lt;=Raw_hydro_bm!$J$2,Raw_hydro_bm!I2257,"")</f>
        <v/>
      </c>
      <c r="I2257" s="16" t="str">
        <f t="shared" si="35"/>
        <v/>
      </c>
    </row>
    <row r="2258" spans="1:9" x14ac:dyDescent="0.2">
      <c r="A2258" t="str">
        <f>IF(ROW(A2258)&lt;=Raw_hydro_bm!$J$2,Raw_hydro_bm!B2258,"")</f>
        <v/>
      </c>
      <c r="B2258" t="str">
        <f>IF(ROW(B2258)&lt;=Raw_hydro_bm!$J$2,Raw_hydro_bm!C2258,"")</f>
        <v/>
      </c>
      <c r="C2258" t="str">
        <f>IF(ROW(C2258)&lt;=Raw_hydro_bm!$J$2,Raw_hydro_bm!D2258,"")</f>
        <v/>
      </c>
      <c r="D2258" t="str">
        <f>IF(ROW(D2258)&lt;=Raw_hydro_bm!$J$2,Raw_hydro_bm!E2258,"")</f>
        <v/>
      </c>
      <c r="E2258" t="str">
        <f>IF(ROW(E2258)&lt;=Raw_hydro_bm!$J$2,Raw_hydro_bm!F2258,"")</f>
        <v/>
      </c>
      <c r="F2258" t="str">
        <f>IF(ROW(F2258)&lt;=Raw_hydro_bm!$J$2,Raw_hydro_bm!G2258,"")</f>
        <v/>
      </c>
      <c r="G2258" t="str">
        <f>IF(ROW(G2258)&lt;=Raw_hydro_bm!$J$2,Raw_hydro_bm!H2258,"")</f>
        <v/>
      </c>
      <c r="H2258" t="str">
        <f>IF(ROW(H2258)&lt;=Raw_hydro_bm!$J$2,Raw_hydro_bm!I2258,"")</f>
        <v/>
      </c>
      <c r="I2258" s="16" t="str">
        <f t="shared" si="35"/>
        <v/>
      </c>
    </row>
    <row r="2259" spans="1:9" x14ac:dyDescent="0.2">
      <c r="A2259" t="str">
        <f>IF(ROW(A2259)&lt;=Raw_hydro_bm!$J$2,Raw_hydro_bm!B2259,"")</f>
        <v/>
      </c>
      <c r="B2259" t="str">
        <f>IF(ROW(B2259)&lt;=Raw_hydro_bm!$J$2,Raw_hydro_bm!C2259,"")</f>
        <v/>
      </c>
      <c r="C2259" t="str">
        <f>IF(ROW(C2259)&lt;=Raw_hydro_bm!$J$2,Raw_hydro_bm!D2259,"")</f>
        <v/>
      </c>
      <c r="D2259" t="str">
        <f>IF(ROW(D2259)&lt;=Raw_hydro_bm!$J$2,Raw_hydro_bm!E2259,"")</f>
        <v/>
      </c>
      <c r="E2259" t="str">
        <f>IF(ROW(E2259)&lt;=Raw_hydro_bm!$J$2,Raw_hydro_bm!F2259,"")</f>
        <v/>
      </c>
      <c r="F2259" t="str">
        <f>IF(ROW(F2259)&lt;=Raw_hydro_bm!$J$2,Raw_hydro_bm!G2259,"")</f>
        <v/>
      </c>
      <c r="G2259" t="str">
        <f>IF(ROW(G2259)&lt;=Raw_hydro_bm!$J$2,Raw_hydro_bm!H2259,"")</f>
        <v/>
      </c>
      <c r="H2259" t="str">
        <f>IF(ROW(H2259)&lt;=Raw_hydro_bm!$J$2,Raw_hydro_bm!I2259,"")</f>
        <v/>
      </c>
      <c r="I2259" s="16" t="str">
        <f t="shared" si="35"/>
        <v/>
      </c>
    </row>
    <row r="2260" spans="1:9" x14ac:dyDescent="0.2">
      <c r="A2260" t="str">
        <f>IF(ROW(A2260)&lt;=Raw_hydro_bm!$J$2,Raw_hydro_bm!B2260,"")</f>
        <v/>
      </c>
      <c r="B2260" t="str">
        <f>IF(ROW(B2260)&lt;=Raw_hydro_bm!$J$2,Raw_hydro_bm!C2260,"")</f>
        <v/>
      </c>
      <c r="C2260" t="str">
        <f>IF(ROW(C2260)&lt;=Raw_hydro_bm!$J$2,Raw_hydro_bm!D2260,"")</f>
        <v/>
      </c>
      <c r="D2260" t="str">
        <f>IF(ROW(D2260)&lt;=Raw_hydro_bm!$J$2,Raw_hydro_bm!E2260,"")</f>
        <v/>
      </c>
      <c r="E2260" t="str">
        <f>IF(ROW(E2260)&lt;=Raw_hydro_bm!$J$2,Raw_hydro_bm!F2260,"")</f>
        <v/>
      </c>
      <c r="F2260" t="str">
        <f>IF(ROW(F2260)&lt;=Raw_hydro_bm!$J$2,Raw_hydro_bm!G2260,"")</f>
        <v/>
      </c>
      <c r="G2260" t="str">
        <f>IF(ROW(G2260)&lt;=Raw_hydro_bm!$J$2,Raw_hydro_bm!H2260,"")</f>
        <v/>
      </c>
      <c r="H2260" t="str">
        <f>IF(ROW(H2260)&lt;=Raw_hydro_bm!$J$2,Raw_hydro_bm!I2260,"")</f>
        <v/>
      </c>
      <c r="I2260" s="16" t="str">
        <f t="shared" si="35"/>
        <v/>
      </c>
    </row>
    <row r="2261" spans="1:9" x14ac:dyDescent="0.2">
      <c r="A2261" t="str">
        <f>IF(ROW(A2261)&lt;=Raw_hydro_bm!$J$2,Raw_hydro_bm!B2261,"")</f>
        <v/>
      </c>
      <c r="B2261" t="str">
        <f>IF(ROW(B2261)&lt;=Raw_hydro_bm!$J$2,Raw_hydro_bm!C2261,"")</f>
        <v/>
      </c>
      <c r="C2261" t="str">
        <f>IF(ROW(C2261)&lt;=Raw_hydro_bm!$J$2,Raw_hydro_bm!D2261,"")</f>
        <v/>
      </c>
      <c r="D2261" t="str">
        <f>IF(ROW(D2261)&lt;=Raw_hydro_bm!$J$2,Raw_hydro_bm!E2261,"")</f>
        <v/>
      </c>
      <c r="E2261" t="str">
        <f>IF(ROW(E2261)&lt;=Raw_hydro_bm!$J$2,Raw_hydro_bm!F2261,"")</f>
        <v/>
      </c>
      <c r="F2261" t="str">
        <f>IF(ROW(F2261)&lt;=Raw_hydro_bm!$J$2,Raw_hydro_bm!G2261,"")</f>
        <v/>
      </c>
      <c r="G2261" t="str">
        <f>IF(ROW(G2261)&lt;=Raw_hydro_bm!$J$2,Raw_hydro_bm!H2261,"")</f>
        <v/>
      </c>
      <c r="H2261" t="str">
        <f>IF(ROW(H2261)&lt;=Raw_hydro_bm!$J$2,Raw_hydro_bm!I2261,"")</f>
        <v/>
      </c>
      <c r="I2261" s="16" t="str">
        <f t="shared" si="35"/>
        <v/>
      </c>
    </row>
    <row r="2262" spans="1:9" x14ac:dyDescent="0.2">
      <c r="A2262" t="str">
        <f>IF(ROW(A2262)&lt;=Raw_hydro_bm!$J$2,Raw_hydro_bm!B2262,"")</f>
        <v/>
      </c>
      <c r="B2262" t="str">
        <f>IF(ROW(B2262)&lt;=Raw_hydro_bm!$J$2,Raw_hydro_bm!C2262,"")</f>
        <v/>
      </c>
      <c r="C2262" t="str">
        <f>IF(ROW(C2262)&lt;=Raw_hydro_bm!$J$2,Raw_hydro_bm!D2262,"")</f>
        <v/>
      </c>
      <c r="D2262" t="str">
        <f>IF(ROW(D2262)&lt;=Raw_hydro_bm!$J$2,Raw_hydro_bm!E2262,"")</f>
        <v/>
      </c>
      <c r="E2262" t="str">
        <f>IF(ROW(E2262)&lt;=Raw_hydro_bm!$J$2,Raw_hydro_bm!F2262,"")</f>
        <v/>
      </c>
      <c r="F2262" t="str">
        <f>IF(ROW(F2262)&lt;=Raw_hydro_bm!$J$2,Raw_hydro_bm!G2262,"")</f>
        <v/>
      </c>
      <c r="G2262" t="str">
        <f>IF(ROW(G2262)&lt;=Raw_hydro_bm!$J$2,Raw_hydro_bm!H2262,"")</f>
        <v/>
      </c>
      <c r="H2262" t="str">
        <f>IF(ROW(H2262)&lt;=Raw_hydro_bm!$J$2,Raw_hydro_bm!I2262,"")</f>
        <v/>
      </c>
      <c r="I2262" s="16" t="str">
        <f t="shared" si="35"/>
        <v/>
      </c>
    </row>
    <row r="2263" spans="1:9" x14ac:dyDescent="0.2">
      <c r="A2263" t="str">
        <f>IF(ROW(A2263)&lt;=Raw_hydro_bm!$J$2,Raw_hydro_bm!B2263,"")</f>
        <v/>
      </c>
      <c r="B2263" t="str">
        <f>IF(ROW(B2263)&lt;=Raw_hydro_bm!$J$2,Raw_hydro_bm!C2263,"")</f>
        <v/>
      </c>
      <c r="C2263" t="str">
        <f>IF(ROW(C2263)&lt;=Raw_hydro_bm!$J$2,Raw_hydro_bm!D2263,"")</f>
        <v/>
      </c>
      <c r="D2263" t="str">
        <f>IF(ROW(D2263)&lt;=Raw_hydro_bm!$J$2,Raw_hydro_bm!E2263,"")</f>
        <v/>
      </c>
      <c r="E2263" t="str">
        <f>IF(ROW(E2263)&lt;=Raw_hydro_bm!$J$2,Raw_hydro_bm!F2263,"")</f>
        <v/>
      </c>
      <c r="F2263" t="str">
        <f>IF(ROW(F2263)&lt;=Raw_hydro_bm!$J$2,Raw_hydro_bm!G2263,"")</f>
        <v/>
      </c>
      <c r="G2263" t="str">
        <f>IF(ROW(G2263)&lt;=Raw_hydro_bm!$J$2,Raw_hydro_bm!H2263,"")</f>
        <v/>
      </c>
      <c r="H2263" t="str">
        <f>IF(ROW(H2263)&lt;=Raw_hydro_bm!$J$2,Raw_hydro_bm!I2263,"")</f>
        <v/>
      </c>
      <c r="I2263" s="16" t="str">
        <f t="shared" si="35"/>
        <v/>
      </c>
    </row>
    <row r="2264" spans="1:9" x14ac:dyDescent="0.2">
      <c r="A2264" t="str">
        <f>IF(ROW(A2264)&lt;=Raw_hydro_bm!$J$2,Raw_hydro_bm!B2264,"")</f>
        <v/>
      </c>
      <c r="B2264" t="str">
        <f>IF(ROW(B2264)&lt;=Raw_hydro_bm!$J$2,Raw_hydro_bm!C2264,"")</f>
        <v/>
      </c>
      <c r="C2264" t="str">
        <f>IF(ROW(C2264)&lt;=Raw_hydro_bm!$J$2,Raw_hydro_bm!D2264,"")</f>
        <v/>
      </c>
      <c r="D2264" t="str">
        <f>IF(ROW(D2264)&lt;=Raw_hydro_bm!$J$2,Raw_hydro_bm!E2264,"")</f>
        <v/>
      </c>
      <c r="E2264" t="str">
        <f>IF(ROW(E2264)&lt;=Raw_hydro_bm!$J$2,Raw_hydro_bm!F2264,"")</f>
        <v/>
      </c>
      <c r="F2264" t="str">
        <f>IF(ROW(F2264)&lt;=Raw_hydro_bm!$J$2,Raw_hydro_bm!G2264,"")</f>
        <v/>
      </c>
      <c r="G2264" t="str">
        <f>IF(ROW(G2264)&lt;=Raw_hydro_bm!$J$2,Raw_hydro_bm!H2264,"")</f>
        <v/>
      </c>
      <c r="H2264" t="str">
        <f>IF(ROW(H2264)&lt;=Raw_hydro_bm!$J$2,Raw_hydro_bm!I2264,"")</f>
        <v/>
      </c>
      <c r="I2264" s="16" t="str">
        <f t="shared" si="35"/>
        <v/>
      </c>
    </row>
    <row r="2265" spans="1:9" x14ac:dyDescent="0.2">
      <c r="A2265" t="str">
        <f>IF(ROW(A2265)&lt;=Raw_hydro_bm!$J$2,Raw_hydro_bm!B2265,"")</f>
        <v/>
      </c>
      <c r="B2265" t="str">
        <f>IF(ROW(B2265)&lt;=Raw_hydro_bm!$J$2,Raw_hydro_bm!C2265,"")</f>
        <v/>
      </c>
      <c r="C2265" t="str">
        <f>IF(ROW(C2265)&lt;=Raw_hydro_bm!$J$2,Raw_hydro_bm!D2265,"")</f>
        <v/>
      </c>
      <c r="D2265" t="str">
        <f>IF(ROW(D2265)&lt;=Raw_hydro_bm!$J$2,Raw_hydro_bm!E2265,"")</f>
        <v/>
      </c>
      <c r="E2265" t="str">
        <f>IF(ROW(E2265)&lt;=Raw_hydro_bm!$J$2,Raw_hydro_bm!F2265,"")</f>
        <v/>
      </c>
      <c r="F2265" t="str">
        <f>IF(ROW(F2265)&lt;=Raw_hydro_bm!$J$2,Raw_hydro_bm!G2265,"")</f>
        <v/>
      </c>
      <c r="G2265" t="str">
        <f>IF(ROW(G2265)&lt;=Raw_hydro_bm!$J$2,Raw_hydro_bm!H2265,"")</f>
        <v/>
      </c>
      <c r="H2265" t="str">
        <f>IF(ROW(H2265)&lt;=Raw_hydro_bm!$J$2,Raw_hydro_bm!I2265,"")</f>
        <v/>
      </c>
      <c r="I2265" s="16" t="str">
        <f t="shared" si="35"/>
        <v/>
      </c>
    </row>
    <row r="2266" spans="1:9" x14ac:dyDescent="0.2">
      <c r="A2266" t="str">
        <f>IF(ROW(A2266)&lt;=Raw_hydro_bm!$J$2,Raw_hydro_bm!B2266,"")</f>
        <v/>
      </c>
      <c r="B2266" t="str">
        <f>IF(ROW(B2266)&lt;=Raw_hydro_bm!$J$2,Raw_hydro_bm!C2266,"")</f>
        <v/>
      </c>
      <c r="C2266" t="str">
        <f>IF(ROW(C2266)&lt;=Raw_hydro_bm!$J$2,Raw_hydro_bm!D2266,"")</f>
        <v/>
      </c>
      <c r="D2266" t="str">
        <f>IF(ROW(D2266)&lt;=Raw_hydro_bm!$J$2,Raw_hydro_bm!E2266,"")</f>
        <v/>
      </c>
      <c r="E2266" t="str">
        <f>IF(ROW(E2266)&lt;=Raw_hydro_bm!$J$2,Raw_hydro_bm!F2266,"")</f>
        <v/>
      </c>
      <c r="F2266" t="str">
        <f>IF(ROW(F2266)&lt;=Raw_hydro_bm!$J$2,Raw_hydro_bm!G2266,"")</f>
        <v/>
      </c>
      <c r="G2266" t="str">
        <f>IF(ROW(G2266)&lt;=Raw_hydro_bm!$J$2,Raw_hydro_bm!H2266,"")</f>
        <v/>
      </c>
      <c r="H2266" t="str">
        <f>IF(ROW(H2266)&lt;=Raw_hydro_bm!$J$2,Raw_hydro_bm!I2266,"")</f>
        <v/>
      </c>
      <c r="I2266" s="16" t="str">
        <f t="shared" si="35"/>
        <v/>
      </c>
    </row>
    <row r="2267" spans="1:9" x14ac:dyDescent="0.2">
      <c r="A2267" t="str">
        <f>IF(ROW(A2267)&lt;=Raw_hydro_bm!$J$2,Raw_hydro_bm!B2267,"")</f>
        <v/>
      </c>
      <c r="B2267" t="str">
        <f>IF(ROW(B2267)&lt;=Raw_hydro_bm!$J$2,Raw_hydro_bm!C2267,"")</f>
        <v/>
      </c>
      <c r="C2267" t="str">
        <f>IF(ROW(C2267)&lt;=Raw_hydro_bm!$J$2,Raw_hydro_bm!D2267,"")</f>
        <v/>
      </c>
      <c r="D2267" t="str">
        <f>IF(ROW(D2267)&lt;=Raw_hydro_bm!$J$2,Raw_hydro_bm!E2267,"")</f>
        <v/>
      </c>
      <c r="E2267" t="str">
        <f>IF(ROW(E2267)&lt;=Raw_hydro_bm!$J$2,Raw_hydro_bm!F2267,"")</f>
        <v/>
      </c>
      <c r="F2267" t="str">
        <f>IF(ROW(F2267)&lt;=Raw_hydro_bm!$J$2,Raw_hydro_bm!G2267,"")</f>
        <v/>
      </c>
      <c r="G2267" t="str">
        <f>IF(ROW(G2267)&lt;=Raw_hydro_bm!$J$2,Raw_hydro_bm!H2267,"")</f>
        <v/>
      </c>
      <c r="H2267" t="str">
        <f>IF(ROW(H2267)&lt;=Raw_hydro_bm!$J$2,Raw_hydro_bm!I2267,"")</f>
        <v/>
      </c>
      <c r="I2267" s="16" t="str">
        <f t="shared" si="35"/>
        <v/>
      </c>
    </row>
    <row r="2268" spans="1:9" x14ac:dyDescent="0.2">
      <c r="A2268" t="str">
        <f>IF(ROW(A2268)&lt;=Raw_hydro_bm!$J$2,Raw_hydro_bm!B2268,"")</f>
        <v/>
      </c>
      <c r="B2268" t="str">
        <f>IF(ROW(B2268)&lt;=Raw_hydro_bm!$J$2,Raw_hydro_bm!C2268,"")</f>
        <v/>
      </c>
      <c r="C2268" t="str">
        <f>IF(ROW(C2268)&lt;=Raw_hydro_bm!$J$2,Raw_hydro_bm!D2268,"")</f>
        <v/>
      </c>
      <c r="D2268" t="str">
        <f>IF(ROW(D2268)&lt;=Raw_hydro_bm!$J$2,Raw_hydro_bm!E2268,"")</f>
        <v/>
      </c>
      <c r="E2268" t="str">
        <f>IF(ROW(E2268)&lt;=Raw_hydro_bm!$J$2,Raw_hydro_bm!F2268,"")</f>
        <v/>
      </c>
      <c r="F2268" t="str">
        <f>IF(ROW(F2268)&lt;=Raw_hydro_bm!$J$2,Raw_hydro_bm!G2268,"")</f>
        <v/>
      </c>
      <c r="G2268" t="str">
        <f>IF(ROW(G2268)&lt;=Raw_hydro_bm!$J$2,Raw_hydro_bm!H2268,"")</f>
        <v/>
      </c>
      <c r="H2268" t="str">
        <f>IF(ROW(H2268)&lt;=Raw_hydro_bm!$J$2,Raw_hydro_bm!I2268,"")</f>
        <v/>
      </c>
      <c r="I2268" s="16" t="str">
        <f t="shared" si="35"/>
        <v/>
      </c>
    </row>
    <row r="2269" spans="1:9" x14ac:dyDescent="0.2">
      <c r="A2269" t="str">
        <f>IF(ROW(A2269)&lt;=Raw_hydro_bm!$J$2,Raw_hydro_bm!B2269,"")</f>
        <v/>
      </c>
      <c r="B2269" t="str">
        <f>IF(ROW(B2269)&lt;=Raw_hydro_bm!$J$2,Raw_hydro_bm!C2269,"")</f>
        <v/>
      </c>
      <c r="C2269" t="str">
        <f>IF(ROW(C2269)&lt;=Raw_hydro_bm!$J$2,Raw_hydro_bm!D2269,"")</f>
        <v/>
      </c>
      <c r="D2269" t="str">
        <f>IF(ROW(D2269)&lt;=Raw_hydro_bm!$J$2,Raw_hydro_bm!E2269,"")</f>
        <v/>
      </c>
      <c r="E2269" t="str">
        <f>IF(ROW(E2269)&lt;=Raw_hydro_bm!$J$2,Raw_hydro_bm!F2269,"")</f>
        <v/>
      </c>
      <c r="F2269" t="str">
        <f>IF(ROW(F2269)&lt;=Raw_hydro_bm!$J$2,Raw_hydro_bm!G2269,"")</f>
        <v/>
      </c>
      <c r="G2269" t="str">
        <f>IF(ROW(G2269)&lt;=Raw_hydro_bm!$J$2,Raw_hydro_bm!H2269,"")</f>
        <v/>
      </c>
      <c r="H2269" t="str">
        <f>IF(ROW(H2269)&lt;=Raw_hydro_bm!$J$2,Raw_hydro_bm!I2269,"")</f>
        <v/>
      </c>
      <c r="I2269" s="16" t="str">
        <f t="shared" si="35"/>
        <v/>
      </c>
    </row>
    <row r="2270" spans="1:9" x14ac:dyDescent="0.2">
      <c r="A2270" t="str">
        <f>IF(ROW(A2270)&lt;=Raw_hydro_bm!$J$2,Raw_hydro_bm!B2270,"")</f>
        <v/>
      </c>
      <c r="B2270" t="str">
        <f>IF(ROW(B2270)&lt;=Raw_hydro_bm!$J$2,Raw_hydro_bm!C2270,"")</f>
        <v/>
      </c>
      <c r="C2270" t="str">
        <f>IF(ROW(C2270)&lt;=Raw_hydro_bm!$J$2,Raw_hydro_bm!D2270,"")</f>
        <v/>
      </c>
      <c r="D2270" t="str">
        <f>IF(ROW(D2270)&lt;=Raw_hydro_bm!$J$2,Raw_hydro_bm!E2270,"")</f>
        <v/>
      </c>
      <c r="E2270" t="str">
        <f>IF(ROW(E2270)&lt;=Raw_hydro_bm!$J$2,Raw_hydro_bm!F2270,"")</f>
        <v/>
      </c>
      <c r="F2270" t="str">
        <f>IF(ROW(F2270)&lt;=Raw_hydro_bm!$J$2,Raw_hydro_bm!G2270,"")</f>
        <v/>
      </c>
      <c r="G2270" t="str">
        <f>IF(ROW(G2270)&lt;=Raw_hydro_bm!$J$2,Raw_hydro_bm!H2270,"")</f>
        <v/>
      </c>
      <c r="H2270" t="str">
        <f>IF(ROW(H2270)&lt;=Raw_hydro_bm!$J$2,Raw_hydro_bm!I2270,"")</f>
        <v/>
      </c>
      <c r="I2270" s="16" t="str">
        <f t="shared" si="35"/>
        <v/>
      </c>
    </row>
    <row r="2271" spans="1:9" x14ac:dyDescent="0.2">
      <c r="A2271" t="str">
        <f>IF(ROW(A2271)&lt;=Raw_hydro_bm!$J$2,Raw_hydro_bm!B2271,"")</f>
        <v/>
      </c>
      <c r="B2271" t="str">
        <f>IF(ROW(B2271)&lt;=Raw_hydro_bm!$J$2,Raw_hydro_bm!C2271,"")</f>
        <v/>
      </c>
      <c r="C2271" t="str">
        <f>IF(ROW(C2271)&lt;=Raw_hydro_bm!$J$2,Raw_hydro_bm!D2271,"")</f>
        <v/>
      </c>
      <c r="D2271" t="str">
        <f>IF(ROW(D2271)&lt;=Raw_hydro_bm!$J$2,Raw_hydro_bm!E2271,"")</f>
        <v/>
      </c>
      <c r="E2271" t="str">
        <f>IF(ROW(E2271)&lt;=Raw_hydro_bm!$J$2,Raw_hydro_bm!F2271,"")</f>
        <v/>
      </c>
      <c r="F2271" t="str">
        <f>IF(ROW(F2271)&lt;=Raw_hydro_bm!$J$2,Raw_hydro_bm!G2271,"")</f>
        <v/>
      </c>
      <c r="G2271" t="str">
        <f>IF(ROW(G2271)&lt;=Raw_hydro_bm!$J$2,Raw_hydro_bm!H2271,"")</f>
        <v/>
      </c>
      <c r="H2271" t="str">
        <f>IF(ROW(H2271)&lt;=Raw_hydro_bm!$J$2,Raw_hydro_bm!I2271,"")</f>
        <v/>
      </c>
      <c r="I2271" s="16" t="str">
        <f t="shared" si="35"/>
        <v/>
      </c>
    </row>
    <row r="2272" spans="1:9" x14ac:dyDescent="0.2">
      <c r="A2272" t="str">
        <f>IF(ROW(A2272)&lt;=Raw_hydro_bm!$J$2,Raw_hydro_bm!B2272,"")</f>
        <v/>
      </c>
      <c r="B2272" t="str">
        <f>IF(ROW(B2272)&lt;=Raw_hydro_bm!$J$2,Raw_hydro_bm!C2272,"")</f>
        <v/>
      </c>
      <c r="C2272" t="str">
        <f>IF(ROW(C2272)&lt;=Raw_hydro_bm!$J$2,Raw_hydro_bm!D2272,"")</f>
        <v/>
      </c>
      <c r="D2272" t="str">
        <f>IF(ROW(D2272)&lt;=Raw_hydro_bm!$J$2,Raw_hydro_bm!E2272,"")</f>
        <v/>
      </c>
      <c r="E2272" t="str">
        <f>IF(ROW(E2272)&lt;=Raw_hydro_bm!$J$2,Raw_hydro_bm!F2272,"")</f>
        <v/>
      </c>
      <c r="F2272" t="str">
        <f>IF(ROW(F2272)&lt;=Raw_hydro_bm!$J$2,Raw_hydro_bm!G2272,"")</f>
        <v/>
      </c>
      <c r="G2272" t="str">
        <f>IF(ROW(G2272)&lt;=Raw_hydro_bm!$J$2,Raw_hydro_bm!H2272,"")</f>
        <v/>
      </c>
      <c r="H2272" t="str">
        <f>IF(ROW(H2272)&lt;=Raw_hydro_bm!$J$2,Raw_hydro_bm!I2272,"")</f>
        <v/>
      </c>
      <c r="I2272" s="16" t="str">
        <f t="shared" si="35"/>
        <v/>
      </c>
    </row>
    <row r="2273" spans="1:9" x14ac:dyDescent="0.2">
      <c r="A2273" t="str">
        <f>IF(ROW(A2273)&lt;=Raw_hydro_bm!$J$2,Raw_hydro_bm!B2273,"")</f>
        <v/>
      </c>
      <c r="B2273" t="str">
        <f>IF(ROW(B2273)&lt;=Raw_hydro_bm!$J$2,Raw_hydro_bm!C2273,"")</f>
        <v/>
      </c>
      <c r="C2273" t="str">
        <f>IF(ROW(C2273)&lt;=Raw_hydro_bm!$J$2,Raw_hydro_bm!D2273,"")</f>
        <v/>
      </c>
      <c r="D2273" t="str">
        <f>IF(ROW(D2273)&lt;=Raw_hydro_bm!$J$2,Raw_hydro_bm!E2273,"")</f>
        <v/>
      </c>
      <c r="E2273" t="str">
        <f>IF(ROW(E2273)&lt;=Raw_hydro_bm!$J$2,Raw_hydro_bm!F2273,"")</f>
        <v/>
      </c>
      <c r="F2273" t="str">
        <f>IF(ROW(F2273)&lt;=Raw_hydro_bm!$J$2,Raw_hydro_bm!G2273,"")</f>
        <v/>
      </c>
      <c r="G2273" t="str">
        <f>IF(ROW(G2273)&lt;=Raw_hydro_bm!$J$2,Raw_hydro_bm!H2273,"")</f>
        <v/>
      </c>
      <c r="H2273" t="str">
        <f>IF(ROW(H2273)&lt;=Raw_hydro_bm!$J$2,Raw_hydro_bm!I2273,"")</f>
        <v/>
      </c>
      <c r="I2273" s="16" t="str">
        <f t="shared" si="35"/>
        <v/>
      </c>
    </row>
    <row r="2274" spans="1:9" x14ac:dyDescent="0.2">
      <c r="A2274" t="str">
        <f>IF(ROW(A2274)&lt;=Raw_hydro_bm!$J$2,Raw_hydro_bm!B2274,"")</f>
        <v/>
      </c>
      <c r="B2274" t="str">
        <f>IF(ROW(B2274)&lt;=Raw_hydro_bm!$J$2,Raw_hydro_bm!C2274,"")</f>
        <v/>
      </c>
      <c r="C2274" t="str">
        <f>IF(ROW(C2274)&lt;=Raw_hydro_bm!$J$2,Raw_hydro_bm!D2274,"")</f>
        <v/>
      </c>
      <c r="D2274" t="str">
        <f>IF(ROW(D2274)&lt;=Raw_hydro_bm!$J$2,Raw_hydro_bm!E2274,"")</f>
        <v/>
      </c>
      <c r="E2274" t="str">
        <f>IF(ROW(E2274)&lt;=Raw_hydro_bm!$J$2,Raw_hydro_bm!F2274,"")</f>
        <v/>
      </c>
      <c r="F2274" t="str">
        <f>IF(ROW(F2274)&lt;=Raw_hydro_bm!$J$2,Raw_hydro_bm!G2274,"")</f>
        <v/>
      </c>
      <c r="G2274" t="str">
        <f>IF(ROW(G2274)&lt;=Raw_hydro_bm!$J$2,Raw_hydro_bm!H2274,"")</f>
        <v/>
      </c>
      <c r="H2274" t="str">
        <f>IF(ROW(H2274)&lt;=Raw_hydro_bm!$J$2,Raw_hydro_bm!I2274,"")</f>
        <v/>
      </c>
      <c r="I2274" s="16" t="str">
        <f t="shared" si="35"/>
        <v/>
      </c>
    </row>
    <row r="2275" spans="1:9" x14ac:dyDescent="0.2">
      <c r="A2275" t="str">
        <f>IF(ROW(A2275)&lt;=Raw_hydro_bm!$J$2,Raw_hydro_bm!B2275,"")</f>
        <v/>
      </c>
      <c r="B2275" t="str">
        <f>IF(ROW(B2275)&lt;=Raw_hydro_bm!$J$2,Raw_hydro_bm!C2275,"")</f>
        <v/>
      </c>
      <c r="C2275" t="str">
        <f>IF(ROW(C2275)&lt;=Raw_hydro_bm!$J$2,Raw_hydro_bm!D2275,"")</f>
        <v/>
      </c>
      <c r="D2275" t="str">
        <f>IF(ROW(D2275)&lt;=Raw_hydro_bm!$J$2,Raw_hydro_bm!E2275,"")</f>
        <v/>
      </c>
      <c r="E2275" t="str">
        <f>IF(ROW(E2275)&lt;=Raw_hydro_bm!$J$2,Raw_hydro_bm!F2275,"")</f>
        <v/>
      </c>
      <c r="F2275" t="str">
        <f>IF(ROW(F2275)&lt;=Raw_hydro_bm!$J$2,Raw_hydro_bm!G2275,"")</f>
        <v/>
      </c>
      <c r="G2275" t="str">
        <f>IF(ROW(G2275)&lt;=Raw_hydro_bm!$J$2,Raw_hydro_bm!H2275,"")</f>
        <v/>
      </c>
      <c r="H2275" t="str">
        <f>IF(ROW(H2275)&lt;=Raw_hydro_bm!$J$2,Raw_hydro_bm!I2275,"")</f>
        <v/>
      </c>
      <c r="I2275" s="16" t="str">
        <f t="shared" si="35"/>
        <v/>
      </c>
    </row>
    <row r="2276" spans="1:9" x14ac:dyDescent="0.2">
      <c r="A2276" t="str">
        <f>IF(ROW(A2276)&lt;=Raw_hydro_bm!$J$2,Raw_hydro_bm!B2276,"")</f>
        <v/>
      </c>
      <c r="B2276" t="str">
        <f>IF(ROW(B2276)&lt;=Raw_hydro_bm!$J$2,Raw_hydro_bm!C2276,"")</f>
        <v/>
      </c>
      <c r="C2276" t="str">
        <f>IF(ROW(C2276)&lt;=Raw_hydro_bm!$J$2,Raw_hydro_bm!D2276,"")</f>
        <v/>
      </c>
      <c r="D2276" t="str">
        <f>IF(ROW(D2276)&lt;=Raw_hydro_bm!$J$2,Raw_hydro_bm!E2276,"")</f>
        <v/>
      </c>
      <c r="E2276" t="str">
        <f>IF(ROW(E2276)&lt;=Raw_hydro_bm!$J$2,Raw_hydro_bm!F2276,"")</f>
        <v/>
      </c>
      <c r="F2276" t="str">
        <f>IF(ROW(F2276)&lt;=Raw_hydro_bm!$J$2,Raw_hydro_bm!G2276,"")</f>
        <v/>
      </c>
      <c r="G2276" t="str">
        <f>IF(ROW(G2276)&lt;=Raw_hydro_bm!$J$2,Raw_hydro_bm!H2276,"")</f>
        <v/>
      </c>
      <c r="H2276" t="str">
        <f>IF(ROW(H2276)&lt;=Raw_hydro_bm!$J$2,Raw_hydro_bm!I2276,"")</f>
        <v/>
      </c>
      <c r="I2276" s="16" t="str">
        <f t="shared" si="35"/>
        <v/>
      </c>
    </row>
    <row r="2277" spans="1:9" x14ac:dyDescent="0.2">
      <c r="A2277" t="str">
        <f>IF(ROW(A2277)&lt;=Raw_hydro_bm!$J$2,Raw_hydro_bm!B2277,"")</f>
        <v/>
      </c>
      <c r="B2277" t="str">
        <f>IF(ROW(B2277)&lt;=Raw_hydro_bm!$J$2,Raw_hydro_bm!C2277,"")</f>
        <v/>
      </c>
      <c r="C2277" t="str">
        <f>IF(ROW(C2277)&lt;=Raw_hydro_bm!$J$2,Raw_hydro_bm!D2277,"")</f>
        <v/>
      </c>
      <c r="D2277" t="str">
        <f>IF(ROW(D2277)&lt;=Raw_hydro_bm!$J$2,Raw_hydro_bm!E2277,"")</f>
        <v/>
      </c>
      <c r="E2277" t="str">
        <f>IF(ROW(E2277)&lt;=Raw_hydro_bm!$J$2,Raw_hydro_bm!F2277,"")</f>
        <v/>
      </c>
      <c r="F2277" t="str">
        <f>IF(ROW(F2277)&lt;=Raw_hydro_bm!$J$2,Raw_hydro_bm!G2277,"")</f>
        <v/>
      </c>
      <c r="G2277" t="str">
        <f>IF(ROW(G2277)&lt;=Raw_hydro_bm!$J$2,Raw_hydro_bm!H2277,"")</f>
        <v/>
      </c>
      <c r="H2277" t="str">
        <f>IF(ROW(H2277)&lt;=Raw_hydro_bm!$J$2,Raw_hydro_bm!I2277,"")</f>
        <v/>
      </c>
      <c r="I2277" s="16" t="str">
        <f t="shared" si="35"/>
        <v/>
      </c>
    </row>
    <row r="2278" spans="1:9" x14ac:dyDescent="0.2">
      <c r="A2278" t="str">
        <f>IF(ROW(A2278)&lt;=Raw_hydro_bm!$J$2,Raw_hydro_bm!B2278,"")</f>
        <v/>
      </c>
      <c r="B2278" t="str">
        <f>IF(ROW(B2278)&lt;=Raw_hydro_bm!$J$2,Raw_hydro_bm!C2278,"")</f>
        <v/>
      </c>
      <c r="C2278" t="str">
        <f>IF(ROW(C2278)&lt;=Raw_hydro_bm!$J$2,Raw_hydro_bm!D2278,"")</f>
        <v/>
      </c>
      <c r="D2278" t="str">
        <f>IF(ROW(D2278)&lt;=Raw_hydro_bm!$J$2,Raw_hydro_bm!E2278,"")</f>
        <v/>
      </c>
      <c r="E2278" t="str">
        <f>IF(ROW(E2278)&lt;=Raw_hydro_bm!$J$2,Raw_hydro_bm!F2278,"")</f>
        <v/>
      </c>
      <c r="F2278" t="str">
        <f>IF(ROW(F2278)&lt;=Raw_hydro_bm!$J$2,Raw_hydro_bm!G2278,"")</f>
        <v/>
      </c>
      <c r="G2278" t="str">
        <f>IF(ROW(G2278)&lt;=Raw_hydro_bm!$J$2,Raw_hydro_bm!H2278,"")</f>
        <v/>
      </c>
      <c r="H2278" t="str">
        <f>IF(ROW(H2278)&lt;=Raw_hydro_bm!$J$2,Raw_hydro_bm!I2278,"")</f>
        <v/>
      </c>
      <c r="I2278" s="16" t="str">
        <f t="shared" si="35"/>
        <v/>
      </c>
    </row>
    <row r="2279" spans="1:9" x14ac:dyDescent="0.2">
      <c r="A2279" t="str">
        <f>IF(ROW(A2279)&lt;=Raw_hydro_bm!$J$2,Raw_hydro_bm!B2279,"")</f>
        <v/>
      </c>
      <c r="B2279" t="str">
        <f>IF(ROW(B2279)&lt;=Raw_hydro_bm!$J$2,Raw_hydro_bm!C2279,"")</f>
        <v/>
      </c>
      <c r="C2279" t="str">
        <f>IF(ROW(C2279)&lt;=Raw_hydro_bm!$J$2,Raw_hydro_bm!D2279,"")</f>
        <v/>
      </c>
      <c r="D2279" t="str">
        <f>IF(ROW(D2279)&lt;=Raw_hydro_bm!$J$2,Raw_hydro_bm!E2279,"")</f>
        <v/>
      </c>
      <c r="E2279" t="str">
        <f>IF(ROW(E2279)&lt;=Raw_hydro_bm!$J$2,Raw_hydro_bm!F2279,"")</f>
        <v/>
      </c>
      <c r="F2279" t="str">
        <f>IF(ROW(F2279)&lt;=Raw_hydro_bm!$J$2,Raw_hydro_bm!G2279,"")</f>
        <v/>
      </c>
      <c r="G2279" t="str">
        <f>IF(ROW(G2279)&lt;=Raw_hydro_bm!$J$2,Raw_hydro_bm!H2279,"")</f>
        <v/>
      </c>
      <c r="H2279" t="str">
        <f>IF(ROW(H2279)&lt;=Raw_hydro_bm!$J$2,Raw_hydro_bm!I2279,"")</f>
        <v/>
      </c>
      <c r="I2279" s="16" t="str">
        <f t="shared" si="35"/>
        <v/>
      </c>
    </row>
    <row r="2280" spans="1:9" x14ac:dyDescent="0.2">
      <c r="A2280" t="str">
        <f>IF(ROW(A2280)&lt;=Raw_hydro_bm!$J$2,Raw_hydro_bm!B2280,"")</f>
        <v/>
      </c>
      <c r="B2280" t="str">
        <f>IF(ROW(B2280)&lt;=Raw_hydro_bm!$J$2,Raw_hydro_bm!C2280,"")</f>
        <v/>
      </c>
      <c r="C2280" t="str">
        <f>IF(ROW(C2280)&lt;=Raw_hydro_bm!$J$2,Raw_hydro_bm!D2280,"")</f>
        <v/>
      </c>
      <c r="D2280" t="str">
        <f>IF(ROW(D2280)&lt;=Raw_hydro_bm!$J$2,Raw_hydro_bm!E2280,"")</f>
        <v/>
      </c>
      <c r="E2280" t="str">
        <f>IF(ROW(E2280)&lt;=Raw_hydro_bm!$J$2,Raw_hydro_bm!F2280,"")</f>
        <v/>
      </c>
      <c r="F2280" t="str">
        <f>IF(ROW(F2280)&lt;=Raw_hydro_bm!$J$2,Raw_hydro_bm!G2280,"")</f>
        <v/>
      </c>
      <c r="G2280" t="str">
        <f>IF(ROW(G2280)&lt;=Raw_hydro_bm!$J$2,Raw_hydro_bm!H2280,"")</f>
        <v/>
      </c>
      <c r="H2280" t="str">
        <f>IF(ROW(H2280)&lt;=Raw_hydro_bm!$J$2,Raw_hydro_bm!I2280,"")</f>
        <v/>
      </c>
      <c r="I2280" s="16" t="str">
        <f t="shared" si="35"/>
        <v/>
      </c>
    </row>
    <row r="2281" spans="1:9" x14ac:dyDescent="0.2">
      <c r="A2281" t="str">
        <f>IF(ROW(A2281)&lt;=Raw_hydro_bm!$J$2,Raw_hydro_bm!B2281,"")</f>
        <v/>
      </c>
      <c r="B2281" t="str">
        <f>IF(ROW(B2281)&lt;=Raw_hydro_bm!$J$2,Raw_hydro_bm!C2281,"")</f>
        <v/>
      </c>
      <c r="C2281" t="str">
        <f>IF(ROW(C2281)&lt;=Raw_hydro_bm!$J$2,Raw_hydro_bm!D2281,"")</f>
        <v/>
      </c>
      <c r="D2281" t="str">
        <f>IF(ROW(D2281)&lt;=Raw_hydro_bm!$J$2,Raw_hydro_bm!E2281,"")</f>
        <v/>
      </c>
      <c r="E2281" t="str">
        <f>IF(ROW(E2281)&lt;=Raw_hydro_bm!$J$2,Raw_hydro_bm!F2281,"")</f>
        <v/>
      </c>
      <c r="F2281" t="str">
        <f>IF(ROW(F2281)&lt;=Raw_hydro_bm!$J$2,Raw_hydro_bm!G2281,"")</f>
        <v/>
      </c>
      <c r="G2281" t="str">
        <f>IF(ROW(G2281)&lt;=Raw_hydro_bm!$J$2,Raw_hydro_bm!H2281,"")</f>
        <v/>
      </c>
      <c r="H2281" t="str">
        <f>IF(ROW(H2281)&lt;=Raw_hydro_bm!$J$2,Raw_hydro_bm!I2281,"")</f>
        <v/>
      </c>
      <c r="I2281" s="16" t="str">
        <f t="shared" si="35"/>
        <v/>
      </c>
    </row>
    <row r="2282" spans="1:9" x14ac:dyDescent="0.2">
      <c r="A2282" t="str">
        <f>IF(ROW(A2282)&lt;=Raw_hydro_bm!$J$2,Raw_hydro_bm!B2282,"")</f>
        <v/>
      </c>
      <c r="B2282" t="str">
        <f>IF(ROW(B2282)&lt;=Raw_hydro_bm!$J$2,Raw_hydro_bm!C2282,"")</f>
        <v/>
      </c>
      <c r="C2282" t="str">
        <f>IF(ROW(C2282)&lt;=Raw_hydro_bm!$J$2,Raw_hydro_bm!D2282,"")</f>
        <v/>
      </c>
      <c r="D2282" t="str">
        <f>IF(ROW(D2282)&lt;=Raw_hydro_bm!$J$2,Raw_hydro_bm!E2282,"")</f>
        <v/>
      </c>
      <c r="E2282" t="str">
        <f>IF(ROW(E2282)&lt;=Raw_hydro_bm!$J$2,Raw_hydro_bm!F2282,"")</f>
        <v/>
      </c>
      <c r="F2282" t="str">
        <f>IF(ROW(F2282)&lt;=Raw_hydro_bm!$J$2,Raw_hydro_bm!G2282,"")</f>
        <v/>
      </c>
      <c r="G2282" t="str">
        <f>IF(ROW(G2282)&lt;=Raw_hydro_bm!$J$2,Raw_hydro_bm!H2282,"")</f>
        <v/>
      </c>
      <c r="H2282" t="str">
        <f>IF(ROW(H2282)&lt;=Raw_hydro_bm!$J$2,Raw_hydro_bm!I2282,"")</f>
        <v/>
      </c>
      <c r="I2282" s="16" t="str">
        <f t="shared" si="35"/>
        <v/>
      </c>
    </row>
    <row r="2283" spans="1:9" x14ac:dyDescent="0.2">
      <c r="A2283" t="str">
        <f>IF(ROW(A2283)&lt;=Raw_hydro_bm!$J$2,Raw_hydro_bm!B2283,"")</f>
        <v/>
      </c>
      <c r="B2283" t="str">
        <f>IF(ROW(B2283)&lt;=Raw_hydro_bm!$J$2,Raw_hydro_bm!C2283,"")</f>
        <v/>
      </c>
      <c r="C2283" t="str">
        <f>IF(ROW(C2283)&lt;=Raw_hydro_bm!$J$2,Raw_hydro_bm!D2283,"")</f>
        <v/>
      </c>
      <c r="D2283" t="str">
        <f>IF(ROW(D2283)&lt;=Raw_hydro_bm!$J$2,Raw_hydro_bm!E2283,"")</f>
        <v/>
      </c>
      <c r="E2283" t="str">
        <f>IF(ROW(E2283)&lt;=Raw_hydro_bm!$J$2,Raw_hydro_bm!F2283,"")</f>
        <v/>
      </c>
      <c r="F2283" t="str">
        <f>IF(ROW(F2283)&lt;=Raw_hydro_bm!$J$2,Raw_hydro_bm!G2283,"")</f>
        <v/>
      </c>
      <c r="G2283" t="str">
        <f>IF(ROW(G2283)&lt;=Raw_hydro_bm!$J$2,Raw_hydro_bm!H2283,"")</f>
        <v/>
      </c>
      <c r="H2283" t="str">
        <f>IF(ROW(H2283)&lt;=Raw_hydro_bm!$J$2,Raw_hydro_bm!I2283,"")</f>
        <v/>
      </c>
      <c r="I2283" s="16" t="str">
        <f t="shared" si="35"/>
        <v/>
      </c>
    </row>
    <row r="2284" spans="1:9" x14ac:dyDescent="0.2">
      <c r="A2284" t="str">
        <f>IF(ROW(A2284)&lt;=Raw_hydro_bm!$J$2,Raw_hydro_bm!B2284,"")</f>
        <v/>
      </c>
      <c r="B2284" t="str">
        <f>IF(ROW(B2284)&lt;=Raw_hydro_bm!$J$2,Raw_hydro_bm!C2284,"")</f>
        <v/>
      </c>
      <c r="C2284" t="str">
        <f>IF(ROW(C2284)&lt;=Raw_hydro_bm!$J$2,Raw_hydro_bm!D2284,"")</f>
        <v/>
      </c>
      <c r="D2284" t="str">
        <f>IF(ROW(D2284)&lt;=Raw_hydro_bm!$J$2,Raw_hydro_bm!E2284,"")</f>
        <v/>
      </c>
      <c r="E2284" t="str">
        <f>IF(ROW(E2284)&lt;=Raw_hydro_bm!$J$2,Raw_hydro_bm!F2284,"")</f>
        <v/>
      </c>
      <c r="F2284" t="str">
        <f>IF(ROW(F2284)&lt;=Raw_hydro_bm!$J$2,Raw_hydro_bm!G2284,"")</f>
        <v/>
      </c>
      <c r="G2284" t="str">
        <f>IF(ROW(G2284)&lt;=Raw_hydro_bm!$J$2,Raw_hydro_bm!H2284,"")</f>
        <v/>
      </c>
      <c r="H2284" t="str">
        <f>IF(ROW(H2284)&lt;=Raw_hydro_bm!$J$2,Raw_hydro_bm!I2284,"")</f>
        <v/>
      </c>
      <c r="I2284" s="16" t="str">
        <f t="shared" si="35"/>
        <v/>
      </c>
    </row>
    <row r="2285" spans="1:9" x14ac:dyDescent="0.2">
      <c r="A2285" t="str">
        <f>IF(ROW(A2285)&lt;=Raw_hydro_bm!$J$2,Raw_hydro_bm!B2285,"")</f>
        <v/>
      </c>
      <c r="B2285" t="str">
        <f>IF(ROW(B2285)&lt;=Raw_hydro_bm!$J$2,Raw_hydro_bm!C2285,"")</f>
        <v/>
      </c>
      <c r="C2285" t="str">
        <f>IF(ROW(C2285)&lt;=Raw_hydro_bm!$J$2,Raw_hydro_bm!D2285,"")</f>
        <v/>
      </c>
      <c r="D2285" t="str">
        <f>IF(ROW(D2285)&lt;=Raw_hydro_bm!$J$2,Raw_hydro_bm!E2285,"")</f>
        <v/>
      </c>
      <c r="E2285" t="str">
        <f>IF(ROW(E2285)&lt;=Raw_hydro_bm!$J$2,Raw_hydro_bm!F2285,"")</f>
        <v/>
      </c>
      <c r="F2285" t="str">
        <f>IF(ROW(F2285)&lt;=Raw_hydro_bm!$J$2,Raw_hydro_bm!G2285,"")</f>
        <v/>
      </c>
      <c r="G2285" t="str">
        <f>IF(ROW(G2285)&lt;=Raw_hydro_bm!$J$2,Raw_hydro_bm!H2285,"")</f>
        <v/>
      </c>
      <c r="H2285" t="str">
        <f>IF(ROW(H2285)&lt;=Raw_hydro_bm!$J$2,Raw_hydro_bm!I2285,"")</f>
        <v/>
      </c>
      <c r="I2285" s="16" t="str">
        <f t="shared" si="35"/>
        <v/>
      </c>
    </row>
    <row r="2286" spans="1:9" x14ac:dyDescent="0.2">
      <c r="A2286" t="str">
        <f>IF(ROW(A2286)&lt;=Raw_hydro_bm!$J$2,Raw_hydro_bm!B2286,"")</f>
        <v/>
      </c>
      <c r="B2286" t="str">
        <f>IF(ROW(B2286)&lt;=Raw_hydro_bm!$J$2,Raw_hydro_bm!C2286,"")</f>
        <v/>
      </c>
      <c r="C2286" t="str">
        <f>IF(ROW(C2286)&lt;=Raw_hydro_bm!$J$2,Raw_hydro_bm!D2286,"")</f>
        <v/>
      </c>
      <c r="D2286" t="str">
        <f>IF(ROW(D2286)&lt;=Raw_hydro_bm!$J$2,Raw_hydro_bm!E2286,"")</f>
        <v/>
      </c>
      <c r="E2286" t="str">
        <f>IF(ROW(E2286)&lt;=Raw_hydro_bm!$J$2,Raw_hydro_bm!F2286,"")</f>
        <v/>
      </c>
      <c r="F2286" t="str">
        <f>IF(ROW(F2286)&lt;=Raw_hydro_bm!$J$2,Raw_hydro_bm!G2286,"")</f>
        <v/>
      </c>
      <c r="G2286" t="str">
        <f>IF(ROW(G2286)&lt;=Raw_hydro_bm!$J$2,Raw_hydro_bm!H2286,"")</f>
        <v/>
      </c>
      <c r="H2286" t="str">
        <f>IF(ROW(H2286)&lt;=Raw_hydro_bm!$J$2,Raw_hydro_bm!I2286,"")</f>
        <v/>
      </c>
      <c r="I2286" s="16" t="str">
        <f t="shared" si="35"/>
        <v/>
      </c>
    </row>
    <row r="2287" spans="1:9" x14ac:dyDescent="0.2">
      <c r="A2287" t="str">
        <f>IF(ROW(A2287)&lt;=Raw_hydro_bm!$J$2,Raw_hydro_bm!B2287,"")</f>
        <v/>
      </c>
      <c r="B2287" t="str">
        <f>IF(ROW(B2287)&lt;=Raw_hydro_bm!$J$2,Raw_hydro_bm!C2287,"")</f>
        <v/>
      </c>
      <c r="C2287" t="str">
        <f>IF(ROW(C2287)&lt;=Raw_hydro_bm!$J$2,Raw_hydro_bm!D2287,"")</f>
        <v/>
      </c>
      <c r="D2287" t="str">
        <f>IF(ROW(D2287)&lt;=Raw_hydro_bm!$J$2,Raw_hydro_bm!E2287,"")</f>
        <v/>
      </c>
      <c r="E2287" t="str">
        <f>IF(ROW(E2287)&lt;=Raw_hydro_bm!$J$2,Raw_hydro_bm!F2287,"")</f>
        <v/>
      </c>
      <c r="F2287" t="str">
        <f>IF(ROW(F2287)&lt;=Raw_hydro_bm!$J$2,Raw_hydro_bm!G2287,"")</f>
        <v/>
      </c>
      <c r="G2287" t="str">
        <f>IF(ROW(G2287)&lt;=Raw_hydro_bm!$J$2,Raw_hydro_bm!H2287,"")</f>
        <v/>
      </c>
      <c r="H2287" t="str">
        <f>IF(ROW(H2287)&lt;=Raw_hydro_bm!$J$2,Raw_hydro_bm!I2287,"")</f>
        <v/>
      </c>
      <c r="I2287" s="16" t="str">
        <f t="shared" si="35"/>
        <v/>
      </c>
    </row>
    <row r="2288" spans="1:9" x14ac:dyDescent="0.2">
      <c r="A2288" t="str">
        <f>IF(ROW(A2288)&lt;=Raw_hydro_bm!$J$2,Raw_hydro_bm!B2288,"")</f>
        <v/>
      </c>
      <c r="B2288" t="str">
        <f>IF(ROW(B2288)&lt;=Raw_hydro_bm!$J$2,Raw_hydro_bm!C2288,"")</f>
        <v/>
      </c>
      <c r="C2288" t="str">
        <f>IF(ROW(C2288)&lt;=Raw_hydro_bm!$J$2,Raw_hydro_bm!D2288,"")</f>
        <v/>
      </c>
      <c r="D2288" t="str">
        <f>IF(ROW(D2288)&lt;=Raw_hydro_bm!$J$2,Raw_hydro_bm!E2288,"")</f>
        <v/>
      </c>
      <c r="E2288" t="str">
        <f>IF(ROW(E2288)&lt;=Raw_hydro_bm!$J$2,Raw_hydro_bm!F2288,"")</f>
        <v/>
      </c>
      <c r="F2288" t="str">
        <f>IF(ROW(F2288)&lt;=Raw_hydro_bm!$J$2,Raw_hydro_bm!G2288,"")</f>
        <v/>
      </c>
      <c r="G2288" t="str">
        <f>IF(ROW(G2288)&lt;=Raw_hydro_bm!$J$2,Raw_hydro_bm!H2288,"")</f>
        <v/>
      </c>
      <c r="H2288" t="str">
        <f>IF(ROW(H2288)&lt;=Raw_hydro_bm!$J$2,Raw_hydro_bm!I2288,"")</f>
        <v/>
      </c>
      <c r="I2288" s="16" t="str">
        <f t="shared" si="35"/>
        <v/>
      </c>
    </row>
    <row r="2289" spans="1:9" x14ac:dyDescent="0.2">
      <c r="A2289" t="str">
        <f>IF(ROW(A2289)&lt;=Raw_hydro_bm!$J$2,Raw_hydro_bm!B2289,"")</f>
        <v/>
      </c>
      <c r="B2289" t="str">
        <f>IF(ROW(B2289)&lt;=Raw_hydro_bm!$J$2,Raw_hydro_bm!C2289,"")</f>
        <v/>
      </c>
      <c r="C2289" t="str">
        <f>IF(ROW(C2289)&lt;=Raw_hydro_bm!$J$2,Raw_hydro_bm!D2289,"")</f>
        <v/>
      </c>
      <c r="D2289" t="str">
        <f>IF(ROW(D2289)&lt;=Raw_hydro_bm!$J$2,Raw_hydro_bm!E2289,"")</f>
        <v/>
      </c>
      <c r="E2289" t="str">
        <f>IF(ROW(E2289)&lt;=Raw_hydro_bm!$J$2,Raw_hydro_bm!F2289,"")</f>
        <v/>
      </c>
      <c r="F2289" t="str">
        <f>IF(ROW(F2289)&lt;=Raw_hydro_bm!$J$2,Raw_hydro_bm!G2289,"")</f>
        <v/>
      </c>
      <c r="G2289" t="str">
        <f>IF(ROW(G2289)&lt;=Raw_hydro_bm!$J$2,Raw_hydro_bm!H2289,"")</f>
        <v/>
      </c>
      <c r="H2289" t="str">
        <f>IF(ROW(H2289)&lt;=Raw_hydro_bm!$J$2,Raw_hydro_bm!I2289,"")</f>
        <v/>
      </c>
      <c r="I2289" s="16" t="str">
        <f t="shared" si="35"/>
        <v/>
      </c>
    </row>
    <row r="2290" spans="1:9" x14ac:dyDescent="0.2">
      <c r="A2290" t="str">
        <f>IF(ROW(A2290)&lt;=Raw_hydro_bm!$J$2,Raw_hydro_bm!B2290,"")</f>
        <v/>
      </c>
      <c r="B2290" t="str">
        <f>IF(ROW(B2290)&lt;=Raw_hydro_bm!$J$2,Raw_hydro_bm!C2290,"")</f>
        <v/>
      </c>
      <c r="C2290" t="str">
        <f>IF(ROW(C2290)&lt;=Raw_hydro_bm!$J$2,Raw_hydro_bm!D2290,"")</f>
        <v/>
      </c>
      <c r="D2290" t="str">
        <f>IF(ROW(D2290)&lt;=Raw_hydro_bm!$J$2,Raw_hydro_bm!E2290,"")</f>
        <v/>
      </c>
      <c r="E2290" t="str">
        <f>IF(ROW(E2290)&lt;=Raw_hydro_bm!$J$2,Raw_hydro_bm!F2290,"")</f>
        <v/>
      </c>
      <c r="F2290" t="str">
        <f>IF(ROW(F2290)&lt;=Raw_hydro_bm!$J$2,Raw_hydro_bm!G2290,"")</f>
        <v/>
      </c>
      <c r="G2290" t="str">
        <f>IF(ROW(G2290)&lt;=Raw_hydro_bm!$J$2,Raw_hydro_bm!H2290,"")</f>
        <v/>
      </c>
      <c r="H2290" t="str">
        <f>IF(ROW(H2290)&lt;=Raw_hydro_bm!$J$2,Raw_hydro_bm!I2290,"")</f>
        <v/>
      </c>
      <c r="I2290" s="16" t="str">
        <f t="shared" si="35"/>
        <v/>
      </c>
    </row>
    <row r="2291" spans="1:9" x14ac:dyDescent="0.2">
      <c r="A2291" t="str">
        <f>IF(ROW(A2291)&lt;=Raw_hydro_bm!$J$2,Raw_hydro_bm!B2291,"")</f>
        <v/>
      </c>
      <c r="B2291" t="str">
        <f>IF(ROW(B2291)&lt;=Raw_hydro_bm!$J$2,Raw_hydro_bm!C2291,"")</f>
        <v/>
      </c>
      <c r="C2291" t="str">
        <f>IF(ROW(C2291)&lt;=Raw_hydro_bm!$J$2,Raw_hydro_bm!D2291,"")</f>
        <v/>
      </c>
      <c r="D2291" t="str">
        <f>IF(ROW(D2291)&lt;=Raw_hydro_bm!$J$2,Raw_hydro_bm!E2291,"")</f>
        <v/>
      </c>
      <c r="E2291" t="str">
        <f>IF(ROW(E2291)&lt;=Raw_hydro_bm!$J$2,Raw_hydro_bm!F2291,"")</f>
        <v/>
      </c>
      <c r="F2291" t="str">
        <f>IF(ROW(F2291)&lt;=Raw_hydro_bm!$J$2,Raw_hydro_bm!G2291,"")</f>
        <v/>
      </c>
      <c r="G2291" t="str">
        <f>IF(ROW(G2291)&lt;=Raw_hydro_bm!$J$2,Raw_hydro_bm!H2291,"")</f>
        <v/>
      </c>
      <c r="H2291" t="str">
        <f>IF(ROW(H2291)&lt;=Raw_hydro_bm!$J$2,Raw_hydro_bm!I2291,"")</f>
        <v/>
      </c>
      <c r="I2291" s="16" t="str">
        <f t="shared" si="35"/>
        <v/>
      </c>
    </row>
    <row r="2292" spans="1:9" x14ac:dyDescent="0.2">
      <c r="A2292" t="str">
        <f>IF(ROW(A2292)&lt;=Raw_hydro_bm!$J$2,Raw_hydro_bm!B2292,"")</f>
        <v/>
      </c>
      <c r="B2292" t="str">
        <f>IF(ROW(B2292)&lt;=Raw_hydro_bm!$J$2,Raw_hydro_bm!C2292,"")</f>
        <v/>
      </c>
      <c r="C2292" t="str">
        <f>IF(ROW(C2292)&lt;=Raw_hydro_bm!$J$2,Raw_hydro_bm!D2292,"")</f>
        <v/>
      </c>
      <c r="D2292" t="str">
        <f>IF(ROW(D2292)&lt;=Raw_hydro_bm!$J$2,Raw_hydro_bm!E2292,"")</f>
        <v/>
      </c>
      <c r="E2292" t="str">
        <f>IF(ROW(E2292)&lt;=Raw_hydro_bm!$J$2,Raw_hydro_bm!F2292,"")</f>
        <v/>
      </c>
      <c r="F2292" t="str">
        <f>IF(ROW(F2292)&lt;=Raw_hydro_bm!$J$2,Raw_hydro_bm!G2292,"")</f>
        <v/>
      </c>
      <c r="G2292" t="str">
        <f>IF(ROW(G2292)&lt;=Raw_hydro_bm!$J$2,Raw_hydro_bm!H2292,"")</f>
        <v/>
      </c>
      <c r="H2292" t="str">
        <f>IF(ROW(H2292)&lt;=Raw_hydro_bm!$J$2,Raw_hydro_bm!I2292,"")</f>
        <v/>
      </c>
      <c r="I2292" s="16" t="str">
        <f t="shared" si="35"/>
        <v/>
      </c>
    </row>
    <row r="2293" spans="1:9" x14ac:dyDescent="0.2">
      <c r="A2293" t="str">
        <f>IF(ROW(A2293)&lt;=Raw_hydro_bm!$J$2,Raw_hydro_bm!B2293,"")</f>
        <v/>
      </c>
      <c r="B2293" t="str">
        <f>IF(ROW(B2293)&lt;=Raw_hydro_bm!$J$2,Raw_hydro_bm!C2293,"")</f>
        <v/>
      </c>
      <c r="C2293" t="str">
        <f>IF(ROW(C2293)&lt;=Raw_hydro_bm!$J$2,Raw_hydro_bm!D2293,"")</f>
        <v/>
      </c>
      <c r="D2293" t="str">
        <f>IF(ROW(D2293)&lt;=Raw_hydro_bm!$J$2,Raw_hydro_bm!E2293,"")</f>
        <v/>
      </c>
      <c r="E2293" t="str">
        <f>IF(ROW(E2293)&lt;=Raw_hydro_bm!$J$2,Raw_hydro_bm!F2293,"")</f>
        <v/>
      </c>
      <c r="F2293" t="str">
        <f>IF(ROW(F2293)&lt;=Raw_hydro_bm!$J$2,Raw_hydro_bm!G2293,"")</f>
        <v/>
      </c>
      <c r="G2293" t="str">
        <f>IF(ROW(G2293)&lt;=Raw_hydro_bm!$J$2,Raw_hydro_bm!H2293,"")</f>
        <v/>
      </c>
      <c r="H2293" t="str">
        <f>IF(ROW(H2293)&lt;=Raw_hydro_bm!$J$2,Raw_hydro_bm!I2293,"")</f>
        <v/>
      </c>
      <c r="I2293" s="16" t="str">
        <f t="shared" si="35"/>
        <v/>
      </c>
    </row>
    <row r="2294" spans="1:9" x14ac:dyDescent="0.2">
      <c r="A2294" t="str">
        <f>IF(ROW(A2294)&lt;=Raw_hydro_bm!$J$2,Raw_hydro_bm!B2294,"")</f>
        <v/>
      </c>
      <c r="B2294" t="str">
        <f>IF(ROW(B2294)&lt;=Raw_hydro_bm!$J$2,Raw_hydro_bm!C2294,"")</f>
        <v/>
      </c>
      <c r="C2294" t="str">
        <f>IF(ROW(C2294)&lt;=Raw_hydro_bm!$J$2,Raw_hydro_bm!D2294,"")</f>
        <v/>
      </c>
      <c r="D2294" t="str">
        <f>IF(ROW(D2294)&lt;=Raw_hydro_bm!$J$2,Raw_hydro_bm!E2294,"")</f>
        <v/>
      </c>
      <c r="E2294" t="str">
        <f>IF(ROW(E2294)&lt;=Raw_hydro_bm!$J$2,Raw_hydro_bm!F2294,"")</f>
        <v/>
      </c>
      <c r="F2294" t="str">
        <f>IF(ROW(F2294)&lt;=Raw_hydro_bm!$J$2,Raw_hydro_bm!G2294,"")</f>
        <v/>
      </c>
      <c r="G2294" t="str">
        <f>IF(ROW(G2294)&lt;=Raw_hydro_bm!$J$2,Raw_hydro_bm!H2294,"")</f>
        <v/>
      </c>
      <c r="H2294" t="str">
        <f>IF(ROW(H2294)&lt;=Raw_hydro_bm!$J$2,Raw_hydro_bm!I2294,"")</f>
        <v/>
      </c>
      <c r="I2294" s="16" t="str">
        <f t="shared" si="35"/>
        <v/>
      </c>
    </row>
    <row r="2295" spans="1:9" x14ac:dyDescent="0.2">
      <c r="A2295" t="str">
        <f>IF(ROW(A2295)&lt;=Raw_hydro_bm!$J$2,Raw_hydro_bm!B2295,"")</f>
        <v/>
      </c>
      <c r="B2295" t="str">
        <f>IF(ROW(B2295)&lt;=Raw_hydro_bm!$J$2,Raw_hydro_bm!C2295,"")</f>
        <v/>
      </c>
      <c r="C2295" t="str">
        <f>IF(ROW(C2295)&lt;=Raw_hydro_bm!$J$2,Raw_hydro_bm!D2295,"")</f>
        <v/>
      </c>
      <c r="D2295" t="str">
        <f>IF(ROW(D2295)&lt;=Raw_hydro_bm!$J$2,Raw_hydro_bm!E2295,"")</f>
        <v/>
      </c>
      <c r="E2295" t="str">
        <f>IF(ROW(E2295)&lt;=Raw_hydro_bm!$J$2,Raw_hydro_bm!F2295,"")</f>
        <v/>
      </c>
      <c r="F2295" t="str">
        <f>IF(ROW(F2295)&lt;=Raw_hydro_bm!$J$2,Raw_hydro_bm!G2295,"")</f>
        <v/>
      </c>
      <c r="G2295" t="str">
        <f>IF(ROW(G2295)&lt;=Raw_hydro_bm!$J$2,Raw_hydro_bm!H2295,"")</f>
        <v/>
      </c>
      <c r="H2295" t="str">
        <f>IF(ROW(H2295)&lt;=Raw_hydro_bm!$J$2,Raw_hydro_bm!I2295,"")</f>
        <v/>
      </c>
      <c r="I2295" s="16" t="str">
        <f t="shared" si="35"/>
        <v/>
      </c>
    </row>
    <row r="2296" spans="1:9" x14ac:dyDescent="0.2">
      <c r="A2296" t="str">
        <f>IF(ROW(A2296)&lt;=Raw_hydro_bm!$J$2,Raw_hydro_bm!B2296,"")</f>
        <v/>
      </c>
      <c r="B2296" t="str">
        <f>IF(ROW(B2296)&lt;=Raw_hydro_bm!$J$2,Raw_hydro_bm!C2296,"")</f>
        <v/>
      </c>
      <c r="C2296" t="str">
        <f>IF(ROW(C2296)&lt;=Raw_hydro_bm!$J$2,Raw_hydro_bm!D2296,"")</f>
        <v/>
      </c>
      <c r="D2296" t="str">
        <f>IF(ROW(D2296)&lt;=Raw_hydro_bm!$J$2,Raw_hydro_bm!E2296,"")</f>
        <v/>
      </c>
      <c r="E2296" t="str">
        <f>IF(ROW(E2296)&lt;=Raw_hydro_bm!$J$2,Raw_hydro_bm!F2296,"")</f>
        <v/>
      </c>
      <c r="F2296" t="str">
        <f>IF(ROW(F2296)&lt;=Raw_hydro_bm!$J$2,Raw_hydro_bm!G2296,"")</f>
        <v/>
      </c>
      <c r="G2296" t="str">
        <f>IF(ROW(G2296)&lt;=Raw_hydro_bm!$J$2,Raw_hydro_bm!H2296,"")</f>
        <v/>
      </c>
      <c r="H2296" t="str">
        <f>IF(ROW(H2296)&lt;=Raw_hydro_bm!$J$2,Raw_hydro_bm!I2296,"")</f>
        <v/>
      </c>
      <c r="I2296" s="16" t="str">
        <f t="shared" si="35"/>
        <v/>
      </c>
    </row>
    <row r="2297" spans="1:9" x14ac:dyDescent="0.2">
      <c r="A2297" t="str">
        <f>IF(ROW(A2297)&lt;=Raw_hydro_bm!$J$2,Raw_hydro_bm!B2297,"")</f>
        <v/>
      </c>
      <c r="B2297" t="str">
        <f>IF(ROW(B2297)&lt;=Raw_hydro_bm!$J$2,Raw_hydro_bm!C2297,"")</f>
        <v/>
      </c>
      <c r="C2297" t="str">
        <f>IF(ROW(C2297)&lt;=Raw_hydro_bm!$J$2,Raw_hydro_bm!D2297,"")</f>
        <v/>
      </c>
      <c r="D2297" t="str">
        <f>IF(ROW(D2297)&lt;=Raw_hydro_bm!$J$2,Raw_hydro_bm!E2297,"")</f>
        <v/>
      </c>
      <c r="E2297" t="str">
        <f>IF(ROW(E2297)&lt;=Raw_hydro_bm!$J$2,Raw_hydro_bm!F2297,"")</f>
        <v/>
      </c>
      <c r="F2297" t="str">
        <f>IF(ROW(F2297)&lt;=Raw_hydro_bm!$J$2,Raw_hydro_bm!G2297,"")</f>
        <v/>
      </c>
      <c r="G2297" t="str">
        <f>IF(ROW(G2297)&lt;=Raw_hydro_bm!$J$2,Raw_hydro_bm!H2297,"")</f>
        <v/>
      </c>
      <c r="H2297" t="str">
        <f>IF(ROW(H2297)&lt;=Raw_hydro_bm!$J$2,Raw_hydro_bm!I2297,"")</f>
        <v/>
      </c>
      <c r="I2297" s="16" t="str">
        <f t="shared" si="35"/>
        <v/>
      </c>
    </row>
    <row r="2298" spans="1:9" x14ac:dyDescent="0.2">
      <c r="A2298" t="str">
        <f>IF(ROW(A2298)&lt;=Raw_hydro_bm!$J$2,Raw_hydro_bm!B2298,"")</f>
        <v/>
      </c>
      <c r="B2298" t="str">
        <f>IF(ROW(B2298)&lt;=Raw_hydro_bm!$J$2,Raw_hydro_bm!C2298,"")</f>
        <v/>
      </c>
      <c r="C2298" t="str">
        <f>IF(ROW(C2298)&lt;=Raw_hydro_bm!$J$2,Raw_hydro_bm!D2298,"")</f>
        <v/>
      </c>
      <c r="D2298" t="str">
        <f>IF(ROW(D2298)&lt;=Raw_hydro_bm!$J$2,Raw_hydro_bm!E2298,"")</f>
        <v/>
      </c>
      <c r="E2298" t="str">
        <f>IF(ROW(E2298)&lt;=Raw_hydro_bm!$J$2,Raw_hydro_bm!F2298,"")</f>
        <v/>
      </c>
      <c r="F2298" t="str">
        <f>IF(ROW(F2298)&lt;=Raw_hydro_bm!$J$2,Raw_hydro_bm!G2298,"")</f>
        <v/>
      </c>
      <c r="G2298" t="str">
        <f>IF(ROW(G2298)&lt;=Raw_hydro_bm!$J$2,Raw_hydro_bm!H2298,"")</f>
        <v/>
      </c>
      <c r="H2298" t="str">
        <f>IF(ROW(H2298)&lt;=Raw_hydro_bm!$J$2,Raw_hydro_bm!I2298,"")</f>
        <v/>
      </c>
      <c r="I2298" s="16" t="str">
        <f t="shared" si="35"/>
        <v/>
      </c>
    </row>
    <row r="2299" spans="1:9" x14ac:dyDescent="0.2">
      <c r="A2299" t="str">
        <f>IF(ROW(A2299)&lt;=Raw_hydro_bm!$J$2,Raw_hydro_bm!B2299,"")</f>
        <v/>
      </c>
      <c r="B2299" t="str">
        <f>IF(ROW(B2299)&lt;=Raw_hydro_bm!$J$2,Raw_hydro_bm!C2299,"")</f>
        <v/>
      </c>
      <c r="C2299" t="str">
        <f>IF(ROW(C2299)&lt;=Raw_hydro_bm!$J$2,Raw_hydro_bm!D2299,"")</f>
        <v/>
      </c>
      <c r="D2299" t="str">
        <f>IF(ROW(D2299)&lt;=Raw_hydro_bm!$J$2,Raw_hydro_bm!E2299,"")</f>
        <v/>
      </c>
      <c r="E2299" t="str">
        <f>IF(ROW(E2299)&lt;=Raw_hydro_bm!$J$2,Raw_hydro_bm!F2299,"")</f>
        <v/>
      </c>
      <c r="F2299" t="str">
        <f>IF(ROW(F2299)&lt;=Raw_hydro_bm!$J$2,Raw_hydro_bm!G2299,"")</f>
        <v/>
      </c>
      <c r="G2299" t="str">
        <f>IF(ROW(G2299)&lt;=Raw_hydro_bm!$J$2,Raw_hydro_bm!H2299,"")</f>
        <v/>
      </c>
      <c r="H2299" t="str">
        <f>IF(ROW(H2299)&lt;=Raw_hydro_bm!$J$2,Raw_hydro_bm!I2299,"")</f>
        <v/>
      </c>
      <c r="I2299" s="16" t="str">
        <f t="shared" si="35"/>
        <v/>
      </c>
    </row>
    <row r="2300" spans="1:9" x14ac:dyDescent="0.2">
      <c r="A2300" t="str">
        <f>IF(ROW(A2300)&lt;=Raw_hydro_bm!$J$2,Raw_hydro_bm!B2300,"")</f>
        <v/>
      </c>
      <c r="B2300" t="str">
        <f>IF(ROW(B2300)&lt;=Raw_hydro_bm!$J$2,Raw_hydro_bm!C2300,"")</f>
        <v/>
      </c>
      <c r="C2300" t="str">
        <f>IF(ROW(C2300)&lt;=Raw_hydro_bm!$J$2,Raw_hydro_bm!D2300,"")</f>
        <v/>
      </c>
      <c r="D2300" t="str">
        <f>IF(ROW(D2300)&lt;=Raw_hydro_bm!$J$2,Raw_hydro_bm!E2300,"")</f>
        <v/>
      </c>
      <c r="E2300" t="str">
        <f>IF(ROW(E2300)&lt;=Raw_hydro_bm!$J$2,Raw_hydro_bm!F2300,"")</f>
        <v/>
      </c>
      <c r="F2300" t="str">
        <f>IF(ROW(F2300)&lt;=Raw_hydro_bm!$J$2,Raw_hydro_bm!G2300,"")</f>
        <v/>
      </c>
      <c r="G2300" t="str">
        <f>IF(ROW(G2300)&lt;=Raw_hydro_bm!$J$2,Raw_hydro_bm!H2300,"")</f>
        <v/>
      </c>
      <c r="H2300" t="str">
        <f>IF(ROW(H2300)&lt;=Raw_hydro_bm!$J$2,Raw_hydro_bm!I2300,"")</f>
        <v/>
      </c>
      <c r="I2300" s="16" t="str">
        <f t="shared" si="35"/>
        <v/>
      </c>
    </row>
    <row r="2301" spans="1:9" x14ac:dyDescent="0.2">
      <c r="A2301" t="str">
        <f>IF(ROW(A2301)&lt;=Raw_hydro_bm!$J$2,Raw_hydro_bm!B2301,"")</f>
        <v/>
      </c>
      <c r="B2301" t="str">
        <f>IF(ROW(B2301)&lt;=Raw_hydro_bm!$J$2,Raw_hydro_bm!C2301,"")</f>
        <v/>
      </c>
      <c r="C2301" t="str">
        <f>IF(ROW(C2301)&lt;=Raw_hydro_bm!$J$2,Raw_hydro_bm!D2301,"")</f>
        <v/>
      </c>
      <c r="D2301" t="str">
        <f>IF(ROW(D2301)&lt;=Raw_hydro_bm!$J$2,Raw_hydro_bm!E2301,"")</f>
        <v/>
      </c>
      <c r="E2301" t="str">
        <f>IF(ROW(E2301)&lt;=Raw_hydro_bm!$J$2,Raw_hydro_bm!F2301,"")</f>
        <v/>
      </c>
      <c r="F2301" t="str">
        <f>IF(ROW(F2301)&lt;=Raw_hydro_bm!$J$2,Raw_hydro_bm!G2301,"")</f>
        <v/>
      </c>
      <c r="G2301" t="str">
        <f>IF(ROW(G2301)&lt;=Raw_hydro_bm!$J$2,Raw_hydro_bm!H2301,"")</f>
        <v/>
      </c>
      <c r="H2301" t="str">
        <f>IF(ROW(H2301)&lt;=Raw_hydro_bm!$J$2,Raw_hydro_bm!I2301,"")</f>
        <v/>
      </c>
      <c r="I2301" s="16" t="str">
        <f t="shared" si="35"/>
        <v/>
      </c>
    </row>
    <row r="2302" spans="1:9" x14ac:dyDescent="0.2">
      <c r="A2302" t="str">
        <f>IF(ROW(A2302)&lt;=Raw_hydro_bm!$J$2,Raw_hydro_bm!B2302,"")</f>
        <v/>
      </c>
      <c r="B2302" t="str">
        <f>IF(ROW(B2302)&lt;=Raw_hydro_bm!$J$2,Raw_hydro_bm!C2302,"")</f>
        <v/>
      </c>
      <c r="C2302" t="str">
        <f>IF(ROW(C2302)&lt;=Raw_hydro_bm!$J$2,Raw_hydro_bm!D2302,"")</f>
        <v/>
      </c>
      <c r="D2302" t="str">
        <f>IF(ROW(D2302)&lt;=Raw_hydro_bm!$J$2,Raw_hydro_bm!E2302,"")</f>
        <v/>
      </c>
      <c r="E2302" t="str">
        <f>IF(ROW(E2302)&lt;=Raw_hydro_bm!$J$2,Raw_hydro_bm!F2302,"")</f>
        <v/>
      </c>
      <c r="F2302" t="str">
        <f>IF(ROW(F2302)&lt;=Raw_hydro_bm!$J$2,Raw_hydro_bm!G2302,"")</f>
        <v/>
      </c>
      <c r="G2302" t="str">
        <f>IF(ROW(G2302)&lt;=Raw_hydro_bm!$J$2,Raw_hydro_bm!H2302,"")</f>
        <v/>
      </c>
      <c r="H2302" t="str">
        <f>IF(ROW(H2302)&lt;=Raw_hydro_bm!$J$2,Raw_hydro_bm!I2302,"")</f>
        <v/>
      </c>
      <c r="I2302" s="16" t="str">
        <f t="shared" si="35"/>
        <v/>
      </c>
    </row>
    <row r="2303" spans="1:9" x14ac:dyDescent="0.2">
      <c r="A2303" t="str">
        <f>IF(ROW(A2303)&lt;=Raw_hydro_bm!$J$2,Raw_hydro_bm!B2303,"")</f>
        <v/>
      </c>
      <c r="B2303" t="str">
        <f>IF(ROW(B2303)&lt;=Raw_hydro_bm!$J$2,Raw_hydro_bm!C2303,"")</f>
        <v/>
      </c>
      <c r="C2303" t="str">
        <f>IF(ROW(C2303)&lt;=Raw_hydro_bm!$J$2,Raw_hydro_bm!D2303,"")</f>
        <v/>
      </c>
      <c r="D2303" t="str">
        <f>IF(ROW(D2303)&lt;=Raw_hydro_bm!$J$2,Raw_hydro_bm!E2303,"")</f>
        <v/>
      </c>
      <c r="E2303" t="str">
        <f>IF(ROW(E2303)&lt;=Raw_hydro_bm!$J$2,Raw_hydro_bm!F2303,"")</f>
        <v/>
      </c>
      <c r="F2303" t="str">
        <f>IF(ROW(F2303)&lt;=Raw_hydro_bm!$J$2,Raw_hydro_bm!G2303,"")</f>
        <v/>
      </c>
      <c r="G2303" t="str">
        <f>IF(ROW(G2303)&lt;=Raw_hydro_bm!$J$2,Raw_hydro_bm!H2303,"")</f>
        <v/>
      </c>
      <c r="H2303" t="str">
        <f>IF(ROW(H2303)&lt;=Raw_hydro_bm!$J$2,Raw_hydro_bm!I2303,"")</f>
        <v/>
      </c>
      <c r="I2303" s="16" t="str">
        <f t="shared" si="35"/>
        <v/>
      </c>
    </row>
    <row r="2304" spans="1:9" x14ac:dyDescent="0.2">
      <c r="A2304" t="str">
        <f>IF(ROW(A2304)&lt;=Raw_hydro_bm!$J$2,Raw_hydro_bm!B2304,"")</f>
        <v/>
      </c>
      <c r="B2304" t="str">
        <f>IF(ROW(B2304)&lt;=Raw_hydro_bm!$J$2,Raw_hydro_bm!C2304,"")</f>
        <v/>
      </c>
      <c r="C2304" t="str">
        <f>IF(ROW(C2304)&lt;=Raw_hydro_bm!$J$2,Raw_hydro_bm!D2304,"")</f>
        <v/>
      </c>
      <c r="D2304" t="str">
        <f>IF(ROW(D2304)&lt;=Raw_hydro_bm!$J$2,Raw_hydro_bm!E2304,"")</f>
        <v/>
      </c>
      <c r="E2304" t="str">
        <f>IF(ROW(E2304)&lt;=Raw_hydro_bm!$J$2,Raw_hydro_bm!F2304,"")</f>
        <v/>
      </c>
      <c r="F2304" t="str">
        <f>IF(ROW(F2304)&lt;=Raw_hydro_bm!$J$2,Raw_hydro_bm!G2304,"")</f>
        <v/>
      </c>
      <c r="G2304" t="str">
        <f>IF(ROW(G2304)&lt;=Raw_hydro_bm!$J$2,Raw_hydro_bm!H2304,"")</f>
        <v/>
      </c>
      <c r="H2304" t="str">
        <f>IF(ROW(H2304)&lt;=Raw_hydro_bm!$J$2,Raw_hydro_bm!I2304,"")</f>
        <v/>
      </c>
      <c r="I2304" s="16" t="str">
        <f t="shared" si="35"/>
        <v/>
      </c>
    </row>
    <row r="2305" spans="1:9" x14ac:dyDescent="0.2">
      <c r="A2305" t="str">
        <f>IF(ROW(A2305)&lt;=Raw_hydro_bm!$J$2,Raw_hydro_bm!B2305,"")</f>
        <v/>
      </c>
      <c r="B2305" t="str">
        <f>IF(ROW(B2305)&lt;=Raw_hydro_bm!$J$2,Raw_hydro_bm!C2305,"")</f>
        <v/>
      </c>
      <c r="C2305" t="str">
        <f>IF(ROW(C2305)&lt;=Raw_hydro_bm!$J$2,Raw_hydro_bm!D2305,"")</f>
        <v/>
      </c>
      <c r="D2305" t="str">
        <f>IF(ROW(D2305)&lt;=Raw_hydro_bm!$J$2,Raw_hydro_bm!E2305,"")</f>
        <v/>
      </c>
      <c r="E2305" t="str">
        <f>IF(ROW(E2305)&lt;=Raw_hydro_bm!$J$2,Raw_hydro_bm!F2305,"")</f>
        <v/>
      </c>
      <c r="F2305" t="str">
        <f>IF(ROW(F2305)&lt;=Raw_hydro_bm!$J$2,Raw_hydro_bm!G2305,"")</f>
        <v/>
      </c>
      <c r="G2305" t="str">
        <f>IF(ROW(G2305)&lt;=Raw_hydro_bm!$J$2,Raw_hydro_bm!H2305,"")</f>
        <v/>
      </c>
      <c r="H2305" t="str">
        <f>IF(ROW(H2305)&lt;=Raw_hydro_bm!$J$2,Raw_hydro_bm!I2305,"")</f>
        <v/>
      </c>
      <c r="I2305" s="16" t="str">
        <f t="shared" si="35"/>
        <v/>
      </c>
    </row>
    <row r="2306" spans="1:9" x14ac:dyDescent="0.2">
      <c r="A2306" t="str">
        <f>IF(ROW(A2306)&lt;=Raw_hydro_bm!$J$2,Raw_hydro_bm!B2306,"")</f>
        <v/>
      </c>
      <c r="B2306" t="str">
        <f>IF(ROW(B2306)&lt;=Raw_hydro_bm!$J$2,Raw_hydro_bm!C2306,"")</f>
        <v/>
      </c>
      <c r="C2306" t="str">
        <f>IF(ROW(C2306)&lt;=Raw_hydro_bm!$J$2,Raw_hydro_bm!D2306,"")</f>
        <v/>
      </c>
      <c r="D2306" t="str">
        <f>IF(ROW(D2306)&lt;=Raw_hydro_bm!$J$2,Raw_hydro_bm!E2306,"")</f>
        <v/>
      </c>
      <c r="E2306" t="str">
        <f>IF(ROW(E2306)&lt;=Raw_hydro_bm!$J$2,Raw_hydro_bm!F2306,"")</f>
        <v/>
      </c>
      <c r="F2306" t="str">
        <f>IF(ROW(F2306)&lt;=Raw_hydro_bm!$J$2,Raw_hydro_bm!G2306,"")</f>
        <v/>
      </c>
      <c r="G2306" t="str">
        <f>IF(ROW(G2306)&lt;=Raw_hydro_bm!$J$2,Raw_hydro_bm!H2306,"")</f>
        <v/>
      </c>
      <c r="H2306" t="str">
        <f>IF(ROW(H2306)&lt;=Raw_hydro_bm!$J$2,Raw_hydro_bm!I2306,"")</f>
        <v/>
      </c>
      <c r="I2306" s="16" t="str">
        <f t="shared" ref="I2306:I2369" si="36">IF(IFERROR(FIND("e",H2306),-1)&lt;0,IFERROR(_xlfn.NUMBERVALUE(LEFT(H2306,FIND(".",H2306)-1))+_xlfn.NUMBERVALUE("0,"&amp;RIGHT(H2306,LEN(H2306)-FIND(".",H2306))),""),0)</f>
        <v/>
      </c>
    </row>
    <row r="2307" spans="1:9" x14ac:dyDescent="0.2">
      <c r="A2307" t="str">
        <f>IF(ROW(A2307)&lt;=Raw_hydro_bm!$J$2,Raw_hydro_bm!B2307,"")</f>
        <v/>
      </c>
      <c r="B2307" t="str">
        <f>IF(ROW(B2307)&lt;=Raw_hydro_bm!$J$2,Raw_hydro_bm!C2307,"")</f>
        <v/>
      </c>
      <c r="C2307" t="str">
        <f>IF(ROW(C2307)&lt;=Raw_hydro_bm!$J$2,Raw_hydro_bm!D2307,"")</f>
        <v/>
      </c>
      <c r="D2307" t="str">
        <f>IF(ROW(D2307)&lt;=Raw_hydro_bm!$J$2,Raw_hydro_bm!E2307,"")</f>
        <v/>
      </c>
      <c r="E2307" t="str">
        <f>IF(ROW(E2307)&lt;=Raw_hydro_bm!$J$2,Raw_hydro_bm!F2307,"")</f>
        <v/>
      </c>
      <c r="F2307" t="str">
        <f>IF(ROW(F2307)&lt;=Raw_hydro_bm!$J$2,Raw_hydro_bm!G2307,"")</f>
        <v/>
      </c>
      <c r="G2307" t="str">
        <f>IF(ROW(G2307)&lt;=Raw_hydro_bm!$J$2,Raw_hydro_bm!H2307,"")</f>
        <v/>
      </c>
      <c r="H2307" t="str">
        <f>IF(ROW(H2307)&lt;=Raw_hydro_bm!$J$2,Raw_hydro_bm!I2307,"")</f>
        <v/>
      </c>
      <c r="I2307" s="16" t="str">
        <f t="shared" si="36"/>
        <v/>
      </c>
    </row>
    <row r="2308" spans="1:9" x14ac:dyDescent="0.2">
      <c r="A2308" t="str">
        <f>IF(ROW(A2308)&lt;=Raw_hydro_bm!$J$2,Raw_hydro_bm!B2308,"")</f>
        <v/>
      </c>
      <c r="B2308" t="str">
        <f>IF(ROW(B2308)&lt;=Raw_hydro_bm!$J$2,Raw_hydro_bm!C2308,"")</f>
        <v/>
      </c>
      <c r="C2308" t="str">
        <f>IF(ROW(C2308)&lt;=Raw_hydro_bm!$J$2,Raw_hydro_bm!D2308,"")</f>
        <v/>
      </c>
      <c r="D2308" t="str">
        <f>IF(ROW(D2308)&lt;=Raw_hydro_bm!$J$2,Raw_hydro_bm!E2308,"")</f>
        <v/>
      </c>
      <c r="E2308" t="str">
        <f>IF(ROW(E2308)&lt;=Raw_hydro_bm!$J$2,Raw_hydro_bm!F2308,"")</f>
        <v/>
      </c>
      <c r="F2308" t="str">
        <f>IF(ROW(F2308)&lt;=Raw_hydro_bm!$J$2,Raw_hydro_bm!G2308,"")</f>
        <v/>
      </c>
      <c r="G2308" t="str">
        <f>IF(ROW(G2308)&lt;=Raw_hydro_bm!$J$2,Raw_hydro_bm!H2308,"")</f>
        <v/>
      </c>
      <c r="H2308" t="str">
        <f>IF(ROW(H2308)&lt;=Raw_hydro_bm!$J$2,Raw_hydro_bm!I2308,"")</f>
        <v/>
      </c>
      <c r="I2308" s="16" t="str">
        <f t="shared" si="36"/>
        <v/>
      </c>
    </row>
    <row r="2309" spans="1:9" x14ac:dyDescent="0.2">
      <c r="A2309" t="str">
        <f>IF(ROW(A2309)&lt;=Raw_hydro_bm!$J$2,Raw_hydro_bm!B2309,"")</f>
        <v/>
      </c>
      <c r="B2309" t="str">
        <f>IF(ROW(B2309)&lt;=Raw_hydro_bm!$J$2,Raw_hydro_bm!C2309,"")</f>
        <v/>
      </c>
      <c r="C2309" t="str">
        <f>IF(ROW(C2309)&lt;=Raw_hydro_bm!$J$2,Raw_hydro_bm!D2309,"")</f>
        <v/>
      </c>
      <c r="D2309" t="str">
        <f>IF(ROW(D2309)&lt;=Raw_hydro_bm!$J$2,Raw_hydro_bm!E2309,"")</f>
        <v/>
      </c>
      <c r="E2309" t="str">
        <f>IF(ROW(E2309)&lt;=Raw_hydro_bm!$J$2,Raw_hydro_bm!F2309,"")</f>
        <v/>
      </c>
      <c r="F2309" t="str">
        <f>IF(ROW(F2309)&lt;=Raw_hydro_bm!$J$2,Raw_hydro_bm!G2309,"")</f>
        <v/>
      </c>
      <c r="G2309" t="str">
        <f>IF(ROW(G2309)&lt;=Raw_hydro_bm!$J$2,Raw_hydro_bm!H2309,"")</f>
        <v/>
      </c>
      <c r="H2309" t="str">
        <f>IF(ROW(H2309)&lt;=Raw_hydro_bm!$J$2,Raw_hydro_bm!I2309,"")</f>
        <v/>
      </c>
      <c r="I2309" s="16" t="str">
        <f t="shared" si="36"/>
        <v/>
      </c>
    </row>
    <row r="2310" spans="1:9" x14ac:dyDescent="0.2">
      <c r="A2310" t="str">
        <f>IF(ROW(A2310)&lt;=Raw_hydro_bm!$J$2,Raw_hydro_bm!B2310,"")</f>
        <v/>
      </c>
      <c r="B2310" t="str">
        <f>IF(ROW(B2310)&lt;=Raw_hydro_bm!$J$2,Raw_hydro_bm!C2310,"")</f>
        <v/>
      </c>
      <c r="C2310" t="str">
        <f>IF(ROW(C2310)&lt;=Raw_hydro_bm!$J$2,Raw_hydro_bm!D2310,"")</f>
        <v/>
      </c>
      <c r="D2310" t="str">
        <f>IF(ROW(D2310)&lt;=Raw_hydro_bm!$J$2,Raw_hydro_bm!E2310,"")</f>
        <v/>
      </c>
      <c r="E2310" t="str">
        <f>IF(ROW(E2310)&lt;=Raw_hydro_bm!$J$2,Raw_hydro_bm!F2310,"")</f>
        <v/>
      </c>
      <c r="F2310" t="str">
        <f>IF(ROW(F2310)&lt;=Raw_hydro_bm!$J$2,Raw_hydro_bm!G2310,"")</f>
        <v/>
      </c>
      <c r="G2310" t="str">
        <f>IF(ROW(G2310)&lt;=Raw_hydro_bm!$J$2,Raw_hydro_bm!H2310,"")</f>
        <v/>
      </c>
      <c r="H2310" t="str">
        <f>IF(ROW(H2310)&lt;=Raw_hydro_bm!$J$2,Raw_hydro_bm!I2310,"")</f>
        <v/>
      </c>
      <c r="I2310" s="16" t="str">
        <f t="shared" si="36"/>
        <v/>
      </c>
    </row>
    <row r="2311" spans="1:9" x14ac:dyDescent="0.2">
      <c r="A2311" t="str">
        <f>IF(ROW(A2311)&lt;=Raw_hydro_bm!$J$2,Raw_hydro_bm!B2311,"")</f>
        <v/>
      </c>
      <c r="B2311" t="str">
        <f>IF(ROW(B2311)&lt;=Raw_hydro_bm!$J$2,Raw_hydro_bm!C2311,"")</f>
        <v/>
      </c>
      <c r="C2311" t="str">
        <f>IF(ROW(C2311)&lt;=Raw_hydro_bm!$J$2,Raw_hydro_bm!D2311,"")</f>
        <v/>
      </c>
      <c r="D2311" t="str">
        <f>IF(ROW(D2311)&lt;=Raw_hydro_bm!$J$2,Raw_hydro_bm!E2311,"")</f>
        <v/>
      </c>
      <c r="E2311" t="str">
        <f>IF(ROW(E2311)&lt;=Raw_hydro_bm!$J$2,Raw_hydro_bm!F2311,"")</f>
        <v/>
      </c>
      <c r="F2311" t="str">
        <f>IF(ROW(F2311)&lt;=Raw_hydro_bm!$J$2,Raw_hydro_bm!G2311,"")</f>
        <v/>
      </c>
      <c r="G2311" t="str">
        <f>IF(ROW(G2311)&lt;=Raw_hydro_bm!$J$2,Raw_hydro_bm!H2311,"")</f>
        <v/>
      </c>
      <c r="H2311" t="str">
        <f>IF(ROW(H2311)&lt;=Raw_hydro_bm!$J$2,Raw_hydro_bm!I2311,"")</f>
        <v/>
      </c>
      <c r="I2311" s="16" t="str">
        <f t="shared" si="36"/>
        <v/>
      </c>
    </row>
    <row r="2312" spans="1:9" x14ac:dyDescent="0.2">
      <c r="A2312" t="str">
        <f>IF(ROW(A2312)&lt;=Raw_hydro_bm!$J$2,Raw_hydro_bm!B2312,"")</f>
        <v/>
      </c>
      <c r="B2312" t="str">
        <f>IF(ROW(B2312)&lt;=Raw_hydro_bm!$J$2,Raw_hydro_bm!C2312,"")</f>
        <v/>
      </c>
      <c r="C2312" t="str">
        <f>IF(ROW(C2312)&lt;=Raw_hydro_bm!$J$2,Raw_hydro_bm!D2312,"")</f>
        <v/>
      </c>
      <c r="D2312" t="str">
        <f>IF(ROW(D2312)&lt;=Raw_hydro_bm!$J$2,Raw_hydro_bm!E2312,"")</f>
        <v/>
      </c>
      <c r="E2312" t="str">
        <f>IF(ROW(E2312)&lt;=Raw_hydro_bm!$J$2,Raw_hydro_bm!F2312,"")</f>
        <v/>
      </c>
      <c r="F2312" t="str">
        <f>IF(ROW(F2312)&lt;=Raw_hydro_bm!$J$2,Raw_hydro_bm!G2312,"")</f>
        <v/>
      </c>
      <c r="G2312" t="str">
        <f>IF(ROW(G2312)&lt;=Raw_hydro_bm!$J$2,Raw_hydro_bm!H2312,"")</f>
        <v/>
      </c>
      <c r="H2312" t="str">
        <f>IF(ROW(H2312)&lt;=Raw_hydro_bm!$J$2,Raw_hydro_bm!I2312,"")</f>
        <v/>
      </c>
      <c r="I2312" s="16" t="str">
        <f t="shared" si="36"/>
        <v/>
      </c>
    </row>
    <row r="2313" spans="1:9" x14ac:dyDescent="0.2">
      <c r="A2313" t="str">
        <f>IF(ROW(A2313)&lt;=Raw_hydro_bm!$J$2,Raw_hydro_bm!B2313,"")</f>
        <v/>
      </c>
      <c r="B2313" t="str">
        <f>IF(ROW(B2313)&lt;=Raw_hydro_bm!$J$2,Raw_hydro_bm!C2313,"")</f>
        <v/>
      </c>
      <c r="C2313" t="str">
        <f>IF(ROW(C2313)&lt;=Raw_hydro_bm!$J$2,Raw_hydro_bm!D2313,"")</f>
        <v/>
      </c>
      <c r="D2313" t="str">
        <f>IF(ROW(D2313)&lt;=Raw_hydro_bm!$J$2,Raw_hydro_bm!E2313,"")</f>
        <v/>
      </c>
      <c r="E2313" t="str">
        <f>IF(ROW(E2313)&lt;=Raw_hydro_bm!$J$2,Raw_hydro_bm!F2313,"")</f>
        <v/>
      </c>
      <c r="F2313" t="str">
        <f>IF(ROW(F2313)&lt;=Raw_hydro_bm!$J$2,Raw_hydro_bm!G2313,"")</f>
        <v/>
      </c>
      <c r="G2313" t="str">
        <f>IF(ROW(G2313)&lt;=Raw_hydro_bm!$J$2,Raw_hydro_bm!H2313,"")</f>
        <v/>
      </c>
      <c r="H2313" t="str">
        <f>IF(ROW(H2313)&lt;=Raw_hydro_bm!$J$2,Raw_hydro_bm!I2313,"")</f>
        <v/>
      </c>
      <c r="I2313" s="16" t="str">
        <f t="shared" si="36"/>
        <v/>
      </c>
    </row>
    <row r="2314" spans="1:9" x14ac:dyDescent="0.2">
      <c r="A2314" t="str">
        <f>IF(ROW(A2314)&lt;=Raw_hydro_bm!$J$2,Raw_hydro_bm!B2314,"")</f>
        <v/>
      </c>
      <c r="B2314" t="str">
        <f>IF(ROW(B2314)&lt;=Raw_hydro_bm!$J$2,Raw_hydro_bm!C2314,"")</f>
        <v/>
      </c>
      <c r="C2314" t="str">
        <f>IF(ROW(C2314)&lt;=Raw_hydro_bm!$J$2,Raw_hydro_bm!D2314,"")</f>
        <v/>
      </c>
      <c r="D2314" t="str">
        <f>IF(ROW(D2314)&lt;=Raw_hydro_bm!$J$2,Raw_hydro_bm!E2314,"")</f>
        <v/>
      </c>
      <c r="E2314" t="str">
        <f>IF(ROW(E2314)&lt;=Raw_hydro_bm!$J$2,Raw_hydro_bm!F2314,"")</f>
        <v/>
      </c>
      <c r="F2314" t="str">
        <f>IF(ROW(F2314)&lt;=Raw_hydro_bm!$J$2,Raw_hydro_bm!G2314,"")</f>
        <v/>
      </c>
      <c r="G2314" t="str">
        <f>IF(ROW(G2314)&lt;=Raw_hydro_bm!$J$2,Raw_hydro_bm!H2314,"")</f>
        <v/>
      </c>
      <c r="H2314" t="str">
        <f>IF(ROW(H2314)&lt;=Raw_hydro_bm!$J$2,Raw_hydro_bm!I2314,"")</f>
        <v/>
      </c>
      <c r="I2314" s="16" t="str">
        <f t="shared" si="36"/>
        <v/>
      </c>
    </row>
    <row r="2315" spans="1:9" x14ac:dyDescent="0.2">
      <c r="A2315" t="str">
        <f>IF(ROW(A2315)&lt;=Raw_hydro_bm!$J$2,Raw_hydro_bm!B2315,"")</f>
        <v/>
      </c>
      <c r="B2315" t="str">
        <f>IF(ROW(B2315)&lt;=Raw_hydro_bm!$J$2,Raw_hydro_bm!C2315,"")</f>
        <v/>
      </c>
      <c r="C2315" t="str">
        <f>IF(ROW(C2315)&lt;=Raw_hydro_bm!$J$2,Raw_hydro_bm!D2315,"")</f>
        <v/>
      </c>
      <c r="D2315" t="str">
        <f>IF(ROW(D2315)&lt;=Raw_hydro_bm!$J$2,Raw_hydro_bm!E2315,"")</f>
        <v/>
      </c>
      <c r="E2315" t="str">
        <f>IF(ROW(E2315)&lt;=Raw_hydro_bm!$J$2,Raw_hydro_bm!F2315,"")</f>
        <v/>
      </c>
      <c r="F2315" t="str">
        <f>IF(ROW(F2315)&lt;=Raw_hydro_bm!$J$2,Raw_hydro_bm!G2315,"")</f>
        <v/>
      </c>
      <c r="G2315" t="str">
        <f>IF(ROW(G2315)&lt;=Raw_hydro_bm!$J$2,Raw_hydro_bm!H2315,"")</f>
        <v/>
      </c>
      <c r="H2315" t="str">
        <f>IF(ROW(H2315)&lt;=Raw_hydro_bm!$J$2,Raw_hydro_bm!I2315,"")</f>
        <v/>
      </c>
      <c r="I2315" s="16" t="str">
        <f t="shared" si="36"/>
        <v/>
      </c>
    </row>
    <row r="2316" spans="1:9" x14ac:dyDescent="0.2">
      <c r="A2316" t="str">
        <f>IF(ROW(A2316)&lt;=Raw_hydro_bm!$J$2,Raw_hydro_bm!B2316,"")</f>
        <v/>
      </c>
      <c r="B2316" t="str">
        <f>IF(ROW(B2316)&lt;=Raw_hydro_bm!$J$2,Raw_hydro_bm!C2316,"")</f>
        <v/>
      </c>
      <c r="C2316" t="str">
        <f>IF(ROW(C2316)&lt;=Raw_hydro_bm!$J$2,Raw_hydro_bm!D2316,"")</f>
        <v/>
      </c>
      <c r="D2316" t="str">
        <f>IF(ROW(D2316)&lt;=Raw_hydro_bm!$J$2,Raw_hydro_bm!E2316,"")</f>
        <v/>
      </c>
      <c r="E2316" t="str">
        <f>IF(ROW(E2316)&lt;=Raw_hydro_bm!$J$2,Raw_hydro_bm!F2316,"")</f>
        <v/>
      </c>
      <c r="F2316" t="str">
        <f>IF(ROW(F2316)&lt;=Raw_hydro_bm!$J$2,Raw_hydro_bm!G2316,"")</f>
        <v/>
      </c>
      <c r="G2316" t="str">
        <f>IF(ROW(G2316)&lt;=Raw_hydro_bm!$J$2,Raw_hydro_bm!H2316,"")</f>
        <v/>
      </c>
      <c r="H2316" t="str">
        <f>IF(ROW(H2316)&lt;=Raw_hydro_bm!$J$2,Raw_hydro_bm!I2316,"")</f>
        <v/>
      </c>
      <c r="I2316" s="16" t="str">
        <f t="shared" si="36"/>
        <v/>
      </c>
    </row>
    <row r="2317" spans="1:9" x14ac:dyDescent="0.2">
      <c r="A2317" t="str">
        <f>IF(ROW(A2317)&lt;=Raw_hydro_bm!$J$2,Raw_hydro_bm!B2317,"")</f>
        <v/>
      </c>
      <c r="B2317" t="str">
        <f>IF(ROW(B2317)&lt;=Raw_hydro_bm!$J$2,Raw_hydro_bm!C2317,"")</f>
        <v/>
      </c>
      <c r="C2317" t="str">
        <f>IF(ROW(C2317)&lt;=Raw_hydro_bm!$J$2,Raw_hydro_bm!D2317,"")</f>
        <v/>
      </c>
      <c r="D2317" t="str">
        <f>IF(ROW(D2317)&lt;=Raw_hydro_bm!$J$2,Raw_hydro_bm!E2317,"")</f>
        <v/>
      </c>
      <c r="E2317" t="str">
        <f>IF(ROW(E2317)&lt;=Raw_hydro_bm!$J$2,Raw_hydro_bm!F2317,"")</f>
        <v/>
      </c>
      <c r="F2317" t="str">
        <f>IF(ROW(F2317)&lt;=Raw_hydro_bm!$J$2,Raw_hydro_bm!G2317,"")</f>
        <v/>
      </c>
      <c r="G2317" t="str">
        <f>IF(ROW(G2317)&lt;=Raw_hydro_bm!$J$2,Raw_hydro_bm!H2317,"")</f>
        <v/>
      </c>
      <c r="H2317" t="str">
        <f>IF(ROW(H2317)&lt;=Raw_hydro_bm!$J$2,Raw_hydro_bm!I2317,"")</f>
        <v/>
      </c>
      <c r="I2317" s="16" t="str">
        <f t="shared" si="36"/>
        <v/>
      </c>
    </row>
    <row r="2318" spans="1:9" x14ac:dyDescent="0.2">
      <c r="A2318" t="str">
        <f>IF(ROW(A2318)&lt;=Raw_hydro_bm!$J$2,Raw_hydro_bm!B2318,"")</f>
        <v/>
      </c>
      <c r="B2318" t="str">
        <f>IF(ROW(B2318)&lt;=Raw_hydro_bm!$J$2,Raw_hydro_bm!C2318,"")</f>
        <v/>
      </c>
      <c r="C2318" t="str">
        <f>IF(ROW(C2318)&lt;=Raw_hydro_bm!$J$2,Raw_hydro_bm!D2318,"")</f>
        <v/>
      </c>
      <c r="D2318" t="str">
        <f>IF(ROW(D2318)&lt;=Raw_hydro_bm!$J$2,Raw_hydro_bm!E2318,"")</f>
        <v/>
      </c>
      <c r="E2318" t="str">
        <f>IF(ROW(E2318)&lt;=Raw_hydro_bm!$J$2,Raw_hydro_bm!F2318,"")</f>
        <v/>
      </c>
      <c r="F2318" t="str">
        <f>IF(ROW(F2318)&lt;=Raw_hydro_bm!$J$2,Raw_hydro_bm!G2318,"")</f>
        <v/>
      </c>
      <c r="G2318" t="str">
        <f>IF(ROW(G2318)&lt;=Raw_hydro_bm!$J$2,Raw_hydro_bm!H2318,"")</f>
        <v/>
      </c>
      <c r="H2318" t="str">
        <f>IF(ROW(H2318)&lt;=Raw_hydro_bm!$J$2,Raw_hydro_bm!I2318,"")</f>
        <v/>
      </c>
      <c r="I2318" s="16" t="str">
        <f t="shared" si="36"/>
        <v/>
      </c>
    </row>
    <row r="2319" spans="1:9" x14ac:dyDescent="0.2">
      <c r="A2319" t="str">
        <f>IF(ROW(A2319)&lt;=Raw_hydro_bm!$J$2,Raw_hydro_bm!B2319,"")</f>
        <v/>
      </c>
      <c r="B2319" t="str">
        <f>IF(ROW(B2319)&lt;=Raw_hydro_bm!$J$2,Raw_hydro_bm!C2319,"")</f>
        <v/>
      </c>
      <c r="C2319" t="str">
        <f>IF(ROW(C2319)&lt;=Raw_hydro_bm!$J$2,Raw_hydro_bm!D2319,"")</f>
        <v/>
      </c>
      <c r="D2319" t="str">
        <f>IF(ROW(D2319)&lt;=Raw_hydro_bm!$J$2,Raw_hydro_bm!E2319,"")</f>
        <v/>
      </c>
      <c r="E2319" t="str">
        <f>IF(ROW(E2319)&lt;=Raw_hydro_bm!$J$2,Raw_hydro_bm!F2319,"")</f>
        <v/>
      </c>
      <c r="F2319" t="str">
        <f>IF(ROW(F2319)&lt;=Raw_hydro_bm!$J$2,Raw_hydro_bm!G2319,"")</f>
        <v/>
      </c>
      <c r="G2319" t="str">
        <f>IF(ROW(G2319)&lt;=Raw_hydro_bm!$J$2,Raw_hydro_bm!H2319,"")</f>
        <v/>
      </c>
      <c r="H2319" t="str">
        <f>IF(ROW(H2319)&lt;=Raw_hydro_bm!$J$2,Raw_hydro_bm!I2319,"")</f>
        <v/>
      </c>
      <c r="I2319" s="16" t="str">
        <f t="shared" si="36"/>
        <v/>
      </c>
    </row>
    <row r="2320" spans="1:9" x14ac:dyDescent="0.2">
      <c r="A2320" t="str">
        <f>IF(ROW(A2320)&lt;=Raw_hydro_bm!$J$2,Raw_hydro_bm!B2320,"")</f>
        <v/>
      </c>
      <c r="B2320" t="str">
        <f>IF(ROW(B2320)&lt;=Raw_hydro_bm!$J$2,Raw_hydro_bm!C2320,"")</f>
        <v/>
      </c>
      <c r="C2320" t="str">
        <f>IF(ROW(C2320)&lt;=Raw_hydro_bm!$J$2,Raw_hydro_bm!D2320,"")</f>
        <v/>
      </c>
      <c r="D2320" t="str">
        <f>IF(ROW(D2320)&lt;=Raw_hydro_bm!$J$2,Raw_hydro_bm!E2320,"")</f>
        <v/>
      </c>
      <c r="E2320" t="str">
        <f>IF(ROW(E2320)&lt;=Raw_hydro_bm!$J$2,Raw_hydro_bm!F2320,"")</f>
        <v/>
      </c>
      <c r="F2320" t="str">
        <f>IF(ROW(F2320)&lt;=Raw_hydro_bm!$J$2,Raw_hydro_bm!G2320,"")</f>
        <v/>
      </c>
      <c r="G2320" t="str">
        <f>IF(ROW(G2320)&lt;=Raw_hydro_bm!$J$2,Raw_hydro_bm!H2320,"")</f>
        <v/>
      </c>
      <c r="H2320" t="str">
        <f>IF(ROW(H2320)&lt;=Raw_hydro_bm!$J$2,Raw_hydro_bm!I2320,"")</f>
        <v/>
      </c>
      <c r="I2320" s="16" t="str">
        <f t="shared" si="36"/>
        <v/>
      </c>
    </row>
    <row r="2321" spans="1:9" x14ac:dyDescent="0.2">
      <c r="A2321" t="str">
        <f>IF(ROW(A2321)&lt;=Raw_hydro_bm!$J$2,Raw_hydro_bm!B2321,"")</f>
        <v/>
      </c>
      <c r="B2321" t="str">
        <f>IF(ROW(B2321)&lt;=Raw_hydro_bm!$J$2,Raw_hydro_bm!C2321,"")</f>
        <v/>
      </c>
      <c r="C2321" t="str">
        <f>IF(ROW(C2321)&lt;=Raw_hydro_bm!$J$2,Raw_hydro_bm!D2321,"")</f>
        <v/>
      </c>
      <c r="D2321" t="str">
        <f>IF(ROW(D2321)&lt;=Raw_hydro_bm!$J$2,Raw_hydro_bm!E2321,"")</f>
        <v/>
      </c>
      <c r="E2321" t="str">
        <f>IF(ROW(E2321)&lt;=Raw_hydro_bm!$J$2,Raw_hydro_bm!F2321,"")</f>
        <v/>
      </c>
      <c r="F2321" t="str">
        <f>IF(ROW(F2321)&lt;=Raw_hydro_bm!$J$2,Raw_hydro_bm!G2321,"")</f>
        <v/>
      </c>
      <c r="G2321" t="str">
        <f>IF(ROW(G2321)&lt;=Raw_hydro_bm!$J$2,Raw_hydro_bm!H2321,"")</f>
        <v/>
      </c>
      <c r="H2321" t="str">
        <f>IF(ROW(H2321)&lt;=Raw_hydro_bm!$J$2,Raw_hydro_bm!I2321,"")</f>
        <v/>
      </c>
      <c r="I2321" s="16" t="str">
        <f t="shared" si="36"/>
        <v/>
      </c>
    </row>
    <row r="2322" spans="1:9" x14ac:dyDescent="0.2">
      <c r="A2322" t="str">
        <f>IF(ROW(A2322)&lt;=Raw_hydro_bm!$J$2,Raw_hydro_bm!B2322,"")</f>
        <v/>
      </c>
      <c r="B2322" t="str">
        <f>IF(ROW(B2322)&lt;=Raw_hydro_bm!$J$2,Raw_hydro_bm!C2322,"")</f>
        <v/>
      </c>
      <c r="C2322" t="str">
        <f>IF(ROW(C2322)&lt;=Raw_hydro_bm!$J$2,Raw_hydro_bm!D2322,"")</f>
        <v/>
      </c>
      <c r="D2322" t="str">
        <f>IF(ROW(D2322)&lt;=Raw_hydro_bm!$J$2,Raw_hydro_bm!E2322,"")</f>
        <v/>
      </c>
      <c r="E2322" t="str">
        <f>IF(ROW(E2322)&lt;=Raw_hydro_bm!$J$2,Raw_hydro_bm!F2322,"")</f>
        <v/>
      </c>
      <c r="F2322" t="str">
        <f>IF(ROW(F2322)&lt;=Raw_hydro_bm!$J$2,Raw_hydro_bm!G2322,"")</f>
        <v/>
      </c>
      <c r="G2322" t="str">
        <f>IF(ROW(G2322)&lt;=Raw_hydro_bm!$J$2,Raw_hydro_bm!H2322,"")</f>
        <v/>
      </c>
      <c r="H2322" t="str">
        <f>IF(ROW(H2322)&lt;=Raw_hydro_bm!$J$2,Raw_hydro_bm!I2322,"")</f>
        <v/>
      </c>
      <c r="I2322" s="16" t="str">
        <f t="shared" si="36"/>
        <v/>
      </c>
    </row>
    <row r="2323" spans="1:9" x14ac:dyDescent="0.2">
      <c r="A2323" t="str">
        <f>IF(ROW(A2323)&lt;=Raw_hydro_bm!$J$2,Raw_hydro_bm!B2323,"")</f>
        <v/>
      </c>
      <c r="B2323" t="str">
        <f>IF(ROW(B2323)&lt;=Raw_hydro_bm!$J$2,Raw_hydro_bm!C2323,"")</f>
        <v/>
      </c>
      <c r="C2323" t="str">
        <f>IF(ROW(C2323)&lt;=Raw_hydro_bm!$J$2,Raw_hydro_bm!D2323,"")</f>
        <v/>
      </c>
      <c r="D2323" t="str">
        <f>IF(ROW(D2323)&lt;=Raw_hydro_bm!$J$2,Raw_hydro_bm!E2323,"")</f>
        <v/>
      </c>
      <c r="E2323" t="str">
        <f>IF(ROW(E2323)&lt;=Raw_hydro_bm!$J$2,Raw_hydro_bm!F2323,"")</f>
        <v/>
      </c>
      <c r="F2323" t="str">
        <f>IF(ROW(F2323)&lt;=Raw_hydro_bm!$J$2,Raw_hydro_bm!G2323,"")</f>
        <v/>
      </c>
      <c r="G2323" t="str">
        <f>IF(ROW(G2323)&lt;=Raw_hydro_bm!$J$2,Raw_hydro_bm!H2323,"")</f>
        <v/>
      </c>
      <c r="H2323" t="str">
        <f>IF(ROW(H2323)&lt;=Raw_hydro_bm!$J$2,Raw_hydro_bm!I2323,"")</f>
        <v/>
      </c>
      <c r="I2323" s="16" t="str">
        <f t="shared" si="36"/>
        <v/>
      </c>
    </row>
    <row r="2324" spans="1:9" x14ac:dyDescent="0.2">
      <c r="A2324" t="str">
        <f>IF(ROW(A2324)&lt;=Raw_hydro_bm!$J$2,Raw_hydro_bm!B2324,"")</f>
        <v/>
      </c>
      <c r="B2324" t="str">
        <f>IF(ROW(B2324)&lt;=Raw_hydro_bm!$J$2,Raw_hydro_bm!C2324,"")</f>
        <v/>
      </c>
      <c r="C2324" t="str">
        <f>IF(ROW(C2324)&lt;=Raw_hydro_bm!$J$2,Raw_hydro_bm!D2324,"")</f>
        <v/>
      </c>
      <c r="D2324" t="str">
        <f>IF(ROW(D2324)&lt;=Raw_hydro_bm!$J$2,Raw_hydro_bm!E2324,"")</f>
        <v/>
      </c>
      <c r="E2324" t="str">
        <f>IF(ROW(E2324)&lt;=Raw_hydro_bm!$J$2,Raw_hydro_bm!F2324,"")</f>
        <v/>
      </c>
      <c r="F2324" t="str">
        <f>IF(ROW(F2324)&lt;=Raw_hydro_bm!$J$2,Raw_hydro_bm!G2324,"")</f>
        <v/>
      </c>
      <c r="G2324" t="str">
        <f>IF(ROW(G2324)&lt;=Raw_hydro_bm!$J$2,Raw_hydro_bm!H2324,"")</f>
        <v/>
      </c>
      <c r="H2324" t="str">
        <f>IF(ROW(H2324)&lt;=Raw_hydro_bm!$J$2,Raw_hydro_bm!I2324,"")</f>
        <v/>
      </c>
      <c r="I2324" s="16" t="str">
        <f t="shared" si="36"/>
        <v/>
      </c>
    </row>
    <row r="2325" spans="1:9" x14ac:dyDescent="0.2">
      <c r="A2325" t="str">
        <f>IF(ROW(A2325)&lt;=Raw_hydro_bm!$J$2,Raw_hydro_bm!B2325,"")</f>
        <v/>
      </c>
      <c r="B2325" t="str">
        <f>IF(ROW(B2325)&lt;=Raw_hydro_bm!$J$2,Raw_hydro_bm!C2325,"")</f>
        <v/>
      </c>
      <c r="C2325" t="str">
        <f>IF(ROW(C2325)&lt;=Raw_hydro_bm!$J$2,Raw_hydro_bm!D2325,"")</f>
        <v/>
      </c>
      <c r="D2325" t="str">
        <f>IF(ROW(D2325)&lt;=Raw_hydro_bm!$J$2,Raw_hydro_bm!E2325,"")</f>
        <v/>
      </c>
      <c r="E2325" t="str">
        <f>IF(ROW(E2325)&lt;=Raw_hydro_bm!$J$2,Raw_hydro_bm!F2325,"")</f>
        <v/>
      </c>
      <c r="F2325" t="str">
        <f>IF(ROW(F2325)&lt;=Raw_hydro_bm!$J$2,Raw_hydro_bm!G2325,"")</f>
        <v/>
      </c>
      <c r="G2325" t="str">
        <f>IF(ROW(G2325)&lt;=Raw_hydro_bm!$J$2,Raw_hydro_bm!H2325,"")</f>
        <v/>
      </c>
      <c r="H2325" t="str">
        <f>IF(ROW(H2325)&lt;=Raw_hydro_bm!$J$2,Raw_hydro_bm!I2325,"")</f>
        <v/>
      </c>
      <c r="I2325" s="16" t="str">
        <f t="shared" si="36"/>
        <v/>
      </c>
    </row>
    <row r="2326" spans="1:9" x14ac:dyDescent="0.2">
      <c r="A2326" t="str">
        <f>IF(ROW(A2326)&lt;=Raw_hydro_bm!$J$2,Raw_hydro_bm!B2326,"")</f>
        <v/>
      </c>
      <c r="B2326" t="str">
        <f>IF(ROW(B2326)&lt;=Raw_hydro_bm!$J$2,Raw_hydro_bm!C2326,"")</f>
        <v/>
      </c>
      <c r="C2326" t="str">
        <f>IF(ROW(C2326)&lt;=Raw_hydro_bm!$J$2,Raw_hydro_bm!D2326,"")</f>
        <v/>
      </c>
      <c r="D2326" t="str">
        <f>IF(ROW(D2326)&lt;=Raw_hydro_bm!$J$2,Raw_hydro_bm!E2326,"")</f>
        <v/>
      </c>
      <c r="E2326" t="str">
        <f>IF(ROW(E2326)&lt;=Raw_hydro_bm!$J$2,Raw_hydro_bm!F2326,"")</f>
        <v/>
      </c>
      <c r="F2326" t="str">
        <f>IF(ROW(F2326)&lt;=Raw_hydro_bm!$J$2,Raw_hydro_bm!G2326,"")</f>
        <v/>
      </c>
      <c r="G2326" t="str">
        <f>IF(ROW(G2326)&lt;=Raw_hydro_bm!$J$2,Raw_hydro_bm!H2326,"")</f>
        <v/>
      </c>
      <c r="H2326" t="str">
        <f>IF(ROW(H2326)&lt;=Raw_hydro_bm!$J$2,Raw_hydro_bm!I2326,"")</f>
        <v/>
      </c>
      <c r="I2326" s="16" t="str">
        <f t="shared" si="36"/>
        <v/>
      </c>
    </row>
    <row r="2327" spans="1:9" x14ac:dyDescent="0.2">
      <c r="A2327" t="str">
        <f>IF(ROW(A2327)&lt;=Raw_hydro_bm!$J$2,Raw_hydro_bm!B2327,"")</f>
        <v/>
      </c>
      <c r="B2327" t="str">
        <f>IF(ROW(B2327)&lt;=Raw_hydro_bm!$J$2,Raw_hydro_bm!C2327,"")</f>
        <v/>
      </c>
      <c r="C2327" t="str">
        <f>IF(ROW(C2327)&lt;=Raw_hydro_bm!$J$2,Raw_hydro_bm!D2327,"")</f>
        <v/>
      </c>
      <c r="D2327" t="str">
        <f>IF(ROW(D2327)&lt;=Raw_hydro_bm!$J$2,Raw_hydro_bm!E2327,"")</f>
        <v/>
      </c>
      <c r="E2327" t="str">
        <f>IF(ROW(E2327)&lt;=Raw_hydro_bm!$J$2,Raw_hydro_bm!F2327,"")</f>
        <v/>
      </c>
      <c r="F2327" t="str">
        <f>IF(ROW(F2327)&lt;=Raw_hydro_bm!$J$2,Raw_hydro_bm!G2327,"")</f>
        <v/>
      </c>
      <c r="G2327" t="str">
        <f>IF(ROW(G2327)&lt;=Raw_hydro_bm!$J$2,Raw_hydro_bm!H2327,"")</f>
        <v/>
      </c>
      <c r="H2327" t="str">
        <f>IF(ROW(H2327)&lt;=Raw_hydro_bm!$J$2,Raw_hydro_bm!I2327,"")</f>
        <v/>
      </c>
      <c r="I2327" s="16" t="str">
        <f t="shared" si="36"/>
        <v/>
      </c>
    </row>
    <row r="2328" spans="1:9" x14ac:dyDescent="0.2">
      <c r="A2328" t="str">
        <f>IF(ROW(A2328)&lt;=Raw_hydro_bm!$J$2,Raw_hydro_bm!B2328,"")</f>
        <v/>
      </c>
      <c r="B2328" t="str">
        <f>IF(ROW(B2328)&lt;=Raw_hydro_bm!$J$2,Raw_hydro_bm!C2328,"")</f>
        <v/>
      </c>
      <c r="C2328" t="str">
        <f>IF(ROW(C2328)&lt;=Raw_hydro_bm!$J$2,Raw_hydro_bm!D2328,"")</f>
        <v/>
      </c>
      <c r="D2328" t="str">
        <f>IF(ROW(D2328)&lt;=Raw_hydro_bm!$J$2,Raw_hydro_bm!E2328,"")</f>
        <v/>
      </c>
      <c r="E2328" t="str">
        <f>IF(ROW(E2328)&lt;=Raw_hydro_bm!$J$2,Raw_hydro_bm!F2328,"")</f>
        <v/>
      </c>
      <c r="F2328" t="str">
        <f>IF(ROW(F2328)&lt;=Raw_hydro_bm!$J$2,Raw_hydro_bm!G2328,"")</f>
        <v/>
      </c>
      <c r="G2328" t="str">
        <f>IF(ROW(G2328)&lt;=Raw_hydro_bm!$J$2,Raw_hydro_bm!H2328,"")</f>
        <v/>
      </c>
      <c r="H2328" t="str">
        <f>IF(ROW(H2328)&lt;=Raw_hydro_bm!$J$2,Raw_hydro_bm!I2328,"")</f>
        <v/>
      </c>
      <c r="I2328" s="16" t="str">
        <f t="shared" si="36"/>
        <v/>
      </c>
    </row>
    <row r="2329" spans="1:9" x14ac:dyDescent="0.2">
      <c r="A2329" t="str">
        <f>IF(ROW(A2329)&lt;=Raw_hydro_bm!$J$2,Raw_hydro_bm!B2329,"")</f>
        <v/>
      </c>
      <c r="B2329" t="str">
        <f>IF(ROW(B2329)&lt;=Raw_hydro_bm!$J$2,Raw_hydro_bm!C2329,"")</f>
        <v/>
      </c>
      <c r="C2329" t="str">
        <f>IF(ROW(C2329)&lt;=Raw_hydro_bm!$J$2,Raw_hydro_bm!D2329,"")</f>
        <v/>
      </c>
      <c r="D2329" t="str">
        <f>IF(ROW(D2329)&lt;=Raw_hydro_bm!$J$2,Raw_hydro_bm!E2329,"")</f>
        <v/>
      </c>
      <c r="E2329" t="str">
        <f>IF(ROW(E2329)&lt;=Raw_hydro_bm!$J$2,Raw_hydro_bm!F2329,"")</f>
        <v/>
      </c>
      <c r="F2329" t="str">
        <f>IF(ROW(F2329)&lt;=Raw_hydro_bm!$J$2,Raw_hydro_bm!G2329,"")</f>
        <v/>
      </c>
      <c r="G2329" t="str">
        <f>IF(ROW(G2329)&lt;=Raw_hydro_bm!$J$2,Raw_hydro_bm!H2329,"")</f>
        <v/>
      </c>
      <c r="H2329" t="str">
        <f>IF(ROW(H2329)&lt;=Raw_hydro_bm!$J$2,Raw_hydro_bm!I2329,"")</f>
        <v/>
      </c>
      <c r="I2329" s="16" t="str">
        <f t="shared" si="36"/>
        <v/>
      </c>
    </row>
    <row r="2330" spans="1:9" x14ac:dyDescent="0.2">
      <c r="A2330" t="str">
        <f>IF(ROW(A2330)&lt;=Raw_hydro_bm!$J$2,Raw_hydro_bm!B2330,"")</f>
        <v/>
      </c>
      <c r="B2330" t="str">
        <f>IF(ROW(B2330)&lt;=Raw_hydro_bm!$J$2,Raw_hydro_bm!C2330,"")</f>
        <v/>
      </c>
      <c r="C2330" t="str">
        <f>IF(ROW(C2330)&lt;=Raw_hydro_bm!$J$2,Raw_hydro_bm!D2330,"")</f>
        <v/>
      </c>
      <c r="D2330" t="str">
        <f>IF(ROW(D2330)&lt;=Raw_hydro_bm!$J$2,Raw_hydro_bm!E2330,"")</f>
        <v/>
      </c>
      <c r="E2330" t="str">
        <f>IF(ROW(E2330)&lt;=Raw_hydro_bm!$J$2,Raw_hydro_bm!F2330,"")</f>
        <v/>
      </c>
      <c r="F2330" t="str">
        <f>IF(ROW(F2330)&lt;=Raw_hydro_bm!$J$2,Raw_hydro_bm!G2330,"")</f>
        <v/>
      </c>
      <c r="G2330" t="str">
        <f>IF(ROW(G2330)&lt;=Raw_hydro_bm!$J$2,Raw_hydro_bm!H2330,"")</f>
        <v/>
      </c>
      <c r="H2330" t="str">
        <f>IF(ROW(H2330)&lt;=Raw_hydro_bm!$J$2,Raw_hydro_bm!I2330,"")</f>
        <v/>
      </c>
      <c r="I2330" s="16" t="str">
        <f t="shared" si="36"/>
        <v/>
      </c>
    </row>
    <row r="2331" spans="1:9" x14ac:dyDescent="0.2">
      <c r="A2331" t="str">
        <f>IF(ROW(A2331)&lt;=Raw_hydro_bm!$J$2,Raw_hydro_bm!B2331,"")</f>
        <v/>
      </c>
      <c r="B2331" t="str">
        <f>IF(ROW(B2331)&lt;=Raw_hydro_bm!$J$2,Raw_hydro_bm!C2331,"")</f>
        <v/>
      </c>
      <c r="C2331" t="str">
        <f>IF(ROW(C2331)&lt;=Raw_hydro_bm!$J$2,Raw_hydro_bm!D2331,"")</f>
        <v/>
      </c>
      <c r="D2331" t="str">
        <f>IF(ROW(D2331)&lt;=Raw_hydro_bm!$J$2,Raw_hydro_bm!E2331,"")</f>
        <v/>
      </c>
      <c r="E2331" t="str">
        <f>IF(ROW(E2331)&lt;=Raw_hydro_bm!$J$2,Raw_hydro_bm!F2331,"")</f>
        <v/>
      </c>
      <c r="F2331" t="str">
        <f>IF(ROW(F2331)&lt;=Raw_hydro_bm!$J$2,Raw_hydro_bm!G2331,"")</f>
        <v/>
      </c>
      <c r="G2331" t="str">
        <f>IF(ROW(G2331)&lt;=Raw_hydro_bm!$J$2,Raw_hydro_bm!H2331,"")</f>
        <v/>
      </c>
      <c r="H2331" t="str">
        <f>IF(ROW(H2331)&lt;=Raw_hydro_bm!$J$2,Raw_hydro_bm!I2331,"")</f>
        <v/>
      </c>
      <c r="I2331" s="16" t="str">
        <f t="shared" si="36"/>
        <v/>
      </c>
    </row>
    <row r="2332" spans="1:9" x14ac:dyDescent="0.2">
      <c r="A2332" t="str">
        <f>IF(ROW(A2332)&lt;=Raw_hydro_bm!$J$2,Raw_hydro_bm!B2332,"")</f>
        <v/>
      </c>
      <c r="B2332" t="str">
        <f>IF(ROW(B2332)&lt;=Raw_hydro_bm!$J$2,Raw_hydro_bm!C2332,"")</f>
        <v/>
      </c>
      <c r="C2332" t="str">
        <f>IF(ROW(C2332)&lt;=Raw_hydro_bm!$J$2,Raw_hydro_bm!D2332,"")</f>
        <v/>
      </c>
      <c r="D2332" t="str">
        <f>IF(ROW(D2332)&lt;=Raw_hydro_bm!$J$2,Raw_hydro_bm!E2332,"")</f>
        <v/>
      </c>
      <c r="E2332" t="str">
        <f>IF(ROW(E2332)&lt;=Raw_hydro_bm!$J$2,Raw_hydro_bm!F2332,"")</f>
        <v/>
      </c>
      <c r="F2332" t="str">
        <f>IF(ROW(F2332)&lt;=Raw_hydro_bm!$J$2,Raw_hydro_bm!G2332,"")</f>
        <v/>
      </c>
      <c r="G2332" t="str">
        <f>IF(ROW(G2332)&lt;=Raw_hydro_bm!$J$2,Raw_hydro_bm!H2332,"")</f>
        <v/>
      </c>
      <c r="H2332" t="str">
        <f>IF(ROW(H2332)&lt;=Raw_hydro_bm!$J$2,Raw_hydro_bm!I2332,"")</f>
        <v/>
      </c>
      <c r="I2332" s="16" t="str">
        <f t="shared" si="36"/>
        <v/>
      </c>
    </row>
    <row r="2333" spans="1:9" x14ac:dyDescent="0.2">
      <c r="A2333" t="str">
        <f>IF(ROW(A2333)&lt;=Raw_hydro_bm!$J$2,Raw_hydro_bm!B2333,"")</f>
        <v/>
      </c>
      <c r="B2333" t="str">
        <f>IF(ROW(B2333)&lt;=Raw_hydro_bm!$J$2,Raw_hydro_bm!C2333,"")</f>
        <v/>
      </c>
      <c r="C2333" t="str">
        <f>IF(ROW(C2333)&lt;=Raw_hydro_bm!$J$2,Raw_hydro_bm!D2333,"")</f>
        <v/>
      </c>
      <c r="D2333" t="str">
        <f>IF(ROW(D2333)&lt;=Raw_hydro_bm!$J$2,Raw_hydro_bm!E2333,"")</f>
        <v/>
      </c>
      <c r="E2333" t="str">
        <f>IF(ROW(E2333)&lt;=Raw_hydro_bm!$J$2,Raw_hydro_bm!F2333,"")</f>
        <v/>
      </c>
      <c r="F2333" t="str">
        <f>IF(ROW(F2333)&lt;=Raw_hydro_bm!$J$2,Raw_hydro_bm!G2333,"")</f>
        <v/>
      </c>
      <c r="G2333" t="str">
        <f>IF(ROW(G2333)&lt;=Raw_hydro_bm!$J$2,Raw_hydro_bm!H2333,"")</f>
        <v/>
      </c>
      <c r="H2333" t="str">
        <f>IF(ROW(H2333)&lt;=Raw_hydro_bm!$J$2,Raw_hydro_bm!I2333,"")</f>
        <v/>
      </c>
      <c r="I2333" s="16" t="str">
        <f t="shared" si="36"/>
        <v/>
      </c>
    </row>
    <row r="2334" spans="1:9" x14ac:dyDescent="0.2">
      <c r="A2334" t="str">
        <f>IF(ROW(A2334)&lt;=Raw_hydro_bm!$J$2,Raw_hydro_bm!B2334,"")</f>
        <v/>
      </c>
      <c r="B2334" t="str">
        <f>IF(ROW(B2334)&lt;=Raw_hydro_bm!$J$2,Raw_hydro_bm!C2334,"")</f>
        <v/>
      </c>
      <c r="C2334" t="str">
        <f>IF(ROW(C2334)&lt;=Raw_hydro_bm!$J$2,Raw_hydro_bm!D2334,"")</f>
        <v/>
      </c>
      <c r="D2334" t="str">
        <f>IF(ROW(D2334)&lt;=Raw_hydro_bm!$J$2,Raw_hydro_bm!E2334,"")</f>
        <v/>
      </c>
      <c r="E2334" t="str">
        <f>IF(ROW(E2334)&lt;=Raw_hydro_bm!$J$2,Raw_hydro_bm!F2334,"")</f>
        <v/>
      </c>
      <c r="F2334" t="str">
        <f>IF(ROW(F2334)&lt;=Raw_hydro_bm!$J$2,Raw_hydro_bm!G2334,"")</f>
        <v/>
      </c>
      <c r="G2334" t="str">
        <f>IF(ROW(G2334)&lt;=Raw_hydro_bm!$J$2,Raw_hydro_bm!H2334,"")</f>
        <v/>
      </c>
      <c r="H2334" t="str">
        <f>IF(ROW(H2334)&lt;=Raw_hydro_bm!$J$2,Raw_hydro_bm!I2334,"")</f>
        <v/>
      </c>
      <c r="I2334" s="16" t="str">
        <f t="shared" si="36"/>
        <v/>
      </c>
    </row>
    <row r="2335" spans="1:9" x14ac:dyDescent="0.2">
      <c r="A2335" t="str">
        <f>IF(ROW(A2335)&lt;=Raw_hydro_bm!$J$2,Raw_hydro_bm!B2335,"")</f>
        <v/>
      </c>
      <c r="B2335" t="str">
        <f>IF(ROW(B2335)&lt;=Raw_hydro_bm!$J$2,Raw_hydro_bm!C2335,"")</f>
        <v/>
      </c>
      <c r="C2335" t="str">
        <f>IF(ROW(C2335)&lt;=Raw_hydro_bm!$J$2,Raw_hydro_bm!D2335,"")</f>
        <v/>
      </c>
      <c r="D2335" t="str">
        <f>IF(ROW(D2335)&lt;=Raw_hydro_bm!$J$2,Raw_hydro_bm!E2335,"")</f>
        <v/>
      </c>
      <c r="E2335" t="str">
        <f>IF(ROW(E2335)&lt;=Raw_hydro_bm!$J$2,Raw_hydro_bm!F2335,"")</f>
        <v/>
      </c>
      <c r="F2335" t="str">
        <f>IF(ROW(F2335)&lt;=Raw_hydro_bm!$J$2,Raw_hydro_bm!G2335,"")</f>
        <v/>
      </c>
      <c r="G2335" t="str">
        <f>IF(ROW(G2335)&lt;=Raw_hydro_bm!$J$2,Raw_hydro_bm!H2335,"")</f>
        <v/>
      </c>
      <c r="H2335" t="str">
        <f>IF(ROW(H2335)&lt;=Raw_hydro_bm!$J$2,Raw_hydro_bm!I2335,"")</f>
        <v/>
      </c>
      <c r="I2335" s="16" t="str">
        <f t="shared" si="36"/>
        <v/>
      </c>
    </row>
    <row r="2336" spans="1:9" x14ac:dyDescent="0.2">
      <c r="A2336" t="str">
        <f>IF(ROW(A2336)&lt;=Raw_hydro_bm!$J$2,Raw_hydro_bm!B2336,"")</f>
        <v/>
      </c>
      <c r="B2336" t="str">
        <f>IF(ROW(B2336)&lt;=Raw_hydro_bm!$J$2,Raw_hydro_bm!C2336,"")</f>
        <v/>
      </c>
      <c r="C2336" t="str">
        <f>IF(ROW(C2336)&lt;=Raw_hydro_bm!$J$2,Raw_hydro_bm!D2336,"")</f>
        <v/>
      </c>
      <c r="D2336" t="str">
        <f>IF(ROW(D2336)&lt;=Raw_hydro_bm!$J$2,Raw_hydro_bm!E2336,"")</f>
        <v/>
      </c>
      <c r="E2336" t="str">
        <f>IF(ROW(E2336)&lt;=Raw_hydro_bm!$J$2,Raw_hydro_bm!F2336,"")</f>
        <v/>
      </c>
      <c r="F2336" t="str">
        <f>IF(ROW(F2336)&lt;=Raw_hydro_bm!$J$2,Raw_hydro_bm!G2336,"")</f>
        <v/>
      </c>
      <c r="G2336" t="str">
        <f>IF(ROW(G2336)&lt;=Raw_hydro_bm!$J$2,Raw_hydro_bm!H2336,"")</f>
        <v/>
      </c>
      <c r="H2336" t="str">
        <f>IF(ROW(H2336)&lt;=Raw_hydro_bm!$J$2,Raw_hydro_bm!I2336,"")</f>
        <v/>
      </c>
      <c r="I2336" s="16" t="str">
        <f t="shared" si="36"/>
        <v/>
      </c>
    </row>
    <row r="2337" spans="1:9" x14ac:dyDescent="0.2">
      <c r="A2337" t="str">
        <f>IF(ROW(A2337)&lt;=Raw_hydro_bm!$J$2,Raw_hydro_bm!B2337,"")</f>
        <v/>
      </c>
      <c r="B2337" t="str">
        <f>IF(ROW(B2337)&lt;=Raw_hydro_bm!$J$2,Raw_hydro_bm!C2337,"")</f>
        <v/>
      </c>
      <c r="C2337" t="str">
        <f>IF(ROW(C2337)&lt;=Raw_hydro_bm!$J$2,Raw_hydro_bm!D2337,"")</f>
        <v/>
      </c>
      <c r="D2337" t="str">
        <f>IF(ROW(D2337)&lt;=Raw_hydro_bm!$J$2,Raw_hydro_bm!E2337,"")</f>
        <v/>
      </c>
      <c r="E2337" t="str">
        <f>IF(ROW(E2337)&lt;=Raw_hydro_bm!$J$2,Raw_hydro_bm!F2337,"")</f>
        <v/>
      </c>
      <c r="F2337" t="str">
        <f>IF(ROW(F2337)&lt;=Raw_hydro_bm!$J$2,Raw_hydro_bm!G2337,"")</f>
        <v/>
      </c>
      <c r="G2337" t="str">
        <f>IF(ROW(G2337)&lt;=Raw_hydro_bm!$J$2,Raw_hydro_bm!H2337,"")</f>
        <v/>
      </c>
      <c r="H2337" t="str">
        <f>IF(ROW(H2337)&lt;=Raw_hydro_bm!$J$2,Raw_hydro_bm!I2337,"")</f>
        <v/>
      </c>
      <c r="I2337" s="16" t="str">
        <f t="shared" si="36"/>
        <v/>
      </c>
    </row>
    <row r="2338" spans="1:9" x14ac:dyDescent="0.2">
      <c r="A2338" t="str">
        <f>IF(ROW(A2338)&lt;=Raw_hydro_bm!$J$2,Raw_hydro_bm!B2338,"")</f>
        <v/>
      </c>
      <c r="B2338" t="str">
        <f>IF(ROW(B2338)&lt;=Raw_hydro_bm!$J$2,Raw_hydro_bm!C2338,"")</f>
        <v/>
      </c>
      <c r="C2338" t="str">
        <f>IF(ROW(C2338)&lt;=Raw_hydro_bm!$J$2,Raw_hydro_bm!D2338,"")</f>
        <v/>
      </c>
      <c r="D2338" t="str">
        <f>IF(ROW(D2338)&lt;=Raw_hydro_bm!$J$2,Raw_hydro_bm!E2338,"")</f>
        <v/>
      </c>
      <c r="E2338" t="str">
        <f>IF(ROW(E2338)&lt;=Raw_hydro_bm!$J$2,Raw_hydro_bm!F2338,"")</f>
        <v/>
      </c>
      <c r="F2338" t="str">
        <f>IF(ROW(F2338)&lt;=Raw_hydro_bm!$J$2,Raw_hydro_bm!G2338,"")</f>
        <v/>
      </c>
      <c r="G2338" t="str">
        <f>IF(ROW(G2338)&lt;=Raw_hydro_bm!$J$2,Raw_hydro_bm!H2338,"")</f>
        <v/>
      </c>
      <c r="H2338" t="str">
        <f>IF(ROW(H2338)&lt;=Raw_hydro_bm!$J$2,Raw_hydro_bm!I2338,"")</f>
        <v/>
      </c>
      <c r="I2338" s="16" t="str">
        <f t="shared" si="36"/>
        <v/>
      </c>
    </row>
    <row r="2339" spans="1:9" x14ac:dyDescent="0.2">
      <c r="A2339" t="str">
        <f>IF(ROW(A2339)&lt;=Raw_hydro_bm!$J$2,Raw_hydro_bm!B2339,"")</f>
        <v/>
      </c>
      <c r="B2339" t="str">
        <f>IF(ROW(B2339)&lt;=Raw_hydro_bm!$J$2,Raw_hydro_bm!C2339,"")</f>
        <v/>
      </c>
      <c r="C2339" t="str">
        <f>IF(ROW(C2339)&lt;=Raw_hydro_bm!$J$2,Raw_hydro_bm!D2339,"")</f>
        <v/>
      </c>
      <c r="D2339" t="str">
        <f>IF(ROW(D2339)&lt;=Raw_hydro_bm!$J$2,Raw_hydro_bm!E2339,"")</f>
        <v/>
      </c>
      <c r="E2339" t="str">
        <f>IF(ROW(E2339)&lt;=Raw_hydro_bm!$J$2,Raw_hydro_bm!F2339,"")</f>
        <v/>
      </c>
      <c r="F2339" t="str">
        <f>IF(ROW(F2339)&lt;=Raw_hydro_bm!$J$2,Raw_hydro_bm!G2339,"")</f>
        <v/>
      </c>
      <c r="G2339" t="str">
        <f>IF(ROW(G2339)&lt;=Raw_hydro_bm!$J$2,Raw_hydro_bm!H2339,"")</f>
        <v/>
      </c>
      <c r="H2339" t="str">
        <f>IF(ROW(H2339)&lt;=Raw_hydro_bm!$J$2,Raw_hydro_bm!I2339,"")</f>
        <v/>
      </c>
      <c r="I2339" s="16" t="str">
        <f t="shared" si="36"/>
        <v/>
      </c>
    </row>
    <row r="2340" spans="1:9" x14ac:dyDescent="0.2">
      <c r="A2340" t="str">
        <f>IF(ROW(A2340)&lt;=Raw_hydro_bm!$J$2,Raw_hydro_bm!B2340,"")</f>
        <v/>
      </c>
      <c r="B2340" t="str">
        <f>IF(ROW(B2340)&lt;=Raw_hydro_bm!$J$2,Raw_hydro_bm!C2340,"")</f>
        <v/>
      </c>
      <c r="C2340" t="str">
        <f>IF(ROW(C2340)&lt;=Raw_hydro_bm!$J$2,Raw_hydro_bm!D2340,"")</f>
        <v/>
      </c>
      <c r="D2340" t="str">
        <f>IF(ROW(D2340)&lt;=Raw_hydro_bm!$J$2,Raw_hydro_bm!E2340,"")</f>
        <v/>
      </c>
      <c r="E2340" t="str">
        <f>IF(ROW(E2340)&lt;=Raw_hydro_bm!$J$2,Raw_hydro_bm!F2340,"")</f>
        <v/>
      </c>
      <c r="F2340" t="str">
        <f>IF(ROW(F2340)&lt;=Raw_hydro_bm!$J$2,Raw_hydro_bm!G2340,"")</f>
        <v/>
      </c>
      <c r="G2340" t="str">
        <f>IF(ROW(G2340)&lt;=Raw_hydro_bm!$J$2,Raw_hydro_bm!H2340,"")</f>
        <v/>
      </c>
      <c r="H2340" t="str">
        <f>IF(ROW(H2340)&lt;=Raw_hydro_bm!$J$2,Raw_hydro_bm!I2340,"")</f>
        <v/>
      </c>
      <c r="I2340" s="16" t="str">
        <f t="shared" si="36"/>
        <v/>
      </c>
    </row>
    <row r="2341" spans="1:9" x14ac:dyDescent="0.2">
      <c r="A2341" t="str">
        <f>IF(ROW(A2341)&lt;=Raw_hydro_bm!$J$2,Raw_hydro_bm!B2341,"")</f>
        <v/>
      </c>
      <c r="B2341" t="str">
        <f>IF(ROW(B2341)&lt;=Raw_hydro_bm!$J$2,Raw_hydro_bm!C2341,"")</f>
        <v/>
      </c>
      <c r="C2341" t="str">
        <f>IF(ROW(C2341)&lt;=Raw_hydro_bm!$J$2,Raw_hydro_bm!D2341,"")</f>
        <v/>
      </c>
      <c r="D2341" t="str">
        <f>IF(ROW(D2341)&lt;=Raw_hydro_bm!$J$2,Raw_hydro_bm!E2341,"")</f>
        <v/>
      </c>
      <c r="E2341" t="str">
        <f>IF(ROW(E2341)&lt;=Raw_hydro_bm!$J$2,Raw_hydro_bm!F2341,"")</f>
        <v/>
      </c>
      <c r="F2341" t="str">
        <f>IF(ROW(F2341)&lt;=Raw_hydro_bm!$J$2,Raw_hydro_bm!G2341,"")</f>
        <v/>
      </c>
      <c r="G2341" t="str">
        <f>IF(ROW(G2341)&lt;=Raw_hydro_bm!$J$2,Raw_hydro_bm!H2341,"")</f>
        <v/>
      </c>
      <c r="H2341" t="str">
        <f>IF(ROW(H2341)&lt;=Raw_hydro_bm!$J$2,Raw_hydro_bm!I2341,"")</f>
        <v/>
      </c>
      <c r="I2341" s="16" t="str">
        <f t="shared" si="36"/>
        <v/>
      </c>
    </row>
    <row r="2342" spans="1:9" x14ac:dyDescent="0.2">
      <c r="A2342" t="str">
        <f>IF(ROW(A2342)&lt;=Raw_hydro_bm!$J$2,Raw_hydro_bm!B2342,"")</f>
        <v/>
      </c>
      <c r="B2342" t="str">
        <f>IF(ROW(B2342)&lt;=Raw_hydro_bm!$J$2,Raw_hydro_bm!C2342,"")</f>
        <v/>
      </c>
      <c r="C2342" t="str">
        <f>IF(ROW(C2342)&lt;=Raw_hydro_bm!$J$2,Raw_hydro_bm!D2342,"")</f>
        <v/>
      </c>
      <c r="D2342" t="str">
        <f>IF(ROW(D2342)&lt;=Raw_hydro_bm!$J$2,Raw_hydro_bm!E2342,"")</f>
        <v/>
      </c>
      <c r="E2342" t="str">
        <f>IF(ROW(E2342)&lt;=Raw_hydro_bm!$J$2,Raw_hydro_bm!F2342,"")</f>
        <v/>
      </c>
      <c r="F2342" t="str">
        <f>IF(ROW(F2342)&lt;=Raw_hydro_bm!$J$2,Raw_hydro_bm!G2342,"")</f>
        <v/>
      </c>
      <c r="G2342" t="str">
        <f>IF(ROW(G2342)&lt;=Raw_hydro_bm!$J$2,Raw_hydro_bm!H2342,"")</f>
        <v/>
      </c>
      <c r="H2342" t="str">
        <f>IF(ROW(H2342)&lt;=Raw_hydro_bm!$J$2,Raw_hydro_bm!I2342,"")</f>
        <v/>
      </c>
      <c r="I2342" s="16" t="str">
        <f t="shared" si="36"/>
        <v/>
      </c>
    </row>
    <row r="2343" spans="1:9" x14ac:dyDescent="0.2">
      <c r="A2343" t="str">
        <f>IF(ROW(A2343)&lt;=Raw_hydro_bm!$J$2,Raw_hydro_bm!B2343,"")</f>
        <v/>
      </c>
      <c r="B2343" t="str">
        <f>IF(ROW(B2343)&lt;=Raw_hydro_bm!$J$2,Raw_hydro_bm!C2343,"")</f>
        <v/>
      </c>
      <c r="C2343" t="str">
        <f>IF(ROW(C2343)&lt;=Raw_hydro_bm!$J$2,Raw_hydro_bm!D2343,"")</f>
        <v/>
      </c>
      <c r="D2343" t="str">
        <f>IF(ROW(D2343)&lt;=Raw_hydro_bm!$J$2,Raw_hydro_bm!E2343,"")</f>
        <v/>
      </c>
      <c r="E2343" t="str">
        <f>IF(ROW(E2343)&lt;=Raw_hydro_bm!$J$2,Raw_hydro_bm!F2343,"")</f>
        <v/>
      </c>
      <c r="F2343" t="str">
        <f>IF(ROW(F2343)&lt;=Raw_hydro_bm!$J$2,Raw_hydro_bm!G2343,"")</f>
        <v/>
      </c>
      <c r="G2343" t="str">
        <f>IF(ROW(G2343)&lt;=Raw_hydro_bm!$J$2,Raw_hydro_bm!H2343,"")</f>
        <v/>
      </c>
      <c r="H2343" t="str">
        <f>IF(ROW(H2343)&lt;=Raw_hydro_bm!$J$2,Raw_hydro_bm!I2343,"")</f>
        <v/>
      </c>
      <c r="I2343" s="16" t="str">
        <f t="shared" si="36"/>
        <v/>
      </c>
    </row>
    <row r="2344" spans="1:9" x14ac:dyDescent="0.2">
      <c r="A2344" t="str">
        <f>IF(ROW(A2344)&lt;=Raw_hydro_bm!$J$2,Raw_hydro_bm!B2344,"")</f>
        <v/>
      </c>
      <c r="B2344" t="str">
        <f>IF(ROW(B2344)&lt;=Raw_hydro_bm!$J$2,Raw_hydro_bm!C2344,"")</f>
        <v/>
      </c>
      <c r="C2344" t="str">
        <f>IF(ROW(C2344)&lt;=Raw_hydro_bm!$J$2,Raw_hydro_bm!D2344,"")</f>
        <v/>
      </c>
      <c r="D2344" t="str">
        <f>IF(ROW(D2344)&lt;=Raw_hydro_bm!$J$2,Raw_hydro_bm!E2344,"")</f>
        <v/>
      </c>
      <c r="E2344" t="str">
        <f>IF(ROW(E2344)&lt;=Raw_hydro_bm!$J$2,Raw_hydro_bm!F2344,"")</f>
        <v/>
      </c>
      <c r="F2344" t="str">
        <f>IF(ROW(F2344)&lt;=Raw_hydro_bm!$J$2,Raw_hydro_bm!G2344,"")</f>
        <v/>
      </c>
      <c r="G2344" t="str">
        <f>IF(ROW(G2344)&lt;=Raw_hydro_bm!$J$2,Raw_hydro_bm!H2344,"")</f>
        <v/>
      </c>
      <c r="H2344" t="str">
        <f>IF(ROW(H2344)&lt;=Raw_hydro_bm!$J$2,Raw_hydro_bm!I2344,"")</f>
        <v/>
      </c>
      <c r="I2344" s="16" t="str">
        <f t="shared" si="36"/>
        <v/>
      </c>
    </row>
    <row r="2345" spans="1:9" x14ac:dyDescent="0.2">
      <c r="A2345" t="str">
        <f>IF(ROW(A2345)&lt;=Raw_hydro_bm!$J$2,Raw_hydro_bm!B2345,"")</f>
        <v/>
      </c>
      <c r="B2345" t="str">
        <f>IF(ROW(B2345)&lt;=Raw_hydro_bm!$J$2,Raw_hydro_bm!C2345,"")</f>
        <v/>
      </c>
      <c r="C2345" t="str">
        <f>IF(ROW(C2345)&lt;=Raw_hydro_bm!$J$2,Raw_hydro_bm!D2345,"")</f>
        <v/>
      </c>
      <c r="D2345" t="str">
        <f>IF(ROW(D2345)&lt;=Raw_hydro_bm!$J$2,Raw_hydro_bm!E2345,"")</f>
        <v/>
      </c>
      <c r="E2345" t="str">
        <f>IF(ROW(E2345)&lt;=Raw_hydro_bm!$J$2,Raw_hydro_bm!F2345,"")</f>
        <v/>
      </c>
      <c r="F2345" t="str">
        <f>IF(ROW(F2345)&lt;=Raw_hydro_bm!$J$2,Raw_hydro_bm!G2345,"")</f>
        <v/>
      </c>
      <c r="G2345" t="str">
        <f>IF(ROW(G2345)&lt;=Raw_hydro_bm!$J$2,Raw_hydro_bm!H2345,"")</f>
        <v/>
      </c>
      <c r="H2345" t="str">
        <f>IF(ROW(H2345)&lt;=Raw_hydro_bm!$J$2,Raw_hydro_bm!I2345,"")</f>
        <v/>
      </c>
      <c r="I2345" s="16" t="str">
        <f t="shared" si="36"/>
        <v/>
      </c>
    </row>
    <row r="2346" spans="1:9" x14ac:dyDescent="0.2">
      <c r="A2346" t="str">
        <f>IF(ROW(A2346)&lt;=Raw_hydro_bm!$J$2,Raw_hydro_bm!B2346,"")</f>
        <v/>
      </c>
      <c r="B2346" t="str">
        <f>IF(ROW(B2346)&lt;=Raw_hydro_bm!$J$2,Raw_hydro_bm!C2346,"")</f>
        <v/>
      </c>
      <c r="C2346" t="str">
        <f>IF(ROW(C2346)&lt;=Raw_hydro_bm!$J$2,Raw_hydro_bm!D2346,"")</f>
        <v/>
      </c>
      <c r="D2346" t="str">
        <f>IF(ROW(D2346)&lt;=Raw_hydro_bm!$J$2,Raw_hydro_bm!E2346,"")</f>
        <v/>
      </c>
      <c r="E2346" t="str">
        <f>IF(ROW(E2346)&lt;=Raw_hydro_bm!$J$2,Raw_hydro_bm!F2346,"")</f>
        <v/>
      </c>
      <c r="F2346" t="str">
        <f>IF(ROW(F2346)&lt;=Raw_hydro_bm!$J$2,Raw_hydro_bm!G2346,"")</f>
        <v/>
      </c>
      <c r="G2346" t="str">
        <f>IF(ROW(G2346)&lt;=Raw_hydro_bm!$J$2,Raw_hydro_bm!H2346,"")</f>
        <v/>
      </c>
      <c r="H2346" t="str">
        <f>IF(ROW(H2346)&lt;=Raw_hydro_bm!$J$2,Raw_hydro_bm!I2346,"")</f>
        <v/>
      </c>
      <c r="I2346" s="16" t="str">
        <f t="shared" si="36"/>
        <v/>
      </c>
    </row>
    <row r="2347" spans="1:9" x14ac:dyDescent="0.2">
      <c r="A2347" t="str">
        <f>IF(ROW(A2347)&lt;=Raw_hydro_bm!$J$2,Raw_hydro_bm!B2347,"")</f>
        <v/>
      </c>
      <c r="B2347" t="str">
        <f>IF(ROW(B2347)&lt;=Raw_hydro_bm!$J$2,Raw_hydro_bm!C2347,"")</f>
        <v/>
      </c>
      <c r="C2347" t="str">
        <f>IF(ROW(C2347)&lt;=Raw_hydro_bm!$J$2,Raw_hydro_bm!D2347,"")</f>
        <v/>
      </c>
      <c r="D2347" t="str">
        <f>IF(ROW(D2347)&lt;=Raw_hydro_bm!$J$2,Raw_hydro_bm!E2347,"")</f>
        <v/>
      </c>
      <c r="E2347" t="str">
        <f>IF(ROW(E2347)&lt;=Raw_hydro_bm!$J$2,Raw_hydro_bm!F2347,"")</f>
        <v/>
      </c>
      <c r="F2347" t="str">
        <f>IF(ROW(F2347)&lt;=Raw_hydro_bm!$J$2,Raw_hydro_bm!G2347,"")</f>
        <v/>
      </c>
      <c r="G2347" t="str">
        <f>IF(ROW(G2347)&lt;=Raw_hydro_bm!$J$2,Raw_hydro_bm!H2347,"")</f>
        <v/>
      </c>
      <c r="H2347" t="str">
        <f>IF(ROW(H2347)&lt;=Raw_hydro_bm!$J$2,Raw_hydro_bm!I2347,"")</f>
        <v/>
      </c>
      <c r="I2347" s="16" t="str">
        <f t="shared" si="36"/>
        <v/>
      </c>
    </row>
    <row r="2348" spans="1:9" x14ac:dyDescent="0.2">
      <c r="A2348" t="str">
        <f>IF(ROW(A2348)&lt;=Raw_hydro_bm!$J$2,Raw_hydro_bm!B2348,"")</f>
        <v/>
      </c>
      <c r="B2348" t="str">
        <f>IF(ROW(B2348)&lt;=Raw_hydro_bm!$J$2,Raw_hydro_bm!C2348,"")</f>
        <v/>
      </c>
      <c r="C2348" t="str">
        <f>IF(ROW(C2348)&lt;=Raw_hydro_bm!$J$2,Raw_hydro_bm!D2348,"")</f>
        <v/>
      </c>
      <c r="D2348" t="str">
        <f>IF(ROW(D2348)&lt;=Raw_hydro_bm!$J$2,Raw_hydro_bm!E2348,"")</f>
        <v/>
      </c>
      <c r="E2348" t="str">
        <f>IF(ROW(E2348)&lt;=Raw_hydro_bm!$J$2,Raw_hydro_bm!F2348,"")</f>
        <v/>
      </c>
      <c r="F2348" t="str">
        <f>IF(ROW(F2348)&lt;=Raw_hydro_bm!$J$2,Raw_hydro_bm!G2348,"")</f>
        <v/>
      </c>
      <c r="G2348" t="str">
        <f>IF(ROW(G2348)&lt;=Raw_hydro_bm!$J$2,Raw_hydro_bm!H2348,"")</f>
        <v/>
      </c>
      <c r="H2348" t="str">
        <f>IF(ROW(H2348)&lt;=Raw_hydro_bm!$J$2,Raw_hydro_bm!I2348,"")</f>
        <v/>
      </c>
      <c r="I2348" s="16" t="str">
        <f t="shared" si="36"/>
        <v/>
      </c>
    </row>
    <row r="2349" spans="1:9" x14ac:dyDescent="0.2">
      <c r="A2349" t="str">
        <f>IF(ROW(A2349)&lt;=Raw_hydro_bm!$J$2,Raw_hydro_bm!B2349,"")</f>
        <v/>
      </c>
      <c r="B2349" t="str">
        <f>IF(ROW(B2349)&lt;=Raw_hydro_bm!$J$2,Raw_hydro_bm!C2349,"")</f>
        <v/>
      </c>
      <c r="C2349" t="str">
        <f>IF(ROW(C2349)&lt;=Raw_hydro_bm!$J$2,Raw_hydro_bm!D2349,"")</f>
        <v/>
      </c>
      <c r="D2349" t="str">
        <f>IF(ROW(D2349)&lt;=Raw_hydro_bm!$J$2,Raw_hydro_bm!E2349,"")</f>
        <v/>
      </c>
      <c r="E2349" t="str">
        <f>IF(ROW(E2349)&lt;=Raw_hydro_bm!$J$2,Raw_hydro_bm!F2349,"")</f>
        <v/>
      </c>
      <c r="F2349" t="str">
        <f>IF(ROW(F2349)&lt;=Raw_hydro_bm!$J$2,Raw_hydro_bm!G2349,"")</f>
        <v/>
      </c>
      <c r="G2349" t="str">
        <f>IF(ROW(G2349)&lt;=Raw_hydro_bm!$J$2,Raw_hydro_bm!H2349,"")</f>
        <v/>
      </c>
      <c r="H2349" t="str">
        <f>IF(ROW(H2349)&lt;=Raw_hydro_bm!$J$2,Raw_hydro_bm!I2349,"")</f>
        <v/>
      </c>
      <c r="I2349" s="16" t="str">
        <f t="shared" si="36"/>
        <v/>
      </c>
    </row>
    <row r="2350" spans="1:9" x14ac:dyDescent="0.2">
      <c r="A2350" t="str">
        <f>IF(ROW(A2350)&lt;=Raw_hydro_bm!$J$2,Raw_hydro_bm!B2350,"")</f>
        <v/>
      </c>
      <c r="B2350" t="str">
        <f>IF(ROW(B2350)&lt;=Raw_hydro_bm!$J$2,Raw_hydro_bm!C2350,"")</f>
        <v/>
      </c>
      <c r="C2350" t="str">
        <f>IF(ROW(C2350)&lt;=Raw_hydro_bm!$J$2,Raw_hydro_bm!D2350,"")</f>
        <v/>
      </c>
      <c r="D2350" t="str">
        <f>IF(ROW(D2350)&lt;=Raw_hydro_bm!$J$2,Raw_hydro_bm!E2350,"")</f>
        <v/>
      </c>
      <c r="E2350" t="str">
        <f>IF(ROW(E2350)&lt;=Raw_hydro_bm!$J$2,Raw_hydro_bm!F2350,"")</f>
        <v/>
      </c>
      <c r="F2350" t="str">
        <f>IF(ROW(F2350)&lt;=Raw_hydro_bm!$J$2,Raw_hydro_bm!G2350,"")</f>
        <v/>
      </c>
      <c r="G2350" t="str">
        <f>IF(ROW(G2350)&lt;=Raw_hydro_bm!$J$2,Raw_hydro_bm!H2350,"")</f>
        <v/>
      </c>
      <c r="H2350" t="str">
        <f>IF(ROW(H2350)&lt;=Raw_hydro_bm!$J$2,Raw_hydro_bm!I2350,"")</f>
        <v/>
      </c>
      <c r="I2350" s="16" t="str">
        <f t="shared" si="36"/>
        <v/>
      </c>
    </row>
    <row r="2351" spans="1:9" x14ac:dyDescent="0.2">
      <c r="A2351" t="str">
        <f>IF(ROW(A2351)&lt;=Raw_hydro_bm!$J$2,Raw_hydro_bm!B2351,"")</f>
        <v/>
      </c>
      <c r="B2351" t="str">
        <f>IF(ROW(B2351)&lt;=Raw_hydro_bm!$J$2,Raw_hydro_bm!C2351,"")</f>
        <v/>
      </c>
      <c r="C2351" t="str">
        <f>IF(ROW(C2351)&lt;=Raw_hydro_bm!$J$2,Raw_hydro_bm!D2351,"")</f>
        <v/>
      </c>
      <c r="D2351" t="str">
        <f>IF(ROW(D2351)&lt;=Raw_hydro_bm!$J$2,Raw_hydro_bm!E2351,"")</f>
        <v/>
      </c>
      <c r="E2351" t="str">
        <f>IF(ROW(E2351)&lt;=Raw_hydro_bm!$J$2,Raw_hydro_bm!F2351,"")</f>
        <v/>
      </c>
      <c r="F2351" t="str">
        <f>IF(ROW(F2351)&lt;=Raw_hydro_bm!$J$2,Raw_hydro_bm!G2351,"")</f>
        <v/>
      </c>
      <c r="G2351" t="str">
        <f>IF(ROW(G2351)&lt;=Raw_hydro_bm!$J$2,Raw_hydro_bm!H2351,"")</f>
        <v/>
      </c>
      <c r="H2351" t="str">
        <f>IF(ROW(H2351)&lt;=Raw_hydro_bm!$J$2,Raw_hydro_bm!I2351,"")</f>
        <v/>
      </c>
      <c r="I2351" s="16" t="str">
        <f t="shared" si="36"/>
        <v/>
      </c>
    </row>
    <row r="2352" spans="1:9" x14ac:dyDescent="0.2">
      <c r="A2352" t="str">
        <f>IF(ROW(A2352)&lt;=Raw_hydro_bm!$J$2,Raw_hydro_bm!B2352,"")</f>
        <v/>
      </c>
      <c r="B2352" t="str">
        <f>IF(ROW(B2352)&lt;=Raw_hydro_bm!$J$2,Raw_hydro_bm!C2352,"")</f>
        <v/>
      </c>
      <c r="C2352" t="str">
        <f>IF(ROW(C2352)&lt;=Raw_hydro_bm!$J$2,Raw_hydro_bm!D2352,"")</f>
        <v/>
      </c>
      <c r="D2352" t="str">
        <f>IF(ROW(D2352)&lt;=Raw_hydro_bm!$J$2,Raw_hydro_bm!E2352,"")</f>
        <v/>
      </c>
      <c r="E2352" t="str">
        <f>IF(ROW(E2352)&lt;=Raw_hydro_bm!$J$2,Raw_hydro_bm!F2352,"")</f>
        <v/>
      </c>
      <c r="F2352" t="str">
        <f>IF(ROW(F2352)&lt;=Raw_hydro_bm!$J$2,Raw_hydro_bm!G2352,"")</f>
        <v/>
      </c>
      <c r="G2352" t="str">
        <f>IF(ROW(G2352)&lt;=Raw_hydro_bm!$J$2,Raw_hydro_bm!H2352,"")</f>
        <v/>
      </c>
      <c r="H2352" t="str">
        <f>IF(ROW(H2352)&lt;=Raw_hydro_bm!$J$2,Raw_hydro_bm!I2352,"")</f>
        <v/>
      </c>
      <c r="I2352" s="16" t="str">
        <f t="shared" si="36"/>
        <v/>
      </c>
    </row>
    <row r="2353" spans="1:9" x14ac:dyDescent="0.2">
      <c r="A2353" t="str">
        <f>IF(ROW(A2353)&lt;=Raw_hydro_bm!$J$2,Raw_hydro_bm!B2353,"")</f>
        <v/>
      </c>
      <c r="B2353" t="str">
        <f>IF(ROW(B2353)&lt;=Raw_hydro_bm!$J$2,Raw_hydro_bm!C2353,"")</f>
        <v/>
      </c>
      <c r="C2353" t="str">
        <f>IF(ROW(C2353)&lt;=Raw_hydro_bm!$J$2,Raw_hydro_bm!D2353,"")</f>
        <v/>
      </c>
      <c r="D2353" t="str">
        <f>IF(ROW(D2353)&lt;=Raw_hydro_bm!$J$2,Raw_hydro_bm!E2353,"")</f>
        <v/>
      </c>
      <c r="E2353" t="str">
        <f>IF(ROW(E2353)&lt;=Raw_hydro_bm!$J$2,Raw_hydro_bm!F2353,"")</f>
        <v/>
      </c>
      <c r="F2353" t="str">
        <f>IF(ROW(F2353)&lt;=Raw_hydro_bm!$J$2,Raw_hydro_bm!G2353,"")</f>
        <v/>
      </c>
      <c r="G2353" t="str">
        <f>IF(ROW(G2353)&lt;=Raw_hydro_bm!$J$2,Raw_hydro_bm!H2353,"")</f>
        <v/>
      </c>
      <c r="H2353" t="str">
        <f>IF(ROW(H2353)&lt;=Raw_hydro_bm!$J$2,Raw_hydro_bm!I2353,"")</f>
        <v/>
      </c>
      <c r="I2353" s="16" t="str">
        <f t="shared" si="36"/>
        <v/>
      </c>
    </row>
    <row r="2354" spans="1:9" x14ac:dyDescent="0.2">
      <c r="A2354" t="str">
        <f>IF(ROW(A2354)&lt;=Raw_hydro_bm!$J$2,Raw_hydro_bm!B2354,"")</f>
        <v/>
      </c>
      <c r="B2354" t="str">
        <f>IF(ROW(B2354)&lt;=Raw_hydro_bm!$J$2,Raw_hydro_bm!C2354,"")</f>
        <v/>
      </c>
      <c r="C2354" t="str">
        <f>IF(ROW(C2354)&lt;=Raw_hydro_bm!$J$2,Raw_hydro_bm!D2354,"")</f>
        <v/>
      </c>
      <c r="D2354" t="str">
        <f>IF(ROW(D2354)&lt;=Raw_hydro_bm!$J$2,Raw_hydro_bm!E2354,"")</f>
        <v/>
      </c>
      <c r="E2354" t="str">
        <f>IF(ROW(E2354)&lt;=Raw_hydro_bm!$J$2,Raw_hydro_bm!F2354,"")</f>
        <v/>
      </c>
      <c r="F2354" t="str">
        <f>IF(ROW(F2354)&lt;=Raw_hydro_bm!$J$2,Raw_hydro_bm!G2354,"")</f>
        <v/>
      </c>
      <c r="G2354" t="str">
        <f>IF(ROW(G2354)&lt;=Raw_hydro_bm!$J$2,Raw_hydro_bm!H2354,"")</f>
        <v/>
      </c>
      <c r="H2354" t="str">
        <f>IF(ROW(H2354)&lt;=Raw_hydro_bm!$J$2,Raw_hydro_bm!I2354,"")</f>
        <v/>
      </c>
      <c r="I2354" s="16" t="str">
        <f t="shared" si="36"/>
        <v/>
      </c>
    </row>
    <row r="2355" spans="1:9" x14ac:dyDescent="0.2">
      <c r="A2355" t="str">
        <f>IF(ROW(A2355)&lt;=Raw_hydro_bm!$J$2,Raw_hydro_bm!B2355,"")</f>
        <v/>
      </c>
      <c r="B2355" t="str">
        <f>IF(ROW(B2355)&lt;=Raw_hydro_bm!$J$2,Raw_hydro_bm!C2355,"")</f>
        <v/>
      </c>
      <c r="C2355" t="str">
        <f>IF(ROW(C2355)&lt;=Raw_hydro_bm!$J$2,Raw_hydro_bm!D2355,"")</f>
        <v/>
      </c>
      <c r="D2355" t="str">
        <f>IF(ROW(D2355)&lt;=Raw_hydro_bm!$J$2,Raw_hydro_bm!E2355,"")</f>
        <v/>
      </c>
      <c r="E2355" t="str">
        <f>IF(ROW(E2355)&lt;=Raw_hydro_bm!$J$2,Raw_hydro_bm!F2355,"")</f>
        <v/>
      </c>
      <c r="F2355" t="str">
        <f>IF(ROW(F2355)&lt;=Raw_hydro_bm!$J$2,Raw_hydro_bm!G2355,"")</f>
        <v/>
      </c>
      <c r="G2355" t="str">
        <f>IF(ROW(G2355)&lt;=Raw_hydro_bm!$J$2,Raw_hydro_bm!H2355,"")</f>
        <v/>
      </c>
      <c r="H2355" t="str">
        <f>IF(ROW(H2355)&lt;=Raw_hydro_bm!$J$2,Raw_hydro_bm!I2355,"")</f>
        <v/>
      </c>
      <c r="I2355" s="16" t="str">
        <f t="shared" si="36"/>
        <v/>
      </c>
    </row>
    <row r="2356" spans="1:9" x14ac:dyDescent="0.2">
      <c r="A2356" t="str">
        <f>IF(ROW(A2356)&lt;=Raw_hydro_bm!$J$2,Raw_hydro_bm!B2356,"")</f>
        <v/>
      </c>
      <c r="B2356" t="str">
        <f>IF(ROW(B2356)&lt;=Raw_hydro_bm!$J$2,Raw_hydro_bm!C2356,"")</f>
        <v/>
      </c>
      <c r="C2356" t="str">
        <f>IF(ROW(C2356)&lt;=Raw_hydro_bm!$J$2,Raw_hydro_bm!D2356,"")</f>
        <v/>
      </c>
      <c r="D2356" t="str">
        <f>IF(ROW(D2356)&lt;=Raw_hydro_bm!$J$2,Raw_hydro_bm!E2356,"")</f>
        <v/>
      </c>
      <c r="E2356" t="str">
        <f>IF(ROW(E2356)&lt;=Raw_hydro_bm!$J$2,Raw_hydro_bm!F2356,"")</f>
        <v/>
      </c>
      <c r="F2356" t="str">
        <f>IF(ROW(F2356)&lt;=Raw_hydro_bm!$J$2,Raw_hydro_bm!G2356,"")</f>
        <v/>
      </c>
      <c r="G2356" t="str">
        <f>IF(ROW(G2356)&lt;=Raw_hydro_bm!$J$2,Raw_hydro_bm!H2356,"")</f>
        <v/>
      </c>
      <c r="H2356" t="str">
        <f>IF(ROW(H2356)&lt;=Raw_hydro_bm!$J$2,Raw_hydro_bm!I2356,"")</f>
        <v/>
      </c>
      <c r="I2356" s="16" t="str">
        <f t="shared" si="36"/>
        <v/>
      </c>
    </row>
    <row r="2357" spans="1:9" x14ac:dyDescent="0.2">
      <c r="A2357" t="str">
        <f>IF(ROW(A2357)&lt;=Raw_hydro_bm!$J$2,Raw_hydro_bm!B2357,"")</f>
        <v/>
      </c>
      <c r="B2357" t="str">
        <f>IF(ROW(B2357)&lt;=Raw_hydro_bm!$J$2,Raw_hydro_bm!C2357,"")</f>
        <v/>
      </c>
      <c r="C2357" t="str">
        <f>IF(ROW(C2357)&lt;=Raw_hydro_bm!$J$2,Raw_hydro_bm!D2357,"")</f>
        <v/>
      </c>
      <c r="D2357" t="str">
        <f>IF(ROW(D2357)&lt;=Raw_hydro_bm!$J$2,Raw_hydro_bm!E2357,"")</f>
        <v/>
      </c>
      <c r="E2357" t="str">
        <f>IF(ROW(E2357)&lt;=Raw_hydro_bm!$J$2,Raw_hydro_bm!F2357,"")</f>
        <v/>
      </c>
      <c r="F2357" t="str">
        <f>IF(ROW(F2357)&lt;=Raw_hydro_bm!$J$2,Raw_hydro_bm!G2357,"")</f>
        <v/>
      </c>
      <c r="G2357" t="str">
        <f>IF(ROW(G2357)&lt;=Raw_hydro_bm!$J$2,Raw_hydro_bm!H2357,"")</f>
        <v/>
      </c>
      <c r="H2357" t="str">
        <f>IF(ROW(H2357)&lt;=Raw_hydro_bm!$J$2,Raw_hydro_bm!I2357,"")</f>
        <v/>
      </c>
      <c r="I2357" s="16" t="str">
        <f t="shared" si="36"/>
        <v/>
      </c>
    </row>
    <row r="2358" spans="1:9" x14ac:dyDescent="0.2">
      <c r="A2358" t="str">
        <f>IF(ROW(A2358)&lt;=Raw_hydro_bm!$J$2,Raw_hydro_bm!B2358,"")</f>
        <v/>
      </c>
      <c r="B2358" t="str">
        <f>IF(ROW(B2358)&lt;=Raw_hydro_bm!$J$2,Raw_hydro_bm!C2358,"")</f>
        <v/>
      </c>
      <c r="C2358" t="str">
        <f>IF(ROW(C2358)&lt;=Raw_hydro_bm!$J$2,Raw_hydro_bm!D2358,"")</f>
        <v/>
      </c>
      <c r="D2358" t="str">
        <f>IF(ROW(D2358)&lt;=Raw_hydro_bm!$J$2,Raw_hydro_bm!E2358,"")</f>
        <v/>
      </c>
      <c r="E2358" t="str">
        <f>IF(ROW(E2358)&lt;=Raw_hydro_bm!$J$2,Raw_hydro_bm!F2358,"")</f>
        <v/>
      </c>
      <c r="F2358" t="str">
        <f>IF(ROW(F2358)&lt;=Raw_hydro_bm!$J$2,Raw_hydro_bm!G2358,"")</f>
        <v/>
      </c>
      <c r="G2358" t="str">
        <f>IF(ROW(G2358)&lt;=Raw_hydro_bm!$J$2,Raw_hydro_bm!H2358,"")</f>
        <v/>
      </c>
      <c r="H2358" t="str">
        <f>IF(ROW(H2358)&lt;=Raw_hydro_bm!$J$2,Raw_hydro_bm!I2358,"")</f>
        <v/>
      </c>
      <c r="I2358" s="16" t="str">
        <f t="shared" si="36"/>
        <v/>
      </c>
    </row>
    <row r="2359" spans="1:9" x14ac:dyDescent="0.2">
      <c r="A2359" t="str">
        <f>IF(ROW(A2359)&lt;=Raw_hydro_bm!$J$2,Raw_hydro_bm!B2359,"")</f>
        <v/>
      </c>
      <c r="B2359" t="str">
        <f>IF(ROW(B2359)&lt;=Raw_hydro_bm!$J$2,Raw_hydro_bm!C2359,"")</f>
        <v/>
      </c>
      <c r="C2359" t="str">
        <f>IF(ROW(C2359)&lt;=Raw_hydro_bm!$J$2,Raw_hydro_bm!D2359,"")</f>
        <v/>
      </c>
      <c r="D2359" t="str">
        <f>IF(ROW(D2359)&lt;=Raw_hydro_bm!$J$2,Raw_hydro_bm!E2359,"")</f>
        <v/>
      </c>
      <c r="E2359" t="str">
        <f>IF(ROW(E2359)&lt;=Raw_hydro_bm!$J$2,Raw_hydro_bm!F2359,"")</f>
        <v/>
      </c>
      <c r="F2359" t="str">
        <f>IF(ROW(F2359)&lt;=Raw_hydro_bm!$J$2,Raw_hydro_bm!G2359,"")</f>
        <v/>
      </c>
      <c r="G2359" t="str">
        <f>IF(ROW(G2359)&lt;=Raw_hydro_bm!$J$2,Raw_hydro_bm!H2359,"")</f>
        <v/>
      </c>
      <c r="H2359" t="str">
        <f>IF(ROW(H2359)&lt;=Raw_hydro_bm!$J$2,Raw_hydro_bm!I2359,"")</f>
        <v/>
      </c>
      <c r="I2359" s="16" t="str">
        <f t="shared" si="36"/>
        <v/>
      </c>
    </row>
    <row r="2360" spans="1:9" x14ac:dyDescent="0.2">
      <c r="A2360" t="str">
        <f>IF(ROW(A2360)&lt;=Raw_hydro_bm!$J$2,Raw_hydro_bm!B2360,"")</f>
        <v/>
      </c>
      <c r="B2360" t="str">
        <f>IF(ROW(B2360)&lt;=Raw_hydro_bm!$J$2,Raw_hydro_bm!C2360,"")</f>
        <v/>
      </c>
      <c r="C2360" t="str">
        <f>IF(ROW(C2360)&lt;=Raw_hydro_bm!$J$2,Raw_hydro_bm!D2360,"")</f>
        <v/>
      </c>
      <c r="D2360" t="str">
        <f>IF(ROW(D2360)&lt;=Raw_hydro_bm!$J$2,Raw_hydro_bm!E2360,"")</f>
        <v/>
      </c>
      <c r="E2360" t="str">
        <f>IF(ROW(E2360)&lt;=Raw_hydro_bm!$J$2,Raw_hydro_bm!F2360,"")</f>
        <v/>
      </c>
      <c r="F2360" t="str">
        <f>IF(ROW(F2360)&lt;=Raw_hydro_bm!$J$2,Raw_hydro_bm!G2360,"")</f>
        <v/>
      </c>
      <c r="G2360" t="str">
        <f>IF(ROW(G2360)&lt;=Raw_hydro_bm!$J$2,Raw_hydro_bm!H2360,"")</f>
        <v/>
      </c>
      <c r="H2360" t="str">
        <f>IF(ROW(H2360)&lt;=Raw_hydro_bm!$J$2,Raw_hydro_bm!I2360,"")</f>
        <v/>
      </c>
      <c r="I2360" s="16" t="str">
        <f t="shared" si="36"/>
        <v/>
      </c>
    </row>
    <row r="2361" spans="1:9" x14ac:dyDescent="0.2">
      <c r="A2361" t="str">
        <f>IF(ROW(A2361)&lt;=Raw_hydro_bm!$J$2,Raw_hydro_bm!B2361,"")</f>
        <v/>
      </c>
      <c r="B2361" t="str">
        <f>IF(ROW(B2361)&lt;=Raw_hydro_bm!$J$2,Raw_hydro_bm!C2361,"")</f>
        <v/>
      </c>
      <c r="C2361" t="str">
        <f>IF(ROW(C2361)&lt;=Raw_hydro_bm!$J$2,Raw_hydro_bm!D2361,"")</f>
        <v/>
      </c>
      <c r="D2361" t="str">
        <f>IF(ROW(D2361)&lt;=Raw_hydro_bm!$J$2,Raw_hydro_bm!E2361,"")</f>
        <v/>
      </c>
      <c r="E2361" t="str">
        <f>IF(ROW(E2361)&lt;=Raw_hydro_bm!$J$2,Raw_hydro_bm!F2361,"")</f>
        <v/>
      </c>
      <c r="F2361" t="str">
        <f>IF(ROW(F2361)&lt;=Raw_hydro_bm!$J$2,Raw_hydro_bm!G2361,"")</f>
        <v/>
      </c>
      <c r="G2361" t="str">
        <f>IF(ROW(G2361)&lt;=Raw_hydro_bm!$J$2,Raw_hydro_bm!H2361,"")</f>
        <v/>
      </c>
      <c r="H2361" t="str">
        <f>IF(ROW(H2361)&lt;=Raw_hydro_bm!$J$2,Raw_hydro_bm!I2361,"")</f>
        <v/>
      </c>
      <c r="I2361" s="16" t="str">
        <f t="shared" si="36"/>
        <v/>
      </c>
    </row>
    <row r="2362" spans="1:9" x14ac:dyDescent="0.2">
      <c r="A2362" t="str">
        <f>IF(ROW(A2362)&lt;=Raw_hydro_bm!$J$2,Raw_hydro_bm!B2362,"")</f>
        <v/>
      </c>
      <c r="B2362" t="str">
        <f>IF(ROW(B2362)&lt;=Raw_hydro_bm!$J$2,Raw_hydro_bm!C2362,"")</f>
        <v/>
      </c>
      <c r="C2362" t="str">
        <f>IF(ROW(C2362)&lt;=Raw_hydro_bm!$J$2,Raw_hydro_bm!D2362,"")</f>
        <v/>
      </c>
      <c r="D2362" t="str">
        <f>IF(ROW(D2362)&lt;=Raw_hydro_bm!$J$2,Raw_hydro_bm!E2362,"")</f>
        <v/>
      </c>
      <c r="E2362" t="str">
        <f>IF(ROW(E2362)&lt;=Raw_hydro_bm!$J$2,Raw_hydro_bm!F2362,"")</f>
        <v/>
      </c>
      <c r="F2362" t="str">
        <f>IF(ROW(F2362)&lt;=Raw_hydro_bm!$J$2,Raw_hydro_bm!G2362,"")</f>
        <v/>
      </c>
      <c r="G2362" t="str">
        <f>IF(ROW(G2362)&lt;=Raw_hydro_bm!$J$2,Raw_hydro_bm!H2362,"")</f>
        <v/>
      </c>
      <c r="H2362" t="str">
        <f>IF(ROW(H2362)&lt;=Raw_hydro_bm!$J$2,Raw_hydro_bm!I2362,"")</f>
        <v/>
      </c>
      <c r="I2362" s="16" t="str">
        <f t="shared" si="36"/>
        <v/>
      </c>
    </row>
    <row r="2363" spans="1:9" x14ac:dyDescent="0.2">
      <c r="A2363" t="str">
        <f>IF(ROW(A2363)&lt;=Raw_hydro_bm!$J$2,Raw_hydro_bm!B2363,"")</f>
        <v/>
      </c>
      <c r="B2363" t="str">
        <f>IF(ROW(B2363)&lt;=Raw_hydro_bm!$J$2,Raw_hydro_bm!C2363,"")</f>
        <v/>
      </c>
      <c r="C2363" t="str">
        <f>IF(ROW(C2363)&lt;=Raw_hydro_bm!$J$2,Raw_hydro_bm!D2363,"")</f>
        <v/>
      </c>
      <c r="D2363" t="str">
        <f>IF(ROW(D2363)&lt;=Raw_hydro_bm!$J$2,Raw_hydro_bm!E2363,"")</f>
        <v/>
      </c>
      <c r="E2363" t="str">
        <f>IF(ROW(E2363)&lt;=Raw_hydro_bm!$J$2,Raw_hydro_bm!F2363,"")</f>
        <v/>
      </c>
      <c r="F2363" t="str">
        <f>IF(ROW(F2363)&lt;=Raw_hydro_bm!$J$2,Raw_hydro_bm!G2363,"")</f>
        <v/>
      </c>
      <c r="G2363" t="str">
        <f>IF(ROW(G2363)&lt;=Raw_hydro_bm!$J$2,Raw_hydro_bm!H2363,"")</f>
        <v/>
      </c>
      <c r="H2363" t="str">
        <f>IF(ROW(H2363)&lt;=Raw_hydro_bm!$J$2,Raw_hydro_bm!I2363,"")</f>
        <v/>
      </c>
      <c r="I2363" s="16" t="str">
        <f t="shared" si="36"/>
        <v/>
      </c>
    </row>
    <row r="2364" spans="1:9" x14ac:dyDescent="0.2">
      <c r="A2364" t="str">
        <f>IF(ROW(A2364)&lt;=Raw_hydro_bm!$J$2,Raw_hydro_bm!B2364,"")</f>
        <v/>
      </c>
      <c r="B2364" t="str">
        <f>IF(ROW(B2364)&lt;=Raw_hydro_bm!$J$2,Raw_hydro_bm!C2364,"")</f>
        <v/>
      </c>
      <c r="C2364" t="str">
        <f>IF(ROW(C2364)&lt;=Raw_hydro_bm!$J$2,Raw_hydro_bm!D2364,"")</f>
        <v/>
      </c>
      <c r="D2364" t="str">
        <f>IF(ROW(D2364)&lt;=Raw_hydro_bm!$J$2,Raw_hydro_bm!E2364,"")</f>
        <v/>
      </c>
      <c r="E2364" t="str">
        <f>IF(ROW(E2364)&lt;=Raw_hydro_bm!$J$2,Raw_hydro_bm!F2364,"")</f>
        <v/>
      </c>
      <c r="F2364" t="str">
        <f>IF(ROW(F2364)&lt;=Raw_hydro_bm!$J$2,Raw_hydro_bm!G2364,"")</f>
        <v/>
      </c>
      <c r="G2364" t="str">
        <f>IF(ROW(G2364)&lt;=Raw_hydro_bm!$J$2,Raw_hydro_bm!H2364,"")</f>
        <v/>
      </c>
      <c r="H2364" t="str">
        <f>IF(ROW(H2364)&lt;=Raw_hydro_bm!$J$2,Raw_hydro_bm!I2364,"")</f>
        <v/>
      </c>
      <c r="I2364" s="16" t="str">
        <f t="shared" si="36"/>
        <v/>
      </c>
    </row>
    <row r="2365" spans="1:9" x14ac:dyDescent="0.2">
      <c r="A2365" t="str">
        <f>IF(ROW(A2365)&lt;=Raw_hydro_bm!$J$2,Raw_hydro_bm!B2365,"")</f>
        <v/>
      </c>
      <c r="B2365" t="str">
        <f>IF(ROW(B2365)&lt;=Raw_hydro_bm!$J$2,Raw_hydro_bm!C2365,"")</f>
        <v/>
      </c>
      <c r="C2365" t="str">
        <f>IF(ROW(C2365)&lt;=Raw_hydro_bm!$J$2,Raw_hydro_bm!D2365,"")</f>
        <v/>
      </c>
      <c r="D2365" t="str">
        <f>IF(ROW(D2365)&lt;=Raw_hydro_bm!$J$2,Raw_hydro_bm!E2365,"")</f>
        <v/>
      </c>
      <c r="E2365" t="str">
        <f>IF(ROW(E2365)&lt;=Raw_hydro_bm!$J$2,Raw_hydro_bm!F2365,"")</f>
        <v/>
      </c>
      <c r="F2365" t="str">
        <f>IF(ROW(F2365)&lt;=Raw_hydro_bm!$J$2,Raw_hydro_bm!G2365,"")</f>
        <v/>
      </c>
      <c r="G2365" t="str">
        <f>IF(ROW(G2365)&lt;=Raw_hydro_bm!$J$2,Raw_hydro_bm!H2365,"")</f>
        <v/>
      </c>
      <c r="H2365" t="str">
        <f>IF(ROW(H2365)&lt;=Raw_hydro_bm!$J$2,Raw_hydro_bm!I2365,"")</f>
        <v/>
      </c>
      <c r="I2365" s="16" t="str">
        <f t="shared" si="36"/>
        <v/>
      </c>
    </row>
    <row r="2366" spans="1:9" x14ac:dyDescent="0.2">
      <c r="A2366" t="str">
        <f>IF(ROW(A2366)&lt;=Raw_hydro_bm!$J$2,Raw_hydro_bm!B2366,"")</f>
        <v/>
      </c>
      <c r="B2366" t="str">
        <f>IF(ROW(B2366)&lt;=Raw_hydro_bm!$J$2,Raw_hydro_bm!C2366,"")</f>
        <v/>
      </c>
      <c r="C2366" t="str">
        <f>IF(ROW(C2366)&lt;=Raw_hydro_bm!$J$2,Raw_hydro_bm!D2366,"")</f>
        <v/>
      </c>
      <c r="D2366" t="str">
        <f>IF(ROW(D2366)&lt;=Raw_hydro_bm!$J$2,Raw_hydro_bm!E2366,"")</f>
        <v/>
      </c>
      <c r="E2366" t="str">
        <f>IF(ROW(E2366)&lt;=Raw_hydro_bm!$J$2,Raw_hydro_bm!F2366,"")</f>
        <v/>
      </c>
      <c r="F2366" t="str">
        <f>IF(ROW(F2366)&lt;=Raw_hydro_bm!$J$2,Raw_hydro_bm!G2366,"")</f>
        <v/>
      </c>
      <c r="G2366" t="str">
        <f>IF(ROW(G2366)&lt;=Raw_hydro_bm!$J$2,Raw_hydro_bm!H2366,"")</f>
        <v/>
      </c>
      <c r="H2366" t="str">
        <f>IF(ROW(H2366)&lt;=Raw_hydro_bm!$J$2,Raw_hydro_bm!I2366,"")</f>
        <v/>
      </c>
      <c r="I2366" s="16" t="str">
        <f t="shared" si="36"/>
        <v/>
      </c>
    </row>
    <row r="2367" spans="1:9" x14ac:dyDescent="0.2">
      <c r="A2367" t="str">
        <f>IF(ROW(A2367)&lt;=Raw_hydro_bm!$J$2,Raw_hydro_bm!B2367,"")</f>
        <v/>
      </c>
      <c r="B2367" t="str">
        <f>IF(ROW(B2367)&lt;=Raw_hydro_bm!$J$2,Raw_hydro_bm!C2367,"")</f>
        <v/>
      </c>
      <c r="C2367" t="str">
        <f>IF(ROW(C2367)&lt;=Raw_hydro_bm!$J$2,Raw_hydro_bm!D2367,"")</f>
        <v/>
      </c>
      <c r="D2367" t="str">
        <f>IF(ROW(D2367)&lt;=Raw_hydro_bm!$J$2,Raw_hydro_bm!E2367,"")</f>
        <v/>
      </c>
      <c r="E2367" t="str">
        <f>IF(ROW(E2367)&lt;=Raw_hydro_bm!$J$2,Raw_hydro_bm!F2367,"")</f>
        <v/>
      </c>
      <c r="F2367" t="str">
        <f>IF(ROW(F2367)&lt;=Raw_hydro_bm!$J$2,Raw_hydro_bm!G2367,"")</f>
        <v/>
      </c>
      <c r="G2367" t="str">
        <f>IF(ROW(G2367)&lt;=Raw_hydro_bm!$J$2,Raw_hydro_bm!H2367,"")</f>
        <v/>
      </c>
      <c r="H2367" t="str">
        <f>IF(ROW(H2367)&lt;=Raw_hydro_bm!$J$2,Raw_hydro_bm!I2367,"")</f>
        <v/>
      </c>
      <c r="I2367" s="16" t="str">
        <f t="shared" si="36"/>
        <v/>
      </c>
    </row>
    <row r="2368" spans="1:9" x14ac:dyDescent="0.2">
      <c r="A2368" t="str">
        <f>IF(ROW(A2368)&lt;=Raw_hydro_bm!$J$2,Raw_hydro_bm!B2368,"")</f>
        <v/>
      </c>
      <c r="B2368" t="str">
        <f>IF(ROW(B2368)&lt;=Raw_hydro_bm!$J$2,Raw_hydro_bm!C2368,"")</f>
        <v/>
      </c>
      <c r="C2368" t="str">
        <f>IF(ROW(C2368)&lt;=Raw_hydro_bm!$J$2,Raw_hydro_bm!D2368,"")</f>
        <v/>
      </c>
      <c r="D2368" t="str">
        <f>IF(ROW(D2368)&lt;=Raw_hydro_bm!$J$2,Raw_hydro_bm!E2368,"")</f>
        <v/>
      </c>
      <c r="E2368" t="str">
        <f>IF(ROW(E2368)&lt;=Raw_hydro_bm!$J$2,Raw_hydro_bm!F2368,"")</f>
        <v/>
      </c>
      <c r="F2368" t="str">
        <f>IF(ROW(F2368)&lt;=Raw_hydro_bm!$J$2,Raw_hydro_bm!G2368,"")</f>
        <v/>
      </c>
      <c r="G2368" t="str">
        <f>IF(ROW(G2368)&lt;=Raw_hydro_bm!$J$2,Raw_hydro_bm!H2368,"")</f>
        <v/>
      </c>
      <c r="H2368" t="str">
        <f>IF(ROW(H2368)&lt;=Raw_hydro_bm!$J$2,Raw_hydro_bm!I2368,"")</f>
        <v/>
      </c>
      <c r="I2368" s="16" t="str">
        <f t="shared" si="36"/>
        <v/>
      </c>
    </row>
    <row r="2369" spans="1:9" x14ac:dyDescent="0.2">
      <c r="A2369" t="str">
        <f>IF(ROW(A2369)&lt;=Raw_hydro_bm!$J$2,Raw_hydro_bm!B2369,"")</f>
        <v/>
      </c>
      <c r="B2369" t="str">
        <f>IF(ROW(B2369)&lt;=Raw_hydro_bm!$J$2,Raw_hydro_bm!C2369,"")</f>
        <v/>
      </c>
      <c r="C2369" t="str">
        <f>IF(ROW(C2369)&lt;=Raw_hydro_bm!$J$2,Raw_hydro_bm!D2369,"")</f>
        <v/>
      </c>
      <c r="D2369" t="str">
        <f>IF(ROW(D2369)&lt;=Raw_hydro_bm!$J$2,Raw_hydro_bm!E2369,"")</f>
        <v/>
      </c>
      <c r="E2369" t="str">
        <f>IF(ROW(E2369)&lt;=Raw_hydro_bm!$J$2,Raw_hydro_bm!F2369,"")</f>
        <v/>
      </c>
      <c r="F2369" t="str">
        <f>IF(ROW(F2369)&lt;=Raw_hydro_bm!$J$2,Raw_hydro_bm!G2369,"")</f>
        <v/>
      </c>
      <c r="G2369" t="str">
        <f>IF(ROW(G2369)&lt;=Raw_hydro_bm!$J$2,Raw_hydro_bm!H2369,"")</f>
        <v/>
      </c>
      <c r="H2369" t="str">
        <f>IF(ROW(H2369)&lt;=Raw_hydro_bm!$J$2,Raw_hydro_bm!I2369,"")</f>
        <v/>
      </c>
      <c r="I2369" s="16" t="str">
        <f t="shared" si="36"/>
        <v/>
      </c>
    </row>
    <row r="2370" spans="1:9" x14ac:dyDescent="0.2">
      <c r="A2370" t="str">
        <f>IF(ROW(A2370)&lt;=Raw_hydro_bm!$J$2,Raw_hydro_bm!B2370,"")</f>
        <v/>
      </c>
      <c r="B2370" t="str">
        <f>IF(ROW(B2370)&lt;=Raw_hydro_bm!$J$2,Raw_hydro_bm!C2370,"")</f>
        <v/>
      </c>
      <c r="C2370" t="str">
        <f>IF(ROW(C2370)&lt;=Raw_hydro_bm!$J$2,Raw_hydro_bm!D2370,"")</f>
        <v/>
      </c>
      <c r="D2370" t="str">
        <f>IF(ROW(D2370)&lt;=Raw_hydro_bm!$J$2,Raw_hydro_bm!E2370,"")</f>
        <v/>
      </c>
      <c r="E2370" t="str">
        <f>IF(ROW(E2370)&lt;=Raw_hydro_bm!$J$2,Raw_hydro_bm!F2370,"")</f>
        <v/>
      </c>
      <c r="F2370" t="str">
        <f>IF(ROW(F2370)&lt;=Raw_hydro_bm!$J$2,Raw_hydro_bm!G2370,"")</f>
        <v/>
      </c>
      <c r="G2370" t="str">
        <f>IF(ROW(G2370)&lt;=Raw_hydro_bm!$J$2,Raw_hydro_bm!H2370,"")</f>
        <v/>
      </c>
      <c r="H2370" t="str">
        <f>IF(ROW(H2370)&lt;=Raw_hydro_bm!$J$2,Raw_hydro_bm!I2370,"")</f>
        <v/>
      </c>
      <c r="I2370" s="16" t="str">
        <f t="shared" ref="I2370:I2433" si="37">IF(IFERROR(FIND("e",H2370),-1)&lt;0,IFERROR(_xlfn.NUMBERVALUE(LEFT(H2370,FIND(".",H2370)-1))+_xlfn.NUMBERVALUE("0,"&amp;RIGHT(H2370,LEN(H2370)-FIND(".",H2370))),""),0)</f>
        <v/>
      </c>
    </row>
    <row r="2371" spans="1:9" x14ac:dyDescent="0.2">
      <c r="A2371" t="str">
        <f>IF(ROW(A2371)&lt;=Raw_hydro_bm!$J$2,Raw_hydro_bm!B2371,"")</f>
        <v/>
      </c>
      <c r="B2371" t="str">
        <f>IF(ROW(B2371)&lt;=Raw_hydro_bm!$J$2,Raw_hydro_bm!C2371,"")</f>
        <v/>
      </c>
      <c r="C2371" t="str">
        <f>IF(ROW(C2371)&lt;=Raw_hydro_bm!$J$2,Raw_hydro_bm!D2371,"")</f>
        <v/>
      </c>
      <c r="D2371" t="str">
        <f>IF(ROW(D2371)&lt;=Raw_hydro_bm!$J$2,Raw_hydro_bm!E2371,"")</f>
        <v/>
      </c>
      <c r="E2371" t="str">
        <f>IF(ROW(E2371)&lt;=Raw_hydro_bm!$J$2,Raw_hydro_bm!F2371,"")</f>
        <v/>
      </c>
      <c r="F2371" t="str">
        <f>IF(ROW(F2371)&lt;=Raw_hydro_bm!$J$2,Raw_hydro_bm!G2371,"")</f>
        <v/>
      </c>
      <c r="G2371" t="str">
        <f>IF(ROW(G2371)&lt;=Raw_hydro_bm!$J$2,Raw_hydro_bm!H2371,"")</f>
        <v/>
      </c>
      <c r="H2371" t="str">
        <f>IF(ROW(H2371)&lt;=Raw_hydro_bm!$J$2,Raw_hydro_bm!I2371,"")</f>
        <v/>
      </c>
      <c r="I2371" s="16" t="str">
        <f t="shared" si="37"/>
        <v/>
      </c>
    </row>
    <row r="2372" spans="1:9" x14ac:dyDescent="0.2">
      <c r="A2372" t="str">
        <f>IF(ROW(A2372)&lt;=Raw_hydro_bm!$J$2,Raw_hydro_bm!B2372,"")</f>
        <v/>
      </c>
      <c r="B2372" t="str">
        <f>IF(ROW(B2372)&lt;=Raw_hydro_bm!$J$2,Raw_hydro_bm!C2372,"")</f>
        <v/>
      </c>
      <c r="C2372" t="str">
        <f>IF(ROW(C2372)&lt;=Raw_hydro_bm!$J$2,Raw_hydro_bm!D2372,"")</f>
        <v/>
      </c>
      <c r="D2372" t="str">
        <f>IF(ROW(D2372)&lt;=Raw_hydro_bm!$J$2,Raw_hydro_bm!E2372,"")</f>
        <v/>
      </c>
      <c r="E2372" t="str">
        <f>IF(ROW(E2372)&lt;=Raw_hydro_bm!$J$2,Raw_hydro_bm!F2372,"")</f>
        <v/>
      </c>
      <c r="F2372" t="str">
        <f>IF(ROW(F2372)&lt;=Raw_hydro_bm!$J$2,Raw_hydro_bm!G2372,"")</f>
        <v/>
      </c>
      <c r="G2372" t="str">
        <f>IF(ROW(G2372)&lt;=Raw_hydro_bm!$J$2,Raw_hydro_bm!H2372,"")</f>
        <v/>
      </c>
      <c r="H2372" t="str">
        <f>IF(ROW(H2372)&lt;=Raw_hydro_bm!$J$2,Raw_hydro_bm!I2372,"")</f>
        <v/>
      </c>
      <c r="I2372" s="16" t="str">
        <f t="shared" si="37"/>
        <v/>
      </c>
    </row>
    <row r="2373" spans="1:9" x14ac:dyDescent="0.2">
      <c r="A2373" t="str">
        <f>IF(ROW(A2373)&lt;=Raw_hydro_bm!$J$2,Raw_hydro_bm!B2373,"")</f>
        <v/>
      </c>
      <c r="B2373" t="str">
        <f>IF(ROW(B2373)&lt;=Raw_hydro_bm!$J$2,Raw_hydro_bm!C2373,"")</f>
        <v/>
      </c>
      <c r="C2373" t="str">
        <f>IF(ROW(C2373)&lt;=Raw_hydro_bm!$J$2,Raw_hydro_bm!D2373,"")</f>
        <v/>
      </c>
      <c r="D2373" t="str">
        <f>IF(ROW(D2373)&lt;=Raw_hydro_bm!$J$2,Raw_hydro_bm!E2373,"")</f>
        <v/>
      </c>
      <c r="E2373" t="str">
        <f>IF(ROW(E2373)&lt;=Raw_hydro_bm!$J$2,Raw_hydro_bm!F2373,"")</f>
        <v/>
      </c>
      <c r="F2373" t="str">
        <f>IF(ROW(F2373)&lt;=Raw_hydro_bm!$J$2,Raw_hydro_bm!G2373,"")</f>
        <v/>
      </c>
      <c r="G2373" t="str">
        <f>IF(ROW(G2373)&lt;=Raw_hydro_bm!$J$2,Raw_hydro_bm!H2373,"")</f>
        <v/>
      </c>
      <c r="H2373" t="str">
        <f>IF(ROW(H2373)&lt;=Raw_hydro_bm!$J$2,Raw_hydro_bm!I2373,"")</f>
        <v/>
      </c>
      <c r="I2373" s="16" t="str">
        <f t="shared" si="37"/>
        <v/>
      </c>
    </row>
    <row r="2374" spans="1:9" x14ac:dyDescent="0.2">
      <c r="A2374" t="str">
        <f>IF(ROW(A2374)&lt;=Raw_hydro_bm!$J$2,Raw_hydro_bm!B2374,"")</f>
        <v/>
      </c>
      <c r="B2374" t="str">
        <f>IF(ROW(B2374)&lt;=Raw_hydro_bm!$J$2,Raw_hydro_bm!C2374,"")</f>
        <v/>
      </c>
      <c r="C2374" t="str">
        <f>IF(ROW(C2374)&lt;=Raw_hydro_bm!$J$2,Raw_hydro_bm!D2374,"")</f>
        <v/>
      </c>
      <c r="D2374" t="str">
        <f>IF(ROW(D2374)&lt;=Raw_hydro_bm!$J$2,Raw_hydro_bm!E2374,"")</f>
        <v/>
      </c>
      <c r="E2374" t="str">
        <f>IF(ROW(E2374)&lt;=Raw_hydro_bm!$J$2,Raw_hydro_bm!F2374,"")</f>
        <v/>
      </c>
      <c r="F2374" t="str">
        <f>IF(ROW(F2374)&lt;=Raw_hydro_bm!$J$2,Raw_hydro_bm!G2374,"")</f>
        <v/>
      </c>
      <c r="G2374" t="str">
        <f>IF(ROW(G2374)&lt;=Raw_hydro_bm!$J$2,Raw_hydro_bm!H2374,"")</f>
        <v/>
      </c>
      <c r="H2374" t="str">
        <f>IF(ROW(H2374)&lt;=Raw_hydro_bm!$J$2,Raw_hydro_bm!I2374,"")</f>
        <v/>
      </c>
      <c r="I2374" s="16" t="str">
        <f t="shared" si="37"/>
        <v/>
      </c>
    </row>
    <row r="2375" spans="1:9" x14ac:dyDescent="0.2">
      <c r="A2375" t="str">
        <f>IF(ROW(A2375)&lt;=Raw_hydro_bm!$J$2,Raw_hydro_bm!B2375,"")</f>
        <v/>
      </c>
      <c r="B2375" t="str">
        <f>IF(ROW(B2375)&lt;=Raw_hydro_bm!$J$2,Raw_hydro_bm!C2375,"")</f>
        <v/>
      </c>
      <c r="C2375" t="str">
        <f>IF(ROW(C2375)&lt;=Raw_hydro_bm!$J$2,Raw_hydro_bm!D2375,"")</f>
        <v/>
      </c>
      <c r="D2375" t="str">
        <f>IF(ROW(D2375)&lt;=Raw_hydro_bm!$J$2,Raw_hydro_bm!E2375,"")</f>
        <v/>
      </c>
      <c r="E2375" t="str">
        <f>IF(ROW(E2375)&lt;=Raw_hydro_bm!$J$2,Raw_hydro_bm!F2375,"")</f>
        <v/>
      </c>
      <c r="F2375" t="str">
        <f>IF(ROW(F2375)&lt;=Raw_hydro_bm!$J$2,Raw_hydro_bm!G2375,"")</f>
        <v/>
      </c>
      <c r="G2375" t="str">
        <f>IF(ROW(G2375)&lt;=Raw_hydro_bm!$J$2,Raw_hydro_bm!H2375,"")</f>
        <v/>
      </c>
      <c r="H2375" t="str">
        <f>IF(ROW(H2375)&lt;=Raw_hydro_bm!$J$2,Raw_hydro_bm!I2375,"")</f>
        <v/>
      </c>
      <c r="I2375" s="16" t="str">
        <f t="shared" si="37"/>
        <v/>
      </c>
    </row>
    <row r="2376" spans="1:9" x14ac:dyDescent="0.2">
      <c r="A2376" t="str">
        <f>IF(ROW(A2376)&lt;=Raw_hydro_bm!$J$2,Raw_hydro_bm!B2376,"")</f>
        <v/>
      </c>
      <c r="B2376" t="str">
        <f>IF(ROW(B2376)&lt;=Raw_hydro_bm!$J$2,Raw_hydro_bm!C2376,"")</f>
        <v/>
      </c>
      <c r="C2376" t="str">
        <f>IF(ROW(C2376)&lt;=Raw_hydro_bm!$J$2,Raw_hydro_bm!D2376,"")</f>
        <v/>
      </c>
      <c r="D2376" t="str">
        <f>IF(ROW(D2376)&lt;=Raw_hydro_bm!$J$2,Raw_hydro_bm!E2376,"")</f>
        <v/>
      </c>
      <c r="E2376" t="str">
        <f>IF(ROW(E2376)&lt;=Raw_hydro_bm!$J$2,Raw_hydro_bm!F2376,"")</f>
        <v/>
      </c>
      <c r="F2376" t="str">
        <f>IF(ROW(F2376)&lt;=Raw_hydro_bm!$J$2,Raw_hydro_bm!G2376,"")</f>
        <v/>
      </c>
      <c r="G2376" t="str">
        <f>IF(ROW(G2376)&lt;=Raw_hydro_bm!$J$2,Raw_hydro_bm!H2376,"")</f>
        <v/>
      </c>
      <c r="H2376" t="str">
        <f>IF(ROW(H2376)&lt;=Raw_hydro_bm!$J$2,Raw_hydro_bm!I2376,"")</f>
        <v/>
      </c>
      <c r="I2376" s="16" t="str">
        <f t="shared" si="37"/>
        <v/>
      </c>
    </row>
    <row r="2377" spans="1:9" x14ac:dyDescent="0.2">
      <c r="A2377" t="str">
        <f>IF(ROW(A2377)&lt;=Raw_hydro_bm!$J$2,Raw_hydro_bm!B2377,"")</f>
        <v/>
      </c>
      <c r="B2377" t="str">
        <f>IF(ROW(B2377)&lt;=Raw_hydro_bm!$J$2,Raw_hydro_bm!C2377,"")</f>
        <v/>
      </c>
      <c r="C2377" t="str">
        <f>IF(ROW(C2377)&lt;=Raw_hydro_bm!$J$2,Raw_hydro_bm!D2377,"")</f>
        <v/>
      </c>
      <c r="D2377" t="str">
        <f>IF(ROW(D2377)&lt;=Raw_hydro_bm!$J$2,Raw_hydro_bm!E2377,"")</f>
        <v/>
      </c>
      <c r="E2377" t="str">
        <f>IF(ROW(E2377)&lt;=Raw_hydro_bm!$J$2,Raw_hydro_bm!F2377,"")</f>
        <v/>
      </c>
      <c r="F2377" t="str">
        <f>IF(ROW(F2377)&lt;=Raw_hydro_bm!$J$2,Raw_hydro_bm!G2377,"")</f>
        <v/>
      </c>
      <c r="G2377" t="str">
        <f>IF(ROW(G2377)&lt;=Raw_hydro_bm!$J$2,Raw_hydro_bm!H2377,"")</f>
        <v/>
      </c>
      <c r="H2377" t="str">
        <f>IF(ROW(H2377)&lt;=Raw_hydro_bm!$J$2,Raw_hydro_bm!I2377,"")</f>
        <v/>
      </c>
      <c r="I2377" s="16" t="str">
        <f t="shared" si="37"/>
        <v/>
      </c>
    </row>
    <row r="2378" spans="1:9" x14ac:dyDescent="0.2">
      <c r="A2378" t="str">
        <f>IF(ROW(A2378)&lt;=Raw_hydro_bm!$J$2,Raw_hydro_bm!B2378,"")</f>
        <v/>
      </c>
      <c r="B2378" t="str">
        <f>IF(ROW(B2378)&lt;=Raw_hydro_bm!$J$2,Raw_hydro_bm!C2378,"")</f>
        <v/>
      </c>
      <c r="C2378" t="str">
        <f>IF(ROW(C2378)&lt;=Raw_hydro_bm!$J$2,Raw_hydro_bm!D2378,"")</f>
        <v/>
      </c>
      <c r="D2378" t="str">
        <f>IF(ROW(D2378)&lt;=Raw_hydro_bm!$J$2,Raw_hydro_bm!E2378,"")</f>
        <v/>
      </c>
      <c r="E2378" t="str">
        <f>IF(ROW(E2378)&lt;=Raw_hydro_bm!$J$2,Raw_hydro_bm!F2378,"")</f>
        <v/>
      </c>
      <c r="F2378" t="str">
        <f>IF(ROW(F2378)&lt;=Raw_hydro_bm!$J$2,Raw_hydro_bm!G2378,"")</f>
        <v/>
      </c>
      <c r="G2378" t="str">
        <f>IF(ROW(G2378)&lt;=Raw_hydro_bm!$J$2,Raw_hydro_bm!H2378,"")</f>
        <v/>
      </c>
      <c r="H2378" t="str">
        <f>IF(ROW(H2378)&lt;=Raw_hydro_bm!$J$2,Raw_hydro_bm!I2378,"")</f>
        <v/>
      </c>
      <c r="I2378" s="16" t="str">
        <f t="shared" si="37"/>
        <v/>
      </c>
    </row>
    <row r="2379" spans="1:9" x14ac:dyDescent="0.2">
      <c r="A2379" t="str">
        <f>IF(ROW(A2379)&lt;=Raw_hydro_bm!$J$2,Raw_hydro_bm!B2379,"")</f>
        <v/>
      </c>
      <c r="B2379" t="str">
        <f>IF(ROW(B2379)&lt;=Raw_hydro_bm!$J$2,Raw_hydro_bm!C2379,"")</f>
        <v/>
      </c>
      <c r="C2379" t="str">
        <f>IF(ROW(C2379)&lt;=Raw_hydro_bm!$J$2,Raw_hydro_bm!D2379,"")</f>
        <v/>
      </c>
      <c r="D2379" t="str">
        <f>IF(ROW(D2379)&lt;=Raw_hydro_bm!$J$2,Raw_hydro_bm!E2379,"")</f>
        <v/>
      </c>
      <c r="E2379" t="str">
        <f>IF(ROW(E2379)&lt;=Raw_hydro_bm!$J$2,Raw_hydro_bm!F2379,"")</f>
        <v/>
      </c>
      <c r="F2379" t="str">
        <f>IF(ROW(F2379)&lt;=Raw_hydro_bm!$J$2,Raw_hydro_bm!G2379,"")</f>
        <v/>
      </c>
      <c r="G2379" t="str">
        <f>IF(ROW(G2379)&lt;=Raw_hydro_bm!$J$2,Raw_hydro_bm!H2379,"")</f>
        <v/>
      </c>
      <c r="H2379" t="str">
        <f>IF(ROW(H2379)&lt;=Raw_hydro_bm!$J$2,Raw_hydro_bm!I2379,"")</f>
        <v/>
      </c>
      <c r="I2379" s="16" t="str">
        <f t="shared" si="37"/>
        <v/>
      </c>
    </row>
    <row r="2380" spans="1:9" x14ac:dyDescent="0.2">
      <c r="A2380" t="str">
        <f>IF(ROW(A2380)&lt;=Raw_hydro_bm!$J$2,Raw_hydro_bm!B2380,"")</f>
        <v/>
      </c>
      <c r="B2380" t="str">
        <f>IF(ROW(B2380)&lt;=Raw_hydro_bm!$J$2,Raw_hydro_bm!C2380,"")</f>
        <v/>
      </c>
      <c r="C2380" t="str">
        <f>IF(ROW(C2380)&lt;=Raw_hydro_bm!$J$2,Raw_hydro_bm!D2380,"")</f>
        <v/>
      </c>
      <c r="D2380" t="str">
        <f>IF(ROW(D2380)&lt;=Raw_hydro_bm!$J$2,Raw_hydro_bm!E2380,"")</f>
        <v/>
      </c>
      <c r="E2380" t="str">
        <f>IF(ROW(E2380)&lt;=Raw_hydro_bm!$J$2,Raw_hydro_bm!F2380,"")</f>
        <v/>
      </c>
      <c r="F2380" t="str">
        <f>IF(ROW(F2380)&lt;=Raw_hydro_bm!$J$2,Raw_hydro_bm!G2380,"")</f>
        <v/>
      </c>
      <c r="G2380" t="str">
        <f>IF(ROW(G2380)&lt;=Raw_hydro_bm!$J$2,Raw_hydro_bm!H2380,"")</f>
        <v/>
      </c>
      <c r="H2380" t="str">
        <f>IF(ROW(H2380)&lt;=Raw_hydro_bm!$J$2,Raw_hydro_bm!I2380,"")</f>
        <v/>
      </c>
      <c r="I2380" s="16" t="str">
        <f t="shared" si="37"/>
        <v/>
      </c>
    </row>
    <row r="2381" spans="1:9" x14ac:dyDescent="0.2">
      <c r="A2381" t="str">
        <f>IF(ROW(A2381)&lt;=Raw_hydro_bm!$J$2,Raw_hydro_bm!B2381,"")</f>
        <v/>
      </c>
      <c r="B2381" t="str">
        <f>IF(ROW(B2381)&lt;=Raw_hydro_bm!$J$2,Raw_hydro_bm!C2381,"")</f>
        <v/>
      </c>
      <c r="C2381" t="str">
        <f>IF(ROW(C2381)&lt;=Raw_hydro_bm!$J$2,Raw_hydro_bm!D2381,"")</f>
        <v/>
      </c>
      <c r="D2381" t="str">
        <f>IF(ROW(D2381)&lt;=Raw_hydro_bm!$J$2,Raw_hydro_bm!E2381,"")</f>
        <v/>
      </c>
      <c r="E2381" t="str">
        <f>IF(ROW(E2381)&lt;=Raw_hydro_bm!$J$2,Raw_hydro_bm!F2381,"")</f>
        <v/>
      </c>
      <c r="F2381" t="str">
        <f>IF(ROW(F2381)&lt;=Raw_hydro_bm!$J$2,Raw_hydro_bm!G2381,"")</f>
        <v/>
      </c>
      <c r="G2381" t="str">
        <f>IF(ROW(G2381)&lt;=Raw_hydro_bm!$J$2,Raw_hydro_bm!H2381,"")</f>
        <v/>
      </c>
      <c r="H2381" t="str">
        <f>IF(ROW(H2381)&lt;=Raw_hydro_bm!$J$2,Raw_hydro_bm!I2381,"")</f>
        <v/>
      </c>
      <c r="I2381" s="16" t="str">
        <f t="shared" si="37"/>
        <v/>
      </c>
    </row>
    <row r="2382" spans="1:9" x14ac:dyDescent="0.2">
      <c r="A2382" t="str">
        <f>IF(ROW(A2382)&lt;=Raw_hydro_bm!$J$2,Raw_hydro_bm!B2382,"")</f>
        <v/>
      </c>
      <c r="B2382" t="str">
        <f>IF(ROW(B2382)&lt;=Raw_hydro_bm!$J$2,Raw_hydro_bm!C2382,"")</f>
        <v/>
      </c>
      <c r="C2382" t="str">
        <f>IF(ROW(C2382)&lt;=Raw_hydro_bm!$J$2,Raw_hydro_bm!D2382,"")</f>
        <v/>
      </c>
      <c r="D2382" t="str">
        <f>IF(ROW(D2382)&lt;=Raw_hydro_bm!$J$2,Raw_hydro_bm!E2382,"")</f>
        <v/>
      </c>
      <c r="E2382" t="str">
        <f>IF(ROW(E2382)&lt;=Raw_hydro_bm!$J$2,Raw_hydro_bm!F2382,"")</f>
        <v/>
      </c>
      <c r="F2382" t="str">
        <f>IF(ROW(F2382)&lt;=Raw_hydro_bm!$J$2,Raw_hydro_bm!G2382,"")</f>
        <v/>
      </c>
      <c r="G2382" t="str">
        <f>IF(ROW(G2382)&lt;=Raw_hydro_bm!$J$2,Raw_hydro_bm!H2382,"")</f>
        <v/>
      </c>
      <c r="H2382" t="str">
        <f>IF(ROW(H2382)&lt;=Raw_hydro_bm!$J$2,Raw_hydro_bm!I2382,"")</f>
        <v/>
      </c>
      <c r="I2382" s="16" t="str">
        <f t="shared" si="37"/>
        <v/>
      </c>
    </row>
    <row r="2383" spans="1:9" x14ac:dyDescent="0.2">
      <c r="A2383" t="str">
        <f>IF(ROW(A2383)&lt;=Raw_hydro_bm!$J$2,Raw_hydro_bm!B2383,"")</f>
        <v/>
      </c>
      <c r="B2383" t="str">
        <f>IF(ROW(B2383)&lt;=Raw_hydro_bm!$J$2,Raw_hydro_bm!C2383,"")</f>
        <v/>
      </c>
      <c r="C2383" t="str">
        <f>IF(ROW(C2383)&lt;=Raw_hydro_bm!$J$2,Raw_hydro_bm!D2383,"")</f>
        <v/>
      </c>
      <c r="D2383" t="str">
        <f>IF(ROW(D2383)&lt;=Raw_hydro_bm!$J$2,Raw_hydro_bm!E2383,"")</f>
        <v/>
      </c>
      <c r="E2383" t="str">
        <f>IF(ROW(E2383)&lt;=Raw_hydro_bm!$J$2,Raw_hydro_bm!F2383,"")</f>
        <v/>
      </c>
      <c r="F2383" t="str">
        <f>IF(ROW(F2383)&lt;=Raw_hydro_bm!$J$2,Raw_hydro_bm!G2383,"")</f>
        <v/>
      </c>
      <c r="G2383" t="str">
        <f>IF(ROW(G2383)&lt;=Raw_hydro_bm!$J$2,Raw_hydro_bm!H2383,"")</f>
        <v/>
      </c>
      <c r="H2383" t="str">
        <f>IF(ROW(H2383)&lt;=Raw_hydro_bm!$J$2,Raw_hydro_bm!I2383,"")</f>
        <v/>
      </c>
      <c r="I2383" s="16" t="str">
        <f t="shared" si="37"/>
        <v/>
      </c>
    </row>
    <row r="2384" spans="1:9" x14ac:dyDescent="0.2">
      <c r="A2384" t="str">
        <f>IF(ROW(A2384)&lt;=Raw_hydro_bm!$J$2,Raw_hydro_bm!B2384,"")</f>
        <v/>
      </c>
      <c r="B2384" t="str">
        <f>IF(ROW(B2384)&lt;=Raw_hydro_bm!$J$2,Raw_hydro_bm!C2384,"")</f>
        <v/>
      </c>
      <c r="C2384" t="str">
        <f>IF(ROW(C2384)&lt;=Raw_hydro_bm!$J$2,Raw_hydro_bm!D2384,"")</f>
        <v/>
      </c>
      <c r="D2384" t="str">
        <f>IF(ROW(D2384)&lt;=Raw_hydro_bm!$J$2,Raw_hydro_bm!E2384,"")</f>
        <v/>
      </c>
      <c r="E2384" t="str">
        <f>IF(ROW(E2384)&lt;=Raw_hydro_bm!$J$2,Raw_hydro_bm!F2384,"")</f>
        <v/>
      </c>
      <c r="F2384" t="str">
        <f>IF(ROW(F2384)&lt;=Raw_hydro_bm!$J$2,Raw_hydro_bm!G2384,"")</f>
        <v/>
      </c>
      <c r="G2384" t="str">
        <f>IF(ROW(G2384)&lt;=Raw_hydro_bm!$J$2,Raw_hydro_bm!H2384,"")</f>
        <v/>
      </c>
      <c r="H2384" t="str">
        <f>IF(ROW(H2384)&lt;=Raw_hydro_bm!$J$2,Raw_hydro_bm!I2384,"")</f>
        <v/>
      </c>
      <c r="I2384" s="16" t="str">
        <f t="shared" si="37"/>
        <v/>
      </c>
    </row>
    <row r="2385" spans="1:9" x14ac:dyDescent="0.2">
      <c r="A2385" t="str">
        <f>IF(ROW(A2385)&lt;=Raw_hydro_bm!$J$2,Raw_hydro_bm!B2385,"")</f>
        <v/>
      </c>
      <c r="B2385" t="str">
        <f>IF(ROW(B2385)&lt;=Raw_hydro_bm!$J$2,Raw_hydro_bm!C2385,"")</f>
        <v/>
      </c>
      <c r="C2385" t="str">
        <f>IF(ROW(C2385)&lt;=Raw_hydro_bm!$J$2,Raw_hydro_bm!D2385,"")</f>
        <v/>
      </c>
      <c r="D2385" t="str">
        <f>IF(ROW(D2385)&lt;=Raw_hydro_bm!$J$2,Raw_hydro_bm!E2385,"")</f>
        <v/>
      </c>
      <c r="E2385" t="str">
        <f>IF(ROW(E2385)&lt;=Raw_hydro_bm!$J$2,Raw_hydro_bm!F2385,"")</f>
        <v/>
      </c>
      <c r="F2385" t="str">
        <f>IF(ROW(F2385)&lt;=Raw_hydro_bm!$J$2,Raw_hydro_bm!G2385,"")</f>
        <v/>
      </c>
      <c r="G2385" t="str">
        <f>IF(ROW(G2385)&lt;=Raw_hydro_bm!$J$2,Raw_hydro_bm!H2385,"")</f>
        <v/>
      </c>
      <c r="H2385" t="str">
        <f>IF(ROW(H2385)&lt;=Raw_hydro_bm!$J$2,Raw_hydro_bm!I2385,"")</f>
        <v/>
      </c>
      <c r="I2385" s="16" t="str">
        <f t="shared" si="37"/>
        <v/>
      </c>
    </row>
    <row r="2386" spans="1:9" x14ac:dyDescent="0.2">
      <c r="A2386" t="str">
        <f>IF(ROW(A2386)&lt;=Raw_hydro_bm!$J$2,Raw_hydro_bm!B2386,"")</f>
        <v/>
      </c>
      <c r="B2386" t="str">
        <f>IF(ROW(B2386)&lt;=Raw_hydro_bm!$J$2,Raw_hydro_bm!C2386,"")</f>
        <v/>
      </c>
      <c r="C2386" t="str">
        <f>IF(ROW(C2386)&lt;=Raw_hydro_bm!$J$2,Raw_hydro_bm!D2386,"")</f>
        <v/>
      </c>
      <c r="D2386" t="str">
        <f>IF(ROW(D2386)&lt;=Raw_hydro_bm!$J$2,Raw_hydro_bm!E2386,"")</f>
        <v/>
      </c>
      <c r="E2386" t="str">
        <f>IF(ROW(E2386)&lt;=Raw_hydro_bm!$J$2,Raw_hydro_bm!F2386,"")</f>
        <v/>
      </c>
      <c r="F2386" t="str">
        <f>IF(ROW(F2386)&lt;=Raw_hydro_bm!$J$2,Raw_hydro_bm!G2386,"")</f>
        <v/>
      </c>
      <c r="G2386" t="str">
        <f>IF(ROW(G2386)&lt;=Raw_hydro_bm!$J$2,Raw_hydro_bm!H2386,"")</f>
        <v/>
      </c>
      <c r="H2386" t="str">
        <f>IF(ROW(H2386)&lt;=Raw_hydro_bm!$J$2,Raw_hydro_bm!I2386,"")</f>
        <v/>
      </c>
      <c r="I2386" s="16" t="str">
        <f t="shared" si="37"/>
        <v/>
      </c>
    </row>
    <row r="2387" spans="1:9" x14ac:dyDescent="0.2">
      <c r="A2387" t="str">
        <f>IF(ROW(A2387)&lt;=Raw_hydro_bm!$J$2,Raw_hydro_bm!B2387,"")</f>
        <v/>
      </c>
      <c r="B2387" t="str">
        <f>IF(ROW(B2387)&lt;=Raw_hydro_bm!$J$2,Raw_hydro_bm!C2387,"")</f>
        <v/>
      </c>
      <c r="C2387" t="str">
        <f>IF(ROW(C2387)&lt;=Raw_hydro_bm!$J$2,Raw_hydro_bm!D2387,"")</f>
        <v/>
      </c>
      <c r="D2387" t="str">
        <f>IF(ROW(D2387)&lt;=Raw_hydro_bm!$J$2,Raw_hydro_bm!E2387,"")</f>
        <v/>
      </c>
      <c r="E2387" t="str">
        <f>IF(ROW(E2387)&lt;=Raw_hydro_bm!$J$2,Raw_hydro_bm!F2387,"")</f>
        <v/>
      </c>
      <c r="F2387" t="str">
        <f>IF(ROW(F2387)&lt;=Raw_hydro_bm!$J$2,Raw_hydro_bm!G2387,"")</f>
        <v/>
      </c>
      <c r="G2387" t="str">
        <f>IF(ROW(G2387)&lt;=Raw_hydro_bm!$J$2,Raw_hydro_bm!H2387,"")</f>
        <v/>
      </c>
      <c r="H2387" t="str">
        <f>IF(ROW(H2387)&lt;=Raw_hydro_bm!$J$2,Raw_hydro_bm!I2387,"")</f>
        <v/>
      </c>
      <c r="I2387" s="16" t="str">
        <f t="shared" si="37"/>
        <v/>
      </c>
    </row>
    <row r="2388" spans="1:9" x14ac:dyDescent="0.2">
      <c r="A2388" t="str">
        <f>IF(ROW(A2388)&lt;=Raw_hydro_bm!$J$2,Raw_hydro_bm!B2388,"")</f>
        <v/>
      </c>
      <c r="B2388" t="str">
        <f>IF(ROW(B2388)&lt;=Raw_hydro_bm!$J$2,Raw_hydro_bm!C2388,"")</f>
        <v/>
      </c>
      <c r="C2388" t="str">
        <f>IF(ROW(C2388)&lt;=Raw_hydro_bm!$J$2,Raw_hydro_bm!D2388,"")</f>
        <v/>
      </c>
      <c r="D2388" t="str">
        <f>IF(ROW(D2388)&lt;=Raw_hydro_bm!$J$2,Raw_hydro_bm!E2388,"")</f>
        <v/>
      </c>
      <c r="E2388" t="str">
        <f>IF(ROW(E2388)&lt;=Raw_hydro_bm!$J$2,Raw_hydro_bm!F2388,"")</f>
        <v/>
      </c>
      <c r="F2388" t="str">
        <f>IF(ROW(F2388)&lt;=Raw_hydro_bm!$J$2,Raw_hydro_bm!G2388,"")</f>
        <v/>
      </c>
      <c r="G2388" t="str">
        <f>IF(ROW(G2388)&lt;=Raw_hydro_bm!$J$2,Raw_hydro_bm!H2388,"")</f>
        <v/>
      </c>
      <c r="H2388" t="str">
        <f>IF(ROW(H2388)&lt;=Raw_hydro_bm!$J$2,Raw_hydro_bm!I2388,"")</f>
        <v/>
      </c>
      <c r="I2388" s="16" t="str">
        <f t="shared" si="37"/>
        <v/>
      </c>
    </row>
    <row r="2389" spans="1:9" x14ac:dyDescent="0.2">
      <c r="A2389" t="str">
        <f>IF(ROW(A2389)&lt;=Raw_hydro_bm!$J$2,Raw_hydro_bm!B2389,"")</f>
        <v/>
      </c>
      <c r="B2389" t="str">
        <f>IF(ROW(B2389)&lt;=Raw_hydro_bm!$J$2,Raw_hydro_bm!C2389,"")</f>
        <v/>
      </c>
      <c r="C2389" t="str">
        <f>IF(ROW(C2389)&lt;=Raw_hydro_bm!$J$2,Raw_hydro_bm!D2389,"")</f>
        <v/>
      </c>
      <c r="D2389" t="str">
        <f>IF(ROW(D2389)&lt;=Raw_hydro_bm!$J$2,Raw_hydro_bm!E2389,"")</f>
        <v/>
      </c>
      <c r="E2389" t="str">
        <f>IF(ROW(E2389)&lt;=Raw_hydro_bm!$J$2,Raw_hydro_bm!F2389,"")</f>
        <v/>
      </c>
      <c r="F2389" t="str">
        <f>IF(ROW(F2389)&lt;=Raw_hydro_bm!$J$2,Raw_hydro_bm!G2389,"")</f>
        <v/>
      </c>
      <c r="G2389" t="str">
        <f>IF(ROW(G2389)&lt;=Raw_hydro_bm!$J$2,Raw_hydro_bm!H2389,"")</f>
        <v/>
      </c>
      <c r="H2389" t="str">
        <f>IF(ROW(H2389)&lt;=Raw_hydro_bm!$J$2,Raw_hydro_bm!I2389,"")</f>
        <v/>
      </c>
      <c r="I2389" s="16" t="str">
        <f t="shared" si="37"/>
        <v/>
      </c>
    </row>
    <row r="2390" spans="1:9" x14ac:dyDescent="0.2">
      <c r="A2390" t="str">
        <f>IF(ROW(A2390)&lt;=Raw_hydro_bm!$J$2,Raw_hydro_bm!B2390,"")</f>
        <v/>
      </c>
      <c r="B2390" t="str">
        <f>IF(ROW(B2390)&lt;=Raw_hydro_bm!$J$2,Raw_hydro_bm!C2390,"")</f>
        <v/>
      </c>
      <c r="C2390" t="str">
        <f>IF(ROW(C2390)&lt;=Raw_hydro_bm!$J$2,Raw_hydro_bm!D2390,"")</f>
        <v/>
      </c>
      <c r="D2390" t="str">
        <f>IF(ROW(D2390)&lt;=Raw_hydro_bm!$J$2,Raw_hydro_bm!E2390,"")</f>
        <v/>
      </c>
      <c r="E2390" t="str">
        <f>IF(ROW(E2390)&lt;=Raw_hydro_bm!$J$2,Raw_hydro_bm!F2390,"")</f>
        <v/>
      </c>
      <c r="F2390" t="str">
        <f>IF(ROW(F2390)&lt;=Raw_hydro_bm!$J$2,Raw_hydro_bm!G2390,"")</f>
        <v/>
      </c>
      <c r="G2390" t="str">
        <f>IF(ROW(G2390)&lt;=Raw_hydro_bm!$J$2,Raw_hydro_bm!H2390,"")</f>
        <v/>
      </c>
      <c r="H2390" t="str">
        <f>IF(ROW(H2390)&lt;=Raw_hydro_bm!$J$2,Raw_hydro_bm!I2390,"")</f>
        <v/>
      </c>
      <c r="I2390" s="16" t="str">
        <f t="shared" si="37"/>
        <v/>
      </c>
    </row>
    <row r="2391" spans="1:9" x14ac:dyDescent="0.2">
      <c r="A2391" t="str">
        <f>IF(ROW(A2391)&lt;=Raw_hydro_bm!$J$2,Raw_hydro_bm!B2391,"")</f>
        <v/>
      </c>
      <c r="B2391" t="str">
        <f>IF(ROW(B2391)&lt;=Raw_hydro_bm!$J$2,Raw_hydro_bm!C2391,"")</f>
        <v/>
      </c>
      <c r="C2391" t="str">
        <f>IF(ROW(C2391)&lt;=Raw_hydro_bm!$J$2,Raw_hydro_bm!D2391,"")</f>
        <v/>
      </c>
      <c r="D2391" t="str">
        <f>IF(ROW(D2391)&lt;=Raw_hydro_bm!$J$2,Raw_hydro_bm!E2391,"")</f>
        <v/>
      </c>
      <c r="E2391" t="str">
        <f>IF(ROW(E2391)&lt;=Raw_hydro_bm!$J$2,Raw_hydro_bm!F2391,"")</f>
        <v/>
      </c>
      <c r="F2391" t="str">
        <f>IF(ROW(F2391)&lt;=Raw_hydro_bm!$J$2,Raw_hydro_bm!G2391,"")</f>
        <v/>
      </c>
      <c r="G2391" t="str">
        <f>IF(ROW(G2391)&lt;=Raw_hydro_bm!$J$2,Raw_hydro_bm!H2391,"")</f>
        <v/>
      </c>
      <c r="H2391" t="str">
        <f>IF(ROW(H2391)&lt;=Raw_hydro_bm!$J$2,Raw_hydro_bm!I2391,"")</f>
        <v/>
      </c>
      <c r="I2391" s="16" t="str">
        <f t="shared" si="37"/>
        <v/>
      </c>
    </row>
    <row r="2392" spans="1:9" x14ac:dyDescent="0.2">
      <c r="A2392" t="str">
        <f>IF(ROW(A2392)&lt;=Raw_hydro_bm!$J$2,Raw_hydro_bm!B2392,"")</f>
        <v/>
      </c>
      <c r="B2392" t="str">
        <f>IF(ROW(B2392)&lt;=Raw_hydro_bm!$J$2,Raw_hydro_bm!C2392,"")</f>
        <v/>
      </c>
      <c r="C2392" t="str">
        <f>IF(ROW(C2392)&lt;=Raw_hydro_bm!$J$2,Raw_hydro_bm!D2392,"")</f>
        <v/>
      </c>
      <c r="D2392" t="str">
        <f>IF(ROW(D2392)&lt;=Raw_hydro_bm!$J$2,Raw_hydro_bm!E2392,"")</f>
        <v/>
      </c>
      <c r="E2392" t="str">
        <f>IF(ROW(E2392)&lt;=Raw_hydro_bm!$J$2,Raw_hydro_bm!F2392,"")</f>
        <v/>
      </c>
      <c r="F2392" t="str">
        <f>IF(ROW(F2392)&lt;=Raw_hydro_bm!$J$2,Raw_hydro_bm!G2392,"")</f>
        <v/>
      </c>
      <c r="G2392" t="str">
        <f>IF(ROW(G2392)&lt;=Raw_hydro_bm!$J$2,Raw_hydro_bm!H2392,"")</f>
        <v/>
      </c>
      <c r="H2392" t="str">
        <f>IF(ROW(H2392)&lt;=Raw_hydro_bm!$J$2,Raw_hydro_bm!I2392,"")</f>
        <v/>
      </c>
      <c r="I2392" s="16" t="str">
        <f t="shared" si="37"/>
        <v/>
      </c>
    </row>
    <row r="2393" spans="1:9" x14ac:dyDescent="0.2">
      <c r="A2393" t="str">
        <f>IF(ROW(A2393)&lt;=Raw_hydro_bm!$J$2,Raw_hydro_bm!B2393,"")</f>
        <v/>
      </c>
      <c r="B2393" t="str">
        <f>IF(ROW(B2393)&lt;=Raw_hydro_bm!$J$2,Raw_hydro_bm!C2393,"")</f>
        <v/>
      </c>
      <c r="C2393" t="str">
        <f>IF(ROW(C2393)&lt;=Raw_hydro_bm!$J$2,Raw_hydro_bm!D2393,"")</f>
        <v/>
      </c>
      <c r="D2393" t="str">
        <f>IF(ROW(D2393)&lt;=Raw_hydro_bm!$J$2,Raw_hydro_bm!E2393,"")</f>
        <v/>
      </c>
      <c r="E2393" t="str">
        <f>IF(ROW(E2393)&lt;=Raw_hydro_bm!$J$2,Raw_hydro_bm!F2393,"")</f>
        <v/>
      </c>
      <c r="F2393" t="str">
        <f>IF(ROW(F2393)&lt;=Raw_hydro_bm!$J$2,Raw_hydro_bm!G2393,"")</f>
        <v/>
      </c>
      <c r="G2393" t="str">
        <f>IF(ROW(G2393)&lt;=Raw_hydro_bm!$J$2,Raw_hydro_bm!H2393,"")</f>
        <v/>
      </c>
      <c r="H2393" t="str">
        <f>IF(ROW(H2393)&lt;=Raw_hydro_bm!$J$2,Raw_hydro_bm!I2393,"")</f>
        <v/>
      </c>
      <c r="I2393" s="16" t="str">
        <f t="shared" si="37"/>
        <v/>
      </c>
    </row>
    <row r="2394" spans="1:9" x14ac:dyDescent="0.2">
      <c r="A2394" t="str">
        <f>IF(ROW(A2394)&lt;=Raw_hydro_bm!$J$2,Raw_hydro_bm!B2394,"")</f>
        <v/>
      </c>
      <c r="B2394" t="str">
        <f>IF(ROW(B2394)&lt;=Raw_hydro_bm!$J$2,Raw_hydro_bm!C2394,"")</f>
        <v/>
      </c>
      <c r="C2394" t="str">
        <f>IF(ROW(C2394)&lt;=Raw_hydro_bm!$J$2,Raw_hydro_bm!D2394,"")</f>
        <v/>
      </c>
      <c r="D2394" t="str">
        <f>IF(ROW(D2394)&lt;=Raw_hydro_bm!$J$2,Raw_hydro_bm!E2394,"")</f>
        <v/>
      </c>
      <c r="E2394" t="str">
        <f>IF(ROW(E2394)&lt;=Raw_hydro_bm!$J$2,Raw_hydro_bm!F2394,"")</f>
        <v/>
      </c>
      <c r="F2394" t="str">
        <f>IF(ROW(F2394)&lt;=Raw_hydro_bm!$J$2,Raw_hydro_bm!G2394,"")</f>
        <v/>
      </c>
      <c r="G2394" t="str">
        <f>IF(ROW(G2394)&lt;=Raw_hydro_bm!$J$2,Raw_hydro_bm!H2394,"")</f>
        <v/>
      </c>
      <c r="H2394" t="str">
        <f>IF(ROW(H2394)&lt;=Raw_hydro_bm!$J$2,Raw_hydro_bm!I2394,"")</f>
        <v/>
      </c>
      <c r="I2394" s="16" t="str">
        <f t="shared" si="37"/>
        <v/>
      </c>
    </row>
    <row r="2395" spans="1:9" x14ac:dyDescent="0.2">
      <c r="A2395" t="str">
        <f>IF(ROW(A2395)&lt;=Raw_hydro_bm!$J$2,Raw_hydro_bm!B2395,"")</f>
        <v/>
      </c>
      <c r="B2395" t="str">
        <f>IF(ROW(B2395)&lt;=Raw_hydro_bm!$J$2,Raw_hydro_bm!C2395,"")</f>
        <v/>
      </c>
      <c r="C2395" t="str">
        <f>IF(ROW(C2395)&lt;=Raw_hydro_bm!$J$2,Raw_hydro_bm!D2395,"")</f>
        <v/>
      </c>
      <c r="D2395" t="str">
        <f>IF(ROW(D2395)&lt;=Raw_hydro_bm!$J$2,Raw_hydro_bm!E2395,"")</f>
        <v/>
      </c>
      <c r="E2395" t="str">
        <f>IF(ROW(E2395)&lt;=Raw_hydro_bm!$J$2,Raw_hydro_bm!F2395,"")</f>
        <v/>
      </c>
      <c r="F2395" t="str">
        <f>IF(ROW(F2395)&lt;=Raw_hydro_bm!$J$2,Raw_hydro_bm!G2395,"")</f>
        <v/>
      </c>
      <c r="G2395" t="str">
        <f>IF(ROW(G2395)&lt;=Raw_hydro_bm!$J$2,Raw_hydro_bm!H2395,"")</f>
        <v/>
      </c>
      <c r="H2395" t="str">
        <f>IF(ROW(H2395)&lt;=Raw_hydro_bm!$J$2,Raw_hydro_bm!I2395,"")</f>
        <v/>
      </c>
      <c r="I2395" s="16" t="str">
        <f t="shared" si="37"/>
        <v/>
      </c>
    </row>
    <row r="2396" spans="1:9" x14ac:dyDescent="0.2">
      <c r="A2396" t="str">
        <f>IF(ROW(A2396)&lt;=Raw_hydro_bm!$J$2,Raw_hydro_bm!B2396,"")</f>
        <v/>
      </c>
      <c r="B2396" t="str">
        <f>IF(ROW(B2396)&lt;=Raw_hydro_bm!$J$2,Raw_hydro_bm!C2396,"")</f>
        <v/>
      </c>
      <c r="C2396" t="str">
        <f>IF(ROW(C2396)&lt;=Raw_hydro_bm!$J$2,Raw_hydro_bm!D2396,"")</f>
        <v/>
      </c>
      <c r="D2396" t="str">
        <f>IF(ROW(D2396)&lt;=Raw_hydro_bm!$J$2,Raw_hydro_bm!E2396,"")</f>
        <v/>
      </c>
      <c r="E2396" t="str">
        <f>IF(ROW(E2396)&lt;=Raw_hydro_bm!$J$2,Raw_hydro_bm!F2396,"")</f>
        <v/>
      </c>
      <c r="F2396" t="str">
        <f>IF(ROW(F2396)&lt;=Raw_hydro_bm!$J$2,Raw_hydro_bm!G2396,"")</f>
        <v/>
      </c>
      <c r="G2396" t="str">
        <f>IF(ROW(G2396)&lt;=Raw_hydro_bm!$J$2,Raw_hydro_bm!H2396,"")</f>
        <v/>
      </c>
      <c r="H2396" t="str">
        <f>IF(ROW(H2396)&lt;=Raw_hydro_bm!$J$2,Raw_hydro_bm!I2396,"")</f>
        <v/>
      </c>
      <c r="I2396" s="16" t="str">
        <f t="shared" si="37"/>
        <v/>
      </c>
    </row>
    <row r="2397" spans="1:9" x14ac:dyDescent="0.2">
      <c r="A2397" t="str">
        <f>IF(ROW(A2397)&lt;=Raw_hydro_bm!$J$2,Raw_hydro_bm!B2397,"")</f>
        <v/>
      </c>
      <c r="B2397" t="str">
        <f>IF(ROW(B2397)&lt;=Raw_hydro_bm!$J$2,Raw_hydro_bm!C2397,"")</f>
        <v/>
      </c>
      <c r="C2397" t="str">
        <f>IF(ROW(C2397)&lt;=Raw_hydro_bm!$J$2,Raw_hydro_bm!D2397,"")</f>
        <v/>
      </c>
      <c r="D2397" t="str">
        <f>IF(ROW(D2397)&lt;=Raw_hydro_bm!$J$2,Raw_hydro_bm!E2397,"")</f>
        <v/>
      </c>
      <c r="E2397" t="str">
        <f>IF(ROW(E2397)&lt;=Raw_hydro_bm!$J$2,Raw_hydro_bm!F2397,"")</f>
        <v/>
      </c>
      <c r="F2397" t="str">
        <f>IF(ROW(F2397)&lt;=Raw_hydro_bm!$J$2,Raw_hydro_bm!G2397,"")</f>
        <v/>
      </c>
      <c r="G2397" t="str">
        <f>IF(ROW(G2397)&lt;=Raw_hydro_bm!$J$2,Raw_hydro_bm!H2397,"")</f>
        <v/>
      </c>
      <c r="H2397" t="str">
        <f>IF(ROW(H2397)&lt;=Raw_hydro_bm!$J$2,Raw_hydro_bm!I2397,"")</f>
        <v/>
      </c>
      <c r="I2397" s="16" t="str">
        <f t="shared" si="37"/>
        <v/>
      </c>
    </row>
    <row r="2398" spans="1:9" x14ac:dyDescent="0.2">
      <c r="A2398" t="str">
        <f>IF(ROW(A2398)&lt;=Raw_hydro_bm!$J$2,Raw_hydro_bm!B2398,"")</f>
        <v/>
      </c>
      <c r="B2398" t="str">
        <f>IF(ROW(B2398)&lt;=Raw_hydro_bm!$J$2,Raw_hydro_bm!C2398,"")</f>
        <v/>
      </c>
      <c r="C2398" t="str">
        <f>IF(ROW(C2398)&lt;=Raw_hydro_bm!$J$2,Raw_hydro_bm!D2398,"")</f>
        <v/>
      </c>
      <c r="D2398" t="str">
        <f>IF(ROW(D2398)&lt;=Raw_hydro_bm!$J$2,Raw_hydro_bm!E2398,"")</f>
        <v/>
      </c>
      <c r="E2398" t="str">
        <f>IF(ROW(E2398)&lt;=Raw_hydro_bm!$J$2,Raw_hydro_bm!F2398,"")</f>
        <v/>
      </c>
      <c r="F2398" t="str">
        <f>IF(ROW(F2398)&lt;=Raw_hydro_bm!$J$2,Raw_hydro_bm!G2398,"")</f>
        <v/>
      </c>
      <c r="G2398" t="str">
        <f>IF(ROW(G2398)&lt;=Raw_hydro_bm!$J$2,Raw_hydro_bm!H2398,"")</f>
        <v/>
      </c>
      <c r="H2398" t="str">
        <f>IF(ROW(H2398)&lt;=Raw_hydro_bm!$J$2,Raw_hydro_bm!I2398,"")</f>
        <v/>
      </c>
      <c r="I2398" s="16" t="str">
        <f t="shared" si="37"/>
        <v/>
      </c>
    </row>
    <row r="2399" spans="1:9" x14ac:dyDescent="0.2">
      <c r="A2399" t="str">
        <f>IF(ROW(A2399)&lt;=Raw_hydro_bm!$J$2,Raw_hydro_bm!B2399,"")</f>
        <v/>
      </c>
      <c r="B2399" t="str">
        <f>IF(ROW(B2399)&lt;=Raw_hydro_bm!$J$2,Raw_hydro_bm!C2399,"")</f>
        <v/>
      </c>
      <c r="C2399" t="str">
        <f>IF(ROW(C2399)&lt;=Raw_hydro_bm!$J$2,Raw_hydro_bm!D2399,"")</f>
        <v/>
      </c>
      <c r="D2399" t="str">
        <f>IF(ROW(D2399)&lt;=Raw_hydro_bm!$J$2,Raw_hydro_bm!E2399,"")</f>
        <v/>
      </c>
      <c r="E2399" t="str">
        <f>IF(ROW(E2399)&lt;=Raw_hydro_bm!$J$2,Raw_hydro_bm!F2399,"")</f>
        <v/>
      </c>
      <c r="F2399" t="str">
        <f>IF(ROW(F2399)&lt;=Raw_hydro_bm!$J$2,Raw_hydro_bm!G2399,"")</f>
        <v/>
      </c>
      <c r="G2399" t="str">
        <f>IF(ROW(G2399)&lt;=Raw_hydro_bm!$J$2,Raw_hydro_bm!H2399,"")</f>
        <v/>
      </c>
      <c r="H2399" t="str">
        <f>IF(ROW(H2399)&lt;=Raw_hydro_bm!$J$2,Raw_hydro_bm!I2399,"")</f>
        <v/>
      </c>
      <c r="I2399" s="16" t="str">
        <f t="shared" si="37"/>
        <v/>
      </c>
    </row>
    <row r="2400" spans="1:9" x14ac:dyDescent="0.2">
      <c r="A2400" t="str">
        <f>IF(ROW(A2400)&lt;=Raw_hydro_bm!$J$2,Raw_hydro_bm!B2400,"")</f>
        <v/>
      </c>
      <c r="B2400" t="str">
        <f>IF(ROW(B2400)&lt;=Raw_hydro_bm!$J$2,Raw_hydro_bm!C2400,"")</f>
        <v/>
      </c>
      <c r="C2400" t="str">
        <f>IF(ROW(C2400)&lt;=Raw_hydro_bm!$J$2,Raw_hydro_bm!D2400,"")</f>
        <v/>
      </c>
      <c r="D2400" t="str">
        <f>IF(ROW(D2400)&lt;=Raw_hydro_bm!$J$2,Raw_hydro_bm!E2400,"")</f>
        <v/>
      </c>
      <c r="E2400" t="str">
        <f>IF(ROW(E2400)&lt;=Raw_hydro_bm!$J$2,Raw_hydro_bm!F2400,"")</f>
        <v/>
      </c>
      <c r="F2400" t="str">
        <f>IF(ROW(F2400)&lt;=Raw_hydro_bm!$J$2,Raw_hydro_bm!G2400,"")</f>
        <v/>
      </c>
      <c r="G2400" t="str">
        <f>IF(ROW(G2400)&lt;=Raw_hydro_bm!$J$2,Raw_hydro_bm!H2400,"")</f>
        <v/>
      </c>
      <c r="H2400" t="str">
        <f>IF(ROW(H2400)&lt;=Raw_hydro_bm!$J$2,Raw_hydro_bm!I2400,"")</f>
        <v/>
      </c>
      <c r="I2400" s="16" t="str">
        <f t="shared" si="37"/>
        <v/>
      </c>
    </row>
    <row r="2401" spans="1:9" x14ac:dyDescent="0.2">
      <c r="A2401" t="str">
        <f>IF(ROW(A2401)&lt;=Raw_hydro_bm!$J$2,Raw_hydro_bm!B2401,"")</f>
        <v/>
      </c>
      <c r="B2401" t="str">
        <f>IF(ROW(B2401)&lt;=Raw_hydro_bm!$J$2,Raw_hydro_bm!C2401,"")</f>
        <v/>
      </c>
      <c r="C2401" t="str">
        <f>IF(ROW(C2401)&lt;=Raw_hydro_bm!$J$2,Raw_hydro_bm!D2401,"")</f>
        <v/>
      </c>
      <c r="D2401" t="str">
        <f>IF(ROW(D2401)&lt;=Raw_hydro_bm!$J$2,Raw_hydro_bm!E2401,"")</f>
        <v/>
      </c>
      <c r="E2401" t="str">
        <f>IF(ROW(E2401)&lt;=Raw_hydro_bm!$J$2,Raw_hydro_bm!F2401,"")</f>
        <v/>
      </c>
      <c r="F2401" t="str">
        <f>IF(ROW(F2401)&lt;=Raw_hydro_bm!$J$2,Raw_hydro_bm!G2401,"")</f>
        <v/>
      </c>
      <c r="G2401" t="str">
        <f>IF(ROW(G2401)&lt;=Raw_hydro_bm!$J$2,Raw_hydro_bm!H2401,"")</f>
        <v/>
      </c>
      <c r="H2401" t="str">
        <f>IF(ROW(H2401)&lt;=Raw_hydro_bm!$J$2,Raw_hydro_bm!I2401,"")</f>
        <v/>
      </c>
      <c r="I2401" s="16" t="str">
        <f t="shared" si="37"/>
        <v/>
      </c>
    </row>
    <row r="2402" spans="1:9" x14ac:dyDescent="0.2">
      <c r="A2402" t="str">
        <f>IF(ROW(A2402)&lt;=Raw_hydro_bm!$J$2,Raw_hydro_bm!B2402,"")</f>
        <v/>
      </c>
      <c r="B2402" t="str">
        <f>IF(ROW(B2402)&lt;=Raw_hydro_bm!$J$2,Raw_hydro_bm!C2402,"")</f>
        <v/>
      </c>
      <c r="C2402" t="str">
        <f>IF(ROW(C2402)&lt;=Raw_hydro_bm!$J$2,Raw_hydro_bm!D2402,"")</f>
        <v/>
      </c>
      <c r="D2402" t="str">
        <f>IF(ROW(D2402)&lt;=Raw_hydro_bm!$J$2,Raw_hydro_bm!E2402,"")</f>
        <v/>
      </c>
      <c r="E2402" t="str">
        <f>IF(ROW(E2402)&lt;=Raw_hydro_bm!$J$2,Raw_hydro_bm!F2402,"")</f>
        <v/>
      </c>
      <c r="F2402" t="str">
        <f>IF(ROW(F2402)&lt;=Raw_hydro_bm!$J$2,Raw_hydro_bm!G2402,"")</f>
        <v/>
      </c>
      <c r="G2402" t="str">
        <f>IF(ROW(G2402)&lt;=Raw_hydro_bm!$J$2,Raw_hydro_bm!H2402,"")</f>
        <v/>
      </c>
      <c r="H2402" t="str">
        <f>IF(ROW(H2402)&lt;=Raw_hydro_bm!$J$2,Raw_hydro_bm!I2402,"")</f>
        <v/>
      </c>
      <c r="I2402" s="16" t="str">
        <f t="shared" si="37"/>
        <v/>
      </c>
    </row>
    <row r="2403" spans="1:9" x14ac:dyDescent="0.2">
      <c r="A2403" t="str">
        <f>IF(ROW(A2403)&lt;=Raw_hydro_bm!$J$2,Raw_hydro_bm!B2403,"")</f>
        <v/>
      </c>
      <c r="B2403" t="str">
        <f>IF(ROW(B2403)&lt;=Raw_hydro_bm!$J$2,Raw_hydro_bm!C2403,"")</f>
        <v/>
      </c>
      <c r="C2403" t="str">
        <f>IF(ROW(C2403)&lt;=Raw_hydro_bm!$J$2,Raw_hydro_bm!D2403,"")</f>
        <v/>
      </c>
      <c r="D2403" t="str">
        <f>IF(ROW(D2403)&lt;=Raw_hydro_bm!$J$2,Raw_hydro_bm!E2403,"")</f>
        <v/>
      </c>
      <c r="E2403" t="str">
        <f>IF(ROW(E2403)&lt;=Raw_hydro_bm!$J$2,Raw_hydro_bm!F2403,"")</f>
        <v/>
      </c>
      <c r="F2403" t="str">
        <f>IF(ROW(F2403)&lt;=Raw_hydro_bm!$J$2,Raw_hydro_bm!G2403,"")</f>
        <v/>
      </c>
      <c r="G2403" t="str">
        <f>IF(ROW(G2403)&lt;=Raw_hydro_bm!$J$2,Raw_hydro_bm!H2403,"")</f>
        <v/>
      </c>
      <c r="H2403" t="str">
        <f>IF(ROW(H2403)&lt;=Raw_hydro_bm!$J$2,Raw_hydro_bm!I2403,"")</f>
        <v/>
      </c>
      <c r="I2403" s="16" t="str">
        <f t="shared" si="37"/>
        <v/>
      </c>
    </row>
    <row r="2404" spans="1:9" x14ac:dyDescent="0.2">
      <c r="A2404" t="str">
        <f>IF(ROW(A2404)&lt;=Raw_hydro_bm!$J$2,Raw_hydro_bm!B2404,"")</f>
        <v/>
      </c>
      <c r="B2404" t="str">
        <f>IF(ROW(B2404)&lt;=Raw_hydro_bm!$J$2,Raw_hydro_bm!C2404,"")</f>
        <v/>
      </c>
      <c r="C2404" t="str">
        <f>IF(ROW(C2404)&lt;=Raw_hydro_bm!$J$2,Raw_hydro_bm!D2404,"")</f>
        <v/>
      </c>
      <c r="D2404" t="str">
        <f>IF(ROW(D2404)&lt;=Raw_hydro_bm!$J$2,Raw_hydro_bm!E2404,"")</f>
        <v/>
      </c>
      <c r="E2404" t="str">
        <f>IF(ROW(E2404)&lt;=Raw_hydro_bm!$J$2,Raw_hydro_bm!F2404,"")</f>
        <v/>
      </c>
      <c r="F2404" t="str">
        <f>IF(ROW(F2404)&lt;=Raw_hydro_bm!$J$2,Raw_hydro_bm!G2404,"")</f>
        <v/>
      </c>
      <c r="G2404" t="str">
        <f>IF(ROW(G2404)&lt;=Raw_hydro_bm!$J$2,Raw_hydro_bm!H2404,"")</f>
        <v/>
      </c>
      <c r="H2404" t="str">
        <f>IF(ROW(H2404)&lt;=Raw_hydro_bm!$J$2,Raw_hydro_bm!I2404,"")</f>
        <v/>
      </c>
      <c r="I2404" s="16" t="str">
        <f t="shared" si="37"/>
        <v/>
      </c>
    </row>
    <row r="2405" spans="1:9" x14ac:dyDescent="0.2">
      <c r="A2405" t="str">
        <f>IF(ROW(A2405)&lt;=Raw_hydro_bm!$J$2,Raw_hydro_bm!B2405,"")</f>
        <v/>
      </c>
      <c r="B2405" t="str">
        <f>IF(ROW(B2405)&lt;=Raw_hydro_bm!$J$2,Raw_hydro_bm!C2405,"")</f>
        <v/>
      </c>
      <c r="C2405" t="str">
        <f>IF(ROW(C2405)&lt;=Raw_hydro_bm!$J$2,Raw_hydro_bm!D2405,"")</f>
        <v/>
      </c>
      <c r="D2405" t="str">
        <f>IF(ROW(D2405)&lt;=Raw_hydro_bm!$J$2,Raw_hydro_bm!E2405,"")</f>
        <v/>
      </c>
      <c r="E2405" t="str">
        <f>IF(ROW(E2405)&lt;=Raw_hydro_bm!$J$2,Raw_hydro_bm!F2405,"")</f>
        <v/>
      </c>
      <c r="F2405" t="str">
        <f>IF(ROW(F2405)&lt;=Raw_hydro_bm!$J$2,Raw_hydro_bm!G2405,"")</f>
        <v/>
      </c>
      <c r="G2405" t="str">
        <f>IF(ROW(G2405)&lt;=Raw_hydro_bm!$J$2,Raw_hydro_bm!H2405,"")</f>
        <v/>
      </c>
      <c r="H2405" t="str">
        <f>IF(ROW(H2405)&lt;=Raw_hydro_bm!$J$2,Raw_hydro_bm!I2405,"")</f>
        <v/>
      </c>
      <c r="I2405" s="16" t="str">
        <f t="shared" si="37"/>
        <v/>
      </c>
    </row>
    <row r="2406" spans="1:9" x14ac:dyDescent="0.2">
      <c r="A2406" t="str">
        <f>IF(ROW(A2406)&lt;=Raw_hydro_bm!$J$2,Raw_hydro_bm!B2406,"")</f>
        <v/>
      </c>
      <c r="B2406" t="str">
        <f>IF(ROW(B2406)&lt;=Raw_hydro_bm!$J$2,Raw_hydro_bm!C2406,"")</f>
        <v/>
      </c>
      <c r="C2406" t="str">
        <f>IF(ROW(C2406)&lt;=Raw_hydro_bm!$J$2,Raw_hydro_bm!D2406,"")</f>
        <v/>
      </c>
      <c r="D2406" t="str">
        <f>IF(ROW(D2406)&lt;=Raw_hydro_bm!$J$2,Raw_hydro_bm!E2406,"")</f>
        <v/>
      </c>
      <c r="E2406" t="str">
        <f>IF(ROW(E2406)&lt;=Raw_hydro_bm!$J$2,Raw_hydro_bm!F2406,"")</f>
        <v/>
      </c>
      <c r="F2406" t="str">
        <f>IF(ROW(F2406)&lt;=Raw_hydro_bm!$J$2,Raw_hydro_bm!G2406,"")</f>
        <v/>
      </c>
      <c r="G2406" t="str">
        <f>IF(ROW(G2406)&lt;=Raw_hydro_bm!$J$2,Raw_hydro_bm!H2406,"")</f>
        <v/>
      </c>
      <c r="H2406" t="str">
        <f>IF(ROW(H2406)&lt;=Raw_hydro_bm!$J$2,Raw_hydro_bm!I2406,"")</f>
        <v/>
      </c>
      <c r="I2406" s="16" t="str">
        <f t="shared" si="37"/>
        <v/>
      </c>
    </row>
    <row r="2407" spans="1:9" x14ac:dyDescent="0.2">
      <c r="A2407" t="str">
        <f>IF(ROW(A2407)&lt;=Raw_hydro_bm!$J$2,Raw_hydro_bm!B2407,"")</f>
        <v/>
      </c>
      <c r="B2407" t="str">
        <f>IF(ROW(B2407)&lt;=Raw_hydro_bm!$J$2,Raw_hydro_bm!C2407,"")</f>
        <v/>
      </c>
      <c r="C2407" t="str">
        <f>IF(ROW(C2407)&lt;=Raw_hydro_bm!$J$2,Raw_hydro_bm!D2407,"")</f>
        <v/>
      </c>
      <c r="D2407" t="str">
        <f>IF(ROW(D2407)&lt;=Raw_hydro_bm!$J$2,Raw_hydro_bm!E2407,"")</f>
        <v/>
      </c>
      <c r="E2407" t="str">
        <f>IF(ROW(E2407)&lt;=Raw_hydro_bm!$J$2,Raw_hydro_bm!F2407,"")</f>
        <v/>
      </c>
      <c r="F2407" t="str">
        <f>IF(ROW(F2407)&lt;=Raw_hydro_bm!$J$2,Raw_hydro_bm!G2407,"")</f>
        <v/>
      </c>
      <c r="G2407" t="str">
        <f>IF(ROW(G2407)&lt;=Raw_hydro_bm!$J$2,Raw_hydro_bm!H2407,"")</f>
        <v/>
      </c>
      <c r="H2407" t="str">
        <f>IF(ROW(H2407)&lt;=Raw_hydro_bm!$J$2,Raw_hydro_bm!I2407,"")</f>
        <v/>
      </c>
      <c r="I2407" s="16" t="str">
        <f t="shared" si="37"/>
        <v/>
      </c>
    </row>
    <row r="2408" spans="1:9" x14ac:dyDescent="0.2">
      <c r="A2408" t="str">
        <f>IF(ROW(A2408)&lt;=Raw_hydro_bm!$J$2,Raw_hydro_bm!B2408,"")</f>
        <v/>
      </c>
      <c r="B2408" t="str">
        <f>IF(ROW(B2408)&lt;=Raw_hydro_bm!$J$2,Raw_hydro_bm!C2408,"")</f>
        <v/>
      </c>
      <c r="C2408" t="str">
        <f>IF(ROW(C2408)&lt;=Raw_hydro_bm!$J$2,Raw_hydro_bm!D2408,"")</f>
        <v/>
      </c>
      <c r="D2408" t="str">
        <f>IF(ROW(D2408)&lt;=Raw_hydro_bm!$J$2,Raw_hydro_bm!E2408,"")</f>
        <v/>
      </c>
      <c r="E2408" t="str">
        <f>IF(ROW(E2408)&lt;=Raw_hydro_bm!$J$2,Raw_hydro_bm!F2408,"")</f>
        <v/>
      </c>
      <c r="F2408" t="str">
        <f>IF(ROW(F2408)&lt;=Raw_hydro_bm!$J$2,Raw_hydro_bm!G2408,"")</f>
        <v/>
      </c>
      <c r="G2408" t="str">
        <f>IF(ROW(G2408)&lt;=Raw_hydro_bm!$J$2,Raw_hydro_bm!H2408,"")</f>
        <v/>
      </c>
      <c r="H2408" t="str">
        <f>IF(ROW(H2408)&lt;=Raw_hydro_bm!$J$2,Raw_hydro_bm!I2408,"")</f>
        <v/>
      </c>
      <c r="I2408" s="16" t="str">
        <f t="shared" si="37"/>
        <v/>
      </c>
    </row>
    <row r="2409" spans="1:9" x14ac:dyDescent="0.2">
      <c r="A2409" t="str">
        <f>IF(ROW(A2409)&lt;=Raw_hydro_bm!$J$2,Raw_hydro_bm!B2409,"")</f>
        <v/>
      </c>
      <c r="B2409" t="str">
        <f>IF(ROW(B2409)&lt;=Raw_hydro_bm!$J$2,Raw_hydro_bm!C2409,"")</f>
        <v/>
      </c>
      <c r="C2409" t="str">
        <f>IF(ROW(C2409)&lt;=Raw_hydro_bm!$J$2,Raw_hydro_bm!D2409,"")</f>
        <v/>
      </c>
      <c r="D2409" t="str">
        <f>IF(ROW(D2409)&lt;=Raw_hydro_bm!$J$2,Raw_hydro_bm!E2409,"")</f>
        <v/>
      </c>
      <c r="E2409" t="str">
        <f>IF(ROW(E2409)&lt;=Raw_hydro_bm!$J$2,Raw_hydro_bm!F2409,"")</f>
        <v/>
      </c>
      <c r="F2409" t="str">
        <f>IF(ROW(F2409)&lt;=Raw_hydro_bm!$J$2,Raw_hydro_bm!G2409,"")</f>
        <v/>
      </c>
      <c r="G2409" t="str">
        <f>IF(ROW(G2409)&lt;=Raw_hydro_bm!$J$2,Raw_hydro_bm!H2409,"")</f>
        <v/>
      </c>
      <c r="H2409" t="str">
        <f>IF(ROW(H2409)&lt;=Raw_hydro_bm!$J$2,Raw_hydro_bm!I2409,"")</f>
        <v/>
      </c>
      <c r="I2409" s="16" t="str">
        <f t="shared" si="37"/>
        <v/>
      </c>
    </row>
    <row r="2410" spans="1:9" x14ac:dyDescent="0.2">
      <c r="A2410" t="str">
        <f>IF(ROW(A2410)&lt;=Raw_hydro_bm!$J$2,Raw_hydro_bm!B2410,"")</f>
        <v/>
      </c>
      <c r="B2410" t="str">
        <f>IF(ROW(B2410)&lt;=Raw_hydro_bm!$J$2,Raw_hydro_bm!C2410,"")</f>
        <v/>
      </c>
      <c r="C2410" t="str">
        <f>IF(ROW(C2410)&lt;=Raw_hydro_bm!$J$2,Raw_hydro_bm!D2410,"")</f>
        <v/>
      </c>
      <c r="D2410" t="str">
        <f>IF(ROW(D2410)&lt;=Raw_hydro_bm!$J$2,Raw_hydro_bm!E2410,"")</f>
        <v/>
      </c>
      <c r="E2410" t="str">
        <f>IF(ROW(E2410)&lt;=Raw_hydro_bm!$J$2,Raw_hydro_bm!F2410,"")</f>
        <v/>
      </c>
      <c r="F2410" t="str">
        <f>IF(ROW(F2410)&lt;=Raw_hydro_bm!$J$2,Raw_hydro_bm!G2410,"")</f>
        <v/>
      </c>
      <c r="G2410" t="str">
        <f>IF(ROW(G2410)&lt;=Raw_hydro_bm!$J$2,Raw_hydro_bm!H2410,"")</f>
        <v/>
      </c>
      <c r="H2410" t="str">
        <f>IF(ROW(H2410)&lt;=Raw_hydro_bm!$J$2,Raw_hydro_bm!I2410,"")</f>
        <v/>
      </c>
      <c r="I2410" s="16" t="str">
        <f t="shared" si="37"/>
        <v/>
      </c>
    </row>
    <row r="2411" spans="1:9" x14ac:dyDescent="0.2">
      <c r="A2411" t="str">
        <f>IF(ROW(A2411)&lt;=Raw_hydro_bm!$J$2,Raw_hydro_bm!B2411,"")</f>
        <v/>
      </c>
      <c r="B2411" t="str">
        <f>IF(ROW(B2411)&lt;=Raw_hydro_bm!$J$2,Raw_hydro_bm!C2411,"")</f>
        <v/>
      </c>
      <c r="C2411" t="str">
        <f>IF(ROW(C2411)&lt;=Raw_hydro_bm!$J$2,Raw_hydro_bm!D2411,"")</f>
        <v/>
      </c>
      <c r="D2411" t="str">
        <f>IF(ROW(D2411)&lt;=Raw_hydro_bm!$J$2,Raw_hydro_bm!E2411,"")</f>
        <v/>
      </c>
      <c r="E2411" t="str">
        <f>IF(ROW(E2411)&lt;=Raw_hydro_bm!$J$2,Raw_hydro_bm!F2411,"")</f>
        <v/>
      </c>
      <c r="F2411" t="str">
        <f>IF(ROW(F2411)&lt;=Raw_hydro_bm!$J$2,Raw_hydro_bm!G2411,"")</f>
        <v/>
      </c>
      <c r="G2411" t="str">
        <f>IF(ROW(G2411)&lt;=Raw_hydro_bm!$J$2,Raw_hydro_bm!H2411,"")</f>
        <v/>
      </c>
      <c r="H2411" t="str">
        <f>IF(ROW(H2411)&lt;=Raw_hydro_bm!$J$2,Raw_hydro_bm!I2411,"")</f>
        <v/>
      </c>
      <c r="I2411" s="16" t="str">
        <f t="shared" si="37"/>
        <v/>
      </c>
    </row>
    <row r="2412" spans="1:9" x14ac:dyDescent="0.2">
      <c r="A2412" t="str">
        <f>IF(ROW(A2412)&lt;=Raw_hydro_bm!$J$2,Raw_hydro_bm!B2412,"")</f>
        <v/>
      </c>
      <c r="B2412" t="str">
        <f>IF(ROW(B2412)&lt;=Raw_hydro_bm!$J$2,Raw_hydro_bm!C2412,"")</f>
        <v/>
      </c>
      <c r="C2412" t="str">
        <f>IF(ROW(C2412)&lt;=Raw_hydro_bm!$J$2,Raw_hydro_bm!D2412,"")</f>
        <v/>
      </c>
      <c r="D2412" t="str">
        <f>IF(ROW(D2412)&lt;=Raw_hydro_bm!$J$2,Raw_hydro_bm!E2412,"")</f>
        <v/>
      </c>
      <c r="E2412" t="str">
        <f>IF(ROW(E2412)&lt;=Raw_hydro_bm!$J$2,Raw_hydro_bm!F2412,"")</f>
        <v/>
      </c>
      <c r="F2412" t="str">
        <f>IF(ROW(F2412)&lt;=Raw_hydro_bm!$J$2,Raw_hydro_bm!G2412,"")</f>
        <v/>
      </c>
      <c r="G2412" t="str">
        <f>IF(ROW(G2412)&lt;=Raw_hydro_bm!$J$2,Raw_hydro_bm!H2412,"")</f>
        <v/>
      </c>
      <c r="H2412" t="str">
        <f>IF(ROW(H2412)&lt;=Raw_hydro_bm!$J$2,Raw_hydro_bm!I2412,"")</f>
        <v/>
      </c>
      <c r="I2412" s="16" t="str">
        <f t="shared" si="37"/>
        <v/>
      </c>
    </row>
    <row r="2413" spans="1:9" x14ac:dyDescent="0.2">
      <c r="A2413" t="str">
        <f>IF(ROW(A2413)&lt;=Raw_hydro_bm!$J$2,Raw_hydro_bm!B2413,"")</f>
        <v/>
      </c>
      <c r="B2413" t="str">
        <f>IF(ROW(B2413)&lt;=Raw_hydro_bm!$J$2,Raw_hydro_bm!C2413,"")</f>
        <v/>
      </c>
      <c r="C2413" t="str">
        <f>IF(ROW(C2413)&lt;=Raw_hydro_bm!$J$2,Raw_hydro_bm!D2413,"")</f>
        <v/>
      </c>
      <c r="D2413" t="str">
        <f>IF(ROW(D2413)&lt;=Raw_hydro_bm!$J$2,Raw_hydro_bm!E2413,"")</f>
        <v/>
      </c>
      <c r="E2413" t="str">
        <f>IF(ROW(E2413)&lt;=Raw_hydro_bm!$J$2,Raw_hydro_bm!F2413,"")</f>
        <v/>
      </c>
      <c r="F2413" t="str">
        <f>IF(ROW(F2413)&lt;=Raw_hydro_bm!$J$2,Raw_hydro_bm!G2413,"")</f>
        <v/>
      </c>
      <c r="G2413" t="str">
        <f>IF(ROW(G2413)&lt;=Raw_hydro_bm!$J$2,Raw_hydro_bm!H2413,"")</f>
        <v/>
      </c>
      <c r="H2413" t="str">
        <f>IF(ROW(H2413)&lt;=Raw_hydro_bm!$J$2,Raw_hydro_bm!I2413,"")</f>
        <v/>
      </c>
      <c r="I2413" s="16" t="str">
        <f t="shared" si="37"/>
        <v/>
      </c>
    </row>
    <row r="2414" spans="1:9" x14ac:dyDescent="0.2">
      <c r="A2414" t="str">
        <f>IF(ROW(A2414)&lt;=Raw_hydro_bm!$J$2,Raw_hydro_bm!B2414,"")</f>
        <v/>
      </c>
      <c r="B2414" t="str">
        <f>IF(ROW(B2414)&lt;=Raw_hydro_bm!$J$2,Raw_hydro_bm!C2414,"")</f>
        <v/>
      </c>
      <c r="C2414" t="str">
        <f>IF(ROW(C2414)&lt;=Raw_hydro_bm!$J$2,Raw_hydro_bm!D2414,"")</f>
        <v/>
      </c>
      <c r="D2414" t="str">
        <f>IF(ROW(D2414)&lt;=Raw_hydro_bm!$J$2,Raw_hydro_bm!E2414,"")</f>
        <v/>
      </c>
      <c r="E2414" t="str">
        <f>IF(ROW(E2414)&lt;=Raw_hydro_bm!$J$2,Raw_hydro_bm!F2414,"")</f>
        <v/>
      </c>
      <c r="F2414" t="str">
        <f>IF(ROW(F2414)&lt;=Raw_hydro_bm!$J$2,Raw_hydro_bm!G2414,"")</f>
        <v/>
      </c>
      <c r="G2414" t="str">
        <f>IF(ROW(G2414)&lt;=Raw_hydro_bm!$J$2,Raw_hydro_bm!H2414,"")</f>
        <v/>
      </c>
      <c r="H2414" t="str">
        <f>IF(ROW(H2414)&lt;=Raw_hydro_bm!$J$2,Raw_hydro_bm!I2414,"")</f>
        <v/>
      </c>
      <c r="I2414" s="16" t="str">
        <f t="shared" si="37"/>
        <v/>
      </c>
    </row>
    <row r="2415" spans="1:9" x14ac:dyDescent="0.2">
      <c r="A2415" t="str">
        <f>IF(ROW(A2415)&lt;=Raw_hydro_bm!$J$2,Raw_hydro_bm!B2415,"")</f>
        <v/>
      </c>
      <c r="B2415" t="str">
        <f>IF(ROW(B2415)&lt;=Raw_hydro_bm!$J$2,Raw_hydro_bm!C2415,"")</f>
        <v/>
      </c>
      <c r="C2415" t="str">
        <f>IF(ROW(C2415)&lt;=Raw_hydro_bm!$J$2,Raw_hydro_bm!D2415,"")</f>
        <v/>
      </c>
      <c r="D2415" t="str">
        <f>IF(ROW(D2415)&lt;=Raw_hydro_bm!$J$2,Raw_hydro_bm!E2415,"")</f>
        <v/>
      </c>
      <c r="E2415" t="str">
        <f>IF(ROW(E2415)&lt;=Raw_hydro_bm!$J$2,Raw_hydro_bm!F2415,"")</f>
        <v/>
      </c>
      <c r="F2415" t="str">
        <f>IF(ROW(F2415)&lt;=Raw_hydro_bm!$J$2,Raw_hydro_bm!G2415,"")</f>
        <v/>
      </c>
      <c r="G2415" t="str">
        <f>IF(ROW(G2415)&lt;=Raw_hydro_bm!$J$2,Raw_hydro_bm!H2415,"")</f>
        <v/>
      </c>
      <c r="H2415" t="str">
        <f>IF(ROW(H2415)&lt;=Raw_hydro_bm!$J$2,Raw_hydro_bm!I2415,"")</f>
        <v/>
      </c>
      <c r="I2415" s="16" t="str">
        <f t="shared" si="37"/>
        <v/>
      </c>
    </row>
    <row r="2416" spans="1:9" x14ac:dyDescent="0.2">
      <c r="A2416" t="str">
        <f>IF(ROW(A2416)&lt;=Raw_hydro_bm!$J$2,Raw_hydro_bm!B2416,"")</f>
        <v/>
      </c>
      <c r="B2416" t="str">
        <f>IF(ROW(B2416)&lt;=Raw_hydro_bm!$J$2,Raw_hydro_bm!C2416,"")</f>
        <v/>
      </c>
      <c r="C2416" t="str">
        <f>IF(ROW(C2416)&lt;=Raw_hydro_bm!$J$2,Raw_hydro_bm!D2416,"")</f>
        <v/>
      </c>
      <c r="D2416" t="str">
        <f>IF(ROW(D2416)&lt;=Raw_hydro_bm!$J$2,Raw_hydro_bm!E2416,"")</f>
        <v/>
      </c>
      <c r="E2416" t="str">
        <f>IF(ROW(E2416)&lt;=Raw_hydro_bm!$J$2,Raw_hydro_bm!F2416,"")</f>
        <v/>
      </c>
      <c r="F2416" t="str">
        <f>IF(ROW(F2416)&lt;=Raw_hydro_bm!$J$2,Raw_hydro_bm!G2416,"")</f>
        <v/>
      </c>
      <c r="G2416" t="str">
        <f>IF(ROW(G2416)&lt;=Raw_hydro_bm!$J$2,Raw_hydro_bm!H2416,"")</f>
        <v/>
      </c>
      <c r="H2416" t="str">
        <f>IF(ROW(H2416)&lt;=Raw_hydro_bm!$J$2,Raw_hydro_bm!I2416,"")</f>
        <v/>
      </c>
      <c r="I2416" s="16" t="str">
        <f t="shared" si="37"/>
        <v/>
      </c>
    </row>
    <row r="2417" spans="1:9" x14ac:dyDescent="0.2">
      <c r="A2417" t="str">
        <f>IF(ROW(A2417)&lt;=Raw_hydro_bm!$J$2,Raw_hydro_bm!B2417,"")</f>
        <v/>
      </c>
      <c r="B2417" t="str">
        <f>IF(ROW(B2417)&lt;=Raw_hydro_bm!$J$2,Raw_hydro_bm!C2417,"")</f>
        <v/>
      </c>
      <c r="C2417" t="str">
        <f>IF(ROW(C2417)&lt;=Raw_hydro_bm!$J$2,Raw_hydro_bm!D2417,"")</f>
        <v/>
      </c>
      <c r="D2417" t="str">
        <f>IF(ROW(D2417)&lt;=Raw_hydro_bm!$J$2,Raw_hydro_bm!E2417,"")</f>
        <v/>
      </c>
      <c r="E2417" t="str">
        <f>IF(ROW(E2417)&lt;=Raw_hydro_bm!$J$2,Raw_hydro_bm!F2417,"")</f>
        <v/>
      </c>
      <c r="F2417" t="str">
        <f>IF(ROW(F2417)&lt;=Raw_hydro_bm!$J$2,Raw_hydro_bm!G2417,"")</f>
        <v/>
      </c>
      <c r="G2417" t="str">
        <f>IF(ROW(G2417)&lt;=Raw_hydro_bm!$J$2,Raw_hydro_bm!H2417,"")</f>
        <v/>
      </c>
      <c r="H2417" t="str">
        <f>IF(ROW(H2417)&lt;=Raw_hydro_bm!$J$2,Raw_hydro_bm!I2417,"")</f>
        <v/>
      </c>
      <c r="I2417" s="16" t="str">
        <f t="shared" si="37"/>
        <v/>
      </c>
    </row>
    <row r="2418" spans="1:9" x14ac:dyDescent="0.2">
      <c r="A2418" t="str">
        <f>IF(ROW(A2418)&lt;=Raw_hydro_bm!$J$2,Raw_hydro_bm!B2418,"")</f>
        <v/>
      </c>
      <c r="B2418" t="str">
        <f>IF(ROW(B2418)&lt;=Raw_hydro_bm!$J$2,Raw_hydro_bm!C2418,"")</f>
        <v/>
      </c>
      <c r="C2418" t="str">
        <f>IF(ROW(C2418)&lt;=Raw_hydro_bm!$J$2,Raw_hydro_bm!D2418,"")</f>
        <v/>
      </c>
      <c r="D2418" t="str">
        <f>IF(ROW(D2418)&lt;=Raw_hydro_bm!$J$2,Raw_hydro_bm!E2418,"")</f>
        <v/>
      </c>
      <c r="E2418" t="str">
        <f>IF(ROW(E2418)&lt;=Raw_hydro_bm!$J$2,Raw_hydro_bm!F2418,"")</f>
        <v/>
      </c>
      <c r="F2418" t="str">
        <f>IF(ROW(F2418)&lt;=Raw_hydro_bm!$J$2,Raw_hydro_bm!G2418,"")</f>
        <v/>
      </c>
      <c r="G2418" t="str">
        <f>IF(ROW(G2418)&lt;=Raw_hydro_bm!$J$2,Raw_hydro_bm!H2418,"")</f>
        <v/>
      </c>
      <c r="H2418" t="str">
        <f>IF(ROW(H2418)&lt;=Raw_hydro_bm!$J$2,Raw_hydro_bm!I2418,"")</f>
        <v/>
      </c>
      <c r="I2418" s="16" t="str">
        <f t="shared" si="37"/>
        <v/>
      </c>
    </row>
    <row r="2419" spans="1:9" x14ac:dyDescent="0.2">
      <c r="A2419" t="str">
        <f>IF(ROW(A2419)&lt;=Raw_hydro_bm!$J$2,Raw_hydro_bm!B2419,"")</f>
        <v/>
      </c>
      <c r="B2419" t="str">
        <f>IF(ROW(B2419)&lt;=Raw_hydro_bm!$J$2,Raw_hydro_bm!C2419,"")</f>
        <v/>
      </c>
      <c r="C2419" t="str">
        <f>IF(ROW(C2419)&lt;=Raw_hydro_bm!$J$2,Raw_hydro_bm!D2419,"")</f>
        <v/>
      </c>
      <c r="D2419" t="str">
        <f>IF(ROW(D2419)&lt;=Raw_hydro_bm!$J$2,Raw_hydro_bm!E2419,"")</f>
        <v/>
      </c>
      <c r="E2419" t="str">
        <f>IF(ROW(E2419)&lt;=Raw_hydro_bm!$J$2,Raw_hydro_bm!F2419,"")</f>
        <v/>
      </c>
      <c r="F2419" t="str">
        <f>IF(ROW(F2419)&lt;=Raw_hydro_bm!$J$2,Raw_hydro_bm!G2419,"")</f>
        <v/>
      </c>
      <c r="G2419" t="str">
        <f>IF(ROW(G2419)&lt;=Raw_hydro_bm!$J$2,Raw_hydro_bm!H2419,"")</f>
        <v/>
      </c>
      <c r="H2419" t="str">
        <f>IF(ROW(H2419)&lt;=Raw_hydro_bm!$J$2,Raw_hydro_bm!I2419,"")</f>
        <v/>
      </c>
      <c r="I2419" s="16" t="str">
        <f t="shared" si="37"/>
        <v/>
      </c>
    </row>
    <row r="2420" spans="1:9" x14ac:dyDescent="0.2">
      <c r="A2420" t="str">
        <f>IF(ROW(A2420)&lt;=Raw_hydro_bm!$J$2,Raw_hydro_bm!B2420,"")</f>
        <v/>
      </c>
      <c r="B2420" t="str">
        <f>IF(ROW(B2420)&lt;=Raw_hydro_bm!$J$2,Raw_hydro_bm!C2420,"")</f>
        <v/>
      </c>
      <c r="C2420" t="str">
        <f>IF(ROW(C2420)&lt;=Raw_hydro_bm!$J$2,Raw_hydro_bm!D2420,"")</f>
        <v/>
      </c>
      <c r="D2420" t="str">
        <f>IF(ROW(D2420)&lt;=Raw_hydro_bm!$J$2,Raw_hydro_bm!E2420,"")</f>
        <v/>
      </c>
      <c r="E2420" t="str">
        <f>IF(ROW(E2420)&lt;=Raw_hydro_bm!$J$2,Raw_hydro_bm!F2420,"")</f>
        <v/>
      </c>
      <c r="F2420" t="str">
        <f>IF(ROW(F2420)&lt;=Raw_hydro_bm!$J$2,Raw_hydro_bm!G2420,"")</f>
        <v/>
      </c>
      <c r="G2420" t="str">
        <f>IF(ROW(G2420)&lt;=Raw_hydro_bm!$J$2,Raw_hydro_bm!H2420,"")</f>
        <v/>
      </c>
      <c r="H2420" t="str">
        <f>IF(ROW(H2420)&lt;=Raw_hydro_bm!$J$2,Raw_hydro_bm!I2420,"")</f>
        <v/>
      </c>
      <c r="I2420" s="16" t="str">
        <f t="shared" si="37"/>
        <v/>
      </c>
    </row>
    <row r="2421" spans="1:9" x14ac:dyDescent="0.2">
      <c r="A2421" t="str">
        <f>IF(ROW(A2421)&lt;=Raw_hydro_bm!$J$2,Raw_hydro_bm!B2421,"")</f>
        <v/>
      </c>
      <c r="B2421" t="str">
        <f>IF(ROW(B2421)&lt;=Raw_hydro_bm!$J$2,Raw_hydro_bm!C2421,"")</f>
        <v/>
      </c>
      <c r="C2421" t="str">
        <f>IF(ROW(C2421)&lt;=Raw_hydro_bm!$J$2,Raw_hydro_bm!D2421,"")</f>
        <v/>
      </c>
      <c r="D2421" t="str">
        <f>IF(ROW(D2421)&lt;=Raw_hydro_bm!$J$2,Raw_hydro_bm!E2421,"")</f>
        <v/>
      </c>
      <c r="E2421" t="str">
        <f>IF(ROW(E2421)&lt;=Raw_hydro_bm!$J$2,Raw_hydro_bm!F2421,"")</f>
        <v/>
      </c>
      <c r="F2421" t="str">
        <f>IF(ROW(F2421)&lt;=Raw_hydro_bm!$J$2,Raw_hydro_bm!G2421,"")</f>
        <v/>
      </c>
      <c r="G2421" t="str">
        <f>IF(ROW(G2421)&lt;=Raw_hydro_bm!$J$2,Raw_hydro_bm!H2421,"")</f>
        <v/>
      </c>
      <c r="H2421" t="str">
        <f>IF(ROW(H2421)&lt;=Raw_hydro_bm!$J$2,Raw_hydro_bm!I2421,"")</f>
        <v/>
      </c>
      <c r="I2421" s="16" t="str">
        <f t="shared" si="37"/>
        <v/>
      </c>
    </row>
    <row r="2422" spans="1:9" x14ac:dyDescent="0.2">
      <c r="A2422" t="str">
        <f>IF(ROW(A2422)&lt;=Raw_hydro_bm!$J$2,Raw_hydro_bm!B2422,"")</f>
        <v/>
      </c>
      <c r="B2422" t="str">
        <f>IF(ROW(B2422)&lt;=Raw_hydro_bm!$J$2,Raw_hydro_bm!C2422,"")</f>
        <v/>
      </c>
      <c r="C2422" t="str">
        <f>IF(ROW(C2422)&lt;=Raw_hydro_bm!$J$2,Raw_hydro_bm!D2422,"")</f>
        <v/>
      </c>
      <c r="D2422" t="str">
        <f>IF(ROW(D2422)&lt;=Raw_hydro_bm!$J$2,Raw_hydro_bm!E2422,"")</f>
        <v/>
      </c>
      <c r="E2422" t="str">
        <f>IF(ROW(E2422)&lt;=Raw_hydro_bm!$J$2,Raw_hydro_bm!F2422,"")</f>
        <v/>
      </c>
      <c r="F2422" t="str">
        <f>IF(ROW(F2422)&lt;=Raw_hydro_bm!$J$2,Raw_hydro_bm!G2422,"")</f>
        <v/>
      </c>
      <c r="G2422" t="str">
        <f>IF(ROW(G2422)&lt;=Raw_hydro_bm!$J$2,Raw_hydro_bm!H2422,"")</f>
        <v/>
      </c>
      <c r="H2422" t="str">
        <f>IF(ROW(H2422)&lt;=Raw_hydro_bm!$J$2,Raw_hydro_bm!I2422,"")</f>
        <v/>
      </c>
      <c r="I2422" s="16" t="str">
        <f t="shared" si="37"/>
        <v/>
      </c>
    </row>
    <row r="2423" spans="1:9" x14ac:dyDescent="0.2">
      <c r="A2423" t="str">
        <f>IF(ROW(A2423)&lt;=Raw_hydro_bm!$J$2,Raw_hydro_bm!B2423,"")</f>
        <v/>
      </c>
      <c r="B2423" t="str">
        <f>IF(ROW(B2423)&lt;=Raw_hydro_bm!$J$2,Raw_hydro_bm!C2423,"")</f>
        <v/>
      </c>
      <c r="C2423" t="str">
        <f>IF(ROW(C2423)&lt;=Raw_hydro_bm!$J$2,Raw_hydro_bm!D2423,"")</f>
        <v/>
      </c>
      <c r="D2423" t="str">
        <f>IF(ROW(D2423)&lt;=Raw_hydro_bm!$J$2,Raw_hydro_bm!E2423,"")</f>
        <v/>
      </c>
      <c r="E2423" t="str">
        <f>IF(ROW(E2423)&lt;=Raw_hydro_bm!$J$2,Raw_hydro_bm!F2423,"")</f>
        <v/>
      </c>
      <c r="F2423" t="str">
        <f>IF(ROW(F2423)&lt;=Raw_hydro_bm!$J$2,Raw_hydro_bm!G2423,"")</f>
        <v/>
      </c>
      <c r="G2423" t="str">
        <f>IF(ROW(G2423)&lt;=Raw_hydro_bm!$J$2,Raw_hydro_bm!H2423,"")</f>
        <v/>
      </c>
      <c r="H2423" t="str">
        <f>IF(ROW(H2423)&lt;=Raw_hydro_bm!$J$2,Raw_hydro_bm!I2423,"")</f>
        <v/>
      </c>
      <c r="I2423" s="16" t="str">
        <f t="shared" si="37"/>
        <v/>
      </c>
    </row>
    <row r="2424" spans="1:9" x14ac:dyDescent="0.2">
      <c r="A2424" t="str">
        <f>IF(ROW(A2424)&lt;=Raw_hydro_bm!$J$2,Raw_hydro_bm!B2424,"")</f>
        <v/>
      </c>
      <c r="B2424" t="str">
        <f>IF(ROW(B2424)&lt;=Raw_hydro_bm!$J$2,Raw_hydro_bm!C2424,"")</f>
        <v/>
      </c>
      <c r="C2424" t="str">
        <f>IF(ROW(C2424)&lt;=Raw_hydro_bm!$J$2,Raw_hydro_bm!D2424,"")</f>
        <v/>
      </c>
      <c r="D2424" t="str">
        <f>IF(ROW(D2424)&lt;=Raw_hydro_bm!$J$2,Raw_hydro_bm!E2424,"")</f>
        <v/>
      </c>
      <c r="E2424" t="str">
        <f>IF(ROW(E2424)&lt;=Raw_hydro_bm!$J$2,Raw_hydro_bm!F2424,"")</f>
        <v/>
      </c>
      <c r="F2424" t="str">
        <f>IF(ROW(F2424)&lt;=Raw_hydro_bm!$J$2,Raw_hydro_bm!G2424,"")</f>
        <v/>
      </c>
      <c r="G2424" t="str">
        <f>IF(ROW(G2424)&lt;=Raw_hydro_bm!$J$2,Raw_hydro_bm!H2424,"")</f>
        <v/>
      </c>
      <c r="H2424" t="str">
        <f>IF(ROW(H2424)&lt;=Raw_hydro_bm!$J$2,Raw_hydro_bm!I2424,"")</f>
        <v/>
      </c>
      <c r="I2424" s="16" t="str">
        <f t="shared" si="37"/>
        <v/>
      </c>
    </row>
    <row r="2425" spans="1:9" x14ac:dyDescent="0.2">
      <c r="A2425" t="str">
        <f>IF(ROW(A2425)&lt;=Raw_hydro_bm!$J$2,Raw_hydro_bm!B2425,"")</f>
        <v/>
      </c>
      <c r="B2425" t="str">
        <f>IF(ROW(B2425)&lt;=Raw_hydro_bm!$J$2,Raw_hydro_bm!C2425,"")</f>
        <v/>
      </c>
      <c r="C2425" t="str">
        <f>IF(ROW(C2425)&lt;=Raw_hydro_bm!$J$2,Raw_hydro_bm!D2425,"")</f>
        <v/>
      </c>
      <c r="D2425" t="str">
        <f>IF(ROW(D2425)&lt;=Raw_hydro_bm!$J$2,Raw_hydro_bm!E2425,"")</f>
        <v/>
      </c>
      <c r="E2425" t="str">
        <f>IF(ROW(E2425)&lt;=Raw_hydro_bm!$J$2,Raw_hydro_bm!F2425,"")</f>
        <v/>
      </c>
      <c r="F2425" t="str">
        <f>IF(ROW(F2425)&lt;=Raw_hydro_bm!$J$2,Raw_hydro_bm!G2425,"")</f>
        <v/>
      </c>
      <c r="G2425" t="str">
        <f>IF(ROW(G2425)&lt;=Raw_hydro_bm!$J$2,Raw_hydro_bm!H2425,"")</f>
        <v/>
      </c>
      <c r="H2425" t="str">
        <f>IF(ROW(H2425)&lt;=Raw_hydro_bm!$J$2,Raw_hydro_bm!I2425,"")</f>
        <v/>
      </c>
      <c r="I2425" s="16" t="str">
        <f t="shared" si="37"/>
        <v/>
      </c>
    </row>
    <row r="2426" spans="1:9" x14ac:dyDescent="0.2">
      <c r="A2426" t="str">
        <f>IF(ROW(A2426)&lt;=Raw_hydro_bm!$J$2,Raw_hydro_bm!B2426,"")</f>
        <v/>
      </c>
      <c r="B2426" t="str">
        <f>IF(ROW(B2426)&lt;=Raw_hydro_bm!$J$2,Raw_hydro_bm!C2426,"")</f>
        <v/>
      </c>
      <c r="C2426" t="str">
        <f>IF(ROW(C2426)&lt;=Raw_hydro_bm!$J$2,Raw_hydro_bm!D2426,"")</f>
        <v/>
      </c>
      <c r="D2426" t="str">
        <f>IF(ROW(D2426)&lt;=Raw_hydro_bm!$J$2,Raw_hydro_bm!E2426,"")</f>
        <v/>
      </c>
      <c r="E2426" t="str">
        <f>IF(ROW(E2426)&lt;=Raw_hydro_bm!$J$2,Raw_hydro_bm!F2426,"")</f>
        <v/>
      </c>
      <c r="F2426" t="str">
        <f>IF(ROW(F2426)&lt;=Raw_hydro_bm!$J$2,Raw_hydro_bm!G2426,"")</f>
        <v/>
      </c>
      <c r="G2426" t="str">
        <f>IF(ROW(G2426)&lt;=Raw_hydro_bm!$J$2,Raw_hydro_bm!H2426,"")</f>
        <v/>
      </c>
      <c r="H2426" t="str">
        <f>IF(ROW(H2426)&lt;=Raw_hydro_bm!$J$2,Raw_hydro_bm!I2426,"")</f>
        <v/>
      </c>
      <c r="I2426" s="16" t="str">
        <f t="shared" si="37"/>
        <v/>
      </c>
    </row>
    <row r="2427" spans="1:9" x14ac:dyDescent="0.2">
      <c r="A2427" t="str">
        <f>IF(ROW(A2427)&lt;=Raw_hydro_bm!$J$2,Raw_hydro_bm!B2427,"")</f>
        <v/>
      </c>
      <c r="B2427" t="str">
        <f>IF(ROW(B2427)&lt;=Raw_hydro_bm!$J$2,Raw_hydro_bm!C2427,"")</f>
        <v/>
      </c>
      <c r="C2427" t="str">
        <f>IF(ROW(C2427)&lt;=Raw_hydro_bm!$J$2,Raw_hydro_bm!D2427,"")</f>
        <v/>
      </c>
      <c r="D2427" t="str">
        <f>IF(ROW(D2427)&lt;=Raw_hydro_bm!$J$2,Raw_hydro_bm!E2427,"")</f>
        <v/>
      </c>
      <c r="E2427" t="str">
        <f>IF(ROW(E2427)&lt;=Raw_hydro_bm!$J$2,Raw_hydro_bm!F2427,"")</f>
        <v/>
      </c>
      <c r="F2427" t="str">
        <f>IF(ROW(F2427)&lt;=Raw_hydro_bm!$J$2,Raw_hydro_bm!G2427,"")</f>
        <v/>
      </c>
      <c r="G2427" t="str">
        <f>IF(ROW(G2427)&lt;=Raw_hydro_bm!$J$2,Raw_hydro_bm!H2427,"")</f>
        <v/>
      </c>
      <c r="H2427" t="str">
        <f>IF(ROW(H2427)&lt;=Raw_hydro_bm!$J$2,Raw_hydro_bm!I2427,"")</f>
        <v/>
      </c>
      <c r="I2427" s="16" t="str">
        <f t="shared" si="37"/>
        <v/>
      </c>
    </row>
    <row r="2428" spans="1:9" x14ac:dyDescent="0.2">
      <c r="A2428" t="str">
        <f>IF(ROW(A2428)&lt;=Raw_hydro_bm!$J$2,Raw_hydro_bm!B2428,"")</f>
        <v/>
      </c>
      <c r="B2428" t="str">
        <f>IF(ROW(B2428)&lt;=Raw_hydro_bm!$J$2,Raw_hydro_bm!C2428,"")</f>
        <v/>
      </c>
      <c r="C2428" t="str">
        <f>IF(ROW(C2428)&lt;=Raw_hydro_bm!$J$2,Raw_hydro_bm!D2428,"")</f>
        <v/>
      </c>
      <c r="D2428" t="str">
        <f>IF(ROW(D2428)&lt;=Raw_hydro_bm!$J$2,Raw_hydro_bm!E2428,"")</f>
        <v/>
      </c>
      <c r="E2428" t="str">
        <f>IF(ROW(E2428)&lt;=Raw_hydro_bm!$J$2,Raw_hydro_bm!F2428,"")</f>
        <v/>
      </c>
      <c r="F2428" t="str">
        <f>IF(ROW(F2428)&lt;=Raw_hydro_bm!$J$2,Raw_hydro_bm!G2428,"")</f>
        <v/>
      </c>
      <c r="G2428" t="str">
        <f>IF(ROW(G2428)&lt;=Raw_hydro_bm!$J$2,Raw_hydro_bm!H2428,"")</f>
        <v/>
      </c>
      <c r="H2428" t="str">
        <f>IF(ROW(H2428)&lt;=Raw_hydro_bm!$J$2,Raw_hydro_bm!I2428,"")</f>
        <v/>
      </c>
      <c r="I2428" s="16" t="str">
        <f t="shared" si="37"/>
        <v/>
      </c>
    </row>
    <row r="2429" spans="1:9" x14ac:dyDescent="0.2">
      <c r="A2429" t="str">
        <f>IF(ROW(A2429)&lt;=Raw_hydro_bm!$J$2,Raw_hydro_bm!B2429,"")</f>
        <v/>
      </c>
      <c r="B2429" t="str">
        <f>IF(ROW(B2429)&lt;=Raw_hydro_bm!$J$2,Raw_hydro_bm!C2429,"")</f>
        <v/>
      </c>
      <c r="C2429" t="str">
        <f>IF(ROW(C2429)&lt;=Raw_hydro_bm!$J$2,Raw_hydro_bm!D2429,"")</f>
        <v/>
      </c>
      <c r="D2429" t="str">
        <f>IF(ROW(D2429)&lt;=Raw_hydro_bm!$J$2,Raw_hydro_bm!E2429,"")</f>
        <v/>
      </c>
      <c r="E2429" t="str">
        <f>IF(ROW(E2429)&lt;=Raw_hydro_bm!$J$2,Raw_hydro_bm!F2429,"")</f>
        <v/>
      </c>
      <c r="F2429" t="str">
        <f>IF(ROW(F2429)&lt;=Raw_hydro_bm!$J$2,Raw_hydro_bm!G2429,"")</f>
        <v/>
      </c>
      <c r="G2429" t="str">
        <f>IF(ROW(G2429)&lt;=Raw_hydro_bm!$J$2,Raw_hydro_bm!H2429,"")</f>
        <v/>
      </c>
      <c r="H2429" t="str">
        <f>IF(ROW(H2429)&lt;=Raw_hydro_bm!$J$2,Raw_hydro_bm!I2429,"")</f>
        <v/>
      </c>
      <c r="I2429" s="16" t="str">
        <f t="shared" si="37"/>
        <v/>
      </c>
    </row>
    <row r="2430" spans="1:9" x14ac:dyDescent="0.2">
      <c r="A2430" t="str">
        <f>IF(ROW(A2430)&lt;=Raw_hydro_bm!$J$2,Raw_hydro_bm!B2430,"")</f>
        <v/>
      </c>
      <c r="B2430" t="str">
        <f>IF(ROW(B2430)&lt;=Raw_hydro_bm!$J$2,Raw_hydro_bm!C2430,"")</f>
        <v/>
      </c>
      <c r="C2430" t="str">
        <f>IF(ROW(C2430)&lt;=Raw_hydro_bm!$J$2,Raw_hydro_bm!D2430,"")</f>
        <v/>
      </c>
      <c r="D2430" t="str">
        <f>IF(ROW(D2430)&lt;=Raw_hydro_bm!$J$2,Raw_hydro_bm!E2430,"")</f>
        <v/>
      </c>
      <c r="E2430" t="str">
        <f>IF(ROW(E2430)&lt;=Raw_hydro_bm!$J$2,Raw_hydro_bm!F2430,"")</f>
        <v/>
      </c>
      <c r="F2430" t="str">
        <f>IF(ROW(F2430)&lt;=Raw_hydro_bm!$J$2,Raw_hydro_bm!G2430,"")</f>
        <v/>
      </c>
      <c r="G2430" t="str">
        <f>IF(ROW(G2430)&lt;=Raw_hydro_bm!$J$2,Raw_hydro_bm!H2430,"")</f>
        <v/>
      </c>
      <c r="H2430" t="str">
        <f>IF(ROW(H2430)&lt;=Raw_hydro_bm!$J$2,Raw_hydro_bm!I2430,"")</f>
        <v/>
      </c>
      <c r="I2430" s="16" t="str">
        <f t="shared" si="37"/>
        <v/>
      </c>
    </row>
    <row r="2431" spans="1:9" x14ac:dyDescent="0.2">
      <c r="A2431" t="str">
        <f>IF(ROW(A2431)&lt;=Raw_hydro_bm!$J$2,Raw_hydro_bm!B2431,"")</f>
        <v/>
      </c>
      <c r="B2431" t="str">
        <f>IF(ROW(B2431)&lt;=Raw_hydro_bm!$J$2,Raw_hydro_bm!C2431,"")</f>
        <v/>
      </c>
      <c r="C2431" t="str">
        <f>IF(ROW(C2431)&lt;=Raw_hydro_bm!$J$2,Raw_hydro_bm!D2431,"")</f>
        <v/>
      </c>
      <c r="D2431" t="str">
        <f>IF(ROW(D2431)&lt;=Raw_hydro_bm!$J$2,Raw_hydro_bm!E2431,"")</f>
        <v/>
      </c>
      <c r="E2431" t="str">
        <f>IF(ROW(E2431)&lt;=Raw_hydro_bm!$J$2,Raw_hydro_bm!F2431,"")</f>
        <v/>
      </c>
      <c r="F2431" t="str">
        <f>IF(ROW(F2431)&lt;=Raw_hydro_bm!$J$2,Raw_hydro_bm!G2431,"")</f>
        <v/>
      </c>
      <c r="G2431" t="str">
        <f>IF(ROW(G2431)&lt;=Raw_hydro_bm!$J$2,Raw_hydro_bm!H2431,"")</f>
        <v/>
      </c>
      <c r="H2431" t="str">
        <f>IF(ROW(H2431)&lt;=Raw_hydro_bm!$J$2,Raw_hydro_bm!I2431,"")</f>
        <v/>
      </c>
      <c r="I2431" s="16" t="str">
        <f t="shared" si="37"/>
        <v/>
      </c>
    </row>
    <row r="2432" spans="1:9" x14ac:dyDescent="0.2">
      <c r="A2432" t="str">
        <f>IF(ROW(A2432)&lt;=Raw_hydro_bm!$J$2,Raw_hydro_bm!B2432,"")</f>
        <v/>
      </c>
      <c r="B2432" t="str">
        <f>IF(ROW(B2432)&lt;=Raw_hydro_bm!$J$2,Raw_hydro_bm!C2432,"")</f>
        <v/>
      </c>
      <c r="C2432" t="str">
        <f>IF(ROW(C2432)&lt;=Raw_hydro_bm!$J$2,Raw_hydro_bm!D2432,"")</f>
        <v/>
      </c>
      <c r="D2432" t="str">
        <f>IF(ROW(D2432)&lt;=Raw_hydro_bm!$J$2,Raw_hydro_bm!E2432,"")</f>
        <v/>
      </c>
      <c r="E2432" t="str">
        <f>IF(ROW(E2432)&lt;=Raw_hydro_bm!$J$2,Raw_hydro_bm!F2432,"")</f>
        <v/>
      </c>
      <c r="F2432" t="str">
        <f>IF(ROW(F2432)&lt;=Raw_hydro_bm!$J$2,Raw_hydro_bm!G2432,"")</f>
        <v/>
      </c>
      <c r="G2432" t="str">
        <f>IF(ROW(G2432)&lt;=Raw_hydro_bm!$J$2,Raw_hydro_bm!H2432,"")</f>
        <v/>
      </c>
      <c r="H2432" t="str">
        <f>IF(ROW(H2432)&lt;=Raw_hydro_bm!$J$2,Raw_hydro_bm!I2432,"")</f>
        <v/>
      </c>
      <c r="I2432" s="16" t="str">
        <f t="shared" si="37"/>
        <v/>
      </c>
    </row>
    <row r="2433" spans="1:9" x14ac:dyDescent="0.2">
      <c r="A2433" t="str">
        <f>IF(ROW(A2433)&lt;=Raw_hydro_bm!$J$2,Raw_hydro_bm!B2433,"")</f>
        <v/>
      </c>
      <c r="B2433" t="str">
        <f>IF(ROW(B2433)&lt;=Raw_hydro_bm!$J$2,Raw_hydro_bm!C2433,"")</f>
        <v/>
      </c>
      <c r="C2433" t="str">
        <f>IF(ROW(C2433)&lt;=Raw_hydro_bm!$J$2,Raw_hydro_bm!D2433,"")</f>
        <v/>
      </c>
      <c r="D2433" t="str">
        <f>IF(ROW(D2433)&lt;=Raw_hydro_bm!$J$2,Raw_hydro_bm!E2433,"")</f>
        <v/>
      </c>
      <c r="E2433" t="str">
        <f>IF(ROW(E2433)&lt;=Raw_hydro_bm!$J$2,Raw_hydro_bm!F2433,"")</f>
        <v/>
      </c>
      <c r="F2433" t="str">
        <f>IF(ROW(F2433)&lt;=Raw_hydro_bm!$J$2,Raw_hydro_bm!G2433,"")</f>
        <v/>
      </c>
      <c r="G2433" t="str">
        <f>IF(ROW(G2433)&lt;=Raw_hydro_bm!$J$2,Raw_hydro_bm!H2433,"")</f>
        <v/>
      </c>
      <c r="H2433" t="str">
        <f>IF(ROW(H2433)&lt;=Raw_hydro_bm!$J$2,Raw_hydro_bm!I2433,"")</f>
        <v/>
      </c>
      <c r="I2433" s="16" t="str">
        <f t="shared" si="37"/>
        <v/>
      </c>
    </row>
    <row r="2434" spans="1:9" x14ac:dyDescent="0.2">
      <c r="A2434" t="str">
        <f>IF(ROW(A2434)&lt;=Raw_hydro_bm!$J$2,Raw_hydro_bm!B2434,"")</f>
        <v/>
      </c>
      <c r="B2434" t="str">
        <f>IF(ROW(B2434)&lt;=Raw_hydro_bm!$J$2,Raw_hydro_bm!C2434,"")</f>
        <v/>
      </c>
      <c r="C2434" t="str">
        <f>IF(ROW(C2434)&lt;=Raw_hydro_bm!$J$2,Raw_hydro_bm!D2434,"")</f>
        <v/>
      </c>
      <c r="D2434" t="str">
        <f>IF(ROW(D2434)&lt;=Raw_hydro_bm!$J$2,Raw_hydro_bm!E2434,"")</f>
        <v/>
      </c>
      <c r="E2434" t="str">
        <f>IF(ROW(E2434)&lt;=Raw_hydro_bm!$J$2,Raw_hydro_bm!F2434,"")</f>
        <v/>
      </c>
      <c r="F2434" t="str">
        <f>IF(ROW(F2434)&lt;=Raw_hydro_bm!$J$2,Raw_hydro_bm!G2434,"")</f>
        <v/>
      </c>
      <c r="G2434" t="str">
        <f>IF(ROW(G2434)&lt;=Raw_hydro_bm!$J$2,Raw_hydro_bm!H2434,"")</f>
        <v/>
      </c>
      <c r="H2434" t="str">
        <f>IF(ROW(H2434)&lt;=Raw_hydro_bm!$J$2,Raw_hydro_bm!I2434,"")</f>
        <v/>
      </c>
      <c r="I2434" s="16" t="str">
        <f t="shared" ref="I2434:I2497" si="38">IF(IFERROR(FIND("e",H2434),-1)&lt;0,IFERROR(_xlfn.NUMBERVALUE(LEFT(H2434,FIND(".",H2434)-1))+_xlfn.NUMBERVALUE("0,"&amp;RIGHT(H2434,LEN(H2434)-FIND(".",H2434))),""),0)</f>
        <v/>
      </c>
    </row>
    <row r="2435" spans="1:9" x14ac:dyDescent="0.2">
      <c r="A2435" t="str">
        <f>IF(ROW(A2435)&lt;=Raw_hydro_bm!$J$2,Raw_hydro_bm!B2435,"")</f>
        <v/>
      </c>
      <c r="B2435" t="str">
        <f>IF(ROW(B2435)&lt;=Raw_hydro_bm!$J$2,Raw_hydro_bm!C2435,"")</f>
        <v/>
      </c>
      <c r="C2435" t="str">
        <f>IF(ROW(C2435)&lt;=Raw_hydro_bm!$J$2,Raw_hydro_bm!D2435,"")</f>
        <v/>
      </c>
      <c r="D2435" t="str">
        <f>IF(ROW(D2435)&lt;=Raw_hydro_bm!$J$2,Raw_hydro_bm!E2435,"")</f>
        <v/>
      </c>
      <c r="E2435" t="str">
        <f>IF(ROW(E2435)&lt;=Raw_hydro_bm!$J$2,Raw_hydro_bm!F2435,"")</f>
        <v/>
      </c>
      <c r="F2435" t="str">
        <f>IF(ROW(F2435)&lt;=Raw_hydro_bm!$J$2,Raw_hydro_bm!G2435,"")</f>
        <v/>
      </c>
      <c r="G2435" t="str">
        <f>IF(ROW(G2435)&lt;=Raw_hydro_bm!$J$2,Raw_hydro_bm!H2435,"")</f>
        <v/>
      </c>
      <c r="H2435" t="str">
        <f>IF(ROW(H2435)&lt;=Raw_hydro_bm!$J$2,Raw_hydro_bm!I2435,"")</f>
        <v/>
      </c>
      <c r="I2435" s="16" t="str">
        <f t="shared" si="38"/>
        <v/>
      </c>
    </row>
    <row r="2436" spans="1:9" x14ac:dyDescent="0.2">
      <c r="A2436" t="str">
        <f>IF(ROW(A2436)&lt;=Raw_hydro_bm!$J$2,Raw_hydro_bm!B2436,"")</f>
        <v/>
      </c>
      <c r="B2436" t="str">
        <f>IF(ROW(B2436)&lt;=Raw_hydro_bm!$J$2,Raw_hydro_bm!C2436,"")</f>
        <v/>
      </c>
      <c r="C2436" t="str">
        <f>IF(ROW(C2436)&lt;=Raw_hydro_bm!$J$2,Raw_hydro_bm!D2436,"")</f>
        <v/>
      </c>
      <c r="D2436" t="str">
        <f>IF(ROW(D2436)&lt;=Raw_hydro_bm!$J$2,Raw_hydro_bm!E2436,"")</f>
        <v/>
      </c>
      <c r="E2436" t="str">
        <f>IF(ROW(E2436)&lt;=Raw_hydro_bm!$J$2,Raw_hydro_bm!F2436,"")</f>
        <v/>
      </c>
      <c r="F2436" t="str">
        <f>IF(ROW(F2436)&lt;=Raw_hydro_bm!$J$2,Raw_hydro_bm!G2436,"")</f>
        <v/>
      </c>
      <c r="G2436" t="str">
        <f>IF(ROW(G2436)&lt;=Raw_hydro_bm!$J$2,Raw_hydro_bm!H2436,"")</f>
        <v/>
      </c>
      <c r="H2436" t="str">
        <f>IF(ROW(H2436)&lt;=Raw_hydro_bm!$J$2,Raw_hydro_bm!I2436,"")</f>
        <v/>
      </c>
      <c r="I2436" s="16" t="str">
        <f t="shared" si="38"/>
        <v/>
      </c>
    </row>
    <row r="2437" spans="1:9" x14ac:dyDescent="0.2">
      <c r="A2437" t="str">
        <f>IF(ROW(A2437)&lt;=Raw_hydro_bm!$J$2,Raw_hydro_bm!B2437,"")</f>
        <v/>
      </c>
      <c r="B2437" t="str">
        <f>IF(ROW(B2437)&lt;=Raw_hydro_bm!$J$2,Raw_hydro_bm!C2437,"")</f>
        <v/>
      </c>
      <c r="C2437" t="str">
        <f>IF(ROW(C2437)&lt;=Raw_hydro_bm!$J$2,Raw_hydro_bm!D2437,"")</f>
        <v/>
      </c>
      <c r="D2437" t="str">
        <f>IF(ROW(D2437)&lt;=Raw_hydro_bm!$J$2,Raw_hydro_bm!E2437,"")</f>
        <v/>
      </c>
      <c r="E2437" t="str">
        <f>IF(ROW(E2437)&lt;=Raw_hydro_bm!$J$2,Raw_hydro_bm!F2437,"")</f>
        <v/>
      </c>
      <c r="F2437" t="str">
        <f>IF(ROW(F2437)&lt;=Raw_hydro_bm!$J$2,Raw_hydro_bm!G2437,"")</f>
        <v/>
      </c>
      <c r="G2437" t="str">
        <f>IF(ROW(G2437)&lt;=Raw_hydro_bm!$J$2,Raw_hydro_bm!H2437,"")</f>
        <v/>
      </c>
      <c r="H2437" t="str">
        <f>IF(ROW(H2437)&lt;=Raw_hydro_bm!$J$2,Raw_hydro_bm!I2437,"")</f>
        <v/>
      </c>
      <c r="I2437" s="16" t="str">
        <f t="shared" si="38"/>
        <v/>
      </c>
    </row>
    <row r="2438" spans="1:9" x14ac:dyDescent="0.2">
      <c r="A2438" t="str">
        <f>IF(ROW(A2438)&lt;=Raw_hydro_bm!$J$2,Raw_hydro_bm!B2438,"")</f>
        <v/>
      </c>
      <c r="B2438" t="str">
        <f>IF(ROW(B2438)&lt;=Raw_hydro_bm!$J$2,Raw_hydro_bm!C2438,"")</f>
        <v/>
      </c>
      <c r="C2438" t="str">
        <f>IF(ROW(C2438)&lt;=Raw_hydro_bm!$J$2,Raw_hydro_bm!D2438,"")</f>
        <v/>
      </c>
      <c r="D2438" t="str">
        <f>IF(ROW(D2438)&lt;=Raw_hydro_bm!$J$2,Raw_hydro_bm!E2438,"")</f>
        <v/>
      </c>
      <c r="E2438" t="str">
        <f>IF(ROW(E2438)&lt;=Raw_hydro_bm!$J$2,Raw_hydro_bm!F2438,"")</f>
        <v/>
      </c>
      <c r="F2438" t="str">
        <f>IF(ROW(F2438)&lt;=Raw_hydro_bm!$J$2,Raw_hydro_bm!G2438,"")</f>
        <v/>
      </c>
      <c r="G2438" t="str">
        <f>IF(ROW(G2438)&lt;=Raw_hydro_bm!$J$2,Raw_hydro_bm!H2438,"")</f>
        <v/>
      </c>
      <c r="H2438" t="str">
        <f>IF(ROW(H2438)&lt;=Raw_hydro_bm!$J$2,Raw_hydro_bm!I2438,"")</f>
        <v/>
      </c>
      <c r="I2438" s="16" t="str">
        <f t="shared" si="38"/>
        <v/>
      </c>
    </row>
    <row r="2439" spans="1:9" x14ac:dyDescent="0.2">
      <c r="A2439" t="str">
        <f>IF(ROW(A2439)&lt;=Raw_hydro_bm!$J$2,Raw_hydro_bm!B2439,"")</f>
        <v/>
      </c>
      <c r="B2439" t="str">
        <f>IF(ROW(B2439)&lt;=Raw_hydro_bm!$J$2,Raw_hydro_bm!C2439,"")</f>
        <v/>
      </c>
      <c r="C2439" t="str">
        <f>IF(ROW(C2439)&lt;=Raw_hydro_bm!$J$2,Raw_hydro_bm!D2439,"")</f>
        <v/>
      </c>
      <c r="D2439" t="str">
        <f>IF(ROW(D2439)&lt;=Raw_hydro_bm!$J$2,Raw_hydro_bm!E2439,"")</f>
        <v/>
      </c>
      <c r="E2439" t="str">
        <f>IF(ROW(E2439)&lt;=Raw_hydro_bm!$J$2,Raw_hydro_bm!F2439,"")</f>
        <v/>
      </c>
      <c r="F2439" t="str">
        <f>IF(ROW(F2439)&lt;=Raw_hydro_bm!$J$2,Raw_hydro_bm!G2439,"")</f>
        <v/>
      </c>
      <c r="G2439" t="str">
        <f>IF(ROW(G2439)&lt;=Raw_hydro_bm!$J$2,Raw_hydro_bm!H2439,"")</f>
        <v/>
      </c>
      <c r="H2439" t="str">
        <f>IF(ROW(H2439)&lt;=Raw_hydro_bm!$J$2,Raw_hydro_bm!I2439,"")</f>
        <v/>
      </c>
      <c r="I2439" s="16" t="str">
        <f t="shared" si="38"/>
        <v/>
      </c>
    </row>
    <row r="2440" spans="1:9" x14ac:dyDescent="0.2">
      <c r="A2440" t="str">
        <f>IF(ROW(A2440)&lt;=Raw_hydro_bm!$J$2,Raw_hydro_bm!B2440,"")</f>
        <v/>
      </c>
      <c r="B2440" t="str">
        <f>IF(ROW(B2440)&lt;=Raw_hydro_bm!$J$2,Raw_hydro_bm!C2440,"")</f>
        <v/>
      </c>
      <c r="C2440" t="str">
        <f>IF(ROW(C2440)&lt;=Raw_hydro_bm!$J$2,Raw_hydro_bm!D2440,"")</f>
        <v/>
      </c>
      <c r="D2440" t="str">
        <f>IF(ROW(D2440)&lt;=Raw_hydro_bm!$J$2,Raw_hydro_bm!E2440,"")</f>
        <v/>
      </c>
      <c r="E2440" t="str">
        <f>IF(ROW(E2440)&lt;=Raw_hydro_bm!$J$2,Raw_hydro_bm!F2440,"")</f>
        <v/>
      </c>
      <c r="F2440" t="str">
        <f>IF(ROW(F2440)&lt;=Raw_hydro_bm!$J$2,Raw_hydro_bm!G2440,"")</f>
        <v/>
      </c>
      <c r="G2440" t="str">
        <f>IF(ROW(G2440)&lt;=Raw_hydro_bm!$J$2,Raw_hydro_bm!H2440,"")</f>
        <v/>
      </c>
      <c r="H2440" t="str">
        <f>IF(ROW(H2440)&lt;=Raw_hydro_bm!$J$2,Raw_hydro_bm!I2440,"")</f>
        <v/>
      </c>
      <c r="I2440" s="16" t="str">
        <f t="shared" si="38"/>
        <v/>
      </c>
    </row>
    <row r="2441" spans="1:9" x14ac:dyDescent="0.2">
      <c r="A2441" t="str">
        <f>IF(ROW(A2441)&lt;=Raw_hydro_bm!$J$2,Raw_hydro_bm!B2441,"")</f>
        <v/>
      </c>
      <c r="B2441" t="str">
        <f>IF(ROW(B2441)&lt;=Raw_hydro_bm!$J$2,Raw_hydro_bm!C2441,"")</f>
        <v/>
      </c>
      <c r="C2441" t="str">
        <f>IF(ROW(C2441)&lt;=Raw_hydro_bm!$J$2,Raw_hydro_bm!D2441,"")</f>
        <v/>
      </c>
      <c r="D2441" t="str">
        <f>IF(ROW(D2441)&lt;=Raw_hydro_bm!$J$2,Raw_hydro_bm!E2441,"")</f>
        <v/>
      </c>
      <c r="E2441" t="str">
        <f>IF(ROW(E2441)&lt;=Raw_hydro_bm!$J$2,Raw_hydro_bm!F2441,"")</f>
        <v/>
      </c>
      <c r="F2441" t="str">
        <f>IF(ROW(F2441)&lt;=Raw_hydro_bm!$J$2,Raw_hydro_bm!G2441,"")</f>
        <v/>
      </c>
      <c r="G2441" t="str">
        <f>IF(ROW(G2441)&lt;=Raw_hydro_bm!$J$2,Raw_hydro_bm!H2441,"")</f>
        <v/>
      </c>
      <c r="H2441" t="str">
        <f>IF(ROW(H2441)&lt;=Raw_hydro_bm!$J$2,Raw_hydro_bm!I2441,"")</f>
        <v/>
      </c>
      <c r="I2441" s="16" t="str">
        <f t="shared" si="38"/>
        <v/>
      </c>
    </row>
    <row r="2442" spans="1:9" x14ac:dyDescent="0.2">
      <c r="A2442" t="str">
        <f>IF(ROW(A2442)&lt;=Raw_hydro_bm!$J$2,Raw_hydro_bm!B2442,"")</f>
        <v/>
      </c>
      <c r="B2442" t="str">
        <f>IF(ROW(B2442)&lt;=Raw_hydro_bm!$J$2,Raw_hydro_bm!C2442,"")</f>
        <v/>
      </c>
      <c r="C2442" t="str">
        <f>IF(ROW(C2442)&lt;=Raw_hydro_bm!$J$2,Raw_hydro_bm!D2442,"")</f>
        <v/>
      </c>
      <c r="D2442" t="str">
        <f>IF(ROW(D2442)&lt;=Raw_hydro_bm!$J$2,Raw_hydro_bm!E2442,"")</f>
        <v/>
      </c>
      <c r="E2442" t="str">
        <f>IF(ROW(E2442)&lt;=Raw_hydro_bm!$J$2,Raw_hydro_bm!F2442,"")</f>
        <v/>
      </c>
      <c r="F2442" t="str">
        <f>IF(ROW(F2442)&lt;=Raw_hydro_bm!$J$2,Raw_hydro_bm!G2442,"")</f>
        <v/>
      </c>
      <c r="G2442" t="str">
        <f>IF(ROW(G2442)&lt;=Raw_hydro_bm!$J$2,Raw_hydro_bm!H2442,"")</f>
        <v/>
      </c>
      <c r="H2442" t="str">
        <f>IF(ROW(H2442)&lt;=Raw_hydro_bm!$J$2,Raw_hydro_bm!I2442,"")</f>
        <v/>
      </c>
      <c r="I2442" s="16" t="str">
        <f t="shared" si="38"/>
        <v/>
      </c>
    </row>
    <row r="2443" spans="1:9" x14ac:dyDescent="0.2">
      <c r="A2443" t="str">
        <f>IF(ROW(A2443)&lt;=Raw_hydro_bm!$J$2,Raw_hydro_bm!B2443,"")</f>
        <v/>
      </c>
      <c r="B2443" t="str">
        <f>IF(ROW(B2443)&lt;=Raw_hydro_bm!$J$2,Raw_hydro_bm!C2443,"")</f>
        <v/>
      </c>
      <c r="C2443" t="str">
        <f>IF(ROW(C2443)&lt;=Raw_hydro_bm!$J$2,Raw_hydro_bm!D2443,"")</f>
        <v/>
      </c>
      <c r="D2443" t="str">
        <f>IF(ROW(D2443)&lt;=Raw_hydro_bm!$J$2,Raw_hydro_bm!E2443,"")</f>
        <v/>
      </c>
      <c r="E2443" t="str">
        <f>IF(ROW(E2443)&lt;=Raw_hydro_bm!$J$2,Raw_hydro_bm!F2443,"")</f>
        <v/>
      </c>
      <c r="F2443" t="str">
        <f>IF(ROW(F2443)&lt;=Raw_hydro_bm!$J$2,Raw_hydro_bm!G2443,"")</f>
        <v/>
      </c>
      <c r="G2443" t="str">
        <f>IF(ROW(G2443)&lt;=Raw_hydro_bm!$J$2,Raw_hydro_bm!H2443,"")</f>
        <v/>
      </c>
      <c r="H2443" t="str">
        <f>IF(ROW(H2443)&lt;=Raw_hydro_bm!$J$2,Raw_hydro_bm!I2443,"")</f>
        <v/>
      </c>
      <c r="I2443" s="16" t="str">
        <f t="shared" si="38"/>
        <v/>
      </c>
    </row>
    <row r="2444" spans="1:9" x14ac:dyDescent="0.2">
      <c r="A2444" t="str">
        <f>IF(ROW(A2444)&lt;=Raw_hydro_bm!$J$2,Raw_hydro_bm!B2444,"")</f>
        <v/>
      </c>
      <c r="B2444" t="str">
        <f>IF(ROW(B2444)&lt;=Raw_hydro_bm!$J$2,Raw_hydro_bm!C2444,"")</f>
        <v/>
      </c>
      <c r="C2444" t="str">
        <f>IF(ROW(C2444)&lt;=Raw_hydro_bm!$J$2,Raw_hydro_bm!D2444,"")</f>
        <v/>
      </c>
      <c r="D2444" t="str">
        <f>IF(ROW(D2444)&lt;=Raw_hydro_bm!$J$2,Raw_hydro_bm!E2444,"")</f>
        <v/>
      </c>
      <c r="E2444" t="str">
        <f>IF(ROW(E2444)&lt;=Raw_hydro_bm!$J$2,Raw_hydro_bm!F2444,"")</f>
        <v/>
      </c>
      <c r="F2444" t="str">
        <f>IF(ROW(F2444)&lt;=Raw_hydro_bm!$J$2,Raw_hydro_bm!G2444,"")</f>
        <v/>
      </c>
      <c r="G2444" t="str">
        <f>IF(ROW(G2444)&lt;=Raw_hydro_bm!$J$2,Raw_hydro_bm!H2444,"")</f>
        <v/>
      </c>
      <c r="H2444" t="str">
        <f>IF(ROW(H2444)&lt;=Raw_hydro_bm!$J$2,Raw_hydro_bm!I2444,"")</f>
        <v/>
      </c>
      <c r="I2444" s="16" t="str">
        <f t="shared" si="38"/>
        <v/>
      </c>
    </row>
    <row r="2445" spans="1:9" x14ac:dyDescent="0.2">
      <c r="A2445" t="str">
        <f>IF(ROW(A2445)&lt;=Raw_hydro_bm!$J$2,Raw_hydro_bm!B2445,"")</f>
        <v/>
      </c>
      <c r="B2445" t="str">
        <f>IF(ROW(B2445)&lt;=Raw_hydro_bm!$J$2,Raw_hydro_bm!C2445,"")</f>
        <v/>
      </c>
      <c r="C2445" t="str">
        <f>IF(ROW(C2445)&lt;=Raw_hydro_bm!$J$2,Raw_hydro_bm!D2445,"")</f>
        <v/>
      </c>
      <c r="D2445" t="str">
        <f>IF(ROW(D2445)&lt;=Raw_hydro_bm!$J$2,Raw_hydro_bm!E2445,"")</f>
        <v/>
      </c>
      <c r="E2445" t="str">
        <f>IF(ROW(E2445)&lt;=Raw_hydro_bm!$J$2,Raw_hydro_bm!F2445,"")</f>
        <v/>
      </c>
      <c r="F2445" t="str">
        <f>IF(ROW(F2445)&lt;=Raw_hydro_bm!$J$2,Raw_hydro_bm!G2445,"")</f>
        <v/>
      </c>
      <c r="G2445" t="str">
        <f>IF(ROW(G2445)&lt;=Raw_hydro_bm!$J$2,Raw_hydro_bm!H2445,"")</f>
        <v/>
      </c>
      <c r="H2445" t="str">
        <f>IF(ROW(H2445)&lt;=Raw_hydro_bm!$J$2,Raw_hydro_bm!I2445,"")</f>
        <v/>
      </c>
      <c r="I2445" s="16" t="str">
        <f t="shared" si="38"/>
        <v/>
      </c>
    </row>
    <row r="2446" spans="1:9" x14ac:dyDescent="0.2">
      <c r="A2446" t="str">
        <f>IF(ROW(A2446)&lt;=Raw_hydro_bm!$J$2,Raw_hydro_bm!B2446,"")</f>
        <v/>
      </c>
      <c r="B2446" t="str">
        <f>IF(ROW(B2446)&lt;=Raw_hydro_bm!$J$2,Raw_hydro_bm!C2446,"")</f>
        <v/>
      </c>
      <c r="C2446" t="str">
        <f>IF(ROW(C2446)&lt;=Raw_hydro_bm!$J$2,Raw_hydro_bm!D2446,"")</f>
        <v/>
      </c>
      <c r="D2446" t="str">
        <f>IF(ROW(D2446)&lt;=Raw_hydro_bm!$J$2,Raw_hydro_bm!E2446,"")</f>
        <v/>
      </c>
      <c r="E2446" t="str">
        <f>IF(ROW(E2446)&lt;=Raw_hydro_bm!$J$2,Raw_hydro_bm!F2446,"")</f>
        <v/>
      </c>
      <c r="F2446" t="str">
        <f>IF(ROW(F2446)&lt;=Raw_hydro_bm!$J$2,Raw_hydro_bm!G2446,"")</f>
        <v/>
      </c>
      <c r="G2446" t="str">
        <f>IF(ROW(G2446)&lt;=Raw_hydro_bm!$J$2,Raw_hydro_bm!H2446,"")</f>
        <v/>
      </c>
      <c r="H2446" t="str">
        <f>IF(ROW(H2446)&lt;=Raw_hydro_bm!$J$2,Raw_hydro_bm!I2446,"")</f>
        <v/>
      </c>
      <c r="I2446" s="16" t="str">
        <f t="shared" si="38"/>
        <v/>
      </c>
    </row>
    <row r="2447" spans="1:9" x14ac:dyDescent="0.2">
      <c r="A2447" t="str">
        <f>IF(ROW(A2447)&lt;=Raw_hydro_bm!$J$2,Raw_hydro_bm!B2447,"")</f>
        <v/>
      </c>
      <c r="B2447" t="str">
        <f>IF(ROW(B2447)&lt;=Raw_hydro_bm!$J$2,Raw_hydro_bm!C2447,"")</f>
        <v/>
      </c>
      <c r="C2447" t="str">
        <f>IF(ROW(C2447)&lt;=Raw_hydro_bm!$J$2,Raw_hydro_bm!D2447,"")</f>
        <v/>
      </c>
      <c r="D2447" t="str">
        <f>IF(ROW(D2447)&lt;=Raw_hydro_bm!$J$2,Raw_hydro_bm!E2447,"")</f>
        <v/>
      </c>
      <c r="E2447" t="str">
        <f>IF(ROW(E2447)&lt;=Raw_hydro_bm!$J$2,Raw_hydro_bm!F2447,"")</f>
        <v/>
      </c>
      <c r="F2447" t="str">
        <f>IF(ROW(F2447)&lt;=Raw_hydro_bm!$J$2,Raw_hydro_bm!G2447,"")</f>
        <v/>
      </c>
      <c r="G2447" t="str">
        <f>IF(ROW(G2447)&lt;=Raw_hydro_bm!$J$2,Raw_hydro_bm!H2447,"")</f>
        <v/>
      </c>
      <c r="H2447" t="str">
        <f>IF(ROW(H2447)&lt;=Raw_hydro_bm!$J$2,Raw_hydro_bm!I2447,"")</f>
        <v/>
      </c>
      <c r="I2447" s="16" t="str">
        <f t="shared" si="38"/>
        <v/>
      </c>
    </row>
    <row r="2448" spans="1:9" x14ac:dyDescent="0.2">
      <c r="A2448" t="str">
        <f>IF(ROW(A2448)&lt;=Raw_hydro_bm!$J$2,Raw_hydro_bm!B2448,"")</f>
        <v/>
      </c>
      <c r="B2448" t="str">
        <f>IF(ROW(B2448)&lt;=Raw_hydro_bm!$J$2,Raw_hydro_bm!C2448,"")</f>
        <v/>
      </c>
      <c r="C2448" t="str">
        <f>IF(ROW(C2448)&lt;=Raw_hydro_bm!$J$2,Raw_hydro_bm!D2448,"")</f>
        <v/>
      </c>
      <c r="D2448" t="str">
        <f>IF(ROW(D2448)&lt;=Raw_hydro_bm!$J$2,Raw_hydro_bm!E2448,"")</f>
        <v/>
      </c>
      <c r="E2448" t="str">
        <f>IF(ROW(E2448)&lt;=Raw_hydro_bm!$J$2,Raw_hydro_bm!F2448,"")</f>
        <v/>
      </c>
      <c r="F2448" t="str">
        <f>IF(ROW(F2448)&lt;=Raw_hydro_bm!$J$2,Raw_hydro_bm!G2448,"")</f>
        <v/>
      </c>
      <c r="G2448" t="str">
        <f>IF(ROW(G2448)&lt;=Raw_hydro_bm!$J$2,Raw_hydro_bm!H2448,"")</f>
        <v/>
      </c>
      <c r="H2448" t="str">
        <f>IF(ROW(H2448)&lt;=Raw_hydro_bm!$J$2,Raw_hydro_bm!I2448,"")</f>
        <v/>
      </c>
      <c r="I2448" s="16" t="str">
        <f t="shared" si="38"/>
        <v/>
      </c>
    </row>
    <row r="2449" spans="1:9" x14ac:dyDescent="0.2">
      <c r="A2449" t="str">
        <f>IF(ROW(A2449)&lt;=Raw_hydro_bm!$J$2,Raw_hydro_bm!B2449,"")</f>
        <v/>
      </c>
      <c r="B2449" t="str">
        <f>IF(ROW(B2449)&lt;=Raw_hydro_bm!$J$2,Raw_hydro_bm!C2449,"")</f>
        <v/>
      </c>
      <c r="C2449" t="str">
        <f>IF(ROW(C2449)&lt;=Raw_hydro_bm!$J$2,Raw_hydro_bm!D2449,"")</f>
        <v/>
      </c>
      <c r="D2449" t="str">
        <f>IF(ROW(D2449)&lt;=Raw_hydro_bm!$J$2,Raw_hydro_bm!E2449,"")</f>
        <v/>
      </c>
      <c r="E2449" t="str">
        <f>IF(ROW(E2449)&lt;=Raw_hydro_bm!$J$2,Raw_hydro_bm!F2449,"")</f>
        <v/>
      </c>
      <c r="F2449" t="str">
        <f>IF(ROW(F2449)&lt;=Raw_hydro_bm!$J$2,Raw_hydro_bm!G2449,"")</f>
        <v/>
      </c>
      <c r="G2449" t="str">
        <f>IF(ROW(G2449)&lt;=Raw_hydro_bm!$J$2,Raw_hydro_bm!H2449,"")</f>
        <v/>
      </c>
      <c r="H2449" t="str">
        <f>IF(ROW(H2449)&lt;=Raw_hydro_bm!$J$2,Raw_hydro_bm!I2449,"")</f>
        <v/>
      </c>
      <c r="I2449" s="16" t="str">
        <f t="shared" si="38"/>
        <v/>
      </c>
    </row>
    <row r="2450" spans="1:9" x14ac:dyDescent="0.2">
      <c r="A2450" t="str">
        <f>IF(ROW(A2450)&lt;=Raw_hydro_bm!$J$2,Raw_hydro_bm!B2450,"")</f>
        <v/>
      </c>
      <c r="B2450" t="str">
        <f>IF(ROW(B2450)&lt;=Raw_hydro_bm!$J$2,Raw_hydro_bm!C2450,"")</f>
        <v/>
      </c>
      <c r="C2450" t="str">
        <f>IF(ROW(C2450)&lt;=Raw_hydro_bm!$J$2,Raw_hydro_bm!D2450,"")</f>
        <v/>
      </c>
      <c r="D2450" t="str">
        <f>IF(ROW(D2450)&lt;=Raw_hydro_bm!$J$2,Raw_hydro_bm!E2450,"")</f>
        <v/>
      </c>
      <c r="E2450" t="str">
        <f>IF(ROW(E2450)&lt;=Raw_hydro_bm!$J$2,Raw_hydro_bm!F2450,"")</f>
        <v/>
      </c>
      <c r="F2450" t="str">
        <f>IF(ROW(F2450)&lt;=Raw_hydro_bm!$J$2,Raw_hydro_bm!G2450,"")</f>
        <v/>
      </c>
      <c r="G2450" t="str">
        <f>IF(ROW(G2450)&lt;=Raw_hydro_bm!$J$2,Raw_hydro_bm!H2450,"")</f>
        <v/>
      </c>
      <c r="H2450" t="str">
        <f>IF(ROW(H2450)&lt;=Raw_hydro_bm!$J$2,Raw_hydro_bm!I2450,"")</f>
        <v/>
      </c>
      <c r="I2450" s="16" t="str">
        <f t="shared" si="38"/>
        <v/>
      </c>
    </row>
    <row r="2451" spans="1:9" x14ac:dyDescent="0.2">
      <c r="A2451" t="str">
        <f>IF(ROW(A2451)&lt;=Raw_hydro_bm!$J$2,Raw_hydro_bm!B2451,"")</f>
        <v/>
      </c>
      <c r="B2451" t="str">
        <f>IF(ROW(B2451)&lt;=Raw_hydro_bm!$J$2,Raw_hydro_bm!C2451,"")</f>
        <v/>
      </c>
      <c r="C2451" t="str">
        <f>IF(ROW(C2451)&lt;=Raw_hydro_bm!$J$2,Raw_hydro_bm!D2451,"")</f>
        <v/>
      </c>
      <c r="D2451" t="str">
        <f>IF(ROW(D2451)&lt;=Raw_hydro_bm!$J$2,Raw_hydro_bm!E2451,"")</f>
        <v/>
      </c>
      <c r="E2451" t="str">
        <f>IF(ROW(E2451)&lt;=Raw_hydro_bm!$J$2,Raw_hydro_bm!F2451,"")</f>
        <v/>
      </c>
      <c r="F2451" t="str">
        <f>IF(ROW(F2451)&lt;=Raw_hydro_bm!$J$2,Raw_hydro_bm!G2451,"")</f>
        <v/>
      </c>
      <c r="G2451" t="str">
        <f>IF(ROW(G2451)&lt;=Raw_hydro_bm!$J$2,Raw_hydro_bm!H2451,"")</f>
        <v/>
      </c>
      <c r="H2451" t="str">
        <f>IF(ROW(H2451)&lt;=Raw_hydro_bm!$J$2,Raw_hydro_bm!I2451,"")</f>
        <v/>
      </c>
      <c r="I2451" s="16" t="str">
        <f t="shared" si="38"/>
        <v/>
      </c>
    </row>
    <row r="2452" spans="1:9" x14ac:dyDescent="0.2">
      <c r="A2452" t="str">
        <f>IF(ROW(A2452)&lt;=Raw_hydro_bm!$J$2,Raw_hydro_bm!B2452,"")</f>
        <v/>
      </c>
      <c r="B2452" t="str">
        <f>IF(ROW(B2452)&lt;=Raw_hydro_bm!$J$2,Raw_hydro_bm!C2452,"")</f>
        <v/>
      </c>
      <c r="C2452" t="str">
        <f>IF(ROW(C2452)&lt;=Raw_hydro_bm!$J$2,Raw_hydro_bm!D2452,"")</f>
        <v/>
      </c>
      <c r="D2452" t="str">
        <f>IF(ROW(D2452)&lt;=Raw_hydro_bm!$J$2,Raw_hydro_bm!E2452,"")</f>
        <v/>
      </c>
      <c r="E2452" t="str">
        <f>IF(ROW(E2452)&lt;=Raw_hydro_bm!$J$2,Raw_hydro_bm!F2452,"")</f>
        <v/>
      </c>
      <c r="F2452" t="str">
        <f>IF(ROW(F2452)&lt;=Raw_hydro_bm!$J$2,Raw_hydro_bm!G2452,"")</f>
        <v/>
      </c>
      <c r="G2452" t="str">
        <f>IF(ROW(G2452)&lt;=Raw_hydro_bm!$J$2,Raw_hydro_bm!H2452,"")</f>
        <v/>
      </c>
      <c r="H2452" t="str">
        <f>IF(ROW(H2452)&lt;=Raw_hydro_bm!$J$2,Raw_hydro_bm!I2452,"")</f>
        <v/>
      </c>
      <c r="I2452" s="16" t="str">
        <f t="shared" si="38"/>
        <v/>
      </c>
    </row>
    <row r="2453" spans="1:9" x14ac:dyDescent="0.2">
      <c r="A2453" t="str">
        <f>IF(ROW(A2453)&lt;=Raw_hydro_bm!$J$2,Raw_hydro_bm!B2453,"")</f>
        <v/>
      </c>
      <c r="B2453" t="str">
        <f>IF(ROW(B2453)&lt;=Raw_hydro_bm!$J$2,Raw_hydro_bm!C2453,"")</f>
        <v/>
      </c>
      <c r="C2453" t="str">
        <f>IF(ROW(C2453)&lt;=Raw_hydro_bm!$J$2,Raw_hydro_bm!D2453,"")</f>
        <v/>
      </c>
      <c r="D2453" t="str">
        <f>IF(ROW(D2453)&lt;=Raw_hydro_bm!$J$2,Raw_hydro_bm!E2453,"")</f>
        <v/>
      </c>
      <c r="E2453" t="str">
        <f>IF(ROW(E2453)&lt;=Raw_hydro_bm!$J$2,Raw_hydro_bm!F2453,"")</f>
        <v/>
      </c>
      <c r="F2453" t="str">
        <f>IF(ROW(F2453)&lt;=Raw_hydro_bm!$J$2,Raw_hydro_bm!G2453,"")</f>
        <v/>
      </c>
      <c r="G2453" t="str">
        <f>IF(ROW(G2453)&lt;=Raw_hydro_bm!$J$2,Raw_hydro_bm!H2453,"")</f>
        <v/>
      </c>
      <c r="H2453" t="str">
        <f>IF(ROW(H2453)&lt;=Raw_hydro_bm!$J$2,Raw_hydro_bm!I2453,"")</f>
        <v/>
      </c>
      <c r="I2453" s="16" t="str">
        <f t="shared" si="38"/>
        <v/>
      </c>
    </row>
    <row r="2454" spans="1:9" x14ac:dyDescent="0.2">
      <c r="A2454" t="str">
        <f>IF(ROW(A2454)&lt;=Raw_hydro_bm!$J$2,Raw_hydro_bm!B2454,"")</f>
        <v/>
      </c>
      <c r="B2454" t="str">
        <f>IF(ROW(B2454)&lt;=Raw_hydro_bm!$J$2,Raw_hydro_bm!C2454,"")</f>
        <v/>
      </c>
      <c r="C2454" t="str">
        <f>IF(ROW(C2454)&lt;=Raw_hydro_bm!$J$2,Raw_hydro_bm!D2454,"")</f>
        <v/>
      </c>
      <c r="D2454" t="str">
        <f>IF(ROW(D2454)&lt;=Raw_hydro_bm!$J$2,Raw_hydro_bm!E2454,"")</f>
        <v/>
      </c>
      <c r="E2454" t="str">
        <f>IF(ROW(E2454)&lt;=Raw_hydro_bm!$J$2,Raw_hydro_bm!F2454,"")</f>
        <v/>
      </c>
      <c r="F2454" t="str">
        <f>IF(ROW(F2454)&lt;=Raw_hydro_bm!$J$2,Raw_hydro_bm!G2454,"")</f>
        <v/>
      </c>
      <c r="G2454" t="str">
        <f>IF(ROW(G2454)&lt;=Raw_hydro_bm!$J$2,Raw_hydro_bm!H2454,"")</f>
        <v/>
      </c>
      <c r="H2454" t="str">
        <f>IF(ROW(H2454)&lt;=Raw_hydro_bm!$J$2,Raw_hydro_bm!I2454,"")</f>
        <v/>
      </c>
      <c r="I2454" s="16" t="str">
        <f t="shared" si="38"/>
        <v/>
      </c>
    </row>
    <row r="2455" spans="1:9" x14ac:dyDescent="0.2">
      <c r="A2455" t="str">
        <f>IF(ROW(A2455)&lt;=Raw_hydro_bm!$J$2,Raw_hydro_bm!B2455,"")</f>
        <v/>
      </c>
      <c r="B2455" t="str">
        <f>IF(ROW(B2455)&lt;=Raw_hydro_bm!$J$2,Raw_hydro_bm!C2455,"")</f>
        <v/>
      </c>
      <c r="C2455" t="str">
        <f>IF(ROW(C2455)&lt;=Raw_hydro_bm!$J$2,Raw_hydro_bm!D2455,"")</f>
        <v/>
      </c>
      <c r="D2455" t="str">
        <f>IF(ROW(D2455)&lt;=Raw_hydro_bm!$J$2,Raw_hydro_bm!E2455,"")</f>
        <v/>
      </c>
      <c r="E2455" t="str">
        <f>IF(ROW(E2455)&lt;=Raw_hydro_bm!$J$2,Raw_hydro_bm!F2455,"")</f>
        <v/>
      </c>
      <c r="F2455" t="str">
        <f>IF(ROW(F2455)&lt;=Raw_hydro_bm!$J$2,Raw_hydro_bm!G2455,"")</f>
        <v/>
      </c>
      <c r="G2455" t="str">
        <f>IF(ROW(G2455)&lt;=Raw_hydro_bm!$J$2,Raw_hydro_bm!H2455,"")</f>
        <v/>
      </c>
      <c r="H2455" t="str">
        <f>IF(ROW(H2455)&lt;=Raw_hydro_bm!$J$2,Raw_hydro_bm!I2455,"")</f>
        <v/>
      </c>
      <c r="I2455" s="16" t="str">
        <f t="shared" si="38"/>
        <v/>
      </c>
    </row>
    <row r="2456" spans="1:9" x14ac:dyDescent="0.2">
      <c r="A2456" t="str">
        <f>IF(ROW(A2456)&lt;=Raw_hydro_bm!$J$2,Raw_hydro_bm!B2456,"")</f>
        <v/>
      </c>
      <c r="B2456" t="str">
        <f>IF(ROW(B2456)&lt;=Raw_hydro_bm!$J$2,Raw_hydro_bm!C2456,"")</f>
        <v/>
      </c>
      <c r="C2456" t="str">
        <f>IF(ROW(C2456)&lt;=Raw_hydro_bm!$J$2,Raw_hydro_bm!D2456,"")</f>
        <v/>
      </c>
      <c r="D2456" t="str">
        <f>IF(ROW(D2456)&lt;=Raw_hydro_bm!$J$2,Raw_hydro_bm!E2456,"")</f>
        <v/>
      </c>
      <c r="E2456" t="str">
        <f>IF(ROW(E2456)&lt;=Raw_hydro_bm!$J$2,Raw_hydro_bm!F2456,"")</f>
        <v/>
      </c>
      <c r="F2456" t="str">
        <f>IF(ROW(F2456)&lt;=Raw_hydro_bm!$J$2,Raw_hydro_bm!G2456,"")</f>
        <v/>
      </c>
      <c r="G2456" t="str">
        <f>IF(ROW(G2456)&lt;=Raw_hydro_bm!$J$2,Raw_hydro_bm!H2456,"")</f>
        <v/>
      </c>
      <c r="H2456" t="str">
        <f>IF(ROW(H2456)&lt;=Raw_hydro_bm!$J$2,Raw_hydro_bm!I2456,"")</f>
        <v/>
      </c>
      <c r="I2456" s="16" t="str">
        <f t="shared" si="38"/>
        <v/>
      </c>
    </row>
    <row r="2457" spans="1:9" x14ac:dyDescent="0.2">
      <c r="A2457" t="str">
        <f>IF(ROW(A2457)&lt;=Raw_hydro_bm!$J$2,Raw_hydro_bm!B2457,"")</f>
        <v/>
      </c>
      <c r="B2457" t="str">
        <f>IF(ROW(B2457)&lt;=Raw_hydro_bm!$J$2,Raw_hydro_bm!C2457,"")</f>
        <v/>
      </c>
      <c r="C2457" t="str">
        <f>IF(ROW(C2457)&lt;=Raw_hydro_bm!$J$2,Raw_hydro_bm!D2457,"")</f>
        <v/>
      </c>
      <c r="D2457" t="str">
        <f>IF(ROW(D2457)&lt;=Raw_hydro_bm!$J$2,Raw_hydro_bm!E2457,"")</f>
        <v/>
      </c>
      <c r="E2457" t="str">
        <f>IF(ROW(E2457)&lt;=Raw_hydro_bm!$J$2,Raw_hydro_bm!F2457,"")</f>
        <v/>
      </c>
      <c r="F2457" t="str">
        <f>IF(ROW(F2457)&lt;=Raw_hydro_bm!$J$2,Raw_hydro_bm!G2457,"")</f>
        <v/>
      </c>
      <c r="G2457" t="str">
        <f>IF(ROW(G2457)&lt;=Raw_hydro_bm!$J$2,Raw_hydro_bm!H2457,"")</f>
        <v/>
      </c>
      <c r="H2457" t="str">
        <f>IF(ROW(H2457)&lt;=Raw_hydro_bm!$J$2,Raw_hydro_bm!I2457,"")</f>
        <v/>
      </c>
      <c r="I2457" s="16" t="str">
        <f t="shared" si="38"/>
        <v/>
      </c>
    </row>
    <row r="2458" spans="1:9" x14ac:dyDescent="0.2">
      <c r="A2458" t="str">
        <f>IF(ROW(A2458)&lt;=Raw_hydro_bm!$J$2,Raw_hydro_bm!B2458,"")</f>
        <v/>
      </c>
      <c r="B2458" t="str">
        <f>IF(ROW(B2458)&lt;=Raw_hydro_bm!$J$2,Raw_hydro_bm!C2458,"")</f>
        <v/>
      </c>
      <c r="C2458" t="str">
        <f>IF(ROW(C2458)&lt;=Raw_hydro_bm!$J$2,Raw_hydro_bm!D2458,"")</f>
        <v/>
      </c>
      <c r="D2458" t="str">
        <f>IF(ROW(D2458)&lt;=Raw_hydro_bm!$J$2,Raw_hydro_bm!E2458,"")</f>
        <v/>
      </c>
      <c r="E2458" t="str">
        <f>IF(ROW(E2458)&lt;=Raw_hydro_bm!$J$2,Raw_hydro_bm!F2458,"")</f>
        <v/>
      </c>
      <c r="F2458" t="str">
        <f>IF(ROW(F2458)&lt;=Raw_hydro_bm!$J$2,Raw_hydro_bm!G2458,"")</f>
        <v/>
      </c>
      <c r="G2458" t="str">
        <f>IF(ROW(G2458)&lt;=Raw_hydro_bm!$J$2,Raw_hydro_bm!H2458,"")</f>
        <v/>
      </c>
      <c r="H2458" t="str">
        <f>IF(ROW(H2458)&lt;=Raw_hydro_bm!$J$2,Raw_hydro_bm!I2458,"")</f>
        <v/>
      </c>
      <c r="I2458" s="16" t="str">
        <f t="shared" si="38"/>
        <v/>
      </c>
    </row>
    <row r="2459" spans="1:9" x14ac:dyDescent="0.2">
      <c r="A2459" t="str">
        <f>IF(ROW(A2459)&lt;=Raw_hydro_bm!$J$2,Raw_hydro_bm!B2459,"")</f>
        <v/>
      </c>
      <c r="B2459" t="str">
        <f>IF(ROW(B2459)&lt;=Raw_hydro_bm!$J$2,Raw_hydro_bm!C2459,"")</f>
        <v/>
      </c>
      <c r="C2459" t="str">
        <f>IF(ROW(C2459)&lt;=Raw_hydro_bm!$J$2,Raw_hydro_bm!D2459,"")</f>
        <v/>
      </c>
      <c r="D2459" t="str">
        <f>IF(ROW(D2459)&lt;=Raw_hydro_bm!$J$2,Raw_hydro_bm!E2459,"")</f>
        <v/>
      </c>
      <c r="E2459" t="str">
        <f>IF(ROW(E2459)&lt;=Raw_hydro_bm!$J$2,Raw_hydro_bm!F2459,"")</f>
        <v/>
      </c>
      <c r="F2459" t="str">
        <f>IF(ROW(F2459)&lt;=Raw_hydro_bm!$J$2,Raw_hydro_bm!G2459,"")</f>
        <v/>
      </c>
      <c r="G2459" t="str">
        <f>IF(ROW(G2459)&lt;=Raw_hydro_bm!$J$2,Raw_hydro_bm!H2459,"")</f>
        <v/>
      </c>
      <c r="H2459" t="str">
        <f>IF(ROW(H2459)&lt;=Raw_hydro_bm!$J$2,Raw_hydro_bm!I2459,"")</f>
        <v/>
      </c>
      <c r="I2459" s="16" t="str">
        <f t="shared" si="38"/>
        <v/>
      </c>
    </row>
    <row r="2460" spans="1:9" x14ac:dyDescent="0.2">
      <c r="A2460" t="str">
        <f>IF(ROW(A2460)&lt;=Raw_hydro_bm!$J$2,Raw_hydro_bm!B2460,"")</f>
        <v/>
      </c>
      <c r="B2460" t="str">
        <f>IF(ROW(B2460)&lt;=Raw_hydro_bm!$J$2,Raw_hydro_bm!C2460,"")</f>
        <v/>
      </c>
      <c r="C2460" t="str">
        <f>IF(ROW(C2460)&lt;=Raw_hydro_bm!$J$2,Raw_hydro_bm!D2460,"")</f>
        <v/>
      </c>
      <c r="D2460" t="str">
        <f>IF(ROW(D2460)&lt;=Raw_hydro_bm!$J$2,Raw_hydro_bm!E2460,"")</f>
        <v/>
      </c>
      <c r="E2460" t="str">
        <f>IF(ROW(E2460)&lt;=Raw_hydro_bm!$J$2,Raw_hydro_bm!F2460,"")</f>
        <v/>
      </c>
      <c r="F2460" t="str">
        <f>IF(ROW(F2460)&lt;=Raw_hydro_bm!$J$2,Raw_hydro_bm!G2460,"")</f>
        <v/>
      </c>
      <c r="G2460" t="str">
        <f>IF(ROW(G2460)&lt;=Raw_hydro_bm!$J$2,Raw_hydro_bm!H2460,"")</f>
        <v/>
      </c>
      <c r="H2460" t="str">
        <f>IF(ROW(H2460)&lt;=Raw_hydro_bm!$J$2,Raw_hydro_bm!I2460,"")</f>
        <v/>
      </c>
      <c r="I2460" s="16" t="str">
        <f t="shared" si="38"/>
        <v/>
      </c>
    </row>
    <row r="2461" spans="1:9" x14ac:dyDescent="0.2">
      <c r="A2461" t="str">
        <f>IF(ROW(A2461)&lt;=Raw_hydro_bm!$J$2,Raw_hydro_bm!B2461,"")</f>
        <v/>
      </c>
      <c r="B2461" t="str">
        <f>IF(ROW(B2461)&lt;=Raw_hydro_bm!$J$2,Raw_hydro_bm!C2461,"")</f>
        <v/>
      </c>
      <c r="C2461" t="str">
        <f>IF(ROW(C2461)&lt;=Raw_hydro_bm!$J$2,Raw_hydro_bm!D2461,"")</f>
        <v/>
      </c>
      <c r="D2461" t="str">
        <f>IF(ROW(D2461)&lt;=Raw_hydro_bm!$J$2,Raw_hydro_bm!E2461,"")</f>
        <v/>
      </c>
      <c r="E2461" t="str">
        <f>IF(ROW(E2461)&lt;=Raw_hydro_bm!$J$2,Raw_hydro_bm!F2461,"")</f>
        <v/>
      </c>
      <c r="F2461" t="str">
        <f>IF(ROW(F2461)&lt;=Raw_hydro_bm!$J$2,Raw_hydro_bm!G2461,"")</f>
        <v/>
      </c>
      <c r="G2461" t="str">
        <f>IF(ROW(G2461)&lt;=Raw_hydro_bm!$J$2,Raw_hydro_bm!H2461,"")</f>
        <v/>
      </c>
      <c r="H2461" t="str">
        <f>IF(ROW(H2461)&lt;=Raw_hydro_bm!$J$2,Raw_hydro_bm!I2461,"")</f>
        <v/>
      </c>
      <c r="I2461" s="16" t="str">
        <f t="shared" si="38"/>
        <v/>
      </c>
    </row>
    <row r="2462" spans="1:9" x14ac:dyDescent="0.2">
      <c r="A2462" t="str">
        <f>IF(ROW(A2462)&lt;=Raw_hydro_bm!$J$2,Raw_hydro_bm!B2462,"")</f>
        <v/>
      </c>
      <c r="B2462" t="str">
        <f>IF(ROW(B2462)&lt;=Raw_hydro_bm!$J$2,Raw_hydro_bm!C2462,"")</f>
        <v/>
      </c>
      <c r="C2462" t="str">
        <f>IF(ROW(C2462)&lt;=Raw_hydro_bm!$J$2,Raw_hydro_bm!D2462,"")</f>
        <v/>
      </c>
      <c r="D2462" t="str">
        <f>IF(ROW(D2462)&lt;=Raw_hydro_bm!$J$2,Raw_hydro_bm!E2462,"")</f>
        <v/>
      </c>
      <c r="E2462" t="str">
        <f>IF(ROW(E2462)&lt;=Raw_hydro_bm!$J$2,Raw_hydro_bm!F2462,"")</f>
        <v/>
      </c>
      <c r="F2462" t="str">
        <f>IF(ROW(F2462)&lt;=Raw_hydro_bm!$J$2,Raw_hydro_bm!G2462,"")</f>
        <v/>
      </c>
      <c r="G2462" t="str">
        <f>IF(ROW(G2462)&lt;=Raw_hydro_bm!$J$2,Raw_hydro_bm!H2462,"")</f>
        <v/>
      </c>
      <c r="H2462" t="str">
        <f>IF(ROW(H2462)&lt;=Raw_hydro_bm!$J$2,Raw_hydro_bm!I2462,"")</f>
        <v/>
      </c>
      <c r="I2462" s="16" t="str">
        <f t="shared" si="38"/>
        <v/>
      </c>
    </row>
    <row r="2463" spans="1:9" x14ac:dyDescent="0.2">
      <c r="A2463" t="str">
        <f>IF(ROW(A2463)&lt;=Raw_hydro_bm!$J$2,Raw_hydro_bm!B2463,"")</f>
        <v/>
      </c>
      <c r="B2463" t="str">
        <f>IF(ROW(B2463)&lt;=Raw_hydro_bm!$J$2,Raw_hydro_bm!C2463,"")</f>
        <v/>
      </c>
      <c r="C2463" t="str">
        <f>IF(ROW(C2463)&lt;=Raw_hydro_bm!$J$2,Raw_hydro_bm!D2463,"")</f>
        <v/>
      </c>
      <c r="D2463" t="str">
        <f>IF(ROW(D2463)&lt;=Raw_hydro_bm!$J$2,Raw_hydro_bm!E2463,"")</f>
        <v/>
      </c>
      <c r="E2463" t="str">
        <f>IF(ROW(E2463)&lt;=Raw_hydro_bm!$J$2,Raw_hydro_bm!F2463,"")</f>
        <v/>
      </c>
      <c r="F2463" t="str">
        <f>IF(ROW(F2463)&lt;=Raw_hydro_bm!$J$2,Raw_hydro_bm!G2463,"")</f>
        <v/>
      </c>
      <c r="G2463" t="str">
        <f>IF(ROW(G2463)&lt;=Raw_hydro_bm!$J$2,Raw_hydro_bm!H2463,"")</f>
        <v/>
      </c>
      <c r="H2463" t="str">
        <f>IF(ROW(H2463)&lt;=Raw_hydro_bm!$J$2,Raw_hydro_bm!I2463,"")</f>
        <v/>
      </c>
      <c r="I2463" s="16" t="str">
        <f t="shared" si="38"/>
        <v/>
      </c>
    </row>
    <row r="2464" spans="1:9" x14ac:dyDescent="0.2">
      <c r="A2464" t="str">
        <f>IF(ROW(A2464)&lt;=Raw_hydro_bm!$J$2,Raw_hydro_bm!B2464,"")</f>
        <v/>
      </c>
      <c r="B2464" t="str">
        <f>IF(ROW(B2464)&lt;=Raw_hydro_bm!$J$2,Raw_hydro_bm!C2464,"")</f>
        <v/>
      </c>
      <c r="C2464" t="str">
        <f>IF(ROW(C2464)&lt;=Raw_hydro_bm!$J$2,Raw_hydro_bm!D2464,"")</f>
        <v/>
      </c>
      <c r="D2464" t="str">
        <f>IF(ROW(D2464)&lt;=Raw_hydro_bm!$J$2,Raw_hydro_bm!E2464,"")</f>
        <v/>
      </c>
      <c r="E2464" t="str">
        <f>IF(ROW(E2464)&lt;=Raw_hydro_bm!$J$2,Raw_hydro_bm!F2464,"")</f>
        <v/>
      </c>
      <c r="F2464" t="str">
        <f>IF(ROW(F2464)&lt;=Raw_hydro_bm!$J$2,Raw_hydro_bm!G2464,"")</f>
        <v/>
      </c>
      <c r="G2464" t="str">
        <f>IF(ROW(G2464)&lt;=Raw_hydro_bm!$J$2,Raw_hydro_bm!H2464,"")</f>
        <v/>
      </c>
      <c r="H2464" t="str">
        <f>IF(ROW(H2464)&lt;=Raw_hydro_bm!$J$2,Raw_hydro_bm!I2464,"")</f>
        <v/>
      </c>
      <c r="I2464" s="16" t="str">
        <f t="shared" si="38"/>
        <v/>
      </c>
    </row>
    <row r="2465" spans="1:9" x14ac:dyDescent="0.2">
      <c r="A2465" t="str">
        <f>IF(ROW(A2465)&lt;=Raw_hydro_bm!$J$2,Raw_hydro_bm!B2465,"")</f>
        <v/>
      </c>
      <c r="B2465" t="str">
        <f>IF(ROW(B2465)&lt;=Raw_hydro_bm!$J$2,Raw_hydro_bm!C2465,"")</f>
        <v/>
      </c>
      <c r="C2465" t="str">
        <f>IF(ROW(C2465)&lt;=Raw_hydro_bm!$J$2,Raw_hydro_bm!D2465,"")</f>
        <v/>
      </c>
      <c r="D2465" t="str">
        <f>IF(ROW(D2465)&lt;=Raw_hydro_bm!$J$2,Raw_hydro_bm!E2465,"")</f>
        <v/>
      </c>
      <c r="E2465" t="str">
        <f>IF(ROW(E2465)&lt;=Raw_hydro_bm!$J$2,Raw_hydro_bm!F2465,"")</f>
        <v/>
      </c>
      <c r="F2465" t="str">
        <f>IF(ROW(F2465)&lt;=Raw_hydro_bm!$J$2,Raw_hydro_bm!G2465,"")</f>
        <v/>
      </c>
      <c r="G2465" t="str">
        <f>IF(ROW(G2465)&lt;=Raw_hydro_bm!$J$2,Raw_hydro_bm!H2465,"")</f>
        <v/>
      </c>
      <c r="H2465" t="str">
        <f>IF(ROW(H2465)&lt;=Raw_hydro_bm!$J$2,Raw_hydro_bm!I2465,"")</f>
        <v/>
      </c>
      <c r="I2465" s="16" t="str">
        <f t="shared" si="38"/>
        <v/>
      </c>
    </row>
    <row r="2466" spans="1:9" x14ac:dyDescent="0.2">
      <c r="A2466" t="str">
        <f>IF(ROW(A2466)&lt;=Raw_hydro_bm!$J$2,Raw_hydro_bm!B2466,"")</f>
        <v/>
      </c>
      <c r="B2466" t="str">
        <f>IF(ROW(B2466)&lt;=Raw_hydro_bm!$J$2,Raw_hydro_bm!C2466,"")</f>
        <v/>
      </c>
      <c r="C2466" t="str">
        <f>IF(ROW(C2466)&lt;=Raw_hydro_bm!$J$2,Raw_hydro_bm!D2466,"")</f>
        <v/>
      </c>
      <c r="D2466" t="str">
        <f>IF(ROW(D2466)&lt;=Raw_hydro_bm!$J$2,Raw_hydro_bm!E2466,"")</f>
        <v/>
      </c>
      <c r="E2466" t="str">
        <f>IF(ROW(E2466)&lt;=Raw_hydro_bm!$J$2,Raw_hydro_bm!F2466,"")</f>
        <v/>
      </c>
      <c r="F2466" t="str">
        <f>IF(ROW(F2466)&lt;=Raw_hydro_bm!$J$2,Raw_hydro_bm!G2466,"")</f>
        <v/>
      </c>
      <c r="G2466" t="str">
        <f>IF(ROW(G2466)&lt;=Raw_hydro_bm!$J$2,Raw_hydro_bm!H2466,"")</f>
        <v/>
      </c>
      <c r="H2466" t="str">
        <f>IF(ROW(H2466)&lt;=Raw_hydro_bm!$J$2,Raw_hydro_bm!I2466,"")</f>
        <v/>
      </c>
      <c r="I2466" s="16" t="str">
        <f t="shared" si="38"/>
        <v/>
      </c>
    </row>
    <row r="2467" spans="1:9" x14ac:dyDescent="0.2">
      <c r="A2467" t="str">
        <f>IF(ROW(A2467)&lt;=Raw_hydro_bm!$J$2,Raw_hydro_bm!B2467,"")</f>
        <v/>
      </c>
      <c r="B2467" t="str">
        <f>IF(ROW(B2467)&lt;=Raw_hydro_bm!$J$2,Raw_hydro_bm!C2467,"")</f>
        <v/>
      </c>
      <c r="C2467" t="str">
        <f>IF(ROW(C2467)&lt;=Raw_hydro_bm!$J$2,Raw_hydro_bm!D2467,"")</f>
        <v/>
      </c>
      <c r="D2467" t="str">
        <f>IF(ROW(D2467)&lt;=Raw_hydro_bm!$J$2,Raw_hydro_bm!E2467,"")</f>
        <v/>
      </c>
      <c r="E2467" t="str">
        <f>IF(ROW(E2467)&lt;=Raw_hydro_bm!$J$2,Raw_hydro_bm!F2467,"")</f>
        <v/>
      </c>
      <c r="F2467" t="str">
        <f>IF(ROW(F2467)&lt;=Raw_hydro_bm!$J$2,Raw_hydro_bm!G2467,"")</f>
        <v/>
      </c>
      <c r="G2467" t="str">
        <f>IF(ROW(G2467)&lt;=Raw_hydro_bm!$J$2,Raw_hydro_bm!H2467,"")</f>
        <v/>
      </c>
      <c r="H2467" t="str">
        <f>IF(ROW(H2467)&lt;=Raw_hydro_bm!$J$2,Raw_hydro_bm!I2467,"")</f>
        <v/>
      </c>
      <c r="I2467" s="16" t="str">
        <f t="shared" si="38"/>
        <v/>
      </c>
    </row>
    <row r="2468" spans="1:9" x14ac:dyDescent="0.2">
      <c r="A2468" t="str">
        <f>IF(ROW(A2468)&lt;=Raw_hydro_bm!$J$2,Raw_hydro_bm!B2468,"")</f>
        <v/>
      </c>
      <c r="B2468" t="str">
        <f>IF(ROW(B2468)&lt;=Raw_hydro_bm!$J$2,Raw_hydro_bm!C2468,"")</f>
        <v/>
      </c>
      <c r="C2468" t="str">
        <f>IF(ROW(C2468)&lt;=Raw_hydro_bm!$J$2,Raw_hydro_bm!D2468,"")</f>
        <v/>
      </c>
      <c r="D2468" t="str">
        <f>IF(ROW(D2468)&lt;=Raw_hydro_bm!$J$2,Raw_hydro_bm!E2468,"")</f>
        <v/>
      </c>
      <c r="E2468" t="str">
        <f>IF(ROW(E2468)&lt;=Raw_hydro_bm!$J$2,Raw_hydro_bm!F2468,"")</f>
        <v/>
      </c>
      <c r="F2468" t="str">
        <f>IF(ROW(F2468)&lt;=Raw_hydro_bm!$J$2,Raw_hydro_bm!G2468,"")</f>
        <v/>
      </c>
      <c r="G2468" t="str">
        <f>IF(ROW(G2468)&lt;=Raw_hydro_bm!$J$2,Raw_hydro_bm!H2468,"")</f>
        <v/>
      </c>
      <c r="H2468" t="str">
        <f>IF(ROW(H2468)&lt;=Raw_hydro_bm!$J$2,Raw_hydro_bm!I2468,"")</f>
        <v/>
      </c>
      <c r="I2468" s="16" t="str">
        <f t="shared" si="38"/>
        <v/>
      </c>
    </row>
    <row r="2469" spans="1:9" x14ac:dyDescent="0.2">
      <c r="A2469" t="str">
        <f>IF(ROW(A2469)&lt;=Raw_hydro_bm!$J$2,Raw_hydro_bm!B2469,"")</f>
        <v/>
      </c>
      <c r="B2469" t="str">
        <f>IF(ROW(B2469)&lt;=Raw_hydro_bm!$J$2,Raw_hydro_bm!C2469,"")</f>
        <v/>
      </c>
      <c r="C2469" t="str">
        <f>IF(ROW(C2469)&lt;=Raw_hydro_bm!$J$2,Raw_hydro_bm!D2469,"")</f>
        <v/>
      </c>
      <c r="D2469" t="str">
        <f>IF(ROW(D2469)&lt;=Raw_hydro_bm!$J$2,Raw_hydro_bm!E2469,"")</f>
        <v/>
      </c>
      <c r="E2469" t="str">
        <f>IF(ROW(E2469)&lt;=Raw_hydro_bm!$J$2,Raw_hydro_bm!F2469,"")</f>
        <v/>
      </c>
      <c r="F2469" t="str">
        <f>IF(ROW(F2469)&lt;=Raw_hydro_bm!$J$2,Raw_hydro_bm!G2469,"")</f>
        <v/>
      </c>
      <c r="G2469" t="str">
        <f>IF(ROW(G2469)&lt;=Raw_hydro_bm!$J$2,Raw_hydro_bm!H2469,"")</f>
        <v/>
      </c>
      <c r="H2469" t="str">
        <f>IF(ROW(H2469)&lt;=Raw_hydro_bm!$J$2,Raw_hydro_bm!I2469,"")</f>
        <v/>
      </c>
      <c r="I2469" s="16" t="str">
        <f t="shared" si="38"/>
        <v/>
      </c>
    </row>
    <row r="2470" spans="1:9" x14ac:dyDescent="0.2">
      <c r="A2470" t="str">
        <f>IF(ROW(A2470)&lt;=Raw_hydro_bm!$J$2,Raw_hydro_bm!B2470,"")</f>
        <v/>
      </c>
      <c r="B2470" t="str">
        <f>IF(ROW(B2470)&lt;=Raw_hydro_bm!$J$2,Raw_hydro_bm!C2470,"")</f>
        <v/>
      </c>
      <c r="C2470" t="str">
        <f>IF(ROW(C2470)&lt;=Raw_hydro_bm!$J$2,Raw_hydro_bm!D2470,"")</f>
        <v/>
      </c>
      <c r="D2470" t="str">
        <f>IF(ROW(D2470)&lt;=Raw_hydro_bm!$J$2,Raw_hydro_bm!E2470,"")</f>
        <v/>
      </c>
      <c r="E2470" t="str">
        <f>IF(ROW(E2470)&lt;=Raw_hydro_bm!$J$2,Raw_hydro_bm!F2470,"")</f>
        <v/>
      </c>
      <c r="F2470" t="str">
        <f>IF(ROW(F2470)&lt;=Raw_hydro_bm!$J$2,Raw_hydro_bm!G2470,"")</f>
        <v/>
      </c>
      <c r="G2470" t="str">
        <f>IF(ROW(G2470)&lt;=Raw_hydro_bm!$J$2,Raw_hydro_bm!H2470,"")</f>
        <v/>
      </c>
      <c r="H2470" t="str">
        <f>IF(ROW(H2470)&lt;=Raw_hydro_bm!$J$2,Raw_hydro_bm!I2470,"")</f>
        <v/>
      </c>
      <c r="I2470" s="16" t="str">
        <f t="shared" si="38"/>
        <v/>
      </c>
    </row>
    <row r="2471" spans="1:9" x14ac:dyDescent="0.2">
      <c r="A2471" t="str">
        <f>IF(ROW(A2471)&lt;=Raw_hydro_bm!$J$2,Raw_hydro_bm!B2471,"")</f>
        <v/>
      </c>
      <c r="B2471" t="str">
        <f>IF(ROW(B2471)&lt;=Raw_hydro_bm!$J$2,Raw_hydro_bm!C2471,"")</f>
        <v/>
      </c>
      <c r="C2471" t="str">
        <f>IF(ROW(C2471)&lt;=Raw_hydro_bm!$J$2,Raw_hydro_bm!D2471,"")</f>
        <v/>
      </c>
      <c r="D2471" t="str">
        <f>IF(ROW(D2471)&lt;=Raw_hydro_bm!$J$2,Raw_hydro_bm!E2471,"")</f>
        <v/>
      </c>
      <c r="E2471" t="str">
        <f>IF(ROW(E2471)&lt;=Raw_hydro_bm!$J$2,Raw_hydro_bm!F2471,"")</f>
        <v/>
      </c>
      <c r="F2471" t="str">
        <f>IF(ROW(F2471)&lt;=Raw_hydro_bm!$J$2,Raw_hydro_bm!G2471,"")</f>
        <v/>
      </c>
      <c r="G2471" t="str">
        <f>IF(ROW(G2471)&lt;=Raw_hydro_bm!$J$2,Raw_hydro_bm!H2471,"")</f>
        <v/>
      </c>
      <c r="H2471" t="str">
        <f>IF(ROW(H2471)&lt;=Raw_hydro_bm!$J$2,Raw_hydro_bm!I2471,"")</f>
        <v/>
      </c>
      <c r="I2471" s="16" t="str">
        <f t="shared" si="38"/>
        <v/>
      </c>
    </row>
    <row r="2472" spans="1:9" x14ac:dyDescent="0.2">
      <c r="A2472" t="str">
        <f>IF(ROW(A2472)&lt;=Raw_hydro_bm!$J$2,Raw_hydro_bm!B2472,"")</f>
        <v/>
      </c>
      <c r="B2472" t="str">
        <f>IF(ROW(B2472)&lt;=Raw_hydro_bm!$J$2,Raw_hydro_bm!C2472,"")</f>
        <v/>
      </c>
      <c r="C2472" t="str">
        <f>IF(ROW(C2472)&lt;=Raw_hydro_bm!$J$2,Raw_hydro_bm!D2472,"")</f>
        <v/>
      </c>
      <c r="D2472" t="str">
        <f>IF(ROW(D2472)&lt;=Raw_hydro_bm!$J$2,Raw_hydro_bm!E2472,"")</f>
        <v/>
      </c>
      <c r="E2472" t="str">
        <f>IF(ROW(E2472)&lt;=Raw_hydro_bm!$J$2,Raw_hydro_bm!F2472,"")</f>
        <v/>
      </c>
      <c r="F2472" t="str">
        <f>IF(ROW(F2472)&lt;=Raw_hydro_bm!$J$2,Raw_hydro_bm!G2472,"")</f>
        <v/>
      </c>
      <c r="G2472" t="str">
        <f>IF(ROW(G2472)&lt;=Raw_hydro_bm!$J$2,Raw_hydro_bm!H2472,"")</f>
        <v/>
      </c>
      <c r="H2472" t="str">
        <f>IF(ROW(H2472)&lt;=Raw_hydro_bm!$J$2,Raw_hydro_bm!I2472,"")</f>
        <v/>
      </c>
      <c r="I2472" s="16" t="str">
        <f t="shared" si="38"/>
        <v/>
      </c>
    </row>
    <row r="2473" spans="1:9" x14ac:dyDescent="0.2">
      <c r="A2473" t="str">
        <f>IF(ROW(A2473)&lt;=Raw_hydro_bm!$J$2,Raw_hydro_bm!B2473,"")</f>
        <v/>
      </c>
      <c r="B2473" t="str">
        <f>IF(ROW(B2473)&lt;=Raw_hydro_bm!$J$2,Raw_hydro_bm!C2473,"")</f>
        <v/>
      </c>
      <c r="C2473" t="str">
        <f>IF(ROW(C2473)&lt;=Raw_hydro_bm!$J$2,Raw_hydro_bm!D2473,"")</f>
        <v/>
      </c>
      <c r="D2473" t="str">
        <f>IF(ROW(D2473)&lt;=Raw_hydro_bm!$J$2,Raw_hydro_bm!E2473,"")</f>
        <v/>
      </c>
      <c r="E2473" t="str">
        <f>IF(ROW(E2473)&lt;=Raw_hydro_bm!$J$2,Raw_hydro_bm!F2473,"")</f>
        <v/>
      </c>
      <c r="F2473" t="str">
        <f>IF(ROW(F2473)&lt;=Raw_hydro_bm!$J$2,Raw_hydro_bm!G2473,"")</f>
        <v/>
      </c>
      <c r="G2473" t="str">
        <f>IF(ROW(G2473)&lt;=Raw_hydro_bm!$J$2,Raw_hydro_bm!H2473,"")</f>
        <v/>
      </c>
      <c r="H2473" t="str">
        <f>IF(ROW(H2473)&lt;=Raw_hydro_bm!$J$2,Raw_hydro_bm!I2473,"")</f>
        <v/>
      </c>
      <c r="I2473" s="16" t="str">
        <f t="shared" si="38"/>
        <v/>
      </c>
    </row>
    <row r="2474" spans="1:9" x14ac:dyDescent="0.2">
      <c r="A2474" t="str">
        <f>IF(ROW(A2474)&lt;=Raw_hydro_bm!$J$2,Raw_hydro_bm!B2474,"")</f>
        <v/>
      </c>
      <c r="B2474" t="str">
        <f>IF(ROW(B2474)&lt;=Raw_hydro_bm!$J$2,Raw_hydro_bm!C2474,"")</f>
        <v/>
      </c>
      <c r="C2474" t="str">
        <f>IF(ROW(C2474)&lt;=Raw_hydro_bm!$J$2,Raw_hydro_bm!D2474,"")</f>
        <v/>
      </c>
      <c r="D2474" t="str">
        <f>IF(ROW(D2474)&lt;=Raw_hydro_bm!$J$2,Raw_hydro_bm!E2474,"")</f>
        <v/>
      </c>
      <c r="E2474" t="str">
        <f>IF(ROW(E2474)&lt;=Raw_hydro_bm!$J$2,Raw_hydro_bm!F2474,"")</f>
        <v/>
      </c>
      <c r="F2474" t="str">
        <f>IF(ROW(F2474)&lt;=Raw_hydro_bm!$J$2,Raw_hydro_bm!G2474,"")</f>
        <v/>
      </c>
      <c r="G2474" t="str">
        <f>IF(ROW(G2474)&lt;=Raw_hydro_bm!$J$2,Raw_hydro_bm!H2474,"")</f>
        <v/>
      </c>
      <c r="H2474" t="str">
        <f>IF(ROW(H2474)&lt;=Raw_hydro_bm!$J$2,Raw_hydro_bm!I2474,"")</f>
        <v/>
      </c>
      <c r="I2474" s="16" t="str">
        <f t="shared" si="38"/>
        <v/>
      </c>
    </row>
    <row r="2475" spans="1:9" x14ac:dyDescent="0.2">
      <c r="A2475" t="str">
        <f>IF(ROW(A2475)&lt;=Raw_hydro_bm!$J$2,Raw_hydro_bm!B2475,"")</f>
        <v/>
      </c>
      <c r="B2475" t="str">
        <f>IF(ROW(B2475)&lt;=Raw_hydro_bm!$J$2,Raw_hydro_bm!C2475,"")</f>
        <v/>
      </c>
      <c r="C2475" t="str">
        <f>IF(ROW(C2475)&lt;=Raw_hydro_bm!$J$2,Raw_hydro_bm!D2475,"")</f>
        <v/>
      </c>
      <c r="D2475" t="str">
        <f>IF(ROW(D2475)&lt;=Raw_hydro_bm!$J$2,Raw_hydro_bm!E2475,"")</f>
        <v/>
      </c>
      <c r="E2475" t="str">
        <f>IF(ROW(E2475)&lt;=Raw_hydro_bm!$J$2,Raw_hydro_bm!F2475,"")</f>
        <v/>
      </c>
      <c r="F2475" t="str">
        <f>IF(ROW(F2475)&lt;=Raw_hydro_bm!$J$2,Raw_hydro_bm!G2475,"")</f>
        <v/>
      </c>
      <c r="G2475" t="str">
        <f>IF(ROW(G2475)&lt;=Raw_hydro_bm!$J$2,Raw_hydro_bm!H2475,"")</f>
        <v/>
      </c>
      <c r="H2475" t="str">
        <f>IF(ROW(H2475)&lt;=Raw_hydro_bm!$J$2,Raw_hydro_bm!I2475,"")</f>
        <v/>
      </c>
      <c r="I2475" s="16" t="str">
        <f t="shared" si="38"/>
        <v/>
      </c>
    </row>
    <row r="2476" spans="1:9" x14ac:dyDescent="0.2">
      <c r="A2476" t="str">
        <f>IF(ROW(A2476)&lt;=Raw_hydro_bm!$J$2,Raw_hydro_bm!B2476,"")</f>
        <v/>
      </c>
      <c r="B2476" t="str">
        <f>IF(ROW(B2476)&lt;=Raw_hydro_bm!$J$2,Raw_hydro_bm!C2476,"")</f>
        <v/>
      </c>
      <c r="C2476" t="str">
        <f>IF(ROW(C2476)&lt;=Raw_hydro_bm!$J$2,Raw_hydro_bm!D2476,"")</f>
        <v/>
      </c>
      <c r="D2476" t="str">
        <f>IF(ROW(D2476)&lt;=Raw_hydro_bm!$J$2,Raw_hydro_bm!E2476,"")</f>
        <v/>
      </c>
      <c r="E2476" t="str">
        <f>IF(ROW(E2476)&lt;=Raw_hydro_bm!$J$2,Raw_hydro_bm!F2476,"")</f>
        <v/>
      </c>
      <c r="F2476" t="str">
        <f>IF(ROW(F2476)&lt;=Raw_hydro_bm!$J$2,Raw_hydro_bm!G2476,"")</f>
        <v/>
      </c>
      <c r="G2476" t="str">
        <f>IF(ROW(G2476)&lt;=Raw_hydro_bm!$J$2,Raw_hydro_bm!H2476,"")</f>
        <v/>
      </c>
      <c r="H2476" t="str">
        <f>IF(ROW(H2476)&lt;=Raw_hydro_bm!$J$2,Raw_hydro_bm!I2476,"")</f>
        <v/>
      </c>
      <c r="I2476" s="16" t="str">
        <f t="shared" si="38"/>
        <v/>
      </c>
    </row>
    <row r="2477" spans="1:9" x14ac:dyDescent="0.2">
      <c r="A2477" t="str">
        <f>IF(ROW(A2477)&lt;=Raw_hydro_bm!$J$2,Raw_hydro_bm!B2477,"")</f>
        <v/>
      </c>
      <c r="B2477" t="str">
        <f>IF(ROW(B2477)&lt;=Raw_hydro_bm!$J$2,Raw_hydro_bm!C2477,"")</f>
        <v/>
      </c>
      <c r="C2477" t="str">
        <f>IF(ROW(C2477)&lt;=Raw_hydro_bm!$J$2,Raw_hydro_bm!D2477,"")</f>
        <v/>
      </c>
      <c r="D2477" t="str">
        <f>IF(ROW(D2477)&lt;=Raw_hydro_bm!$J$2,Raw_hydro_bm!E2477,"")</f>
        <v/>
      </c>
      <c r="E2477" t="str">
        <f>IF(ROW(E2477)&lt;=Raw_hydro_bm!$J$2,Raw_hydro_bm!F2477,"")</f>
        <v/>
      </c>
      <c r="F2477" t="str">
        <f>IF(ROW(F2477)&lt;=Raw_hydro_bm!$J$2,Raw_hydro_bm!G2477,"")</f>
        <v/>
      </c>
      <c r="G2477" t="str">
        <f>IF(ROW(G2477)&lt;=Raw_hydro_bm!$J$2,Raw_hydro_bm!H2477,"")</f>
        <v/>
      </c>
      <c r="H2477" t="str">
        <f>IF(ROW(H2477)&lt;=Raw_hydro_bm!$J$2,Raw_hydro_bm!I2477,"")</f>
        <v/>
      </c>
      <c r="I2477" s="16" t="str">
        <f t="shared" si="38"/>
        <v/>
      </c>
    </row>
    <row r="2478" spans="1:9" x14ac:dyDescent="0.2">
      <c r="A2478" t="str">
        <f>IF(ROW(A2478)&lt;=Raw_hydro_bm!$J$2,Raw_hydro_bm!B2478,"")</f>
        <v/>
      </c>
      <c r="B2478" t="str">
        <f>IF(ROW(B2478)&lt;=Raw_hydro_bm!$J$2,Raw_hydro_bm!C2478,"")</f>
        <v/>
      </c>
      <c r="C2478" t="str">
        <f>IF(ROW(C2478)&lt;=Raw_hydro_bm!$J$2,Raw_hydro_bm!D2478,"")</f>
        <v/>
      </c>
      <c r="D2478" t="str">
        <f>IF(ROW(D2478)&lt;=Raw_hydro_bm!$J$2,Raw_hydro_bm!E2478,"")</f>
        <v/>
      </c>
      <c r="E2478" t="str">
        <f>IF(ROW(E2478)&lt;=Raw_hydro_bm!$J$2,Raw_hydro_bm!F2478,"")</f>
        <v/>
      </c>
      <c r="F2478" t="str">
        <f>IF(ROW(F2478)&lt;=Raw_hydro_bm!$J$2,Raw_hydro_bm!G2478,"")</f>
        <v/>
      </c>
      <c r="G2478" t="str">
        <f>IF(ROW(G2478)&lt;=Raw_hydro_bm!$J$2,Raw_hydro_bm!H2478,"")</f>
        <v/>
      </c>
      <c r="H2478" t="str">
        <f>IF(ROW(H2478)&lt;=Raw_hydro_bm!$J$2,Raw_hydro_bm!I2478,"")</f>
        <v/>
      </c>
      <c r="I2478" s="16" t="str">
        <f t="shared" si="38"/>
        <v/>
      </c>
    </row>
    <row r="2479" spans="1:9" x14ac:dyDescent="0.2">
      <c r="A2479" t="str">
        <f>IF(ROW(A2479)&lt;=Raw_hydro_bm!$J$2,Raw_hydro_bm!B2479,"")</f>
        <v/>
      </c>
      <c r="B2479" t="str">
        <f>IF(ROW(B2479)&lt;=Raw_hydro_bm!$J$2,Raw_hydro_bm!C2479,"")</f>
        <v/>
      </c>
      <c r="C2479" t="str">
        <f>IF(ROW(C2479)&lt;=Raw_hydro_bm!$J$2,Raw_hydro_bm!D2479,"")</f>
        <v/>
      </c>
      <c r="D2479" t="str">
        <f>IF(ROW(D2479)&lt;=Raw_hydro_bm!$J$2,Raw_hydro_bm!E2479,"")</f>
        <v/>
      </c>
      <c r="E2479" t="str">
        <f>IF(ROW(E2479)&lt;=Raw_hydro_bm!$J$2,Raw_hydro_bm!F2479,"")</f>
        <v/>
      </c>
      <c r="F2479" t="str">
        <f>IF(ROW(F2479)&lt;=Raw_hydro_bm!$J$2,Raw_hydro_bm!G2479,"")</f>
        <v/>
      </c>
      <c r="G2479" t="str">
        <f>IF(ROW(G2479)&lt;=Raw_hydro_bm!$J$2,Raw_hydro_bm!H2479,"")</f>
        <v/>
      </c>
      <c r="H2479" t="str">
        <f>IF(ROW(H2479)&lt;=Raw_hydro_bm!$J$2,Raw_hydro_bm!I2479,"")</f>
        <v/>
      </c>
      <c r="I2479" s="16" t="str">
        <f t="shared" si="38"/>
        <v/>
      </c>
    </row>
    <row r="2480" spans="1:9" x14ac:dyDescent="0.2">
      <c r="A2480" t="str">
        <f>IF(ROW(A2480)&lt;=Raw_hydro_bm!$J$2,Raw_hydro_bm!B2480,"")</f>
        <v/>
      </c>
      <c r="B2480" t="str">
        <f>IF(ROW(B2480)&lt;=Raw_hydro_bm!$J$2,Raw_hydro_bm!C2480,"")</f>
        <v/>
      </c>
      <c r="C2480" t="str">
        <f>IF(ROW(C2480)&lt;=Raw_hydro_bm!$J$2,Raw_hydro_bm!D2480,"")</f>
        <v/>
      </c>
      <c r="D2480" t="str">
        <f>IF(ROW(D2480)&lt;=Raw_hydro_bm!$J$2,Raw_hydro_bm!E2480,"")</f>
        <v/>
      </c>
      <c r="E2480" t="str">
        <f>IF(ROW(E2480)&lt;=Raw_hydro_bm!$J$2,Raw_hydro_bm!F2480,"")</f>
        <v/>
      </c>
      <c r="F2480" t="str">
        <f>IF(ROW(F2480)&lt;=Raw_hydro_bm!$J$2,Raw_hydro_bm!G2480,"")</f>
        <v/>
      </c>
      <c r="G2480" t="str">
        <f>IF(ROW(G2480)&lt;=Raw_hydro_bm!$J$2,Raw_hydro_bm!H2480,"")</f>
        <v/>
      </c>
      <c r="H2480" t="str">
        <f>IF(ROW(H2480)&lt;=Raw_hydro_bm!$J$2,Raw_hydro_bm!I2480,"")</f>
        <v/>
      </c>
      <c r="I2480" s="16" t="str">
        <f t="shared" si="38"/>
        <v/>
      </c>
    </row>
    <row r="2481" spans="1:9" x14ac:dyDescent="0.2">
      <c r="A2481" t="str">
        <f>IF(ROW(A2481)&lt;=Raw_hydro_bm!$J$2,Raw_hydro_bm!B2481,"")</f>
        <v/>
      </c>
      <c r="B2481" t="str">
        <f>IF(ROW(B2481)&lt;=Raw_hydro_bm!$J$2,Raw_hydro_bm!C2481,"")</f>
        <v/>
      </c>
      <c r="C2481" t="str">
        <f>IF(ROW(C2481)&lt;=Raw_hydro_bm!$J$2,Raw_hydro_bm!D2481,"")</f>
        <v/>
      </c>
      <c r="D2481" t="str">
        <f>IF(ROW(D2481)&lt;=Raw_hydro_bm!$J$2,Raw_hydro_bm!E2481,"")</f>
        <v/>
      </c>
      <c r="E2481" t="str">
        <f>IF(ROW(E2481)&lt;=Raw_hydro_bm!$J$2,Raw_hydro_bm!F2481,"")</f>
        <v/>
      </c>
      <c r="F2481" t="str">
        <f>IF(ROW(F2481)&lt;=Raw_hydro_bm!$J$2,Raw_hydro_bm!G2481,"")</f>
        <v/>
      </c>
      <c r="G2481" t="str">
        <f>IF(ROW(G2481)&lt;=Raw_hydro_bm!$J$2,Raw_hydro_bm!H2481,"")</f>
        <v/>
      </c>
      <c r="H2481" t="str">
        <f>IF(ROW(H2481)&lt;=Raw_hydro_bm!$J$2,Raw_hydro_bm!I2481,"")</f>
        <v/>
      </c>
      <c r="I2481" s="16" t="str">
        <f t="shared" si="38"/>
        <v/>
      </c>
    </row>
    <row r="2482" spans="1:9" x14ac:dyDescent="0.2">
      <c r="A2482" t="str">
        <f>IF(ROW(A2482)&lt;=Raw_hydro_bm!$J$2,Raw_hydro_bm!B2482,"")</f>
        <v/>
      </c>
      <c r="B2482" t="str">
        <f>IF(ROW(B2482)&lt;=Raw_hydro_bm!$J$2,Raw_hydro_bm!C2482,"")</f>
        <v/>
      </c>
      <c r="C2482" t="str">
        <f>IF(ROW(C2482)&lt;=Raw_hydro_bm!$J$2,Raw_hydro_bm!D2482,"")</f>
        <v/>
      </c>
      <c r="D2482" t="str">
        <f>IF(ROW(D2482)&lt;=Raw_hydro_bm!$J$2,Raw_hydro_bm!E2482,"")</f>
        <v/>
      </c>
      <c r="E2482" t="str">
        <f>IF(ROW(E2482)&lt;=Raw_hydro_bm!$J$2,Raw_hydro_bm!F2482,"")</f>
        <v/>
      </c>
      <c r="F2482" t="str">
        <f>IF(ROW(F2482)&lt;=Raw_hydro_bm!$J$2,Raw_hydro_bm!G2482,"")</f>
        <v/>
      </c>
      <c r="G2482" t="str">
        <f>IF(ROW(G2482)&lt;=Raw_hydro_bm!$J$2,Raw_hydro_bm!H2482,"")</f>
        <v/>
      </c>
      <c r="H2482" t="str">
        <f>IF(ROW(H2482)&lt;=Raw_hydro_bm!$J$2,Raw_hydro_bm!I2482,"")</f>
        <v/>
      </c>
      <c r="I2482" s="16" t="str">
        <f t="shared" si="38"/>
        <v/>
      </c>
    </row>
    <row r="2483" spans="1:9" x14ac:dyDescent="0.2">
      <c r="A2483" t="str">
        <f>IF(ROW(A2483)&lt;=Raw_hydro_bm!$J$2,Raw_hydro_bm!B2483,"")</f>
        <v/>
      </c>
      <c r="B2483" t="str">
        <f>IF(ROW(B2483)&lt;=Raw_hydro_bm!$J$2,Raw_hydro_bm!C2483,"")</f>
        <v/>
      </c>
      <c r="C2483" t="str">
        <f>IF(ROW(C2483)&lt;=Raw_hydro_bm!$J$2,Raw_hydro_bm!D2483,"")</f>
        <v/>
      </c>
      <c r="D2483" t="str">
        <f>IF(ROW(D2483)&lt;=Raw_hydro_bm!$J$2,Raw_hydro_bm!E2483,"")</f>
        <v/>
      </c>
      <c r="E2483" t="str">
        <f>IF(ROW(E2483)&lt;=Raw_hydro_bm!$J$2,Raw_hydro_bm!F2483,"")</f>
        <v/>
      </c>
      <c r="F2483" t="str">
        <f>IF(ROW(F2483)&lt;=Raw_hydro_bm!$J$2,Raw_hydro_bm!G2483,"")</f>
        <v/>
      </c>
      <c r="G2483" t="str">
        <f>IF(ROW(G2483)&lt;=Raw_hydro_bm!$J$2,Raw_hydro_bm!H2483,"")</f>
        <v/>
      </c>
      <c r="H2483" t="str">
        <f>IF(ROW(H2483)&lt;=Raw_hydro_bm!$J$2,Raw_hydro_bm!I2483,"")</f>
        <v/>
      </c>
      <c r="I2483" s="16" t="str">
        <f t="shared" si="38"/>
        <v/>
      </c>
    </row>
    <row r="2484" spans="1:9" x14ac:dyDescent="0.2">
      <c r="A2484" t="str">
        <f>IF(ROW(A2484)&lt;=Raw_hydro_bm!$J$2,Raw_hydro_bm!B2484,"")</f>
        <v/>
      </c>
      <c r="B2484" t="str">
        <f>IF(ROW(B2484)&lt;=Raw_hydro_bm!$J$2,Raw_hydro_bm!C2484,"")</f>
        <v/>
      </c>
      <c r="C2484" t="str">
        <f>IF(ROW(C2484)&lt;=Raw_hydro_bm!$J$2,Raw_hydro_bm!D2484,"")</f>
        <v/>
      </c>
      <c r="D2484" t="str">
        <f>IF(ROW(D2484)&lt;=Raw_hydro_bm!$J$2,Raw_hydro_bm!E2484,"")</f>
        <v/>
      </c>
      <c r="E2484" t="str">
        <f>IF(ROW(E2484)&lt;=Raw_hydro_bm!$J$2,Raw_hydro_bm!F2484,"")</f>
        <v/>
      </c>
      <c r="F2484" t="str">
        <f>IF(ROW(F2484)&lt;=Raw_hydro_bm!$J$2,Raw_hydro_bm!G2484,"")</f>
        <v/>
      </c>
      <c r="G2484" t="str">
        <f>IF(ROW(G2484)&lt;=Raw_hydro_bm!$J$2,Raw_hydro_bm!H2484,"")</f>
        <v/>
      </c>
      <c r="H2484" t="str">
        <f>IF(ROW(H2484)&lt;=Raw_hydro_bm!$J$2,Raw_hydro_bm!I2484,"")</f>
        <v/>
      </c>
      <c r="I2484" s="16" t="str">
        <f t="shared" si="38"/>
        <v/>
      </c>
    </row>
    <row r="2485" spans="1:9" x14ac:dyDescent="0.2">
      <c r="A2485" t="str">
        <f>IF(ROW(A2485)&lt;=Raw_hydro_bm!$J$2,Raw_hydro_bm!B2485,"")</f>
        <v/>
      </c>
      <c r="B2485" t="str">
        <f>IF(ROW(B2485)&lt;=Raw_hydro_bm!$J$2,Raw_hydro_bm!C2485,"")</f>
        <v/>
      </c>
      <c r="C2485" t="str">
        <f>IF(ROW(C2485)&lt;=Raw_hydro_bm!$J$2,Raw_hydro_bm!D2485,"")</f>
        <v/>
      </c>
      <c r="D2485" t="str">
        <f>IF(ROW(D2485)&lt;=Raw_hydro_bm!$J$2,Raw_hydro_bm!E2485,"")</f>
        <v/>
      </c>
      <c r="E2485" t="str">
        <f>IF(ROW(E2485)&lt;=Raw_hydro_bm!$J$2,Raw_hydro_bm!F2485,"")</f>
        <v/>
      </c>
      <c r="F2485" t="str">
        <f>IF(ROW(F2485)&lt;=Raw_hydro_bm!$J$2,Raw_hydro_bm!G2485,"")</f>
        <v/>
      </c>
      <c r="G2485" t="str">
        <f>IF(ROW(G2485)&lt;=Raw_hydro_bm!$J$2,Raw_hydro_bm!H2485,"")</f>
        <v/>
      </c>
      <c r="H2485" t="str">
        <f>IF(ROW(H2485)&lt;=Raw_hydro_bm!$J$2,Raw_hydro_bm!I2485,"")</f>
        <v/>
      </c>
      <c r="I2485" s="16" t="str">
        <f t="shared" si="38"/>
        <v/>
      </c>
    </row>
    <row r="2486" spans="1:9" x14ac:dyDescent="0.2">
      <c r="A2486" t="str">
        <f>IF(ROW(A2486)&lt;=Raw_hydro_bm!$J$2,Raw_hydro_bm!B2486,"")</f>
        <v/>
      </c>
      <c r="B2486" t="str">
        <f>IF(ROW(B2486)&lt;=Raw_hydro_bm!$J$2,Raw_hydro_bm!C2486,"")</f>
        <v/>
      </c>
      <c r="C2486" t="str">
        <f>IF(ROW(C2486)&lt;=Raw_hydro_bm!$J$2,Raw_hydro_bm!D2486,"")</f>
        <v/>
      </c>
      <c r="D2486" t="str">
        <f>IF(ROW(D2486)&lt;=Raw_hydro_bm!$J$2,Raw_hydro_bm!E2486,"")</f>
        <v/>
      </c>
      <c r="E2486" t="str">
        <f>IF(ROW(E2486)&lt;=Raw_hydro_bm!$J$2,Raw_hydro_bm!F2486,"")</f>
        <v/>
      </c>
      <c r="F2486" t="str">
        <f>IF(ROW(F2486)&lt;=Raw_hydro_bm!$J$2,Raw_hydro_bm!G2486,"")</f>
        <v/>
      </c>
      <c r="G2486" t="str">
        <f>IF(ROW(G2486)&lt;=Raw_hydro_bm!$J$2,Raw_hydro_bm!H2486,"")</f>
        <v/>
      </c>
      <c r="H2486" t="str">
        <f>IF(ROW(H2486)&lt;=Raw_hydro_bm!$J$2,Raw_hydro_bm!I2486,"")</f>
        <v/>
      </c>
      <c r="I2486" s="16" t="str">
        <f t="shared" si="38"/>
        <v/>
      </c>
    </row>
    <row r="2487" spans="1:9" x14ac:dyDescent="0.2">
      <c r="A2487" t="str">
        <f>IF(ROW(A2487)&lt;=Raw_hydro_bm!$J$2,Raw_hydro_bm!B2487,"")</f>
        <v/>
      </c>
      <c r="B2487" t="str">
        <f>IF(ROW(B2487)&lt;=Raw_hydro_bm!$J$2,Raw_hydro_bm!C2487,"")</f>
        <v/>
      </c>
      <c r="C2487" t="str">
        <f>IF(ROW(C2487)&lt;=Raw_hydro_bm!$J$2,Raw_hydro_bm!D2487,"")</f>
        <v/>
      </c>
      <c r="D2487" t="str">
        <f>IF(ROW(D2487)&lt;=Raw_hydro_bm!$J$2,Raw_hydro_bm!E2487,"")</f>
        <v/>
      </c>
      <c r="E2487" t="str">
        <f>IF(ROW(E2487)&lt;=Raw_hydro_bm!$J$2,Raw_hydro_bm!F2487,"")</f>
        <v/>
      </c>
      <c r="F2487" t="str">
        <f>IF(ROW(F2487)&lt;=Raw_hydro_bm!$J$2,Raw_hydro_bm!G2487,"")</f>
        <v/>
      </c>
      <c r="G2487" t="str">
        <f>IF(ROW(G2487)&lt;=Raw_hydro_bm!$J$2,Raw_hydro_bm!H2487,"")</f>
        <v/>
      </c>
      <c r="H2487" t="str">
        <f>IF(ROW(H2487)&lt;=Raw_hydro_bm!$J$2,Raw_hydro_bm!I2487,"")</f>
        <v/>
      </c>
      <c r="I2487" s="16" t="str">
        <f t="shared" si="38"/>
        <v/>
      </c>
    </row>
    <row r="2488" spans="1:9" x14ac:dyDescent="0.2">
      <c r="A2488" t="str">
        <f>IF(ROW(A2488)&lt;=Raw_hydro_bm!$J$2,Raw_hydro_bm!B2488,"")</f>
        <v/>
      </c>
      <c r="B2488" t="str">
        <f>IF(ROW(B2488)&lt;=Raw_hydro_bm!$J$2,Raw_hydro_bm!C2488,"")</f>
        <v/>
      </c>
      <c r="C2488" t="str">
        <f>IF(ROW(C2488)&lt;=Raw_hydro_bm!$J$2,Raw_hydro_bm!D2488,"")</f>
        <v/>
      </c>
      <c r="D2488" t="str">
        <f>IF(ROW(D2488)&lt;=Raw_hydro_bm!$J$2,Raw_hydro_bm!E2488,"")</f>
        <v/>
      </c>
      <c r="E2488" t="str">
        <f>IF(ROW(E2488)&lt;=Raw_hydro_bm!$J$2,Raw_hydro_bm!F2488,"")</f>
        <v/>
      </c>
      <c r="F2488" t="str">
        <f>IF(ROW(F2488)&lt;=Raw_hydro_bm!$J$2,Raw_hydro_bm!G2488,"")</f>
        <v/>
      </c>
      <c r="G2488" t="str">
        <f>IF(ROW(G2488)&lt;=Raw_hydro_bm!$J$2,Raw_hydro_bm!H2488,"")</f>
        <v/>
      </c>
      <c r="H2488" t="str">
        <f>IF(ROW(H2488)&lt;=Raw_hydro_bm!$J$2,Raw_hydro_bm!I2488,"")</f>
        <v/>
      </c>
      <c r="I2488" s="16" t="str">
        <f t="shared" si="38"/>
        <v/>
      </c>
    </row>
    <row r="2489" spans="1:9" x14ac:dyDescent="0.2">
      <c r="A2489" t="str">
        <f>IF(ROW(A2489)&lt;=Raw_hydro_bm!$J$2,Raw_hydro_bm!B2489,"")</f>
        <v/>
      </c>
      <c r="B2489" t="str">
        <f>IF(ROW(B2489)&lt;=Raw_hydro_bm!$J$2,Raw_hydro_bm!C2489,"")</f>
        <v/>
      </c>
      <c r="C2489" t="str">
        <f>IF(ROW(C2489)&lt;=Raw_hydro_bm!$J$2,Raw_hydro_bm!D2489,"")</f>
        <v/>
      </c>
      <c r="D2489" t="str">
        <f>IF(ROW(D2489)&lt;=Raw_hydro_bm!$J$2,Raw_hydro_bm!E2489,"")</f>
        <v/>
      </c>
      <c r="E2489" t="str">
        <f>IF(ROW(E2489)&lt;=Raw_hydro_bm!$J$2,Raw_hydro_bm!F2489,"")</f>
        <v/>
      </c>
      <c r="F2489" t="str">
        <f>IF(ROW(F2489)&lt;=Raw_hydro_bm!$J$2,Raw_hydro_bm!G2489,"")</f>
        <v/>
      </c>
      <c r="G2489" t="str">
        <f>IF(ROW(G2489)&lt;=Raw_hydro_bm!$J$2,Raw_hydro_bm!H2489,"")</f>
        <v/>
      </c>
      <c r="H2489" t="str">
        <f>IF(ROW(H2489)&lt;=Raw_hydro_bm!$J$2,Raw_hydro_bm!I2489,"")</f>
        <v/>
      </c>
      <c r="I2489" s="16" t="str">
        <f t="shared" si="38"/>
        <v/>
      </c>
    </row>
    <row r="2490" spans="1:9" x14ac:dyDescent="0.2">
      <c r="A2490" t="str">
        <f>IF(ROW(A2490)&lt;=Raw_hydro_bm!$J$2,Raw_hydro_bm!B2490,"")</f>
        <v/>
      </c>
      <c r="B2490" t="str">
        <f>IF(ROW(B2490)&lt;=Raw_hydro_bm!$J$2,Raw_hydro_bm!C2490,"")</f>
        <v/>
      </c>
      <c r="C2490" t="str">
        <f>IF(ROW(C2490)&lt;=Raw_hydro_bm!$J$2,Raw_hydro_bm!D2490,"")</f>
        <v/>
      </c>
      <c r="D2490" t="str">
        <f>IF(ROW(D2490)&lt;=Raw_hydro_bm!$J$2,Raw_hydro_bm!E2490,"")</f>
        <v/>
      </c>
      <c r="E2490" t="str">
        <f>IF(ROW(E2490)&lt;=Raw_hydro_bm!$J$2,Raw_hydro_bm!F2490,"")</f>
        <v/>
      </c>
      <c r="F2490" t="str">
        <f>IF(ROW(F2490)&lt;=Raw_hydro_bm!$J$2,Raw_hydro_bm!G2490,"")</f>
        <v/>
      </c>
      <c r="G2490" t="str">
        <f>IF(ROW(G2490)&lt;=Raw_hydro_bm!$J$2,Raw_hydro_bm!H2490,"")</f>
        <v/>
      </c>
      <c r="H2490" t="str">
        <f>IF(ROW(H2490)&lt;=Raw_hydro_bm!$J$2,Raw_hydro_bm!I2490,"")</f>
        <v/>
      </c>
      <c r="I2490" s="16" t="str">
        <f t="shared" si="38"/>
        <v/>
      </c>
    </row>
    <row r="2491" spans="1:9" x14ac:dyDescent="0.2">
      <c r="A2491" t="str">
        <f>IF(ROW(A2491)&lt;=Raw_hydro_bm!$J$2,Raw_hydro_bm!B2491,"")</f>
        <v/>
      </c>
      <c r="B2491" t="str">
        <f>IF(ROW(B2491)&lt;=Raw_hydro_bm!$J$2,Raw_hydro_bm!C2491,"")</f>
        <v/>
      </c>
      <c r="C2491" t="str">
        <f>IF(ROW(C2491)&lt;=Raw_hydro_bm!$J$2,Raw_hydro_bm!D2491,"")</f>
        <v/>
      </c>
      <c r="D2491" t="str">
        <f>IF(ROW(D2491)&lt;=Raw_hydro_bm!$J$2,Raw_hydro_bm!E2491,"")</f>
        <v/>
      </c>
      <c r="E2491" t="str">
        <f>IF(ROW(E2491)&lt;=Raw_hydro_bm!$J$2,Raw_hydro_bm!F2491,"")</f>
        <v/>
      </c>
      <c r="F2491" t="str">
        <f>IF(ROW(F2491)&lt;=Raw_hydro_bm!$J$2,Raw_hydro_bm!G2491,"")</f>
        <v/>
      </c>
      <c r="G2491" t="str">
        <f>IF(ROW(G2491)&lt;=Raw_hydro_bm!$J$2,Raw_hydro_bm!H2491,"")</f>
        <v/>
      </c>
      <c r="H2491" t="str">
        <f>IF(ROW(H2491)&lt;=Raw_hydro_bm!$J$2,Raw_hydro_bm!I2491,"")</f>
        <v/>
      </c>
      <c r="I2491" s="16" t="str">
        <f t="shared" si="38"/>
        <v/>
      </c>
    </row>
    <row r="2492" spans="1:9" x14ac:dyDescent="0.2">
      <c r="A2492" t="str">
        <f>IF(ROW(A2492)&lt;=Raw_hydro_bm!$J$2,Raw_hydro_bm!B2492,"")</f>
        <v/>
      </c>
      <c r="B2492" t="str">
        <f>IF(ROW(B2492)&lt;=Raw_hydro_bm!$J$2,Raw_hydro_bm!C2492,"")</f>
        <v/>
      </c>
      <c r="C2492" t="str">
        <f>IF(ROW(C2492)&lt;=Raw_hydro_bm!$J$2,Raw_hydro_bm!D2492,"")</f>
        <v/>
      </c>
      <c r="D2492" t="str">
        <f>IF(ROW(D2492)&lt;=Raw_hydro_bm!$J$2,Raw_hydro_bm!E2492,"")</f>
        <v/>
      </c>
      <c r="E2492" t="str">
        <f>IF(ROW(E2492)&lt;=Raw_hydro_bm!$J$2,Raw_hydro_bm!F2492,"")</f>
        <v/>
      </c>
      <c r="F2492" t="str">
        <f>IF(ROW(F2492)&lt;=Raw_hydro_bm!$J$2,Raw_hydro_bm!G2492,"")</f>
        <v/>
      </c>
      <c r="G2492" t="str">
        <f>IF(ROW(G2492)&lt;=Raw_hydro_bm!$J$2,Raw_hydro_bm!H2492,"")</f>
        <v/>
      </c>
      <c r="H2492" t="str">
        <f>IF(ROW(H2492)&lt;=Raw_hydro_bm!$J$2,Raw_hydro_bm!I2492,"")</f>
        <v/>
      </c>
      <c r="I2492" s="16" t="str">
        <f t="shared" si="38"/>
        <v/>
      </c>
    </row>
    <row r="2493" spans="1:9" x14ac:dyDescent="0.2">
      <c r="A2493" t="str">
        <f>IF(ROW(A2493)&lt;=Raw_hydro_bm!$J$2,Raw_hydro_bm!B2493,"")</f>
        <v/>
      </c>
      <c r="B2493" t="str">
        <f>IF(ROW(B2493)&lt;=Raw_hydro_bm!$J$2,Raw_hydro_bm!C2493,"")</f>
        <v/>
      </c>
      <c r="C2493" t="str">
        <f>IF(ROW(C2493)&lt;=Raw_hydro_bm!$J$2,Raw_hydro_bm!D2493,"")</f>
        <v/>
      </c>
      <c r="D2493" t="str">
        <f>IF(ROW(D2493)&lt;=Raw_hydro_bm!$J$2,Raw_hydro_bm!E2493,"")</f>
        <v/>
      </c>
      <c r="E2493" t="str">
        <f>IF(ROW(E2493)&lt;=Raw_hydro_bm!$J$2,Raw_hydro_bm!F2493,"")</f>
        <v/>
      </c>
      <c r="F2493" t="str">
        <f>IF(ROW(F2493)&lt;=Raw_hydro_bm!$J$2,Raw_hydro_bm!G2493,"")</f>
        <v/>
      </c>
      <c r="G2493" t="str">
        <f>IF(ROW(G2493)&lt;=Raw_hydro_bm!$J$2,Raw_hydro_bm!H2493,"")</f>
        <v/>
      </c>
      <c r="H2493" t="str">
        <f>IF(ROW(H2493)&lt;=Raw_hydro_bm!$J$2,Raw_hydro_bm!I2493,"")</f>
        <v/>
      </c>
      <c r="I2493" s="16" t="str">
        <f t="shared" si="38"/>
        <v/>
      </c>
    </row>
    <row r="2494" spans="1:9" x14ac:dyDescent="0.2">
      <c r="A2494" t="str">
        <f>IF(ROW(A2494)&lt;=Raw_hydro_bm!$J$2,Raw_hydro_bm!B2494,"")</f>
        <v/>
      </c>
      <c r="B2494" t="str">
        <f>IF(ROW(B2494)&lt;=Raw_hydro_bm!$J$2,Raw_hydro_bm!C2494,"")</f>
        <v/>
      </c>
      <c r="C2494" t="str">
        <f>IF(ROW(C2494)&lt;=Raw_hydro_bm!$J$2,Raw_hydro_bm!D2494,"")</f>
        <v/>
      </c>
      <c r="D2494" t="str">
        <f>IF(ROW(D2494)&lt;=Raw_hydro_bm!$J$2,Raw_hydro_bm!E2494,"")</f>
        <v/>
      </c>
      <c r="E2494" t="str">
        <f>IF(ROW(E2494)&lt;=Raw_hydro_bm!$J$2,Raw_hydro_bm!F2494,"")</f>
        <v/>
      </c>
      <c r="F2494" t="str">
        <f>IF(ROW(F2494)&lt;=Raw_hydro_bm!$J$2,Raw_hydro_bm!G2494,"")</f>
        <v/>
      </c>
      <c r="G2494" t="str">
        <f>IF(ROW(G2494)&lt;=Raw_hydro_bm!$J$2,Raw_hydro_bm!H2494,"")</f>
        <v/>
      </c>
      <c r="H2494" t="str">
        <f>IF(ROW(H2494)&lt;=Raw_hydro_bm!$J$2,Raw_hydro_bm!I2494,"")</f>
        <v/>
      </c>
      <c r="I2494" s="16" t="str">
        <f t="shared" si="38"/>
        <v/>
      </c>
    </row>
    <row r="2495" spans="1:9" x14ac:dyDescent="0.2">
      <c r="A2495" t="str">
        <f>IF(ROW(A2495)&lt;=Raw_hydro_bm!$J$2,Raw_hydro_bm!B2495,"")</f>
        <v/>
      </c>
      <c r="B2495" t="str">
        <f>IF(ROW(B2495)&lt;=Raw_hydro_bm!$J$2,Raw_hydro_bm!C2495,"")</f>
        <v/>
      </c>
      <c r="C2495" t="str">
        <f>IF(ROW(C2495)&lt;=Raw_hydro_bm!$J$2,Raw_hydro_bm!D2495,"")</f>
        <v/>
      </c>
      <c r="D2495" t="str">
        <f>IF(ROW(D2495)&lt;=Raw_hydro_bm!$J$2,Raw_hydro_bm!E2495,"")</f>
        <v/>
      </c>
      <c r="E2495" t="str">
        <f>IF(ROW(E2495)&lt;=Raw_hydro_bm!$J$2,Raw_hydro_bm!F2495,"")</f>
        <v/>
      </c>
      <c r="F2495" t="str">
        <f>IF(ROW(F2495)&lt;=Raw_hydro_bm!$J$2,Raw_hydro_bm!G2495,"")</f>
        <v/>
      </c>
      <c r="G2495" t="str">
        <f>IF(ROW(G2495)&lt;=Raw_hydro_bm!$J$2,Raw_hydro_bm!H2495,"")</f>
        <v/>
      </c>
      <c r="H2495" t="str">
        <f>IF(ROW(H2495)&lt;=Raw_hydro_bm!$J$2,Raw_hydro_bm!I2495,"")</f>
        <v/>
      </c>
      <c r="I2495" s="16" t="str">
        <f t="shared" si="38"/>
        <v/>
      </c>
    </row>
    <row r="2496" spans="1:9" x14ac:dyDescent="0.2">
      <c r="A2496" t="str">
        <f>IF(ROW(A2496)&lt;=Raw_hydro_bm!$J$2,Raw_hydro_bm!B2496,"")</f>
        <v/>
      </c>
      <c r="B2496" t="str">
        <f>IF(ROW(B2496)&lt;=Raw_hydro_bm!$J$2,Raw_hydro_bm!C2496,"")</f>
        <v/>
      </c>
      <c r="C2496" t="str">
        <f>IF(ROW(C2496)&lt;=Raw_hydro_bm!$J$2,Raw_hydro_bm!D2496,"")</f>
        <v/>
      </c>
      <c r="D2496" t="str">
        <f>IF(ROW(D2496)&lt;=Raw_hydro_bm!$J$2,Raw_hydro_bm!E2496,"")</f>
        <v/>
      </c>
      <c r="E2496" t="str">
        <f>IF(ROW(E2496)&lt;=Raw_hydro_bm!$J$2,Raw_hydro_bm!F2496,"")</f>
        <v/>
      </c>
      <c r="F2496" t="str">
        <f>IF(ROW(F2496)&lt;=Raw_hydro_bm!$J$2,Raw_hydro_bm!G2496,"")</f>
        <v/>
      </c>
      <c r="G2496" t="str">
        <f>IF(ROW(G2496)&lt;=Raw_hydro_bm!$J$2,Raw_hydro_bm!H2496,"")</f>
        <v/>
      </c>
      <c r="H2496" t="str">
        <f>IF(ROW(H2496)&lt;=Raw_hydro_bm!$J$2,Raw_hydro_bm!I2496,"")</f>
        <v/>
      </c>
      <c r="I2496" s="16" t="str">
        <f t="shared" si="38"/>
        <v/>
      </c>
    </row>
    <row r="2497" spans="1:9" x14ac:dyDescent="0.2">
      <c r="A2497" t="str">
        <f>IF(ROW(A2497)&lt;=Raw_hydro_bm!$J$2,Raw_hydro_bm!B2497,"")</f>
        <v/>
      </c>
      <c r="B2497" t="str">
        <f>IF(ROW(B2497)&lt;=Raw_hydro_bm!$J$2,Raw_hydro_bm!C2497,"")</f>
        <v/>
      </c>
      <c r="C2497" t="str">
        <f>IF(ROW(C2497)&lt;=Raw_hydro_bm!$J$2,Raw_hydro_bm!D2497,"")</f>
        <v/>
      </c>
      <c r="D2497" t="str">
        <f>IF(ROW(D2497)&lt;=Raw_hydro_bm!$J$2,Raw_hydro_bm!E2497,"")</f>
        <v/>
      </c>
      <c r="E2497" t="str">
        <f>IF(ROW(E2497)&lt;=Raw_hydro_bm!$J$2,Raw_hydro_bm!F2497,"")</f>
        <v/>
      </c>
      <c r="F2497" t="str">
        <f>IF(ROW(F2497)&lt;=Raw_hydro_bm!$J$2,Raw_hydro_bm!G2497,"")</f>
        <v/>
      </c>
      <c r="G2497" t="str">
        <f>IF(ROW(G2497)&lt;=Raw_hydro_bm!$J$2,Raw_hydro_bm!H2497,"")</f>
        <v/>
      </c>
      <c r="H2497" t="str">
        <f>IF(ROW(H2497)&lt;=Raw_hydro_bm!$J$2,Raw_hydro_bm!I2497,"")</f>
        <v/>
      </c>
      <c r="I2497" s="16" t="str">
        <f t="shared" si="38"/>
        <v/>
      </c>
    </row>
    <row r="2498" spans="1:9" x14ac:dyDescent="0.2">
      <c r="A2498" t="str">
        <f>IF(ROW(A2498)&lt;=Raw_hydro_bm!$J$2,Raw_hydro_bm!B2498,"")</f>
        <v/>
      </c>
      <c r="B2498" t="str">
        <f>IF(ROW(B2498)&lt;=Raw_hydro_bm!$J$2,Raw_hydro_bm!C2498,"")</f>
        <v/>
      </c>
      <c r="C2498" t="str">
        <f>IF(ROW(C2498)&lt;=Raw_hydro_bm!$J$2,Raw_hydro_bm!D2498,"")</f>
        <v/>
      </c>
      <c r="D2498" t="str">
        <f>IF(ROW(D2498)&lt;=Raw_hydro_bm!$J$2,Raw_hydro_bm!E2498,"")</f>
        <v/>
      </c>
      <c r="E2498" t="str">
        <f>IF(ROW(E2498)&lt;=Raw_hydro_bm!$J$2,Raw_hydro_bm!F2498,"")</f>
        <v/>
      </c>
      <c r="F2498" t="str">
        <f>IF(ROW(F2498)&lt;=Raw_hydro_bm!$J$2,Raw_hydro_bm!G2498,"")</f>
        <v/>
      </c>
      <c r="G2498" t="str">
        <f>IF(ROW(G2498)&lt;=Raw_hydro_bm!$J$2,Raw_hydro_bm!H2498,"")</f>
        <v/>
      </c>
      <c r="H2498" t="str">
        <f>IF(ROW(H2498)&lt;=Raw_hydro_bm!$J$2,Raw_hydro_bm!I2498,"")</f>
        <v/>
      </c>
      <c r="I2498" s="16" t="str">
        <f t="shared" ref="I2498:I2561" si="39">IF(IFERROR(FIND("e",H2498),-1)&lt;0,IFERROR(_xlfn.NUMBERVALUE(LEFT(H2498,FIND(".",H2498)-1))+_xlfn.NUMBERVALUE("0,"&amp;RIGHT(H2498,LEN(H2498)-FIND(".",H2498))),""),0)</f>
        <v/>
      </c>
    </row>
    <row r="2499" spans="1:9" x14ac:dyDescent="0.2">
      <c r="A2499" t="str">
        <f>IF(ROW(A2499)&lt;=Raw_hydro_bm!$J$2,Raw_hydro_bm!B2499,"")</f>
        <v/>
      </c>
      <c r="B2499" t="str">
        <f>IF(ROW(B2499)&lt;=Raw_hydro_bm!$J$2,Raw_hydro_bm!C2499,"")</f>
        <v/>
      </c>
      <c r="C2499" t="str">
        <f>IF(ROW(C2499)&lt;=Raw_hydro_bm!$J$2,Raw_hydro_bm!D2499,"")</f>
        <v/>
      </c>
      <c r="D2499" t="str">
        <f>IF(ROW(D2499)&lt;=Raw_hydro_bm!$J$2,Raw_hydro_bm!E2499,"")</f>
        <v/>
      </c>
      <c r="E2499" t="str">
        <f>IF(ROW(E2499)&lt;=Raw_hydro_bm!$J$2,Raw_hydro_bm!F2499,"")</f>
        <v/>
      </c>
      <c r="F2499" t="str">
        <f>IF(ROW(F2499)&lt;=Raw_hydro_bm!$J$2,Raw_hydro_bm!G2499,"")</f>
        <v/>
      </c>
      <c r="G2499" t="str">
        <f>IF(ROW(G2499)&lt;=Raw_hydro_bm!$J$2,Raw_hydro_bm!H2499,"")</f>
        <v/>
      </c>
      <c r="H2499" t="str">
        <f>IF(ROW(H2499)&lt;=Raw_hydro_bm!$J$2,Raw_hydro_bm!I2499,"")</f>
        <v/>
      </c>
      <c r="I2499" s="16" t="str">
        <f t="shared" si="39"/>
        <v/>
      </c>
    </row>
    <row r="2500" spans="1:9" x14ac:dyDescent="0.2">
      <c r="A2500" t="str">
        <f>IF(ROW(A2500)&lt;=Raw_hydro_bm!$J$2,Raw_hydro_bm!B2500,"")</f>
        <v/>
      </c>
      <c r="B2500" t="str">
        <f>IF(ROW(B2500)&lt;=Raw_hydro_bm!$J$2,Raw_hydro_bm!C2500,"")</f>
        <v/>
      </c>
      <c r="C2500" t="str">
        <f>IF(ROW(C2500)&lt;=Raw_hydro_bm!$J$2,Raw_hydro_bm!D2500,"")</f>
        <v/>
      </c>
      <c r="D2500" t="str">
        <f>IF(ROW(D2500)&lt;=Raw_hydro_bm!$J$2,Raw_hydro_bm!E2500,"")</f>
        <v/>
      </c>
      <c r="E2500" t="str">
        <f>IF(ROW(E2500)&lt;=Raw_hydro_bm!$J$2,Raw_hydro_bm!F2500,"")</f>
        <v/>
      </c>
      <c r="F2500" t="str">
        <f>IF(ROW(F2500)&lt;=Raw_hydro_bm!$J$2,Raw_hydro_bm!G2500,"")</f>
        <v/>
      </c>
      <c r="G2500" t="str">
        <f>IF(ROW(G2500)&lt;=Raw_hydro_bm!$J$2,Raw_hydro_bm!H2500,"")</f>
        <v/>
      </c>
      <c r="H2500" t="str">
        <f>IF(ROW(H2500)&lt;=Raw_hydro_bm!$J$2,Raw_hydro_bm!I2500,"")</f>
        <v/>
      </c>
      <c r="I2500" s="16" t="str">
        <f t="shared" si="39"/>
        <v/>
      </c>
    </row>
    <row r="2501" spans="1:9" x14ac:dyDescent="0.2">
      <c r="A2501" t="str">
        <f>IF(ROW(A2501)&lt;=Raw_hydro_bm!$J$2,Raw_hydro_bm!B2501,"")</f>
        <v/>
      </c>
      <c r="B2501" t="str">
        <f>IF(ROW(B2501)&lt;=Raw_hydro_bm!$J$2,Raw_hydro_bm!C2501,"")</f>
        <v/>
      </c>
      <c r="C2501" t="str">
        <f>IF(ROW(C2501)&lt;=Raw_hydro_bm!$J$2,Raw_hydro_bm!D2501,"")</f>
        <v/>
      </c>
      <c r="D2501" t="str">
        <f>IF(ROW(D2501)&lt;=Raw_hydro_bm!$J$2,Raw_hydro_bm!E2501,"")</f>
        <v/>
      </c>
      <c r="E2501" t="str">
        <f>IF(ROW(E2501)&lt;=Raw_hydro_bm!$J$2,Raw_hydro_bm!F2501,"")</f>
        <v/>
      </c>
      <c r="F2501" t="str">
        <f>IF(ROW(F2501)&lt;=Raw_hydro_bm!$J$2,Raw_hydro_bm!G2501,"")</f>
        <v/>
      </c>
      <c r="G2501" t="str">
        <f>IF(ROW(G2501)&lt;=Raw_hydro_bm!$J$2,Raw_hydro_bm!H2501,"")</f>
        <v/>
      </c>
      <c r="H2501" t="str">
        <f>IF(ROW(H2501)&lt;=Raw_hydro_bm!$J$2,Raw_hydro_bm!I2501,"")</f>
        <v/>
      </c>
      <c r="I2501" s="16" t="str">
        <f t="shared" si="39"/>
        <v/>
      </c>
    </row>
    <row r="2502" spans="1:9" x14ac:dyDescent="0.2">
      <c r="A2502" t="str">
        <f>IF(ROW(A2502)&lt;=Raw_hydro_bm!$J$2,Raw_hydro_bm!B2502,"")</f>
        <v/>
      </c>
      <c r="B2502" t="str">
        <f>IF(ROW(B2502)&lt;=Raw_hydro_bm!$J$2,Raw_hydro_bm!C2502,"")</f>
        <v/>
      </c>
      <c r="C2502" t="str">
        <f>IF(ROW(C2502)&lt;=Raw_hydro_bm!$J$2,Raw_hydro_bm!D2502,"")</f>
        <v/>
      </c>
      <c r="D2502" t="str">
        <f>IF(ROW(D2502)&lt;=Raw_hydro_bm!$J$2,Raw_hydro_bm!E2502,"")</f>
        <v/>
      </c>
      <c r="E2502" t="str">
        <f>IF(ROW(E2502)&lt;=Raw_hydro_bm!$J$2,Raw_hydro_bm!F2502,"")</f>
        <v/>
      </c>
      <c r="F2502" t="str">
        <f>IF(ROW(F2502)&lt;=Raw_hydro_bm!$J$2,Raw_hydro_bm!G2502,"")</f>
        <v/>
      </c>
      <c r="G2502" t="str">
        <f>IF(ROW(G2502)&lt;=Raw_hydro_bm!$J$2,Raw_hydro_bm!H2502,"")</f>
        <v/>
      </c>
      <c r="H2502" t="str">
        <f>IF(ROW(H2502)&lt;=Raw_hydro_bm!$J$2,Raw_hydro_bm!I2502,"")</f>
        <v/>
      </c>
      <c r="I2502" s="16" t="str">
        <f t="shared" si="39"/>
        <v/>
      </c>
    </row>
    <row r="2503" spans="1:9" x14ac:dyDescent="0.2">
      <c r="A2503" t="str">
        <f>IF(ROW(A2503)&lt;=Raw_hydro_bm!$J$2,Raw_hydro_bm!B2503,"")</f>
        <v/>
      </c>
      <c r="B2503" t="str">
        <f>IF(ROW(B2503)&lt;=Raw_hydro_bm!$J$2,Raw_hydro_bm!C2503,"")</f>
        <v/>
      </c>
      <c r="C2503" t="str">
        <f>IF(ROW(C2503)&lt;=Raw_hydro_bm!$J$2,Raw_hydro_bm!D2503,"")</f>
        <v/>
      </c>
      <c r="D2503" t="str">
        <f>IF(ROW(D2503)&lt;=Raw_hydro_bm!$J$2,Raw_hydro_bm!E2503,"")</f>
        <v/>
      </c>
      <c r="E2503" t="str">
        <f>IF(ROW(E2503)&lt;=Raw_hydro_bm!$J$2,Raw_hydro_bm!F2503,"")</f>
        <v/>
      </c>
      <c r="F2503" t="str">
        <f>IF(ROW(F2503)&lt;=Raw_hydro_bm!$J$2,Raw_hydro_bm!G2503,"")</f>
        <v/>
      </c>
      <c r="G2503" t="str">
        <f>IF(ROW(G2503)&lt;=Raw_hydro_bm!$J$2,Raw_hydro_bm!H2503,"")</f>
        <v/>
      </c>
      <c r="H2503" t="str">
        <f>IF(ROW(H2503)&lt;=Raw_hydro_bm!$J$2,Raw_hydro_bm!I2503,"")</f>
        <v/>
      </c>
      <c r="I2503" s="16" t="str">
        <f t="shared" si="39"/>
        <v/>
      </c>
    </row>
    <row r="2504" spans="1:9" x14ac:dyDescent="0.2">
      <c r="A2504" t="str">
        <f>IF(ROW(A2504)&lt;=Raw_hydro_bm!$J$2,Raw_hydro_bm!B2504,"")</f>
        <v/>
      </c>
      <c r="B2504" t="str">
        <f>IF(ROW(B2504)&lt;=Raw_hydro_bm!$J$2,Raw_hydro_bm!C2504,"")</f>
        <v/>
      </c>
      <c r="C2504" t="str">
        <f>IF(ROW(C2504)&lt;=Raw_hydro_bm!$J$2,Raw_hydro_bm!D2504,"")</f>
        <v/>
      </c>
      <c r="D2504" t="str">
        <f>IF(ROW(D2504)&lt;=Raw_hydro_bm!$J$2,Raw_hydro_bm!E2504,"")</f>
        <v/>
      </c>
      <c r="E2504" t="str">
        <f>IF(ROW(E2504)&lt;=Raw_hydro_bm!$J$2,Raw_hydro_bm!F2504,"")</f>
        <v/>
      </c>
      <c r="F2504" t="str">
        <f>IF(ROW(F2504)&lt;=Raw_hydro_bm!$J$2,Raw_hydro_bm!G2504,"")</f>
        <v/>
      </c>
      <c r="G2504" t="str">
        <f>IF(ROW(G2504)&lt;=Raw_hydro_bm!$J$2,Raw_hydro_bm!H2504,"")</f>
        <v/>
      </c>
      <c r="H2504" t="str">
        <f>IF(ROW(H2504)&lt;=Raw_hydro_bm!$J$2,Raw_hydro_bm!I2504,"")</f>
        <v/>
      </c>
      <c r="I2504" s="16" t="str">
        <f t="shared" si="39"/>
        <v/>
      </c>
    </row>
    <row r="2505" spans="1:9" x14ac:dyDescent="0.2">
      <c r="A2505" t="str">
        <f>IF(ROW(A2505)&lt;=Raw_hydro_bm!$J$2,Raw_hydro_bm!B2505,"")</f>
        <v/>
      </c>
      <c r="B2505" t="str">
        <f>IF(ROW(B2505)&lt;=Raw_hydro_bm!$J$2,Raw_hydro_bm!C2505,"")</f>
        <v/>
      </c>
      <c r="C2505" t="str">
        <f>IF(ROW(C2505)&lt;=Raw_hydro_bm!$J$2,Raw_hydro_bm!D2505,"")</f>
        <v/>
      </c>
      <c r="D2505" t="str">
        <f>IF(ROW(D2505)&lt;=Raw_hydro_bm!$J$2,Raw_hydro_bm!E2505,"")</f>
        <v/>
      </c>
      <c r="E2505" t="str">
        <f>IF(ROW(E2505)&lt;=Raw_hydro_bm!$J$2,Raw_hydro_bm!F2505,"")</f>
        <v/>
      </c>
      <c r="F2505" t="str">
        <f>IF(ROW(F2505)&lt;=Raw_hydro_bm!$J$2,Raw_hydro_bm!G2505,"")</f>
        <v/>
      </c>
      <c r="G2505" t="str">
        <f>IF(ROW(G2505)&lt;=Raw_hydro_bm!$J$2,Raw_hydro_bm!H2505,"")</f>
        <v/>
      </c>
      <c r="H2505" t="str">
        <f>IF(ROW(H2505)&lt;=Raw_hydro_bm!$J$2,Raw_hydro_bm!I2505,"")</f>
        <v/>
      </c>
      <c r="I2505" s="16" t="str">
        <f t="shared" si="39"/>
        <v/>
      </c>
    </row>
    <row r="2506" spans="1:9" x14ac:dyDescent="0.2">
      <c r="A2506" t="str">
        <f>IF(ROW(A2506)&lt;=Raw_hydro_bm!$J$2,Raw_hydro_bm!B2506,"")</f>
        <v/>
      </c>
      <c r="B2506" t="str">
        <f>IF(ROW(B2506)&lt;=Raw_hydro_bm!$J$2,Raw_hydro_bm!C2506,"")</f>
        <v/>
      </c>
      <c r="C2506" t="str">
        <f>IF(ROW(C2506)&lt;=Raw_hydro_bm!$J$2,Raw_hydro_bm!D2506,"")</f>
        <v/>
      </c>
      <c r="D2506" t="str">
        <f>IF(ROW(D2506)&lt;=Raw_hydro_bm!$J$2,Raw_hydro_bm!E2506,"")</f>
        <v/>
      </c>
      <c r="E2506" t="str">
        <f>IF(ROW(E2506)&lt;=Raw_hydro_bm!$J$2,Raw_hydro_bm!F2506,"")</f>
        <v/>
      </c>
      <c r="F2506" t="str">
        <f>IF(ROW(F2506)&lt;=Raw_hydro_bm!$J$2,Raw_hydro_bm!G2506,"")</f>
        <v/>
      </c>
      <c r="G2506" t="str">
        <f>IF(ROW(G2506)&lt;=Raw_hydro_bm!$J$2,Raw_hydro_bm!H2506,"")</f>
        <v/>
      </c>
      <c r="H2506" t="str">
        <f>IF(ROW(H2506)&lt;=Raw_hydro_bm!$J$2,Raw_hydro_bm!I2506,"")</f>
        <v/>
      </c>
      <c r="I2506" s="16" t="str">
        <f t="shared" si="39"/>
        <v/>
      </c>
    </row>
    <row r="2507" spans="1:9" x14ac:dyDescent="0.2">
      <c r="A2507" t="str">
        <f>IF(ROW(A2507)&lt;=Raw_hydro_bm!$J$2,Raw_hydro_bm!B2507,"")</f>
        <v/>
      </c>
      <c r="B2507" t="str">
        <f>IF(ROW(B2507)&lt;=Raw_hydro_bm!$J$2,Raw_hydro_bm!C2507,"")</f>
        <v/>
      </c>
      <c r="C2507" t="str">
        <f>IF(ROW(C2507)&lt;=Raw_hydro_bm!$J$2,Raw_hydro_bm!D2507,"")</f>
        <v/>
      </c>
      <c r="D2507" t="str">
        <f>IF(ROW(D2507)&lt;=Raw_hydro_bm!$J$2,Raw_hydro_bm!E2507,"")</f>
        <v/>
      </c>
      <c r="E2507" t="str">
        <f>IF(ROW(E2507)&lt;=Raw_hydro_bm!$J$2,Raw_hydro_bm!F2507,"")</f>
        <v/>
      </c>
      <c r="F2507" t="str">
        <f>IF(ROW(F2507)&lt;=Raw_hydro_bm!$J$2,Raw_hydro_bm!G2507,"")</f>
        <v/>
      </c>
      <c r="G2507" t="str">
        <f>IF(ROW(G2507)&lt;=Raw_hydro_bm!$J$2,Raw_hydro_bm!H2507,"")</f>
        <v/>
      </c>
      <c r="H2507" t="str">
        <f>IF(ROW(H2507)&lt;=Raw_hydro_bm!$J$2,Raw_hydro_bm!I2507,"")</f>
        <v/>
      </c>
      <c r="I2507" s="16" t="str">
        <f t="shared" si="39"/>
        <v/>
      </c>
    </row>
    <row r="2508" spans="1:9" x14ac:dyDescent="0.2">
      <c r="A2508" t="str">
        <f>IF(ROW(A2508)&lt;=Raw_hydro_bm!$J$2,Raw_hydro_bm!B2508,"")</f>
        <v/>
      </c>
      <c r="B2508" t="str">
        <f>IF(ROW(B2508)&lt;=Raw_hydro_bm!$J$2,Raw_hydro_bm!C2508,"")</f>
        <v/>
      </c>
      <c r="C2508" t="str">
        <f>IF(ROW(C2508)&lt;=Raw_hydro_bm!$J$2,Raw_hydro_bm!D2508,"")</f>
        <v/>
      </c>
      <c r="D2508" t="str">
        <f>IF(ROW(D2508)&lt;=Raw_hydro_bm!$J$2,Raw_hydro_bm!E2508,"")</f>
        <v/>
      </c>
      <c r="E2508" t="str">
        <f>IF(ROW(E2508)&lt;=Raw_hydro_bm!$J$2,Raw_hydro_bm!F2508,"")</f>
        <v/>
      </c>
      <c r="F2508" t="str">
        <f>IF(ROW(F2508)&lt;=Raw_hydro_bm!$J$2,Raw_hydro_bm!G2508,"")</f>
        <v/>
      </c>
      <c r="G2508" t="str">
        <f>IF(ROW(G2508)&lt;=Raw_hydro_bm!$J$2,Raw_hydro_bm!H2508,"")</f>
        <v/>
      </c>
      <c r="H2508" t="str">
        <f>IF(ROW(H2508)&lt;=Raw_hydro_bm!$J$2,Raw_hydro_bm!I2508,"")</f>
        <v/>
      </c>
      <c r="I2508" s="16" t="str">
        <f t="shared" si="39"/>
        <v/>
      </c>
    </row>
    <row r="2509" spans="1:9" x14ac:dyDescent="0.2">
      <c r="A2509" t="str">
        <f>IF(ROW(A2509)&lt;=Raw_hydro_bm!$J$2,Raw_hydro_bm!B2509,"")</f>
        <v/>
      </c>
      <c r="B2509" t="str">
        <f>IF(ROW(B2509)&lt;=Raw_hydro_bm!$J$2,Raw_hydro_bm!C2509,"")</f>
        <v/>
      </c>
      <c r="C2509" t="str">
        <f>IF(ROW(C2509)&lt;=Raw_hydro_bm!$J$2,Raw_hydro_bm!D2509,"")</f>
        <v/>
      </c>
      <c r="D2509" t="str">
        <f>IF(ROW(D2509)&lt;=Raw_hydro_bm!$J$2,Raw_hydro_bm!E2509,"")</f>
        <v/>
      </c>
      <c r="E2509" t="str">
        <f>IF(ROW(E2509)&lt;=Raw_hydro_bm!$J$2,Raw_hydro_bm!F2509,"")</f>
        <v/>
      </c>
      <c r="F2509" t="str">
        <f>IF(ROW(F2509)&lt;=Raw_hydro_bm!$J$2,Raw_hydro_bm!G2509,"")</f>
        <v/>
      </c>
      <c r="G2509" t="str">
        <f>IF(ROW(G2509)&lt;=Raw_hydro_bm!$J$2,Raw_hydro_bm!H2509,"")</f>
        <v/>
      </c>
      <c r="H2509" t="str">
        <f>IF(ROW(H2509)&lt;=Raw_hydro_bm!$J$2,Raw_hydro_bm!I2509,"")</f>
        <v/>
      </c>
      <c r="I2509" s="16" t="str">
        <f t="shared" si="39"/>
        <v/>
      </c>
    </row>
    <row r="2510" spans="1:9" x14ac:dyDescent="0.2">
      <c r="A2510" t="str">
        <f>IF(ROW(A2510)&lt;=Raw_hydro_bm!$J$2,Raw_hydro_bm!B2510,"")</f>
        <v/>
      </c>
      <c r="B2510" t="str">
        <f>IF(ROW(B2510)&lt;=Raw_hydro_bm!$J$2,Raw_hydro_bm!C2510,"")</f>
        <v/>
      </c>
      <c r="C2510" t="str">
        <f>IF(ROW(C2510)&lt;=Raw_hydro_bm!$J$2,Raw_hydro_bm!D2510,"")</f>
        <v/>
      </c>
      <c r="D2510" t="str">
        <f>IF(ROW(D2510)&lt;=Raw_hydro_bm!$J$2,Raw_hydro_bm!E2510,"")</f>
        <v/>
      </c>
      <c r="E2510" t="str">
        <f>IF(ROW(E2510)&lt;=Raw_hydro_bm!$J$2,Raw_hydro_bm!F2510,"")</f>
        <v/>
      </c>
      <c r="F2510" t="str">
        <f>IF(ROW(F2510)&lt;=Raw_hydro_bm!$J$2,Raw_hydro_bm!G2510,"")</f>
        <v/>
      </c>
      <c r="G2510" t="str">
        <f>IF(ROW(G2510)&lt;=Raw_hydro_bm!$J$2,Raw_hydro_bm!H2510,"")</f>
        <v/>
      </c>
      <c r="H2510" t="str">
        <f>IF(ROW(H2510)&lt;=Raw_hydro_bm!$J$2,Raw_hydro_bm!I2510,"")</f>
        <v/>
      </c>
      <c r="I2510" s="16" t="str">
        <f t="shared" si="39"/>
        <v/>
      </c>
    </row>
    <row r="2511" spans="1:9" x14ac:dyDescent="0.2">
      <c r="A2511" t="str">
        <f>IF(ROW(A2511)&lt;=Raw_hydro_bm!$J$2,Raw_hydro_bm!B2511,"")</f>
        <v/>
      </c>
      <c r="B2511" t="str">
        <f>IF(ROW(B2511)&lt;=Raw_hydro_bm!$J$2,Raw_hydro_bm!C2511,"")</f>
        <v/>
      </c>
      <c r="C2511" t="str">
        <f>IF(ROW(C2511)&lt;=Raw_hydro_bm!$J$2,Raw_hydro_bm!D2511,"")</f>
        <v/>
      </c>
      <c r="D2511" t="str">
        <f>IF(ROW(D2511)&lt;=Raw_hydro_bm!$J$2,Raw_hydro_bm!E2511,"")</f>
        <v/>
      </c>
      <c r="E2511" t="str">
        <f>IF(ROW(E2511)&lt;=Raw_hydro_bm!$J$2,Raw_hydro_bm!F2511,"")</f>
        <v/>
      </c>
      <c r="F2511" t="str">
        <f>IF(ROW(F2511)&lt;=Raw_hydro_bm!$J$2,Raw_hydro_bm!G2511,"")</f>
        <v/>
      </c>
      <c r="G2511" t="str">
        <f>IF(ROW(G2511)&lt;=Raw_hydro_bm!$J$2,Raw_hydro_bm!H2511,"")</f>
        <v/>
      </c>
      <c r="H2511" t="str">
        <f>IF(ROW(H2511)&lt;=Raw_hydro_bm!$J$2,Raw_hydro_bm!I2511,"")</f>
        <v/>
      </c>
      <c r="I2511" s="16" t="str">
        <f t="shared" si="39"/>
        <v/>
      </c>
    </row>
    <row r="2512" spans="1:9" x14ac:dyDescent="0.2">
      <c r="A2512" t="str">
        <f>IF(ROW(A2512)&lt;=Raw_hydro_bm!$J$2,Raw_hydro_bm!B2512,"")</f>
        <v/>
      </c>
      <c r="B2512" t="str">
        <f>IF(ROW(B2512)&lt;=Raw_hydro_bm!$J$2,Raw_hydro_bm!C2512,"")</f>
        <v/>
      </c>
      <c r="C2512" t="str">
        <f>IF(ROW(C2512)&lt;=Raw_hydro_bm!$J$2,Raw_hydro_bm!D2512,"")</f>
        <v/>
      </c>
      <c r="D2512" t="str">
        <f>IF(ROW(D2512)&lt;=Raw_hydro_bm!$J$2,Raw_hydro_bm!E2512,"")</f>
        <v/>
      </c>
      <c r="E2512" t="str">
        <f>IF(ROW(E2512)&lt;=Raw_hydro_bm!$J$2,Raw_hydro_bm!F2512,"")</f>
        <v/>
      </c>
      <c r="F2512" t="str">
        <f>IF(ROW(F2512)&lt;=Raw_hydro_bm!$J$2,Raw_hydro_bm!G2512,"")</f>
        <v/>
      </c>
      <c r="G2512" t="str">
        <f>IF(ROW(G2512)&lt;=Raw_hydro_bm!$J$2,Raw_hydro_bm!H2512,"")</f>
        <v/>
      </c>
      <c r="H2512" t="str">
        <f>IF(ROW(H2512)&lt;=Raw_hydro_bm!$J$2,Raw_hydro_bm!I2512,"")</f>
        <v/>
      </c>
      <c r="I2512" s="16" t="str">
        <f t="shared" si="39"/>
        <v/>
      </c>
    </row>
    <row r="2513" spans="1:9" x14ac:dyDescent="0.2">
      <c r="A2513" t="str">
        <f>IF(ROW(A2513)&lt;=Raw_hydro_bm!$J$2,Raw_hydro_bm!B2513,"")</f>
        <v/>
      </c>
      <c r="B2513" t="str">
        <f>IF(ROW(B2513)&lt;=Raw_hydro_bm!$J$2,Raw_hydro_bm!C2513,"")</f>
        <v/>
      </c>
      <c r="C2513" t="str">
        <f>IF(ROW(C2513)&lt;=Raw_hydro_bm!$J$2,Raw_hydro_bm!D2513,"")</f>
        <v/>
      </c>
      <c r="D2513" t="str">
        <f>IF(ROW(D2513)&lt;=Raw_hydro_bm!$J$2,Raw_hydro_bm!E2513,"")</f>
        <v/>
      </c>
      <c r="E2513" t="str">
        <f>IF(ROW(E2513)&lt;=Raw_hydro_bm!$J$2,Raw_hydro_bm!F2513,"")</f>
        <v/>
      </c>
      <c r="F2513" t="str">
        <f>IF(ROW(F2513)&lt;=Raw_hydro_bm!$J$2,Raw_hydro_bm!G2513,"")</f>
        <v/>
      </c>
      <c r="G2513" t="str">
        <f>IF(ROW(G2513)&lt;=Raw_hydro_bm!$J$2,Raw_hydro_bm!H2513,"")</f>
        <v/>
      </c>
      <c r="H2513" t="str">
        <f>IF(ROW(H2513)&lt;=Raw_hydro_bm!$J$2,Raw_hydro_bm!I2513,"")</f>
        <v/>
      </c>
      <c r="I2513" s="16" t="str">
        <f t="shared" si="39"/>
        <v/>
      </c>
    </row>
    <row r="2514" spans="1:9" x14ac:dyDescent="0.2">
      <c r="A2514" t="str">
        <f>IF(ROW(A2514)&lt;=Raw_hydro_bm!$J$2,Raw_hydro_bm!B2514,"")</f>
        <v/>
      </c>
      <c r="B2514" t="str">
        <f>IF(ROW(B2514)&lt;=Raw_hydro_bm!$J$2,Raw_hydro_bm!C2514,"")</f>
        <v/>
      </c>
      <c r="C2514" t="str">
        <f>IF(ROW(C2514)&lt;=Raw_hydro_bm!$J$2,Raw_hydro_bm!D2514,"")</f>
        <v/>
      </c>
      <c r="D2514" t="str">
        <f>IF(ROW(D2514)&lt;=Raw_hydro_bm!$J$2,Raw_hydro_bm!E2514,"")</f>
        <v/>
      </c>
      <c r="E2514" t="str">
        <f>IF(ROW(E2514)&lt;=Raw_hydro_bm!$J$2,Raw_hydro_bm!F2514,"")</f>
        <v/>
      </c>
      <c r="F2514" t="str">
        <f>IF(ROW(F2514)&lt;=Raw_hydro_bm!$J$2,Raw_hydro_bm!G2514,"")</f>
        <v/>
      </c>
      <c r="G2514" t="str">
        <f>IF(ROW(G2514)&lt;=Raw_hydro_bm!$J$2,Raw_hydro_bm!H2514,"")</f>
        <v/>
      </c>
      <c r="H2514" t="str">
        <f>IF(ROW(H2514)&lt;=Raw_hydro_bm!$J$2,Raw_hydro_bm!I2514,"")</f>
        <v/>
      </c>
      <c r="I2514" s="16" t="str">
        <f t="shared" si="39"/>
        <v/>
      </c>
    </row>
    <row r="2515" spans="1:9" x14ac:dyDescent="0.2">
      <c r="A2515" t="str">
        <f>IF(ROW(A2515)&lt;=Raw_hydro_bm!$J$2,Raw_hydro_bm!B2515,"")</f>
        <v/>
      </c>
      <c r="B2515" t="str">
        <f>IF(ROW(B2515)&lt;=Raw_hydro_bm!$J$2,Raw_hydro_bm!C2515,"")</f>
        <v/>
      </c>
      <c r="C2515" t="str">
        <f>IF(ROW(C2515)&lt;=Raw_hydro_bm!$J$2,Raw_hydro_bm!D2515,"")</f>
        <v/>
      </c>
      <c r="D2515" t="str">
        <f>IF(ROW(D2515)&lt;=Raw_hydro_bm!$J$2,Raw_hydro_bm!E2515,"")</f>
        <v/>
      </c>
      <c r="E2515" t="str">
        <f>IF(ROW(E2515)&lt;=Raw_hydro_bm!$J$2,Raw_hydro_bm!F2515,"")</f>
        <v/>
      </c>
      <c r="F2515" t="str">
        <f>IF(ROW(F2515)&lt;=Raw_hydro_bm!$J$2,Raw_hydro_bm!G2515,"")</f>
        <v/>
      </c>
      <c r="G2515" t="str">
        <f>IF(ROW(G2515)&lt;=Raw_hydro_bm!$J$2,Raw_hydro_bm!H2515,"")</f>
        <v/>
      </c>
      <c r="H2515" t="str">
        <f>IF(ROW(H2515)&lt;=Raw_hydro_bm!$J$2,Raw_hydro_bm!I2515,"")</f>
        <v/>
      </c>
      <c r="I2515" s="16" t="str">
        <f t="shared" si="39"/>
        <v/>
      </c>
    </row>
    <row r="2516" spans="1:9" x14ac:dyDescent="0.2">
      <c r="A2516" t="str">
        <f>IF(ROW(A2516)&lt;=Raw_hydro_bm!$J$2,Raw_hydro_bm!B2516,"")</f>
        <v/>
      </c>
      <c r="B2516" t="str">
        <f>IF(ROW(B2516)&lt;=Raw_hydro_bm!$J$2,Raw_hydro_bm!C2516,"")</f>
        <v/>
      </c>
      <c r="C2516" t="str">
        <f>IF(ROW(C2516)&lt;=Raw_hydro_bm!$J$2,Raw_hydro_bm!D2516,"")</f>
        <v/>
      </c>
      <c r="D2516" t="str">
        <f>IF(ROW(D2516)&lt;=Raw_hydro_bm!$J$2,Raw_hydro_bm!E2516,"")</f>
        <v/>
      </c>
      <c r="E2516" t="str">
        <f>IF(ROW(E2516)&lt;=Raw_hydro_bm!$J$2,Raw_hydro_bm!F2516,"")</f>
        <v/>
      </c>
      <c r="F2516" t="str">
        <f>IF(ROW(F2516)&lt;=Raw_hydro_bm!$J$2,Raw_hydro_bm!G2516,"")</f>
        <v/>
      </c>
      <c r="G2516" t="str">
        <f>IF(ROW(G2516)&lt;=Raw_hydro_bm!$J$2,Raw_hydro_bm!H2516,"")</f>
        <v/>
      </c>
      <c r="H2516" t="str">
        <f>IF(ROW(H2516)&lt;=Raw_hydro_bm!$J$2,Raw_hydro_bm!I2516,"")</f>
        <v/>
      </c>
      <c r="I2516" s="16" t="str">
        <f t="shared" si="39"/>
        <v/>
      </c>
    </row>
    <row r="2517" spans="1:9" x14ac:dyDescent="0.2">
      <c r="A2517" t="str">
        <f>IF(ROW(A2517)&lt;=Raw_hydro_bm!$J$2,Raw_hydro_bm!B2517,"")</f>
        <v/>
      </c>
      <c r="B2517" t="str">
        <f>IF(ROW(B2517)&lt;=Raw_hydro_bm!$J$2,Raw_hydro_bm!C2517,"")</f>
        <v/>
      </c>
      <c r="C2517" t="str">
        <f>IF(ROW(C2517)&lt;=Raw_hydro_bm!$J$2,Raw_hydro_bm!D2517,"")</f>
        <v/>
      </c>
      <c r="D2517" t="str">
        <f>IF(ROW(D2517)&lt;=Raw_hydro_bm!$J$2,Raw_hydro_bm!E2517,"")</f>
        <v/>
      </c>
      <c r="E2517" t="str">
        <f>IF(ROW(E2517)&lt;=Raw_hydro_bm!$J$2,Raw_hydro_bm!F2517,"")</f>
        <v/>
      </c>
      <c r="F2517" t="str">
        <f>IF(ROW(F2517)&lt;=Raw_hydro_bm!$J$2,Raw_hydro_bm!G2517,"")</f>
        <v/>
      </c>
      <c r="G2517" t="str">
        <f>IF(ROW(G2517)&lt;=Raw_hydro_bm!$J$2,Raw_hydro_bm!H2517,"")</f>
        <v/>
      </c>
      <c r="H2517" t="str">
        <f>IF(ROW(H2517)&lt;=Raw_hydro_bm!$J$2,Raw_hydro_bm!I2517,"")</f>
        <v/>
      </c>
      <c r="I2517" s="16" t="str">
        <f t="shared" si="39"/>
        <v/>
      </c>
    </row>
    <row r="2518" spans="1:9" x14ac:dyDescent="0.2">
      <c r="A2518" t="str">
        <f>IF(ROW(A2518)&lt;=Raw_hydro_bm!$J$2,Raw_hydro_bm!B2518,"")</f>
        <v/>
      </c>
      <c r="B2518" t="str">
        <f>IF(ROW(B2518)&lt;=Raw_hydro_bm!$J$2,Raw_hydro_bm!C2518,"")</f>
        <v/>
      </c>
      <c r="C2518" t="str">
        <f>IF(ROW(C2518)&lt;=Raw_hydro_bm!$J$2,Raw_hydro_bm!D2518,"")</f>
        <v/>
      </c>
      <c r="D2518" t="str">
        <f>IF(ROW(D2518)&lt;=Raw_hydro_bm!$J$2,Raw_hydro_bm!E2518,"")</f>
        <v/>
      </c>
      <c r="E2518" t="str">
        <f>IF(ROW(E2518)&lt;=Raw_hydro_bm!$J$2,Raw_hydro_bm!F2518,"")</f>
        <v/>
      </c>
      <c r="F2518" t="str">
        <f>IF(ROW(F2518)&lt;=Raw_hydro_bm!$J$2,Raw_hydro_bm!G2518,"")</f>
        <v/>
      </c>
      <c r="G2518" t="str">
        <f>IF(ROW(G2518)&lt;=Raw_hydro_bm!$J$2,Raw_hydro_bm!H2518,"")</f>
        <v/>
      </c>
      <c r="H2518" t="str">
        <f>IF(ROW(H2518)&lt;=Raw_hydro_bm!$J$2,Raw_hydro_bm!I2518,"")</f>
        <v/>
      </c>
      <c r="I2518" s="16" t="str">
        <f t="shared" si="39"/>
        <v/>
      </c>
    </row>
    <row r="2519" spans="1:9" x14ac:dyDescent="0.2">
      <c r="A2519" t="str">
        <f>IF(ROW(A2519)&lt;=Raw_hydro_bm!$J$2,Raw_hydro_bm!B2519,"")</f>
        <v/>
      </c>
      <c r="B2519" t="str">
        <f>IF(ROW(B2519)&lt;=Raw_hydro_bm!$J$2,Raw_hydro_bm!C2519,"")</f>
        <v/>
      </c>
      <c r="C2519" t="str">
        <f>IF(ROW(C2519)&lt;=Raw_hydro_bm!$J$2,Raw_hydro_bm!D2519,"")</f>
        <v/>
      </c>
      <c r="D2519" t="str">
        <f>IF(ROW(D2519)&lt;=Raw_hydro_bm!$J$2,Raw_hydro_bm!E2519,"")</f>
        <v/>
      </c>
      <c r="E2519" t="str">
        <f>IF(ROW(E2519)&lt;=Raw_hydro_bm!$J$2,Raw_hydro_bm!F2519,"")</f>
        <v/>
      </c>
      <c r="F2519" t="str">
        <f>IF(ROW(F2519)&lt;=Raw_hydro_bm!$J$2,Raw_hydro_bm!G2519,"")</f>
        <v/>
      </c>
      <c r="G2519" t="str">
        <f>IF(ROW(G2519)&lt;=Raw_hydro_bm!$J$2,Raw_hydro_bm!H2519,"")</f>
        <v/>
      </c>
      <c r="H2519" t="str">
        <f>IF(ROW(H2519)&lt;=Raw_hydro_bm!$J$2,Raw_hydro_bm!I2519,"")</f>
        <v/>
      </c>
      <c r="I2519" s="16" t="str">
        <f t="shared" si="39"/>
        <v/>
      </c>
    </row>
    <row r="2520" spans="1:9" x14ac:dyDescent="0.2">
      <c r="A2520" t="str">
        <f>IF(ROW(A2520)&lt;=Raw_hydro_bm!$J$2,Raw_hydro_bm!B2520,"")</f>
        <v/>
      </c>
      <c r="B2520" t="str">
        <f>IF(ROW(B2520)&lt;=Raw_hydro_bm!$J$2,Raw_hydro_bm!C2520,"")</f>
        <v/>
      </c>
      <c r="C2520" t="str">
        <f>IF(ROW(C2520)&lt;=Raw_hydro_bm!$J$2,Raw_hydro_bm!D2520,"")</f>
        <v/>
      </c>
      <c r="D2520" t="str">
        <f>IF(ROW(D2520)&lt;=Raw_hydro_bm!$J$2,Raw_hydro_bm!E2520,"")</f>
        <v/>
      </c>
      <c r="E2520" t="str">
        <f>IF(ROW(E2520)&lt;=Raw_hydro_bm!$J$2,Raw_hydro_bm!F2520,"")</f>
        <v/>
      </c>
      <c r="F2520" t="str">
        <f>IF(ROW(F2520)&lt;=Raw_hydro_bm!$J$2,Raw_hydro_bm!G2520,"")</f>
        <v/>
      </c>
      <c r="G2520" t="str">
        <f>IF(ROW(G2520)&lt;=Raw_hydro_bm!$J$2,Raw_hydro_bm!H2520,"")</f>
        <v/>
      </c>
      <c r="H2520" t="str">
        <f>IF(ROW(H2520)&lt;=Raw_hydro_bm!$J$2,Raw_hydro_bm!I2520,"")</f>
        <v/>
      </c>
      <c r="I2520" s="16" t="str">
        <f t="shared" si="39"/>
        <v/>
      </c>
    </row>
    <row r="2521" spans="1:9" x14ac:dyDescent="0.2">
      <c r="A2521" t="str">
        <f>IF(ROW(A2521)&lt;=Raw_hydro_bm!$J$2,Raw_hydro_bm!B2521,"")</f>
        <v/>
      </c>
      <c r="B2521" t="str">
        <f>IF(ROW(B2521)&lt;=Raw_hydro_bm!$J$2,Raw_hydro_bm!C2521,"")</f>
        <v/>
      </c>
      <c r="C2521" t="str">
        <f>IF(ROW(C2521)&lt;=Raw_hydro_bm!$J$2,Raw_hydro_bm!D2521,"")</f>
        <v/>
      </c>
      <c r="D2521" t="str">
        <f>IF(ROW(D2521)&lt;=Raw_hydro_bm!$J$2,Raw_hydro_bm!E2521,"")</f>
        <v/>
      </c>
      <c r="E2521" t="str">
        <f>IF(ROW(E2521)&lt;=Raw_hydro_bm!$J$2,Raw_hydro_bm!F2521,"")</f>
        <v/>
      </c>
      <c r="F2521" t="str">
        <f>IF(ROW(F2521)&lt;=Raw_hydro_bm!$J$2,Raw_hydro_bm!G2521,"")</f>
        <v/>
      </c>
      <c r="G2521" t="str">
        <f>IF(ROW(G2521)&lt;=Raw_hydro_bm!$J$2,Raw_hydro_bm!H2521,"")</f>
        <v/>
      </c>
      <c r="H2521" t="str">
        <f>IF(ROW(H2521)&lt;=Raw_hydro_bm!$J$2,Raw_hydro_bm!I2521,"")</f>
        <v/>
      </c>
      <c r="I2521" s="16" t="str">
        <f t="shared" si="39"/>
        <v/>
      </c>
    </row>
    <row r="2522" spans="1:9" x14ac:dyDescent="0.2">
      <c r="A2522" t="str">
        <f>IF(ROW(A2522)&lt;=Raw_hydro_bm!$J$2,Raw_hydro_bm!B2522,"")</f>
        <v/>
      </c>
      <c r="B2522" t="str">
        <f>IF(ROW(B2522)&lt;=Raw_hydro_bm!$J$2,Raw_hydro_bm!C2522,"")</f>
        <v/>
      </c>
      <c r="C2522" t="str">
        <f>IF(ROW(C2522)&lt;=Raw_hydro_bm!$J$2,Raw_hydro_bm!D2522,"")</f>
        <v/>
      </c>
      <c r="D2522" t="str">
        <f>IF(ROW(D2522)&lt;=Raw_hydro_bm!$J$2,Raw_hydro_bm!E2522,"")</f>
        <v/>
      </c>
      <c r="E2522" t="str">
        <f>IF(ROW(E2522)&lt;=Raw_hydro_bm!$J$2,Raw_hydro_bm!F2522,"")</f>
        <v/>
      </c>
      <c r="F2522" t="str">
        <f>IF(ROW(F2522)&lt;=Raw_hydro_bm!$J$2,Raw_hydro_bm!G2522,"")</f>
        <v/>
      </c>
      <c r="G2522" t="str">
        <f>IF(ROW(G2522)&lt;=Raw_hydro_bm!$J$2,Raw_hydro_bm!H2522,"")</f>
        <v/>
      </c>
      <c r="H2522" t="str">
        <f>IF(ROW(H2522)&lt;=Raw_hydro_bm!$J$2,Raw_hydro_bm!I2522,"")</f>
        <v/>
      </c>
      <c r="I2522" s="16" t="str">
        <f t="shared" si="39"/>
        <v/>
      </c>
    </row>
    <row r="2523" spans="1:9" x14ac:dyDescent="0.2">
      <c r="A2523" t="str">
        <f>IF(ROW(A2523)&lt;=Raw_hydro_bm!$J$2,Raw_hydro_bm!B2523,"")</f>
        <v/>
      </c>
      <c r="B2523" t="str">
        <f>IF(ROW(B2523)&lt;=Raw_hydro_bm!$J$2,Raw_hydro_bm!C2523,"")</f>
        <v/>
      </c>
      <c r="C2523" t="str">
        <f>IF(ROW(C2523)&lt;=Raw_hydro_bm!$J$2,Raw_hydro_bm!D2523,"")</f>
        <v/>
      </c>
      <c r="D2523" t="str">
        <f>IF(ROW(D2523)&lt;=Raw_hydro_bm!$J$2,Raw_hydro_bm!E2523,"")</f>
        <v/>
      </c>
      <c r="E2523" t="str">
        <f>IF(ROW(E2523)&lt;=Raw_hydro_bm!$J$2,Raw_hydro_bm!F2523,"")</f>
        <v/>
      </c>
      <c r="F2523" t="str">
        <f>IF(ROW(F2523)&lt;=Raw_hydro_bm!$J$2,Raw_hydro_bm!G2523,"")</f>
        <v/>
      </c>
      <c r="G2523" t="str">
        <f>IF(ROW(G2523)&lt;=Raw_hydro_bm!$J$2,Raw_hydro_bm!H2523,"")</f>
        <v/>
      </c>
      <c r="H2523" t="str">
        <f>IF(ROW(H2523)&lt;=Raw_hydro_bm!$J$2,Raw_hydro_bm!I2523,"")</f>
        <v/>
      </c>
      <c r="I2523" s="16" t="str">
        <f t="shared" si="39"/>
        <v/>
      </c>
    </row>
    <row r="2524" spans="1:9" x14ac:dyDescent="0.2">
      <c r="A2524" t="str">
        <f>IF(ROW(A2524)&lt;=Raw_hydro_bm!$J$2,Raw_hydro_bm!B2524,"")</f>
        <v/>
      </c>
      <c r="B2524" t="str">
        <f>IF(ROW(B2524)&lt;=Raw_hydro_bm!$J$2,Raw_hydro_bm!C2524,"")</f>
        <v/>
      </c>
      <c r="C2524" t="str">
        <f>IF(ROW(C2524)&lt;=Raw_hydro_bm!$J$2,Raw_hydro_bm!D2524,"")</f>
        <v/>
      </c>
      <c r="D2524" t="str">
        <f>IF(ROW(D2524)&lt;=Raw_hydro_bm!$J$2,Raw_hydro_bm!E2524,"")</f>
        <v/>
      </c>
      <c r="E2524" t="str">
        <f>IF(ROW(E2524)&lt;=Raw_hydro_bm!$J$2,Raw_hydro_bm!F2524,"")</f>
        <v/>
      </c>
      <c r="F2524" t="str">
        <f>IF(ROW(F2524)&lt;=Raw_hydro_bm!$J$2,Raw_hydro_bm!G2524,"")</f>
        <v/>
      </c>
      <c r="G2524" t="str">
        <f>IF(ROW(G2524)&lt;=Raw_hydro_bm!$J$2,Raw_hydro_bm!H2524,"")</f>
        <v/>
      </c>
      <c r="H2524" t="str">
        <f>IF(ROW(H2524)&lt;=Raw_hydro_bm!$J$2,Raw_hydro_bm!I2524,"")</f>
        <v/>
      </c>
      <c r="I2524" s="16" t="str">
        <f t="shared" si="39"/>
        <v/>
      </c>
    </row>
    <row r="2525" spans="1:9" x14ac:dyDescent="0.2">
      <c r="A2525" t="str">
        <f>IF(ROW(A2525)&lt;=Raw_hydro_bm!$J$2,Raw_hydro_bm!B2525,"")</f>
        <v/>
      </c>
      <c r="B2525" t="str">
        <f>IF(ROW(B2525)&lt;=Raw_hydro_bm!$J$2,Raw_hydro_bm!C2525,"")</f>
        <v/>
      </c>
      <c r="C2525" t="str">
        <f>IF(ROW(C2525)&lt;=Raw_hydro_bm!$J$2,Raw_hydro_bm!D2525,"")</f>
        <v/>
      </c>
      <c r="D2525" t="str">
        <f>IF(ROW(D2525)&lt;=Raw_hydro_bm!$J$2,Raw_hydro_bm!E2525,"")</f>
        <v/>
      </c>
      <c r="E2525" t="str">
        <f>IF(ROW(E2525)&lt;=Raw_hydro_bm!$J$2,Raw_hydro_bm!F2525,"")</f>
        <v/>
      </c>
      <c r="F2525" t="str">
        <f>IF(ROW(F2525)&lt;=Raw_hydro_bm!$J$2,Raw_hydro_bm!G2525,"")</f>
        <v/>
      </c>
      <c r="G2525" t="str">
        <f>IF(ROW(G2525)&lt;=Raw_hydro_bm!$J$2,Raw_hydro_bm!H2525,"")</f>
        <v/>
      </c>
      <c r="H2525" t="str">
        <f>IF(ROW(H2525)&lt;=Raw_hydro_bm!$J$2,Raw_hydro_bm!I2525,"")</f>
        <v/>
      </c>
      <c r="I2525" s="16" t="str">
        <f t="shared" si="39"/>
        <v/>
      </c>
    </row>
    <row r="2526" spans="1:9" x14ac:dyDescent="0.2">
      <c r="A2526" t="str">
        <f>IF(ROW(A2526)&lt;=Raw_hydro_bm!$J$2,Raw_hydro_bm!B2526,"")</f>
        <v/>
      </c>
      <c r="B2526" t="str">
        <f>IF(ROW(B2526)&lt;=Raw_hydro_bm!$J$2,Raw_hydro_bm!C2526,"")</f>
        <v/>
      </c>
      <c r="C2526" t="str">
        <f>IF(ROW(C2526)&lt;=Raw_hydro_bm!$J$2,Raw_hydro_bm!D2526,"")</f>
        <v/>
      </c>
      <c r="D2526" t="str">
        <f>IF(ROW(D2526)&lt;=Raw_hydro_bm!$J$2,Raw_hydro_bm!E2526,"")</f>
        <v/>
      </c>
      <c r="E2526" t="str">
        <f>IF(ROW(E2526)&lt;=Raw_hydro_bm!$J$2,Raw_hydro_bm!F2526,"")</f>
        <v/>
      </c>
      <c r="F2526" t="str">
        <f>IF(ROW(F2526)&lt;=Raw_hydro_bm!$J$2,Raw_hydro_bm!G2526,"")</f>
        <v/>
      </c>
      <c r="G2526" t="str">
        <f>IF(ROW(G2526)&lt;=Raw_hydro_bm!$J$2,Raw_hydro_bm!H2526,"")</f>
        <v/>
      </c>
      <c r="H2526" t="str">
        <f>IF(ROW(H2526)&lt;=Raw_hydro_bm!$J$2,Raw_hydro_bm!I2526,"")</f>
        <v/>
      </c>
      <c r="I2526" s="16" t="str">
        <f t="shared" si="39"/>
        <v/>
      </c>
    </row>
    <row r="2527" spans="1:9" x14ac:dyDescent="0.2">
      <c r="A2527" t="str">
        <f>IF(ROW(A2527)&lt;=Raw_hydro_bm!$J$2,Raw_hydro_bm!B2527,"")</f>
        <v/>
      </c>
      <c r="B2527" t="str">
        <f>IF(ROW(B2527)&lt;=Raw_hydro_bm!$J$2,Raw_hydro_bm!C2527,"")</f>
        <v/>
      </c>
      <c r="C2527" t="str">
        <f>IF(ROW(C2527)&lt;=Raw_hydro_bm!$J$2,Raw_hydro_bm!D2527,"")</f>
        <v/>
      </c>
      <c r="D2527" t="str">
        <f>IF(ROW(D2527)&lt;=Raw_hydro_bm!$J$2,Raw_hydro_bm!E2527,"")</f>
        <v/>
      </c>
      <c r="E2527" t="str">
        <f>IF(ROW(E2527)&lt;=Raw_hydro_bm!$J$2,Raw_hydro_bm!F2527,"")</f>
        <v/>
      </c>
      <c r="F2527" t="str">
        <f>IF(ROW(F2527)&lt;=Raw_hydro_bm!$J$2,Raw_hydro_bm!G2527,"")</f>
        <v/>
      </c>
      <c r="G2527" t="str">
        <f>IF(ROW(G2527)&lt;=Raw_hydro_bm!$J$2,Raw_hydro_bm!H2527,"")</f>
        <v/>
      </c>
      <c r="H2527" t="str">
        <f>IF(ROW(H2527)&lt;=Raw_hydro_bm!$J$2,Raw_hydro_bm!I2527,"")</f>
        <v/>
      </c>
      <c r="I2527" s="16" t="str">
        <f t="shared" si="39"/>
        <v/>
      </c>
    </row>
    <row r="2528" spans="1:9" x14ac:dyDescent="0.2">
      <c r="A2528" t="str">
        <f>IF(ROW(A2528)&lt;=Raw_hydro_bm!$J$2,Raw_hydro_bm!B2528,"")</f>
        <v/>
      </c>
      <c r="B2528" t="str">
        <f>IF(ROW(B2528)&lt;=Raw_hydro_bm!$J$2,Raw_hydro_bm!C2528,"")</f>
        <v/>
      </c>
      <c r="C2528" t="str">
        <f>IF(ROW(C2528)&lt;=Raw_hydro_bm!$J$2,Raw_hydro_bm!D2528,"")</f>
        <v/>
      </c>
      <c r="D2528" t="str">
        <f>IF(ROW(D2528)&lt;=Raw_hydro_bm!$J$2,Raw_hydro_bm!E2528,"")</f>
        <v/>
      </c>
      <c r="E2528" t="str">
        <f>IF(ROW(E2528)&lt;=Raw_hydro_bm!$J$2,Raw_hydro_bm!F2528,"")</f>
        <v/>
      </c>
      <c r="F2528" t="str">
        <f>IF(ROW(F2528)&lt;=Raw_hydro_bm!$J$2,Raw_hydro_bm!G2528,"")</f>
        <v/>
      </c>
      <c r="G2528" t="str">
        <f>IF(ROW(G2528)&lt;=Raw_hydro_bm!$J$2,Raw_hydro_bm!H2528,"")</f>
        <v/>
      </c>
      <c r="H2528" t="str">
        <f>IF(ROW(H2528)&lt;=Raw_hydro_bm!$J$2,Raw_hydro_bm!I2528,"")</f>
        <v/>
      </c>
      <c r="I2528" s="16" t="str">
        <f t="shared" si="39"/>
        <v/>
      </c>
    </row>
    <row r="2529" spans="1:9" x14ac:dyDescent="0.2">
      <c r="A2529" t="str">
        <f>IF(ROW(A2529)&lt;=Raw_hydro_bm!$J$2,Raw_hydro_bm!B2529,"")</f>
        <v/>
      </c>
      <c r="B2529" t="str">
        <f>IF(ROW(B2529)&lt;=Raw_hydro_bm!$J$2,Raw_hydro_bm!C2529,"")</f>
        <v/>
      </c>
      <c r="C2529" t="str">
        <f>IF(ROW(C2529)&lt;=Raw_hydro_bm!$J$2,Raw_hydro_bm!D2529,"")</f>
        <v/>
      </c>
      <c r="D2529" t="str">
        <f>IF(ROW(D2529)&lt;=Raw_hydro_bm!$J$2,Raw_hydro_bm!E2529,"")</f>
        <v/>
      </c>
      <c r="E2529" t="str">
        <f>IF(ROW(E2529)&lt;=Raw_hydro_bm!$J$2,Raw_hydro_bm!F2529,"")</f>
        <v/>
      </c>
      <c r="F2529" t="str">
        <f>IF(ROW(F2529)&lt;=Raw_hydro_bm!$J$2,Raw_hydro_bm!G2529,"")</f>
        <v/>
      </c>
      <c r="G2529" t="str">
        <f>IF(ROW(G2529)&lt;=Raw_hydro_bm!$J$2,Raw_hydro_bm!H2529,"")</f>
        <v/>
      </c>
      <c r="H2529" t="str">
        <f>IF(ROW(H2529)&lt;=Raw_hydro_bm!$J$2,Raw_hydro_bm!I2529,"")</f>
        <v/>
      </c>
      <c r="I2529" s="16" t="str">
        <f t="shared" si="39"/>
        <v/>
      </c>
    </row>
    <row r="2530" spans="1:9" x14ac:dyDescent="0.2">
      <c r="A2530" t="str">
        <f>IF(ROW(A2530)&lt;=Raw_hydro_bm!$J$2,Raw_hydro_bm!B2530,"")</f>
        <v/>
      </c>
      <c r="B2530" t="str">
        <f>IF(ROW(B2530)&lt;=Raw_hydro_bm!$J$2,Raw_hydro_bm!C2530,"")</f>
        <v/>
      </c>
      <c r="C2530" t="str">
        <f>IF(ROW(C2530)&lt;=Raw_hydro_bm!$J$2,Raw_hydro_bm!D2530,"")</f>
        <v/>
      </c>
      <c r="D2530" t="str">
        <f>IF(ROW(D2530)&lt;=Raw_hydro_bm!$J$2,Raw_hydro_bm!E2530,"")</f>
        <v/>
      </c>
      <c r="E2530" t="str">
        <f>IF(ROW(E2530)&lt;=Raw_hydro_bm!$J$2,Raw_hydro_bm!F2530,"")</f>
        <v/>
      </c>
      <c r="F2530" t="str">
        <f>IF(ROW(F2530)&lt;=Raw_hydro_bm!$J$2,Raw_hydro_bm!G2530,"")</f>
        <v/>
      </c>
      <c r="G2530" t="str">
        <f>IF(ROW(G2530)&lt;=Raw_hydro_bm!$J$2,Raw_hydro_bm!H2530,"")</f>
        <v/>
      </c>
      <c r="H2530" t="str">
        <f>IF(ROW(H2530)&lt;=Raw_hydro_bm!$J$2,Raw_hydro_bm!I2530,"")</f>
        <v/>
      </c>
      <c r="I2530" s="16" t="str">
        <f t="shared" si="39"/>
        <v/>
      </c>
    </row>
    <row r="2531" spans="1:9" x14ac:dyDescent="0.2">
      <c r="A2531" t="str">
        <f>IF(ROW(A2531)&lt;=Raw_hydro_bm!$J$2,Raw_hydro_bm!B2531,"")</f>
        <v/>
      </c>
      <c r="B2531" t="str">
        <f>IF(ROW(B2531)&lt;=Raw_hydro_bm!$J$2,Raw_hydro_bm!C2531,"")</f>
        <v/>
      </c>
      <c r="C2531" t="str">
        <f>IF(ROW(C2531)&lt;=Raw_hydro_bm!$J$2,Raw_hydro_bm!D2531,"")</f>
        <v/>
      </c>
      <c r="D2531" t="str">
        <f>IF(ROW(D2531)&lt;=Raw_hydro_bm!$J$2,Raw_hydro_bm!E2531,"")</f>
        <v/>
      </c>
      <c r="E2531" t="str">
        <f>IF(ROW(E2531)&lt;=Raw_hydro_bm!$J$2,Raw_hydro_bm!F2531,"")</f>
        <v/>
      </c>
      <c r="F2531" t="str">
        <f>IF(ROW(F2531)&lt;=Raw_hydro_bm!$J$2,Raw_hydro_bm!G2531,"")</f>
        <v/>
      </c>
      <c r="G2531" t="str">
        <f>IF(ROW(G2531)&lt;=Raw_hydro_bm!$J$2,Raw_hydro_bm!H2531,"")</f>
        <v/>
      </c>
      <c r="H2531" t="str">
        <f>IF(ROW(H2531)&lt;=Raw_hydro_bm!$J$2,Raw_hydro_bm!I2531,"")</f>
        <v/>
      </c>
      <c r="I2531" s="16" t="str">
        <f t="shared" si="39"/>
        <v/>
      </c>
    </row>
    <row r="2532" spans="1:9" x14ac:dyDescent="0.2">
      <c r="A2532" t="str">
        <f>IF(ROW(A2532)&lt;=Raw_hydro_bm!$J$2,Raw_hydro_bm!B2532,"")</f>
        <v/>
      </c>
      <c r="B2532" t="str">
        <f>IF(ROW(B2532)&lt;=Raw_hydro_bm!$J$2,Raw_hydro_bm!C2532,"")</f>
        <v/>
      </c>
      <c r="C2532" t="str">
        <f>IF(ROW(C2532)&lt;=Raw_hydro_bm!$J$2,Raw_hydro_bm!D2532,"")</f>
        <v/>
      </c>
      <c r="D2532" t="str">
        <f>IF(ROW(D2532)&lt;=Raw_hydro_bm!$J$2,Raw_hydro_bm!E2532,"")</f>
        <v/>
      </c>
      <c r="E2532" t="str">
        <f>IF(ROW(E2532)&lt;=Raw_hydro_bm!$J$2,Raw_hydro_bm!F2532,"")</f>
        <v/>
      </c>
      <c r="F2532" t="str">
        <f>IF(ROW(F2532)&lt;=Raw_hydro_bm!$J$2,Raw_hydro_bm!G2532,"")</f>
        <v/>
      </c>
      <c r="G2532" t="str">
        <f>IF(ROW(G2532)&lt;=Raw_hydro_bm!$J$2,Raw_hydro_bm!H2532,"")</f>
        <v/>
      </c>
      <c r="H2532" t="str">
        <f>IF(ROW(H2532)&lt;=Raw_hydro_bm!$J$2,Raw_hydro_bm!I2532,"")</f>
        <v/>
      </c>
      <c r="I2532" s="16" t="str">
        <f t="shared" si="39"/>
        <v/>
      </c>
    </row>
    <row r="2533" spans="1:9" x14ac:dyDescent="0.2">
      <c r="A2533" t="str">
        <f>IF(ROW(A2533)&lt;=Raw_hydro_bm!$J$2,Raw_hydro_bm!B2533,"")</f>
        <v/>
      </c>
      <c r="B2533" t="str">
        <f>IF(ROW(B2533)&lt;=Raw_hydro_bm!$J$2,Raw_hydro_bm!C2533,"")</f>
        <v/>
      </c>
      <c r="C2533" t="str">
        <f>IF(ROW(C2533)&lt;=Raw_hydro_bm!$J$2,Raw_hydro_bm!D2533,"")</f>
        <v/>
      </c>
      <c r="D2533" t="str">
        <f>IF(ROW(D2533)&lt;=Raw_hydro_bm!$J$2,Raw_hydro_bm!E2533,"")</f>
        <v/>
      </c>
      <c r="E2533" t="str">
        <f>IF(ROW(E2533)&lt;=Raw_hydro_bm!$J$2,Raw_hydro_bm!F2533,"")</f>
        <v/>
      </c>
      <c r="F2533" t="str">
        <f>IF(ROW(F2533)&lt;=Raw_hydro_bm!$J$2,Raw_hydro_bm!G2533,"")</f>
        <v/>
      </c>
      <c r="G2533" t="str">
        <f>IF(ROW(G2533)&lt;=Raw_hydro_bm!$J$2,Raw_hydro_bm!H2533,"")</f>
        <v/>
      </c>
      <c r="H2533" t="str">
        <f>IF(ROW(H2533)&lt;=Raw_hydro_bm!$J$2,Raw_hydro_bm!I2533,"")</f>
        <v/>
      </c>
      <c r="I2533" s="16" t="str">
        <f t="shared" si="39"/>
        <v/>
      </c>
    </row>
    <row r="2534" spans="1:9" x14ac:dyDescent="0.2">
      <c r="A2534" t="str">
        <f>IF(ROW(A2534)&lt;=Raw_hydro_bm!$J$2,Raw_hydro_bm!B2534,"")</f>
        <v/>
      </c>
      <c r="B2534" t="str">
        <f>IF(ROW(B2534)&lt;=Raw_hydro_bm!$J$2,Raw_hydro_bm!C2534,"")</f>
        <v/>
      </c>
      <c r="C2534" t="str">
        <f>IF(ROW(C2534)&lt;=Raw_hydro_bm!$J$2,Raw_hydro_bm!D2534,"")</f>
        <v/>
      </c>
      <c r="D2534" t="str">
        <f>IF(ROW(D2534)&lt;=Raw_hydro_bm!$J$2,Raw_hydro_bm!E2534,"")</f>
        <v/>
      </c>
      <c r="E2534" t="str">
        <f>IF(ROW(E2534)&lt;=Raw_hydro_bm!$J$2,Raw_hydro_bm!F2534,"")</f>
        <v/>
      </c>
      <c r="F2534" t="str">
        <f>IF(ROW(F2534)&lt;=Raw_hydro_bm!$J$2,Raw_hydro_bm!G2534,"")</f>
        <v/>
      </c>
      <c r="G2534" t="str">
        <f>IF(ROW(G2534)&lt;=Raw_hydro_bm!$J$2,Raw_hydro_bm!H2534,"")</f>
        <v/>
      </c>
      <c r="H2534" t="str">
        <f>IF(ROW(H2534)&lt;=Raw_hydro_bm!$J$2,Raw_hydro_bm!I2534,"")</f>
        <v/>
      </c>
      <c r="I2534" s="16" t="str">
        <f t="shared" si="39"/>
        <v/>
      </c>
    </row>
    <row r="2535" spans="1:9" x14ac:dyDescent="0.2">
      <c r="A2535" t="str">
        <f>IF(ROW(A2535)&lt;=Raw_hydro_bm!$J$2,Raw_hydro_bm!B2535,"")</f>
        <v/>
      </c>
      <c r="B2535" t="str">
        <f>IF(ROW(B2535)&lt;=Raw_hydro_bm!$J$2,Raw_hydro_bm!C2535,"")</f>
        <v/>
      </c>
      <c r="C2535" t="str">
        <f>IF(ROW(C2535)&lt;=Raw_hydro_bm!$J$2,Raw_hydro_bm!D2535,"")</f>
        <v/>
      </c>
      <c r="D2535" t="str">
        <f>IF(ROW(D2535)&lt;=Raw_hydro_bm!$J$2,Raw_hydro_bm!E2535,"")</f>
        <v/>
      </c>
      <c r="E2535" t="str">
        <f>IF(ROW(E2535)&lt;=Raw_hydro_bm!$J$2,Raw_hydro_bm!F2535,"")</f>
        <v/>
      </c>
      <c r="F2535" t="str">
        <f>IF(ROW(F2535)&lt;=Raw_hydro_bm!$J$2,Raw_hydro_bm!G2535,"")</f>
        <v/>
      </c>
      <c r="G2535" t="str">
        <f>IF(ROW(G2535)&lt;=Raw_hydro_bm!$J$2,Raw_hydro_bm!H2535,"")</f>
        <v/>
      </c>
      <c r="H2535" t="str">
        <f>IF(ROW(H2535)&lt;=Raw_hydro_bm!$J$2,Raw_hydro_bm!I2535,"")</f>
        <v/>
      </c>
      <c r="I2535" s="16" t="str">
        <f t="shared" si="39"/>
        <v/>
      </c>
    </row>
    <row r="2536" spans="1:9" x14ac:dyDescent="0.2">
      <c r="A2536" t="str">
        <f>IF(ROW(A2536)&lt;=Raw_hydro_bm!$J$2,Raw_hydro_bm!B2536,"")</f>
        <v/>
      </c>
      <c r="B2536" t="str">
        <f>IF(ROW(B2536)&lt;=Raw_hydro_bm!$J$2,Raw_hydro_bm!C2536,"")</f>
        <v/>
      </c>
      <c r="C2536" t="str">
        <f>IF(ROW(C2536)&lt;=Raw_hydro_bm!$J$2,Raw_hydro_bm!D2536,"")</f>
        <v/>
      </c>
      <c r="D2536" t="str">
        <f>IF(ROW(D2536)&lt;=Raw_hydro_bm!$J$2,Raw_hydro_bm!E2536,"")</f>
        <v/>
      </c>
      <c r="E2536" t="str">
        <f>IF(ROW(E2536)&lt;=Raw_hydro_bm!$J$2,Raw_hydro_bm!F2536,"")</f>
        <v/>
      </c>
      <c r="F2536" t="str">
        <f>IF(ROW(F2536)&lt;=Raw_hydro_bm!$J$2,Raw_hydro_bm!G2536,"")</f>
        <v/>
      </c>
      <c r="G2536" t="str">
        <f>IF(ROW(G2536)&lt;=Raw_hydro_bm!$J$2,Raw_hydro_bm!H2536,"")</f>
        <v/>
      </c>
      <c r="H2536" t="str">
        <f>IF(ROW(H2536)&lt;=Raw_hydro_bm!$J$2,Raw_hydro_bm!I2536,"")</f>
        <v/>
      </c>
      <c r="I2536" s="16" t="str">
        <f t="shared" si="39"/>
        <v/>
      </c>
    </row>
    <row r="2537" spans="1:9" x14ac:dyDescent="0.2">
      <c r="A2537" t="str">
        <f>IF(ROW(A2537)&lt;=Raw_hydro_bm!$J$2,Raw_hydro_bm!B2537,"")</f>
        <v/>
      </c>
      <c r="B2537" t="str">
        <f>IF(ROW(B2537)&lt;=Raw_hydro_bm!$J$2,Raw_hydro_bm!C2537,"")</f>
        <v/>
      </c>
      <c r="C2537" t="str">
        <f>IF(ROW(C2537)&lt;=Raw_hydro_bm!$J$2,Raw_hydro_bm!D2537,"")</f>
        <v/>
      </c>
      <c r="D2537" t="str">
        <f>IF(ROW(D2537)&lt;=Raw_hydro_bm!$J$2,Raw_hydro_bm!E2537,"")</f>
        <v/>
      </c>
      <c r="E2537" t="str">
        <f>IF(ROW(E2537)&lt;=Raw_hydro_bm!$J$2,Raw_hydro_bm!F2537,"")</f>
        <v/>
      </c>
      <c r="F2537" t="str">
        <f>IF(ROW(F2537)&lt;=Raw_hydro_bm!$J$2,Raw_hydro_bm!G2537,"")</f>
        <v/>
      </c>
      <c r="G2537" t="str">
        <f>IF(ROW(G2537)&lt;=Raw_hydro_bm!$J$2,Raw_hydro_bm!H2537,"")</f>
        <v/>
      </c>
      <c r="H2537" t="str">
        <f>IF(ROW(H2537)&lt;=Raw_hydro_bm!$J$2,Raw_hydro_bm!I2537,"")</f>
        <v/>
      </c>
      <c r="I2537" s="16" t="str">
        <f t="shared" si="39"/>
        <v/>
      </c>
    </row>
    <row r="2538" spans="1:9" x14ac:dyDescent="0.2">
      <c r="A2538" t="str">
        <f>IF(ROW(A2538)&lt;=Raw_hydro_bm!$J$2,Raw_hydro_bm!B2538,"")</f>
        <v/>
      </c>
      <c r="B2538" t="str">
        <f>IF(ROW(B2538)&lt;=Raw_hydro_bm!$J$2,Raw_hydro_bm!C2538,"")</f>
        <v/>
      </c>
      <c r="C2538" t="str">
        <f>IF(ROW(C2538)&lt;=Raw_hydro_bm!$J$2,Raw_hydro_bm!D2538,"")</f>
        <v/>
      </c>
      <c r="D2538" t="str">
        <f>IF(ROW(D2538)&lt;=Raw_hydro_bm!$J$2,Raw_hydro_bm!E2538,"")</f>
        <v/>
      </c>
      <c r="E2538" t="str">
        <f>IF(ROW(E2538)&lt;=Raw_hydro_bm!$J$2,Raw_hydro_bm!F2538,"")</f>
        <v/>
      </c>
      <c r="F2538" t="str">
        <f>IF(ROW(F2538)&lt;=Raw_hydro_bm!$J$2,Raw_hydro_bm!G2538,"")</f>
        <v/>
      </c>
      <c r="G2538" t="str">
        <f>IF(ROW(G2538)&lt;=Raw_hydro_bm!$J$2,Raw_hydro_bm!H2538,"")</f>
        <v/>
      </c>
      <c r="H2538" t="str">
        <f>IF(ROW(H2538)&lt;=Raw_hydro_bm!$J$2,Raw_hydro_bm!I2538,"")</f>
        <v/>
      </c>
      <c r="I2538" s="16" t="str">
        <f t="shared" si="39"/>
        <v/>
      </c>
    </row>
    <row r="2539" spans="1:9" x14ac:dyDescent="0.2">
      <c r="A2539" t="str">
        <f>IF(ROW(A2539)&lt;=Raw_hydro_bm!$J$2,Raw_hydro_bm!B2539,"")</f>
        <v/>
      </c>
      <c r="B2539" t="str">
        <f>IF(ROW(B2539)&lt;=Raw_hydro_bm!$J$2,Raw_hydro_bm!C2539,"")</f>
        <v/>
      </c>
      <c r="C2539" t="str">
        <f>IF(ROW(C2539)&lt;=Raw_hydro_bm!$J$2,Raw_hydro_bm!D2539,"")</f>
        <v/>
      </c>
      <c r="D2539" t="str">
        <f>IF(ROW(D2539)&lt;=Raw_hydro_bm!$J$2,Raw_hydro_bm!E2539,"")</f>
        <v/>
      </c>
      <c r="E2539" t="str">
        <f>IF(ROW(E2539)&lt;=Raw_hydro_bm!$J$2,Raw_hydro_bm!F2539,"")</f>
        <v/>
      </c>
      <c r="F2539" t="str">
        <f>IF(ROW(F2539)&lt;=Raw_hydro_bm!$J$2,Raw_hydro_bm!G2539,"")</f>
        <v/>
      </c>
      <c r="G2539" t="str">
        <f>IF(ROW(G2539)&lt;=Raw_hydro_bm!$J$2,Raw_hydro_bm!H2539,"")</f>
        <v/>
      </c>
      <c r="H2539" t="str">
        <f>IF(ROW(H2539)&lt;=Raw_hydro_bm!$J$2,Raw_hydro_bm!I2539,"")</f>
        <v/>
      </c>
      <c r="I2539" s="16" t="str">
        <f t="shared" si="39"/>
        <v/>
      </c>
    </row>
    <row r="2540" spans="1:9" x14ac:dyDescent="0.2">
      <c r="A2540" t="str">
        <f>IF(ROW(A2540)&lt;=Raw_hydro_bm!$J$2,Raw_hydro_bm!B2540,"")</f>
        <v/>
      </c>
      <c r="B2540" t="str">
        <f>IF(ROW(B2540)&lt;=Raw_hydro_bm!$J$2,Raw_hydro_bm!C2540,"")</f>
        <v/>
      </c>
      <c r="C2540" t="str">
        <f>IF(ROW(C2540)&lt;=Raw_hydro_bm!$J$2,Raw_hydro_bm!D2540,"")</f>
        <v/>
      </c>
      <c r="D2540" t="str">
        <f>IF(ROW(D2540)&lt;=Raw_hydro_bm!$J$2,Raw_hydro_bm!E2540,"")</f>
        <v/>
      </c>
      <c r="E2540" t="str">
        <f>IF(ROW(E2540)&lt;=Raw_hydro_bm!$J$2,Raw_hydro_bm!F2540,"")</f>
        <v/>
      </c>
      <c r="F2540" t="str">
        <f>IF(ROW(F2540)&lt;=Raw_hydro_bm!$J$2,Raw_hydro_bm!G2540,"")</f>
        <v/>
      </c>
      <c r="G2540" t="str">
        <f>IF(ROW(G2540)&lt;=Raw_hydro_bm!$J$2,Raw_hydro_bm!H2540,"")</f>
        <v/>
      </c>
      <c r="H2540" t="str">
        <f>IF(ROW(H2540)&lt;=Raw_hydro_bm!$J$2,Raw_hydro_bm!I2540,"")</f>
        <v/>
      </c>
      <c r="I2540" s="16" t="str">
        <f t="shared" si="39"/>
        <v/>
      </c>
    </row>
    <row r="2541" spans="1:9" x14ac:dyDescent="0.2">
      <c r="A2541" t="str">
        <f>IF(ROW(A2541)&lt;=Raw_hydro_bm!$J$2,Raw_hydro_bm!B2541,"")</f>
        <v/>
      </c>
      <c r="B2541" t="str">
        <f>IF(ROW(B2541)&lt;=Raw_hydro_bm!$J$2,Raw_hydro_bm!C2541,"")</f>
        <v/>
      </c>
      <c r="C2541" t="str">
        <f>IF(ROW(C2541)&lt;=Raw_hydro_bm!$J$2,Raw_hydro_bm!D2541,"")</f>
        <v/>
      </c>
      <c r="D2541" t="str">
        <f>IF(ROW(D2541)&lt;=Raw_hydro_bm!$J$2,Raw_hydro_bm!E2541,"")</f>
        <v/>
      </c>
      <c r="E2541" t="str">
        <f>IF(ROW(E2541)&lt;=Raw_hydro_bm!$J$2,Raw_hydro_bm!F2541,"")</f>
        <v/>
      </c>
      <c r="F2541" t="str">
        <f>IF(ROW(F2541)&lt;=Raw_hydro_bm!$J$2,Raw_hydro_bm!G2541,"")</f>
        <v/>
      </c>
      <c r="G2541" t="str">
        <f>IF(ROW(G2541)&lt;=Raw_hydro_bm!$J$2,Raw_hydro_bm!H2541,"")</f>
        <v/>
      </c>
      <c r="H2541" t="str">
        <f>IF(ROW(H2541)&lt;=Raw_hydro_bm!$J$2,Raw_hydro_bm!I2541,"")</f>
        <v/>
      </c>
      <c r="I2541" s="16" t="str">
        <f t="shared" si="39"/>
        <v/>
      </c>
    </row>
    <row r="2542" spans="1:9" x14ac:dyDescent="0.2">
      <c r="A2542" t="str">
        <f>IF(ROW(A2542)&lt;=Raw_hydro_bm!$J$2,Raw_hydro_bm!B2542,"")</f>
        <v/>
      </c>
      <c r="B2542" t="str">
        <f>IF(ROW(B2542)&lt;=Raw_hydro_bm!$J$2,Raw_hydro_bm!C2542,"")</f>
        <v/>
      </c>
      <c r="C2542" t="str">
        <f>IF(ROW(C2542)&lt;=Raw_hydro_bm!$J$2,Raw_hydro_bm!D2542,"")</f>
        <v/>
      </c>
      <c r="D2542" t="str">
        <f>IF(ROW(D2542)&lt;=Raw_hydro_bm!$J$2,Raw_hydro_bm!E2542,"")</f>
        <v/>
      </c>
      <c r="E2542" t="str">
        <f>IF(ROW(E2542)&lt;=Raw_hydro_bm!$J$2,Raw_hydro_bm!F2542,"")</f>
        <v/>
      </c>
      <c r="F2542" t="str">
        <f>IF(ROW(F2542)&lt;=Raw_hydro_bm!$J$2,Raw_hydro_bm!G2542,"")</f>
        <v/>
      </c>
      <c r="G2542" t="str">
        <f>IF(ROW(G2542)&lt;=Raw_hydro_bm!$J$2,Raw_hydro_bm!H2542,"")</f>
        <v/>
      </c>
      <c r="H2542" t="str">
        <f>IF(ROW(H2542)&lt;=Raw_hydro_bm!$J$2,Raw_hydro_bm!I2542,"")</f>
        <v/>
      </c>
      <c r="I2542" s="16" t="str">
        <f t="shared" si="39"/>
        <v/>
      </c>
    </row>
    <row r="2543" spans="1:9" x14ac:dyDescent="0.2">
      <c r="A2543" t="str">
        <f>IF(ROW(A2543)&lt;=Raw_hydro_bm!$J$2,Raw_hydro_bm!B2543,"")</f>
        <v/>
      </c>
      <c r="B2543" t="str">
        <f>IF(ROW(B2543)&lt;=Raw_hydro_bm!$J$2,Raw_hydro_bm!C2543,"")</f>
        <v/>
      </c>
      <c r="C2543" t="str">
        <f>IF(ROW(C2543)&lt;=Raw_hydro_bm!$J$2,Raw_hydro_bm!D2543,"")</f>
        <v/>
      </c>
      <c r="D2543" t="str">
        <f>IF(ROW(D2543)&lt;=Raw_hydro_bm!$J$2,Raw_hydro_bm!E2543,"")</f>
        <v/>
      </c>
      <c r="E2543" t="str">
        <f>IF(ROW(E2543)&lt;=Raw_hydro_bm!$J$2,Raw_hydro_bm!F2543,"")</f>
        <v/>
      </c>
      <c r="F2543" t="str">
        <f>IF(ROW(F2543)&lt;=Raw_hydro_bm!$J$2,Raw_hydro_bm!G2543,"")</f>
        <v/>
      </c>
      <c r="G2543" t="str">
        <f>IF(ROW(G2543)&lt;=Raw_hydro_bm!$J$2,Raw_hydro_bm!H2543,"")</f>
        <v/>
      </c>
      <c r="H2543" t="str">
        <f>IF(ROW(H2543)&lt;=Raw_hydro_bm!$J$2,Raw_hydro_bm!I2543,"")</f>
        <v/>
      </c>
      <c r="I2543" s="16" t="str">
        <f t="shared" si="39"/>
        <v/>
      </c>
    </row>
    <row r="2544" spans="1:9" x14ac:dyDescent="0.2">
      <c r="A2544" t="str">
        <f>IF(ROW(A2544)&lt;=Raw_hydro_bm!$J$2,Raw_hydro_bm!B2544,"")</f>
        <v/>
      </c>
      <c r="B2544" t="str">
        <f>IF(ROW(B2544)&lt;=Raw_hydro_bm!$J$2,Raw_hydro_bm!C2544,"")</f>
        <v/>
      </c>
      <c r="C2544" t="str">
        <f>IF(ROW(C2544)&lt;=Raw_hydro_bm!$J$2,Raw_hydro_bm!D2544,"")</f>
        <v/>
      </c>
      <c r="D2544" t="str">
        <f>IF(ROW(D2544)&lt;=Raw_hydro_bm!$J$2,Raw_hydro_bm!E2544,"")</f>
        <v/>
      </c>
      <c r="E2544" t="str">
        <f>IF(ROW(E2544)&lt;=Raw_hydro_bm!$J$2,Raw_hydro_bm!F2544,"")</f>
        <v/>
      </c>
      <c r="F2544" t="str">
        <f>IF(ROW(F2544)&lt;=Raw_hydro_bm!$J$2,Raw_hydro_bm!G2544,"")</f>
        <v/>
      </c>
      <c r="G2544" t="str">
        <f>IF(ROW(G2544)&lt;=Raw_hydro_bm!$J$2,Raw_hydro_bm!H2544,"")</f>
        <v/>
      </c>
      <c r="H2544" t="str">
        <f>IF(ROW(H2544)&lt;=Raw_hydro_bm!$J$2,Raw_hydro_bm!I2544,"")</f>
        <v/>
      </c>
      <c r="I2544" s="16" t="str">
        <f t="shared" si="39"/>
        <v/>
      </c>
    </row>
    <row r="2545" spans="1:9" x14ac:dyDescent="0.2">
      <c r="A2545" t="str">
        <f>IF(ROW(A2545)&lt;=Raw_hydro_bm!$J$2,Raw_hydro_bm!B2545,"")</f>
        <v/>
      </c>
      <c r="B2545" t="str">
        <f>IF(ROW(B2545)&lt;=Raw_hydro_bm!$J$2,Raw_hydro_bm!C2545,"")</f>
        <v/>
      </c>
      <c r="C2545" t="str">
        <f>IF(ROW(C2545)&lt;=Raw_hydro_bm!$J$2,Raw_hydro_bm!D2545,"")</f>
        <v/>
      </c>
      <c r="D2545" t="str">
        <f>IF(ROW(D2545)&lt;=Raw_hydro_bm!$J$2,Raw_hydro_bm!E2545,"")</f>
        <v/>
      </c>
      <c r="E2545" t="str">
        <f>IF(ROW(E2545)&lt;=Raw_hydro_bm!$J$2,Raw_hydro_bm!F2545,"")</f>
        <v/>
      </c>
      <c r="F2545" t="str">
        <f>IF(ROW(F2545)&lt;=Raw_hydro_bm!$J$2,Raw_hydro_bm!G2545,"")</f>
        <v/>
      </c>
      <c r="G2545" t="str">
        <f>IF(ROW(G2545)&lt;=Raw_hydro_bm!$J$2,Raw_hydro_bm!H2545,"")</f>
        <v/>
      </c>
      <c r="H2545" t="str">
        <f>IF(ROW(H2545)&lt;=Raw_hydro_bm!$J$2,Raw_hydro_bm!I2545,"")</f>
        <v/>
      </c>
      <c r="I2545" s="16" t="str">
        <f t="shared" si="39"/>
        <v/>
      </c>
    </row>
    <row r="2546" spans="1:9" x14ac:dyDescent="0.2">
      <c r="A2546" t="str">
        <f>IF(ROW(A2546)&lt;=Raw_hydro_bm!$J$2,Raw_hydro_bm!B2546,"")</f>
        <v/>
      </c>
      <c r="B2546" t="str">
        <f>IF(ROW(B2546)&lt;=Raw_hydro_bm!$J$2,Raw_hydro_bm!C2546,"")</f>
        <v/>
      </c>
      <c r="C2546" t="str">
        <f>IF(ROW(C2546)&lt;=Raw_hydro_bm!$J$2,Raw_hydro_bm!D2546,"")</f>
        <v/>
      </c>
      <c r="D2546" t="str">
        <f>IF(ROW(D2546)&lt;=Raw_hydro_bm!$J$2,Raw_hydro_bm!E2546,"")</f>
        <v/>
      </c>
      <c r="E2546" t="str">
        <f>IF(ROW(E2546)&lt;=Raw_hydro_bm!$J$2,Raw_hydro_bm!F2546,"")</f>
        <v/>
      </c>
      <c r="F2546" t="str">
        <f>IF(ROW(F2546)&lt;=Raw_hydro_bm!$J$2,Raw_hydro_bm!G2546,"")</f>
        <v/>
      </c>
      <c r="G2546" t="str">
        <f>IF(ROW(G2546)&lt;=Raw_hydro_bm!$J$2,Raw_hydro_bm!H2546,"")</f>
        <v/>
      </c>
      <c r="H2546" t="str">
        <f>IF(ROW(H2546)&lt;=Raw_hydro_bm!$J$2,Raw_hydro_bm!I2546,"")</f>
        <v/>
      </c>
      <c r="I2546" s="16" t="str">
        <f t="shared" si="39"/>
        <v/>
      </c>
    </row>
    <row r="2547" spans="1:9" x14ac:dyDescent="0.2">
      <c r="A2547" t="str">
        <f>IF(ROW(A2547)&lt;=Raw_hydro_bm!$J$2,Raw_hydro_bm!B2547,"")</f>
        <v/>
      </c>
      <c r="B2547" t="str">
        <f>IF(ROW(B2547)&lt;=Raw_hydro_bm!$J$2,Raw_hydro_bm!C2547,"")</f>
        <v/>
      </c>
      <c r="C2547" t="str">
        <f>IF(ROW(C2547)&lt;=Raw_hydro_bm!$J$2,Raw_hydro_bm!D2547,"")</f>
        <v/>
      </c>
      <c r="D2547" t="str">
        <f>IF(ROW(D2547)&lt;=Raw_hydro_bm!$J$2,Raw_hydro_bm!E2547,"")</f>
        <v/>
      </c>
      <c r="E2547" t="str">
        <f>IF(ROW(E2547)&lt;=Raw_hydro_bm!$J$2,Raw_hydro_bm!F2547,"")</f>
        <v/>
      </c>
      <c r="F2547" t="str">
        <f>IF(ROW(F2547)&lt;=Raw_hydro_bm!$J$2,Raw_hydro_bm!G2547,"")</f>
        <v/>
      </c>
      <c r="G2547" t="str">
        <f>IF(ROW(G2547)&lt;=Raw_hydro_bm!$J$2,Raw_hydro_bm!H2547,"")</f>
        <v/>
      </c>
      <c r="H2547" t="str">
        <f>IF(ROW(H2547)&lt;=Raw_hydro_bm!$J$2,Raw_hydro_bm!I2547,"")</f>
        <v/>
      </c>
      <c r="I2547" s="16" t="str">
        <f t="shared" si="39"/>
        <v/>
      </c>
    </row>
    <row r="2548" spans="1:9" x14ac:dyDescent="0.2">
      <c r="A2548" t="str">
        <f>IF(ROW(A2548)&lt;=Raw_hydro_bm!$J$2,Raw_hydro_bm!B2548,"")</f>
        <v/>
      </c>
      <c r="B2548" t="str">
        <f>IF(ROW(B2548)&lt;=Raw_hydro_bm!$J$2,Raw_hydro_bm!C2548,"")</f>
        <v/>
      </c>
      <c r="C2548" t="str">
        <f>IF(ROW(C2548)&lt;=Raw_hydro_bm!$J$2,Raw_hydro_bm!D2548,"")</f>
        <v/>
      </c>
      <c r="D2548" t="str">
        <f>IF(ROW(D2548)&lt;=Raw_hydro_bm!$J$2,Raw_hydro_bm!E2548,"")</f>
        <v/>
      </c>
      <c r="E2548" t="str">
        <f>IF(ROW(E2548)&lt;=Raw_hydro_bm!$J$2,Raw_hydro_bm!F2548,"")</f>
        <v/>
      </c>
      <c r="F2548" t="str">
        <f>IF(ROW(F2548)&lt;=Raw_hydro_bm!$J$2,Raw_hydro_bm!G2548,"")</f>
        <v/>
      </c>
      <c r="G2548" t="str">
        <f>IF(ROW(G2548)&lt;=Raw_hydro_bm!$J$2,Raw_hydro_bm!H2548,"")</f>
        <v/>
      </c>
      <c r="H2548" t="str">
        <f>IF(ROW(H2548)&lt;=Raw_hydro_bm!$J$2,Raw_hydro_bm!I2548,"")</f>
        <v/>
      </c>
      <c r="I2548" s="16" t="str">
        <f t="shared" si="39"/>
        <v/>
      </c>
    </row>
    <row r="2549" spans="1:9" x14ac:dyDescent="0.2">
      <c r="A2549" t="str">
        <f>IF(ROW(A2549)&lt;=Raw_hydro_bm!$J$2,Raw_hydro_bm!B2549,"")</f>
        <v/>
      </c>
      <c r="B2549" t="str">
        <f>IF(ROW(B2549)&lt;=Raw_hydro_bm!$J$2,Raw_hydro_bm!C2549,"")</f>
        <v/>
      </c>
      <c r="C2549" t="str">
        <f>IF(ROW(C2549)&lt;=Raw_hydro_bm!$J$2,Raw_hydro_bm!D2549,"")</f>
        <v/>
      </c>
      <c r="D2549" t="str">
        <f>IF(ROW(D2549)&lt;=Raw_hydro_bm!$J$2,Raw_hydro_bm!E2549,"")</f>
        <v/>
      </c>
      <c r="E2549" t="str">
        <f>IF(ROW(E2549)&lt;=Raw_hydro_bm!$J$2,Raw_hydro_bm!F2549,"")</f>
        <v/>
      </c>
      <c r="F2549" t="str">
        <f>IF(ROW(F2549)&lt;=Raw_hydro_bm!$J$2,Raw_hydro_bm!G2549,"")</f>
        <v/>
      </c>
      <c r="G2549" t="str">
        <f>IF(ROW(G2549)&lt;=Raw_hydro_bm!$J$2,Raw_hydro_bm!H2549,"")</f>
        <v/>
      </c>
      <c r="H2549" t="str">
        <f>IF(ROW(H2549)&lt;=Raw_hydro_bm!$J$2,Raw_hydro_bm!I2549,"")</f>
        <v/>
      </c>
      <c r="I2549" s="16" t="str">
        <f t="shared" si="39"/>
        <v/>
      </c>
    </row>
    <row r="2550" spans="1:9" x14ac:dyDescent="0.2">
      <c r="A2550" t="str">
        <f>IF(ROW(A2550)&lt;=Raw_hydro_bm!$J$2,Raw_hydro_bm!B2550,"")</f>
        <v/>
      </c>
      <c r="B2550" t="str">
        <f>IF(ROW(B2550)&lt;=Raw_hydro_bm!$J$2,Raw_hydro_bm!C2550,"")</f>
        <v/>
      </c>
      <c r="C2550" t="str">
        <f>IF(ROW(C2550)&lt;=Raw_hydro_bm!$J$2,Raw_hydro_bm!D2550,"")</f>
        <v/>
      </c>
      <c r="D2550" t="str">
        <f>IF(ROW(D2550)&lt;=Raw_hydro_bm!$J$2,Raw_hydro_bm!E2550,"")</f>
        <v/>
      </c>
      <c r="E2550" t="str">
        <f>IF(ROW(E2550)&lt;=Raw_hydro_bm!$J$2,Raw_hydro_bm!F2550,"")</f>
        <v/>
      </c>
      <c r="F2550" t="str">
        <f>IF(ROW(F2550)&lt;=Raw_hydro_bm!$J$2,Raw_hydro_bm!G2550,"")</f>
        <v/>
      </c>
      <c r="G2550" t="str">
        <f>IF(ROW(G2550)&lt;=Raw_hydro_bm!$J$2,Raw_hydro_bm!H2550,"")</f>
        <v/>
      </c>
      <c r="H2550" t="str">
        <f>IF(ROW(H2550)&lt;=Raw_hydro_bm!$J$2,Raw_hydro_bm!I2550,"")</f>
        <v/>
      </c>
      <c r="I2550" s="16" t="str">
        <f t="shared" si="39"/>
        <v/>
      </c>
    </row>
    <row r="2551" spans="1:9" x14ac:dyDescent="0.2">
      <c r="A2551" t="str">
        <f>IF(ROW(A2551)&lt;=Raw_hydro_bm!$J$2,Raw_hydro_bm!B2551,"")</f>
        <v/>
      </c>
      <c r="B2551" t="str">
        <f>IF(ROW(B2551)&lt;=Raw_hydro_bm!$J$2,Raw_hydro_bm!C2551,"")</f>
        <v/>
      </c>
      <c r="C2551" t="str">
        <f>IF(ROW(C2551)&lt;=Raw_hydro_bm!$J$2,Raw_hydro_bm!D2551,"")</f>
        <v/>
      </c>
      <c r="D2551" t="str">
        <f>IF(ROW(D2551)&lt;=Raw_hydro_bm!$J$2,Raw_hydro_bm!E2551,"")</f>
        <v/>
      </c>
      <c r="E2551" t="str">
        <f>IF(ROW(E2551)&lt;=Raw_hydro_bm!$J$2,Raw_hydro_bm!F2551,"")</f>
        <v/>
      </c>
      <c r="F2551" t="str">
        <f>IF(ROW(F2551)&lt;=Raw_hydro_bm!$J$2,Raw_hydro_bm!G2551,"")</f>
        <v/>
      </c>
      <c r="G2551" t="str">
        <f>IF(ROW(G2551)&lt;=Raw_hydro_bm!$J$2,Raw_hydro_bm!H2551,"")</f>
        <v/>
      </c>
      <c r="H2551" t="str">
        <f>IF(ROW(H2551)&lt;=Raw_hydro_bm!$J$2,Raw_hydro_bm!I2551,"")</f>
        <v/>
      </c>
      <c r="I2551" s="16" t="str">
        <f t="shared" si="39"/>
        <v/>
      </c>
    </row>
    <row r="2552" spans="1:9" x14ac:dyDescent="0.2">
      <c r="A2552" t="str">
        <f>IF(ROW(A2552)&lt;=Raw_hydro_bm!$J$2,Raw_hydro_bm!B2552,"")</f>
        <v/>
      </c>
      <c r="B2552" t="str">
        <f>IF(ROW(B2552)&lt;=Raw_hydro_bm!$J$2,Raw_hydro_bm!C2552,"")</f>
        <v/>
      </c>
      <c r="C2552" t="str">
        <f>IF(ROW(C2552)&lt;=Raw_hydro_bm!$J$2,Raw_hydro_bm!D2552,"")</f>
        <v/>
      </c>
      <c r="D2552" t="str">
        <f>IF(ROW(D2552)&lt;=Raw_hydro_bm!$J$2,Raw_hydro_bm!E2552,"")</f>
        <v/>
      </c>
      <c r="E2552" t="str">
        <f>IF(ROW(E2552)&lt;=Raw_hydro_bm!$J$2,Raw_hydro_bm!F2552,"")</f>
        <v/>
      </c>
      <c r="F2552" t="str">
        <f>IF(ROW(F2552)&lt;=Raw_hydro_bm!$J$2,Raw_hydro_bm!G2552,"")</f>
        <v/>
      </c>
      <c r="G2552" t="str">
        <f>IF(ROW(G2552)&lt;=Raw_hydro_bm!$J$2,Raw_hydro_bm!H2552,"")</f>
        <v/>
      </c>
      <c r="H2552" t="str">
        <f>IF(ROW(H2552)&lt;=Raw_hydro_bm!$J$2,Raw_hydro_bm!I2552,"")</f>
        <v/>
      </c>
      <c r="I2552" s="16" t="str">
        <f t="shared" si="39"/>
        <v/>
      </c>
    </row>
    <row r="2553" spans="1:9" x14ac:dyDescent="0.2">
      <c r="A2553" t="str">
        <f>IF(ROW(A2553)&lt;=Raw_hydro_bm!$J$2,Raw_hydro_bm!B2553,"")</f>
        <v/>
      </c>
      <c r="B2553" t="str">
        <f>IF(ROW(B2553)&lt;=Raw_hydro_bm!$J$2,Raw_hydro_bm!C2553,"")</f>
        <v/>
      </c>
      <c r="C2553" t="str">
        <f>IF(ROW(C2553)&lt;=Raw_hydro_bm!$J$2,Raw_hydro_bm!D2553,"")</f>
        <v/>
      </c>
      <c r="D2553" t="str">
        <f>IF(ROW(D2553)&lt;=Raw_hydro_bm!$J$2,Raw_hydro_bm!E2553,"")</f>
        <v/>
      </c>
      <c r="E2553" t="str">
        <f>IF(ROW(E2553)&lt;=Raw_hydro_bm!$J$2,Raw_hydro_bm!F2553,"")</f>
        <v/>
      </c>
      <c r="F2553" t="str">
        <f>IF(ROW(F2553)&lt;=Raw_hydro_bm!$J$2,Raw_hydro_bm!G2553,"")</f>
        <v/>
      </c>
      <c r="G2553" t="str">
        <f>IF(ROW(G2553)&lt;=Raw_hydro_bm!$J$2,Raw_hydro_bm!H2553,"")</f>
        <v/>
      </c>
      <c r="H2553" t="str">
        <f>IF(ROW(H2553)&lt;=Raw_hydro_bm!$J$2,Raw_hydro_bm!I2553,"")</f>
        <v/>
      </c>
      <c r="I2553" s="16" t="str">
        <f t="shared" si="39"/>
        <v/>
      </c>
    </row>
    <row r="2554" spans="1:9" x14ac:dyDescent="0.2">
      <c r="A2554" t="str">
        <f>IF(ROW(A2554)&lt;=Raw_hydro_bm!$J$2,Raw_hydro_bm!B2554,"")</f>
        <v/>
      </c>
      <c r="B2554" t="str">
        <f>IF(ROW(B2554)&lt;=Raw_hydro_bm!$J$2,Raw_hydro_bm!C2554,"")</f>
        <v/>
      </c>
      <c r="C2554" t="str">
        <f>IF(ROW(C2554)&lt;=Raw_hydro_bm!$J$2,Raw_hydro_bm!D2554,"")</f>
        <v/>
      </c>
      <c r="D2554" t="str">
        <f>IF(ROW(D2554)&lt;=Raw_hydro_bm!$J$2,Raw_hydro_bm!E2554,"")</f>
        <v/>
      </c>
      <c r="E2554" t="str">
        <f>IF(ROW(E2554)&lt;=Raw_hydro_bm!$J$2,Raw_hydro_bm!F2554,"")</f>
        <v/>
      </c>
      <c r="F2554" t="str">
        <f>IF(ROW(F2554)&lt;=Raw_hydro_bm!$J$2,Raw_hydro_bm!G2554,"")</f>
        <v/>
      </c>
      <c r="G2554" t="str">
        <f>IF(ROW(G2554)&lt;=Raw_hydro_bm!$J$2,Raw_hydro_bm!H2554,"")</f>
        <v/>
      </c>
      <c r="H2554" t="str">
        <f>IF(ROW(H2554)&lt;=Raw_hydro_bm!$J$2,Raw_hydro_bm!I2554,"")</f>
        <v/>
      </c>
      <c r="I2554" s="16" t="str">
        <f t="shared" si="39"/>
        <v/>
      </c>
    </row>
    <row r="2555" spans="1:9" x14ac:dyDescent="0.2">
      <c r="A2555" t="str">
        <f>IF(ROW(A2555)&lt;=Raw_hydro_bm!$J$2,Raw_hydro_bm!B2555,"")</f>
        <v/>
      </c>
      <c r="B2555" t="str">
        <f>IF(ROW(B2555)&lt;=Raw_hydro_bm!$J$2,Raw_hydro_bm!C2555,"")</f>
        <v/>
      </c>
      <c r="C2555" t="str">
        <f>IF(ROW(C2555)&lt;=Raw_hydro_bm!$J$2,Raw_hydro_bm!D2555,"")</f>
        <v/>
      </c>
      <c r="D2555" t="str">
        <f>IF(ROW(D2555)&lt;=Raw_hydro_bm!$J$2,Raw_hydro_bm!E2555,"")</f>
        <v/>
      </c>
      <c r="E2555" t="str">
        <f>IF(ROW(E2555)&lt;=Raw_hydro_bm!$J$2,Raw_hydro_bm!F2555,"")</f>
        <v/>
      </c>
      <c r="F2555" t="str">
        <f>IF(ROW(F2555)&lt;=Raw_hydro_bm!$J$2,Raw_hydro_bm!G2555,"")</f>
        <v/>
      </c>
      <c r="G2555" t="str">
        <f>IF(ROW(G2555)&lt;=Raw_hydro_bm!$J$2,Raw_hydro_bm!H2555,"")</f>
        <v/>
      </c>
      <c r="H2555" t="str">
        <f>IF(ROW(H2555)&lt;=Raw_hydro_bm!$J$2,Raw_hydro_bm!I2555,"")</f>
        <v/>
      </c>
      <c r="I2555" s="16" t="str">
        <f t="shared" si="39"/>
        <v/>
      </c>
    </row>
    <row r="2556" spans="1:9" x14ac:dyDescent="0.2">
      <c r="A2556" t="str">
        <f>IF(ROW(A2556)&lt;=Raw_hydro_bm!$J$2,Raw_hydro_bm!B2556,"")</f>
        <v/>
      </c>
      <c r="B2556" t="str">
        <f>IF(ROW(B2556)&lt;=Raw_hydro_bm!$J$2,Raw_hydro_bm!C2556,"")</f>
        <v/>
      </c>
      <c r="C2556" t="str">
        <f>IF(ROW(C2556)&lt;=Raw_hydro_bm!$J$2,Raw_hydro_bm!D2556,"")</f>
        <v/>
      </c>
      <c r="D2556" t="str">
        <f>IF(ROW(D2556)&lt;=Raw_hydro_bm!$J$2,Raw_hydro_bm!E2556,"")</f>
        <v/>
      </c>
      <c r="E2556" t="str">
        <f>IF(ROW(E2556)&lt;=Raw_hydro_bm!$J$2,Raw_hydro_bm!F2556,"")</f>
        <v/>
      </c>
      <c r="F2556" t="str">
        <f>IF(ROW(F2556)&lt;=Raw_hydro_bm!$J$2,Raw_hydro_bm!G2556,"")</f>
        <v/>
      </c>
      <c r="G2556" t="str">
        <f>IF(ROW(G2556)&lt;=Raw_hydro_bm!$J$2,Raw_hydro_bm!H2556,"")</f>
        <v/>
      </c>
      <c r="H2556" t="str">
        <f>IF(ROW(H2556)&lt;=Raw_hydro_bm!$J$2,Raw_hydro_bm!I2556,"")</f>
        <v/>
      </c>
      <c r="I2556" s="16" t="str">
        <f t="shared" si="39"/>
        <v/>
      </c>
    </row>
    <row r="2557" spans="1:9" x14ac:dyDescent="0.2">
      <c r="A2557" t="str">
        <f>IF(ROW(A2557)&lt;=Raw_hydro_bm!$J$2,Raw_hydro_bm!B2557,"")</f>
        <v/>
      </c>
      <c r="B2557" t="str">
        <f>IF(ROW(B2557)&lt;=Raw_hydro_bm!$J$2,Raw_hydro_bm!C2557,"")</f>
        <v/>
      </c>
      <c r="C2557" t="str">
        <f>IF(ROW(C2557)&lt;=Raw_hydro_bm!$J$2,Raw_hydro_bm!D2557,"")</f>
        <v/>
      </c>
      <c r="D2557" t="str">
        <f>IF(ROW(D2557)&lt;=Raw_hydro_bm!$J$2,Raw_hydro_bm!E2557,"")</f>
        <v/>
      </c>
      <c r="E2557" t="str">
        <f>IF(ROW(E2557)&lt;=Raw_hydro_bm!$J$2,Raw_hydro_bm!F2557,"")</f>
        <v/>
      </c>
      <c r="F2557" t="str">
        <f>IF(ROW(F2557)&lt;=Raw_hydro_bm!$J$2,Raw_hydro_bm!G2557,"")</f>
        <v/>
      </c>
      <c r="G2557" t="str">
        <f>IF(ROW(G2557)&lt;=Raw_hydro_bm!$J$2,Raw_hydro_bm!H2557,"")</f>
        <v/>
      </c>
      <c r="H2557" t="str">
        <f>IF(ROW(H2557)&lt;=Raw_hydro_bm!$J$2,Raw_hydro_bm!I2557,"")</f>
        <v/>
      </c>
      <c r="I2557" s="16" t="str">
        <f t="shared" si="39"/>
        <v/>
      </c>
    </row>
    <row r="2558" spans="1:9" x14ac:dyDescent="0.2">
      <c r="A2558" t="str">
        <f>IF(ROW(A2558)&lt;=Raw_hydro_bm!$J$2,Raw_hydro_bm!B2558,"")</f>
        <v/>
      </c>
      <c r="B2558" t="str">
        <f>IF(ROW(B2558)&lt;=Raw_hydro_bm!$J$2,Raw_hydro_bm!C2558,"")</f>
        <v/>
      </c>
      <c r="C2558" t="str">
        <f>IF(ROW(C2558)&lt;=Raw_hydro_bm!$J$2,Raw_hydro_bm!D2558,"")</f>
        <v/>
      </c>
      <c r="D2558" t="str">
        <f>IF(ROW(D2558)&lt;=Raw_hydro_bm!$J$2,Raw_hydro_bm!E2558,"")</f>
        <v/>
      </c>
      <c r="E2558" t="str">
        <f>IF(ROW(E2558)&lt;=Raw_hydro_bm!$J$2,Raw_hydro_bm!F2558,"")</f>
        <v/>
      </c>
      <c r="F2558" t="str">
        <f>IF(ROW(F2558)&lt;=Raw_hydro_bm!$J$2,Raw_hydro_bm!G2558,"")</f>
        <v/>
      </c>
      <c r="G2558" t="str">
        <f>IF(ROW(G2558)&lt;=Raw_hydro_bm!$J$2,Raw_hydro_bm!H2558,"")</f>
        <v/>
      </c>
      <c r="H2558" t="str">
        <f>IF(ROW(H2558)&lt;=Raw_hydro_bm!$J$2,Raw_hydro_bm!I2558,"")</f>
        <v/>
      </c>
      <c r="I2558" s="16" t="str">
        <f t="shared" si="39"/>
        <v/>
      </c>
    </row>
    <row r="2559" spans="1:9" x14ac:dyDescent="0.2">
      <c r="A2559" t="str">
        <f>IF(ROW(A2559)&lt;=Raw_hydro_bm!$J$2,Raw_hydro_bm!B2559,"")</f>
        <v/>
      </c>
      <c r="B2559" t="str">
        <f>IF(ROW(B2559)&lt;=Raw_hydro_bm!$J$2,Raw_hydro_bm!C2559,"")</f>
        <v/>
      </c>
      <c r="C2559" t="str">
        <f>IF(ROW(C2559)&lt;=Raw_hydro_bm!$J$2,Raw_hydro_bm!D2559,"")</f>
        <v/>
      </c>
      <c r="D2559" t="str">
        <f>IF(ROW(D2559)&lt;=Raw_hydro_bm!$J$2,Raw_hydro_bm!E2559,"")</f>
        <v/>
      </c>
      <c r="E2559" t="str">
        <f>IF(ROW(E2559)&lt;=Raw_hydro_bm!$J$2,Raw_hydro_bm!F2559,"")</f>
        <v/>
      </c>
      <c r="F2559" t="str">
        <f>IF(ROW(F2559)&lt;=Raw_hydro_bm!$J$2,Raw_hydro_bm!G2559,"")</f>
        <v/>
      </c>
      <c r="G2559" t="str">
        <f>IF(ROW(G2559)&lt;=Raw_hydro_bm!$J$2,Raw_hydro_bm!H2559,"")</f>
        <v/>
      </c>
      <c r="H2559" t="str">
        <f>IF(ROW(H2559)&lt;=Raw_hydro_bm!$J$2,Raw_hydro_bm!I2559,"")</f>
        <v/>
      </c>
      <c r="I2559" s="16" t="str">
        <f t="shared" si="39"/>
        <v/>
      </c>
    </row>
    <row r="2560" spans="1:9" x14ac:dyDescent="0.2">
      <c r="A2560" t="str">
        <f>IF(ROW(A2560)&lt;=Raw_hydro_bm!$J$2,Raw_hydro_bm!B2560,"")</f>
        <v/>
      </c>
      <c r="B2560" t="str">
        <f>IF(ROW(B2560)&lt;=Raw_hydro_bm!$J$2,Raw_hydro_bm!C2560,"")</f>
        <v/>
      </c>
      <c r="C2560" t="str">
        <f>IF(ROW(C2560)&lt;=Raw_hydro_bm!$J$2,Raw_hydro_bm!D2560,"")</f>
        <v/>
      </c>
      <c r="D2560" t="str">
        <f>IF(ROW(D2560)&lt;=Raw_hydro_bm!$J$2,Raw_hydro_bm!E2560,"")</f>
        <v/>
      </c>
      <c r="E2560" t="str">
        <f>IF(ROW(E2560)&lt;=Raw_hydro_bm!$J$2,Raw_hydro_bm!F2560,"")</f>
        <v/>
      </c>
      <c r="F2560" t="str">
        <f>IF(ROW(F2560)&lt;=Raw_hydro_bm!$J$2,Raw_hydro_bm!G2560,"")</f>
        <v/>
      </c>
      <c r="G2560" t="str">
        <f>IF(ROW(G2560)&lt;=Raw_hydro_bm!$J$2,Raw_hydro_bm!H2560,"")</f>
        <v/>
      </c>
      <c r="H2560" t="str">
        <f>IF(ROW(H2560)&lt;=Raw_hydro_bm!$J$2,Raw_hydro_bm!I2560,"")</f>
        <v/>
      </c>
      <c r="I2560" s="16" t="str">
        <f t="shared" si="39"/>
        <v/>
      </c>
    </row>
    <row r="2561" spans="1:9" x14ac:dyDescent="0.2">
      <c r="A2561" t="str">
        <f>IF(ROW(A2561)&lt;=Raw_hydro_bm!$J$2,Raw_hydro_bm!B2561,"")</f>
        <v/>
      </c>
      <c r="B2561" t="str">
        <f>IF(ROW(B2561)&lt;=Raw_hydro_bm!$J$2,Raw_hydro_bm!C2561,"")</f>
        <v/>
      </c>
      <c r="C2561" t="str">
        <f>IF(ROW(C2561)&lt;=Raw_hydro_bm!$J$2,Raw_hydro_bm!D2561,"")</f>
        <v/>
      </c>
      <c r="D2561" t="str">
        <f>IF(ROW(D2561)&lt;=Raw_hydro_bm!$J$2,Raw_hydro_bm!E2561,"")</f>
        <v/>
      </c>
      <c r="E2561" t="str">
        <f>IF(ROW(E2561)&lt;=Raw_hydro_bm!$J$2,Raw_hydro_bm!F2561,"")</f>
        <v/>
      </c>
      <c r="F2561" t="str">
        <f>IF(ROW(F2561)&lt;=Raw_hydro_bm!$J$2,Raw_hydro_bm!G2561,"")</f>
        <v/>
      </c>
      <c r="G2561" t="str">
        <f>IF(ROW(G2561)&lt;=Raw_hydro_bm!$J$2,Raw_hydro_bm!H2561,"")</f>
        <v/>
      </c>
      <c r="H2561" t="str">
        <f>IF(ROW(H2561)&lt;=Raw_hydro_bm!$J$2,Raw_hydro_bm!I2561,"")</f>
        <v/>
      </c>
      <c r="I2561" s="16" t="str">
        <f t="shared" si="39"/>
        <v/>
      </c>
    </row>
    <row r="2562" spans="1:9" x14ac:dyDescent="0.2">
      <c r="A2562" t="str">
        <f>IF(ROW(A2562)&lt;=Raw_hydro_bm!$J$2,Raw_hydro_bm!B2562,"")</f>
        <v/>
      </c>
      <c r="B2562" t="str">
        <f>IF(ROW(B2562)&lt;=Raw_hydro_bm!$J$2,Raw_hydro_bm!C2562,"")</f>
        <v/>
      </c>
      <c r="C2562" t="str">
        <f>IF(ROW(C2562)&lt;=Raw_hydro_bm!$J$2,Raw_hydro_bm!D2562,"")</f>
        <v/>
      </c>
      <c r="D2562" t="str">
        <f>IF(ROW(D2562)&lt;=Raw_hydro_bm!$J$2,Raw_hydro_bm!E2562,"")</f>
        <v/>
      </c>
      <c r="E2562" t="str">
        <f>IF(ROW(E2562)&lt;=Raw_hydro_bm!$J$2,Raw_hydro_bm!F2562,"")</f>
        <v/>
      </c>
      <c r="F2562" t="str">
        <f>IF(ROW(F2562)&lt;=Raw_hydro_bm!$J$2,Raw_hydro_bm!G2562,"")</f>
        <v/>
      </c>
      <c r="G2562" t="str">
        <f>IF(ROW(G2562)&lt;=Raw_hydro_bm!$J$2,Raw_hydro_bm!H2562,"")</f>
        <v/>
      </c>
      <c r="H2562" t="str">
        <f>IF(ROW(H2562)&lt;=Raw_hydro_bm!$J$2,Raw_hydro_bm!I2562,"")</f>
        <v/>
      </c>
      <c r="I2562" s="16" t="str">
        <f t="shared" ref="I2562:I2625" si="40">IF(IFERROR(FIND("e",H2562),-1)&lt;0,IFERROR(_xlfn.NUMBERVALUE(LEFT(H2562,FIND(".",H2562)-1))+_xlfn.NUMBERVALUE("0,"&amp;RIGHT(H2562,LEN(H2562)-FIND(".",H2562))),""),0)</f>
        <v/>
      </c>
    </row>
    <row r="2563" spans="1:9" x14ac:dyDescent="0.2">
      <c r="A2563" t="str">
        <f>IF(ROW(A2563)&lt;=Raw_hydro_bm!$J$2,Raw_hydro_bm!B2563,"")</f>
        <v/>
      </c>
      <c r="B2563" t="str">
        <f>IF(ROW(B2563)&lt;=Raw_hydro_bm!$J$2,Raw_hydro_bm!C2563,"")</f>
        <v/>
      </c>
      <c r="C2563" t="str">
        <f>IF(ROW(C2563)&lt;=Raw_hydro_bm!$J$2,Raw_hydro_bm!D2563,"")</f>
        <v/>
      </c>
      <c r="D2563" t="str">
        <f>IF(ROW(D2563)&lt;=Raw_hydro_bm!$J$2,Raw_hydro_bm!E2563,"")</f>
        <v/>
      </c>
      <c r="E2563" t="str">
        <f>IF(ROW(E2563)&lt;=Raw_hydro_bm!$J$2,Raw_hydro_bm!F2563,"")</f>
        <v/>
      </c>
      <c r="F2563" t="str">
        <f>IF(ROW(F2563)&lt;=Raw_hydro_bm!$J$2,Raw_hydro_bm!G2563,"")</f>
        <v/>
      </c>
      <c r="G2563" t="str">
        <f>IF(ROW(G2563)&lt;=Raw_hydro_bm!$J$2,Raw_hydro_bm!H2563,"")</f>
        <v/>
      </c>
      <c r="H2563" t="str">
        <f>IF(ROW(H2563)&lt;=Raw_hydro_bm!$J$2,Raw_hydro_bm!I2563,"")</f>
        <v/>
      </c>
      <c r="I2563" s="16" t="str">
        <f t="shared" si="40"/>
        <v/>
      </c>
    </row>
    <row r="2564" spans="1:9" x14ac:dyDescent="0.2">
      <c r="A2564" t="str">
        <f>IF(ROW(A2564)&lt;=Raw_hydro_bm!$J$2,Raw_hydro_bm!B2564,"")</f>
        <v/>
      </c>
      <c r="B2564" t="str">
        <f>IF(ROW(B2564)&lt;=Raw_hydro_bm!$J$2,Raw_hydro_bm!C2564,"")</f>
        <v/>
      </c>
      <c r="C2564" t="str">
        <f>IF(ROW(C2564)&lt;=Raw_hydro_bm!$J$2,Raw_hydro_bm!D2564,"")</f>
        <v/>
      </c>
      <c r="D2564" t="str">
        <f>IF(ROW(D2564)&lt;=Raw_hydro_bm!$J$2,Raw_hydro_bm!E2564,"")</f>
        <v/>
      </c>
      <c r="E2564" t="str">
        <f>IF(ROW(E2564)&lt;=Raw_hydro_bm!$J$2,Raw_hydro_bm!F2564,"")</f>
        <v/>
      </c>
      <c r="F2564" t="str">
        <f>IF(ROW(F2564)&lt;=Raw_hydro_bm!$J$2,Raw_hydro_bm!G2564,"")</f>
        <v/>
      </c>
      <c r="G2564" t="str">
        <f>IF(ROW(G2564)&lt;=Raw_hydro_bm!$J$2,Raw_hydro_bm!H2564,"")</f>
        <v/>
      </c>
      <c r="H2564" t="str">
        <f>IF(ROW(H2564)&lt;=Raw_hydro_bm!$J$2,Raw_hydro_bm!I2564,"")</f>
        <v/>
      </c>
      <c r="I2564" s="16" t="str">
        <f t="shared" si="40"/>
        <v/>
      </c>
    </row>
    <row r="2565" spans="1:9" x14ac:dyDescent="0.2">
      <c r="A2565" t="str">
        <f>IF(ROW(A2565)&lt;=Raw_hydro_bm!$J$2,Raw_hydro_bm!B2565,"")</f>
        <v/>
      </c>
      <c r="B2565" t="str">
        <f>IF(ROW(B2565)&lt;=Raw_hydro_bm!$J$2,Raw_hydro_bm!C2565,"")</f>
        <v/>
      </c>
      <c r="C2565" t="str">
        <f>IF(ROW(C2565)&lt;=Raw_hydro_bm!$J$2,Raw_hydro_bm!D2565,"")</f>
        <v/>
      </c>
      <c r="D2565" t="str">
        <f>IF(ROW(D2565)&lt;=Raw_hydro_bm!$J$2,Raw_hydro_bm!E2565,"")</f>
        <v/>
      </c>
      <c r="E2565" t="str">
        <f>IF(ROW(E2565)&lt;=Raw_hydro_bm!$J$2,Raw_hydro_bm!F2565,"")</f>
        <v/>
      </c>
      <c r="F2565" t="str">
        <f>IF(ROW(F2565)&lt;=Raw_hydro_bm!$J$2,Raw_hydro_bm!G2565,"")</f>
        <v/>
      </c>
      <c r="G2565" t="str">
        <f>IF(ROW(G2565)&lt;=Raw_hydro_bm!$J$2,Raw_hydro_bm!H2565,"")</f>
        <v/>
      </c>
      <c r="H2565" t="str">
        <f>IF(ROW(H2565)&lt;=Raw_hydro_bm!$J$2,Raw_hydro_bm!I2565,"")</f>
        <v/>
      </c>
      <c r="I2565" s="16" t="str">
        <f t="shared" si="40"/>
        <v/>
      </c>
    </row>
    <row r="2566" spans="1:9" x14ac:dyDescent="0.2">
      <c r="A2566" t="str">
        <f>IF(ROW(A2566)&lt;=Raw_hydro_bm!$J$2,Raw_hydro_bm!B2566,"")</f>
        <v/>
      </c>
      <c r="B2566" t="str">
        <f>IF(ROW(B2566)&lt;=Raw_hydro_bm!$J$2,Raw_hydro_bm!C2566,"")</f>
        <v/>
      </c>
      <c r="C2566" t="str">
        <f>IF(ROW(C2566)&lt;=Raw_hydro_bm!$J$2,Raw_hydro_bm!D2566,"")</f>
        <v/>
      </c>
      <c r="D2566" t="str">
        <f>IF(ROW(D2566)&lt;=Raw_hydro_bm!$J$2,Raw_hydro_bm!E2566,"")</f>
        <v/>
      </c>
      <c r="E2566" t="str">
        <f>IF(ROW(E2566)&lt;=Raw_hydro_bm!$J$2,Raw_hydro_bm!F2566,"")</f>
        <v/>
      </c>
      <c r="F2566" t="str">
        <f>IF(ROW(F2566)&lt;=Raw_hydro_bm!$J$2,Raw_hydro_bm!G2566,"")</f>
        <v/>
      </c>
      <c r="G2566" t="str">
        <f>IF(ROW(G2566)&lt;=Raw_hydro_bm!$J$2,Raw_hydro_bm!H2566,"")</f>
        <v/>
      </c>
      <c r="H2566" t="str">
        <f>IF(ROW(H2566)&lt;=Raw_hydro_bm!$J$2,Raw_hydro_bm!I2566,"")</f>
        <v/>
      </c>
      <c r="I2566" s="16" t="str">
        <f t="shared" si="40"/>
        <v/>
      </c>
    </row>
    <row r="2567" spans="1:9" x14ac:dyDescent="0.2">
      <c r="A2567" t="str">
        <f>IF(ROW(A2567)&lt;=Raw_hydro_bm!$J$2,Raw_hydro_bm!B2567,"")</f>
        <v/>
      </c>
      <c r="B2567" t="str">
        <f>IF(ROW(B2567)&lt;=Raw_hydro_bm!$J$2,Raw_hydro_bm!C2567,"")</f>
        <v/>
      </c>
      <c r="C2567" t="str">
        <f>IF(ROW(C2567)&lt;=Raw_hydro_bm!$J$2,Raw_hydro_bm!D2567,"")</f>
        <v/>
      </c>
      <c r="D2567" t="str">
        <f>IF(ROW(D2567)&lt;=Raw_hydro_bm!$J$2,Raw_hydro_bm!E2567,"")</f>
        <v/>
      </c>
      <c r="E2567" t="str">
        <f>IF(ROW(E2567)&lt;=Raw_hydro_bm!$J$2,Raw_hydro_bm!F2567,"")</f>
        <v/>
      </c>
      <c r="F2567" t="str">
        <f>IF(ROW(F2567)&lt;=Raw_hydro_bm!$J$2,Raw_hydro_bm!G2567,"")</f>
        <v/>
      </c>
      <c r="G2567" t="str">
        <f>IF(ROW(G2567)&lt;=Raw_hydro_bm!$J$2,Raw_hydro_bm!H2567,"")</f>
        <v/>
      </c>
      <c r="H2567" t="str">
        <f>IF(ROW(H2567)&lt;=Raw_hydro_bm!$J$2,Raw_hydro_bm!I2567,"")</f>
        <v/>
      </c>
      <c r="I2567" s="16" t="str">
        <f t="shared" si="40"/>
        <v/>
      </c>
    </row>
    <row r="2568" spans="1:9" x14ac:dyDescent="0.2">
      <c r="A2568" t="str">
        <f>IF(ROW(A2568)&lt;=Raw_hydro_bm!$J$2,Raw_hydro_bm!B2568,"")</f>
        <v/>
      </c>
      <c r="B2568" t="str">
        <f>IF(ROW(B2568)&lt;=Raw_hydro_bm!$J$2,Raw_hydro_bm!C2568,"")</f>
        <v/>
      </c>
      <c r="C2568" t="str">
        <f>IF(ROW(C2568)&lt;=Raw_hydro_bm!$J$2,Raw_hydro_bm!D2568,"")</f>
        <v/>
      </c>
      <c r="D2568" t="str">
        <f>IF(ROW(D2568)&lt;=Raw_hydro_bm!$J$2,Raw_hydro_bm!E2568,"")</f>
        <v/>
      </c>
      <c r="E2568" t="str">
        <f>IF(ROW(E2568)&lt;=Raw_hydro_bm!$J$2,Raw_hydro_bm!F2568,"")</f>
        <v/>
      </c>
      <c r="F2568" t="str">
        <f>IF(ROW(F2568)&lt;=Raw_hydro_bm!$J$2,Raw_hydro_bm!G2568,"")</f>
        <v/>
      </c>
      <c r="G2568" t="str">
        <f>IF(ROW(G2568)&lt;=Raw_hydro_bm!$J$2,Raw_hydro_bm!H2568,"")</f>
        <v/>
      </c>
      <c r="H2568" t="str">
        <f>IF(ROW(H2568)&lt;=Raw_hydro_bm!$J$2,Raw_hydro_bm!I2568,"")</f>
        <v/>
      </c>
      <c r="I2568" s="16" t="str">
        <f t="shared" si="40"/>
        <v/>
      </c>
    </row>
    <row r="2569" spans="1:9" x14ac:dyDescent="0.2">
      <c r="A2569" t="str">
        <f>IF(ROW(A2569)&lt;=Raw_hydro_bm!$J$2,Raw_hydro_bm!B2569,"")</f>
        <v/>
      </c>
      <c r="B2569" t="str">
        <f>IF(ROW(B2569)&lt;=Raw_hydro_bm!$J$2,Raw_hydro_bm!C2569,"")</f>
        <v/>
      </c>
      <c r="C2569" t="str">
        <f>IF(ROW(C2569)&lt;=Raw_hydro_bm!$J$2,Raw_hydro_bm!D2569,"")</f>
        <v/>
      </c>
      <c r="D2569" t="str">
        <f>IF(ROW(D2569)&lt;=Raw_hydro_bm!$J$2,Raw_hydro_bm!E2569,"")</f>
        <v/>
      </c>
      <c r="E2569" t="str">
        <f>IF(ROW(E2569)&lt;=Raw_hydro_bm!$J$2,Raw_hydro_bm!F2569,"")</f>
        <v/>
      </c>
      <c r="F2569" t="str">
        <f>IF(ROW(F2569)&lt;=Raw_hydro_bm!$J$2,Raw_hydro_bm!G2569,"")</f>
        <v/>
      </c>
      <c r="G2569" t="str">
        <f>IF(ROW(G2569)&lt;=Raw_hydro_bm!$J$2,Raw_hydro_bm!H2569,"")</f>
        <v/>
      </c>
      <c r="H2569" t="str">
        <f>IF(ROW(H2569)&lt;=Raw_hydro_bm!$J$2,Raw_hydro_bm!I2569,"")</f>
        <v/>
      </c>
      <c r="I2569" s="16" t="str">
        <f t="shared" si="40"/>
        <v/>
      </c>
    </row>
    <row r="2570" spans="1:9" x14ac:dyDescent="0.2">
      <c r="A2570" t="str">
        <f>IF(ROW(A2570)&lt;=Raw_hydro_bm!$J$2,Raw_hydro_bm!B2570,"")</f>
        <v/>
      </c>
      <c r="B2570" t="str">
        <f>IF(ROW(B2570)&lt;=Raw_hydro_bm!$J$2,Raw_hydro_bm!C2570,"")</f>
        <v/>
      </c>
      <c r="C2570" t="str">
        <f>IF(ROW(C2570)&lt;=Raw_hydro_bm!$J$2,Raw_hydro_bm!D2570,"")</f>
        <v/>
      </c>
      <c r="D2570" t="str">
        <f>IF(ROW(D2570)&lt;=Raw_hydro_bm!$J$2,Raw_hydro_bm!E2570,"")</f>
        <v/>
      </c>
      <c r="E2570" t="str">
        <f>IF(ROW(E2570)&lt;=Raw_hydro_bm!$J$2,Raw_hydro_bm!F2570,"")</f>
        <v/>
      </c>
      <c r="F2570" t="str">
        <f>IF(ROW(F2570)&lt;=Raw_hydro_bm!$J$2,Raw_hydro_bm!G2570,"")</f>
        <v/>
      </c>
      <c r="G2570" t="str">
        <f>IF(ROW(G2570)&lt;=Raw_hydro_bm!$J$2,Raw_hydro_bm!H2570,"")</f>
        <v/>
      </c>
      <c r="H2570" t="str">
        <f>IF(ROW(H2570)&lt;=Raw_hydro_bm!$J$2,Raw_hydro_bm!I2570,"")</f>
        <v/>
      </c>
      <c r="I2570" s="16" t="str">
        <f t="shared" si="40"/>
        <v/>
      </c>
    </row>
    <row r="2571" spans="1:9" x14ac:dyDescent="0.2">
      <c r="A2571" t="str">
        <f>IF(ROW(A2571)&lt;=Raw_hydro_bm!$J$2,Raw_hydro_bm!B2571,"")</f>
        <v/>
      </c>
      <c r="B2571" t="str">
        <f>IF(ROW(B2571)&lt;=Raw_hydro_bm!$J$2,Raw_hydro_bm!C2571,"")</f>
        <v/>
      </c>
      <c r="C2571" t="str">
        <f>IF(ROW(C2571)&lt;=Raw_hydro_bm!$J$2,Raw_hydro_bm!D2571,"")</f>
        <v/>
      </c>
      <c r="D2571" t="str">
        <f>IF(ROW(D2571)&lt;=Raw_hydro_bm!$J$2,Raw_hydro_bm!E2571,"")</f>
        <v/>
      </c>
      <c r="E2571" t="str">
        <f>IF(ROW(E2571)&lt;=Raw_hydro_bm!$J$2,Raw_hydro_bm!F2571,"")</f>
        <v/>
      </c>
      <c r="F2571" t="str">
        <f>IF(ROW(F2571)&lt;=Raw_hydro_bm!$J$2,Raw_hydro_bm!G2571,"")</f>
        <v/>
      </c>
      <c r="G2571" t="str">
        <f>IF(ROW(G2571)&lt;=Raw_hydro_bm!$J$2,Raw_hydro_bm!H2571,"")</f>
        <v/>
      </c>
      <c r="H2571" t="str">
        <f>IF(ROW(H2571)&lt;=Raw_hydro_bm!$J$2,Raw_hydro_bm!I2571,"")</f>
        <v/>
      </c>
      <c r="I2571" s="16" t="str">
        <f t="shared" si="40"/>
        <v/>
      </c>
    </row>
    <row r="2572" spans="1:9" x14ac:dyDescent="0.2">
      <c r="A2572" t="str">
        <f>IF(ROW(A2572)&lt;=Raw_hydro_bm!$J$2,Raw_hydro_bm!B2572,"")</f>
        <v/>
      </c>
      <c r="B2572" t="str">
        <f>IF(ROW(B2572)&lt;=Raw_hydro_bm!$J$2,Raw_hydro_bm!C2572,"")</f>
        <v/>
      </c>
      <c r="C2572" t="str">
        <f>IF(ROW(C2572)&lt;=Raw_hydro_bm!$J$2,Raw_hydro_bm!D2572,"")</f>
        <v/>
      </c>
      <c r="D2572" t="str">
        <f>IF(ROW(D2572)&lt;=Raw_hydro_bm!$J$2,Raw_hydro_bm!E2572,"")</f>
        <v/>
      </c>
      <c r="E2572" t="str">
        <f>IF(ROW(E2572)&lt;=Raw_hydro_bm!$J$2,Raw_hydro_bm!F2572,"")</f>
        <v/>
      </c>
      <c r="F2572" t="str">
        <f>IF(ROW(F2572)&lt;=Raw_hydro_bm!$J$2,Raw_hydro_bm!G2572,"")</f>
        <v/>
      </c>
      <c r="G2572" t="str">
        <f>IF(ROW(G2572)&lt;=Raw_hydro_bm!$J$2,Raw_hydro_bm!H2572,"")</f>
        <v/>
      </c>
      <c r="H2572" t="str">
        <f>IF(ROW(H2572)&lt;=Raw_hydro_bm!$J$2,Raw_hydro_bm!I2572,"")</f>
        <v/>
      </c>
      <c r="I2572" s="16" t="str">
        <f t="shared" si="40"/>
        <v/>
      </c>
    </row>
    <row r="2573" spans="1:9" x14ac:dyDescent="0.2">
      <c r="A2573" t="str">
        <f>IF(ROW(A2573)&lt;=Raw_hydro_bm!$J$2,Raw_hydro_bm!B2573,"")</f>
        <v/>
      </c>
      <c r="B2573" t="str">
        <f>IF(ROW(B2573)&lt;=Raw_hydro_bm!$J$2,Raw_hydro_bm!C2573,"")</f>
        <v/>
      </c>
      <c r="C2573" t="str">
        <f>IF(ROW(C2573)&lt;=Raw_hydro_bm!$J$2,Raw_hydro_bm!D2573,"")</f>
        <v/>
      </c>
      <c r="D2573" t="str">
        <f>IF(ROW(D2573)&lt;=Raw_hydro_bm!$J$2,Raw_hydro_bm!E2573,"")</f>
        <v/>
      </c>
      <c r="E2573" t="str">
        <f>IF(ROW(E2573)&lt;=Raw_hydro_bm!$J$2,Raw_hydro_bm!F2573,"")</f>
        <v/>
      </c>
      <c r="F2573" t="str">
        <f>IF(ROW(F2573)&lt;=Raw_hydro_bm!$J$2,Raw_hydro_bm!G2573,"")</f>
        <v/>
      </c>
      <c r="G2573" t="str">
        <f>IF(ROW(G2573)&lt;=Raw_hydro_bm!$J$2,Raw_hydro_bm!H2573,"")</f>
        <v/>
      </c>
      <c r="H2573" t="str">
        <f>IF(ROW(H2573)&lt;=Raw_hydro_bm!$J$2,Raw_hydro_bm!I2573,"")</f>
        <v/>
      </c>
      <c r="I2573" s="16" t="str">
        <f t="shared" si="40"/>
        <v/>
      </c>
    </row>
    <row r="2574" spans="1:9" x14ac:dyDescent="0.2">
      <c r="A2574" t="str">
        <f>IF(ROW(A2574)&lt;=Raw_hydro_bm!$J$2,Raw_hydro_bm!B2574,"")</f>
        <v/>
      </c>
      <c r="B2574" t="str">
        <f>IF(ROW(B2574)&lt;=Raw_hydro_bm!$J$2,Raw_hydro_bm!C2574,"")</f>
        <v/>
      </c>
      <c r="C2574" t="str">
        <f>IF(ROW(C2574)&lt;=Raw_hydro_bm!$J$2,Raw_hydro_bm!D2574,"")</f>
        <v/>
      </c>
      <c r="D2574" t="str">
        <f>IF(ROW(D2574)&lt;=Raw_hydro_bm!$J$2,Raw_hydro_bm!E2574,"")</f>
        <v/>
      </c>
      <c r="E2574" t="str">
        <f>IF(ROW(E2574)&lt;=Raw_hydro_bm!$J$2,Raw_hydro_bm!F2574,"")</f>
        <v/>
      </c>
      <c r="F2574" t="str">
        <f>IF(ROW(F2574)&lt;=Raw_hydro_bm!$J$2,Raw_hydro_bm!G2574,"")</f>
        <v/>
      </c>
      <c r="G2574" t="str">
        <f>IF(ROW(G2574)&lt;=Raw_hydro_bm!$J$2,Raw_hydro_bm!H2574,"")</f>
        <v/>
      </c>
      <c r="H2574" t="str">
        <f>IF(ROW(H2574)&lt;=Raw_hydro_bm!$J$2,Raw_hydro_bm!I2574,"")</f>
        <v/>
      </c>
      <c r="I2574" s="16" t="str">
        <f t="shared" si="40"/>
        <v/>
      </c>
    </row>
    <row r="2575" spans="1:9" x14ac:dyDescent="0.2">
      <c r="A2575" t="str">
        <f>IF(ROW(A2575)&lt;=Raw_hydro_bm!$J$2,Raw_hydro_bm!B2575,"")</f>
        <v/>
      </c>
      <c r="B2575" t="str">
        <f>IF(ROW(B2575)&lt;=Raw_hydro_bm!$J$2,Raw_hydro_bm!C2575,"")</f>
        <v/>
      </c>
      <c r="C2575" t="str">
        <f>IF(ROW(C2575)&lt;=Raw_hydro_bm!$J$2,Raw_hydro_bm!D2575,"")</f>
        <v/>
      </c>
      <c r="D2575" t="str">
        <f>IF(ROW(D2575)&lt;=Raw_hydro_bm!$J$2,Raw_hydro_bm!E2575,"")</f>
        <v/>
      </c>
      <c r="E2575" t="str">
        <f>IF(ROW(E2575)&lt;=Raw_hydro_bm!$J$2,Raw_hydro_bm!F2575,"")</f>
        <v/>
      </c>
      <c r="F2575" t="str">
        <f>IF(ROW(F2575)&lt;=Raw_hydro_bm!$J$2,Raw_hydro_bm!G2575,"")</f>
        <v/>
      </c>
      <c r="G2575" t="str">
        <f>IF(ROW(G2575)&lt;=Raw_hydro_bm!$J$2,Raw_hydro_bm!H2575,"")</f>
        <v/>
      </c>
      <c r="H2575" t="str">
        <f>IF(ROW(H2575)&lt;=Raw_hydro_bm!$J$2,Raw_hydro_bm!I2575,"")</f>
        <v/>
      </c>
      <c r="I2575" s="16" t="str">
        <f t="shared" si="40"/>
        <v/>
      </c>
    </row>
    <row r="2576" spans="1:9" x14ac:dyDescent="0.2">
      <c r="A2576" t="str">
        <f>IF(ROW(A2576)&lt;=Raw_hydro_bm!$J$2,Raw_hydro_bm!B2576,"")</f>
        <v/>
      </c>
      <c r="B2576" t="str">
        <f>IF(ROW(B2576)&lt;=Raw_hydro_bm!$J$2,Raw_hydro_bm!C2576,"")</f>
        <v/>
      </c>
      <c r="C2576" t="str">
        <f>IF(ROW(C2576)&lt;=Raw_hydro_bm!$J$2,Raw_hydro_bm!D2576,"")</f>
        <v/>
      </c>
      <c r="D2576" t="str">
        <f>IF(ROW(D2576)&lt;=Raw_hydro_bm!$J$2,Raw_hydro_bm!E2576,"")</f>
        <v/>
      </c>
      <c r="E2576" t="str">
        <f>IF(ROW(E2576)&lt;=Raw_hydro_bm!$J$2,Raw_hydro_bm!F2576,"")</f>
        <v/>
      </c>
      <c r="F2576" t="str">
        <f>IF(ROW(F2576)&lt;=Raw_hydro_bm!$J$2,Raw_hydro_bm!G2576,"")</f>
        <v/>
      </c>
      <c r="G2576" t="str">
        <f>IF(ROW(G2576)&lt;=Raw_hydro_bm!$J$2,Raw_hydro_bm!H2576,"")</f>
        <v/>
      </c>
      <c r="H2576" t="str">
        <f>IF(ROW(H2576)&lt;=Raw_hydro_bm!$J$2,Raw_hydro_bm!I2576,"")</f>
        <v/>
      </c>
      <c r="I2576" s="16" t="str">
        <f t="shared" si="40"/>
        <v/>
      </c>
    </row>
    <row r="2577" spans="1:9" x14ac:dyDescent="0.2">
      <c r="A2577" t="str">
        <f>IF(ROW(A2577)&lt;=Raw_hydro_bm!$J$2,Raw_hydro_bm!B2577,"")</f>
        <v/>
      </c>
      <c r="B2577" t="str">
        <f>IF(ROW(B2577)&lt;=Raw_hydro_bm!$J$2,Raw_hydro_bm!C2577,"")</f>
        <v/>
      </c>
      <c r="C2577" t="str">
        <f>IF(ROW(C2577)&lt;=Raw_hydro_bm!$J$2,Raw_hydro_bm!D2577,"")</f>
        <v/>
      </c>
      <c r="D2577" t="str">
        <f>IF(ROW(D2577)&lt;=Raw_hydro_bm!$J$2,Raw_hydro_bm!E2577,"")</f>
        <v/>
      </c>
      <c r="E2577" t="str">
        <f>IF(ROW(E2577)&lt;=Raw_hydro_bm!$J$2,Raw_hydro_bm!F2577,"")</f>
        <v/>
      </c>
      <c r="F2577" t="str">
        <f>IF(ROW(F2577)&lt;=Raw_hydro_bm!$J$2,Raw_hydro_bm!G2577,"")</f>
        <v/>
      </c>
      <c r="G2577" t="str">
        <f>IF(ROW(G2577)&lt;=Raw_hydro_bm!$J$2,Raw_hydro_bm!H2577,"")</f>
        <v/>
      </c>
      <c r="H2577" t="str">
        <f>IF(ROW(H2577)&lt;=Raw_hydro_bm!$J$2,Raw_hydro_bm!I2577,"")</f>
        <v/>
      </c>
      <c r="I2577" s="16" t="str">
        <f t="shared" si="40"/>
        <v/>
      </c>
    </row>
    <row r="2578" spans="1:9" x14ac:dyDescent="0.2">
      <c r="A2578" t="str">
        <f>IF(ROW(A2578)&lt;=Raw_hydro_bm!$J$2,Raw_hydro_bm!B2578,"")</f>
        <v/>
      </c>
      <c r="B2578" t="str">
        <f>IF(ROW(B2578)&lt;=Raw_hydro_bm!$J$2,Raw_hydro_bm!C2578,"")</f>
        <v/>
      </c>
      <c r="C2578" t="str">
        <f>IF(ROW(C2578)&lt;=Raw_hydro_bm!$J$2,Raw_hydro_bm!D2578,"")</f>
        <v/>
      </c>
      <c r="D2578" t="str">
        <f>IF(ROW(D2578)&lt;=Raw_hydro_bm!$J$2,Raw_hydro_bm!E2578,"")</f>
        <v/>
      </c>
      <c r="E2578" t="str">
        <f>IF(ROW(E2578)&lt;=Raw_hydro_bm!$J$2,Raw_hydro_bm!F2578,"")</f>
        <v/>
      </c>
      <c r="F2578" t="str">
        <f>IF(ROW(F2578)&lt;=Raw_hydro_bm!$J$2,Raw_hydro_bm!G2578,"")</f>
        <v/>
      </c>
      <c r="G2578" t="str">
        <f>IF(ROW(G2578)&lt;=Raw_hydro_bm!$J$2,Raw_hydro_bm!H2578,"")</f>
        <v/>
      </c>
      <c r="H2578" t="str">
        <f>IF(ROW(H2578)&lt;=Raw_hydro_bm!$J$2,Raw_hydro_bm!I2578,"")</f>
        <v/>
      </c>
      <c r="I2578" s="16" t="str">
        <f t="shared" si="40"/>
        <v/>
      </c>
    </row>
    <row r="2579" spans="1:9" x14ac:dyDescent="0.2">
      <c r="A2579" t="str">
        <f>IF(ROW(A2579)&lt;=Raw_hydro_bm!$J$2,Raw_hydro_bm!B2579,"")</f>
        <v/>
      </c>
      <c r="B2579" t="str">
        <f>IF(ROW(B2579)&lt;=Raw_hydro_bm!$J$2,Raw_hydro_bm!C2579,"")</f>
        <v/>
      </c>
      <c r="C2579" t="str">
        <f>IF(ROW(C2579)&lt;=Raw_hydro_bm!$J$2,Raw_hydro_bm!D2579,"")</f>
        <v/>
      </c>
      <c r="D2579" t="str">
        <f>IF(ROW(D2579)&lt;=Raw_hydro_bm!$J$2,Raw_hydro_bm!E2579,"")</f>
        <v/>
      </c>
      <c r="E2579" t="str">
        <f>IF(ROW(E2579)&lt;=Raw_hydro_bm!$J$2,Raw_hydro_bm!F2579,"")</f>
        <v/>
      </c>
      <c r="F2579" t="str">
        <f>IF(ROW(F2579)&lt;=Raw_hydro_bm!$J$2,Raw_hydro_bm!G2579,"")</f>
        <v/>
      </c>
      <c r="G2579" t="str">
        <f>IF(ROW(G2579)&lt;=Raw_hydro_bm!$J$2,Raw_hydro_bm!H2579,"")</f>
        <v/>
      </c>
      <c r="H2579" t="str">
        <f>IF(ROW(H2579)&lt;=Raw_hydro_bm!$J$2,Raw_hydro_bm!I2579,"")</f>
        <v/>
      </c>
      <c r="I2579" s="16" t="str">
        <f t="shared" si="40"/>
        <v/>
      </c>
    </row>
    <row r="2580" spans="1:9" x14ac:dyDescent="0.2">
      <c r="A2580" t="str">
        <f>IF(ROW(A2580)&lt;=Raw_hydro_bm!$J$2,Raw_hydro_bm!B2580,"")</f>
        <v/>
      </c>
      <c r="B2580" t="str">
        <f>IF(ROW(B2580)&lt;=Raw_hydro_bm!$J$2,Raw_hydro_bm!C2580,"")</f>
        <v/>
      </c>
      <c r="C2580" t="str">
        <f>IF(ROW(C2580)&lt;=Raw_hydro_bm!$J$2,Raw_hydro_bm!D2580,"")</f>
        <v/>
      </c>
      <c r="D2580" t="str">
        <f>IF(ROW(D2580)&lt;=Raw_hydro_bm!$J$2,Raw_hydro_bm!E2580,"")</f>
        <v/>
      </c>
      <c r="E2580" t="str">
        <f>IF(ROW(E2580)&lt;=Raw_hydro_bm!$J$2,Raw_hydro_bm!F2580,"")</f>
        <v/>
      </c>
      <c r="F2580" t="str">
        <f>IF(ROW(F2580)&lt;=Raw_hydro_bm!$J$2,Raw_hydro_bm!G2580,"")</f>
        <v/>
      </c>
      <c r="G2580" t="str">
        <f>IF(ROW(G2580)&lt;=Raw_hydro_bm!$J$2,Raw_hydro_bm!H2580,"")</f>
        <v/>
      </c>
      <c r="H2580" t="str">
        <f>IF(ROW(H2580)&lt;=Raw_hydro_bm!$J$2,Raw_hydro_bm!I2580,"")</f>
        <v/>
      </c>
      <c r="I2580" s="16" t="str">
        <f t="shared" si="40"/>
        <v/>
      </c>
    </row>
    <row r="2581" spans="1:9" x14ac:dyDescent="0.2">
      <c r="A2581" t="str">
        <f>IF(ROW(A2581)&lt;=Raw_hydro_bm!$J$2,Raw_hydro_bm!B2581,"")</f>
        <v/>
      </c>
      <c r="B2581" t="str">
        <f>IF(ROW(B2581)&lt;=Raw_hydro_bm!$J$2,Raw_hydro_bm!C2581,"")</f>
        <v/>
      </c>
      <c r="C2581" t="str">
        <f>IF(ROW(C2581)&lt;=Raw_hydro_bm!$J$2,Raw_hydro_bm!D2581,"")</f>
        <v/>
      </c>
      <c r="D2581" t="str">
        <f>IF(ROW(D2581)&lt;=Raw_hydro_bm!$J$2,Raw_hydro_bm!E2581,"")</f>
        <v/>
      </c>
      <c r="E2581" t="str">
        <f>IF(ROW(E2581)&lt;=Raw_hydro_bm!$J$2,Raw_hydro_bm!F2581,"")</f>
        <v/>
      </c>
      <c r="F2581" t="str">
        <f>IF(ROW(F2581)&lt;=Raw_hydro_bm!$J$2,Raw_hydro_bm!G2581,"")</f>
        <v/>
      </c>
      <c r="G2581" t="str">
        <f>IF(ROW(G2581)&lt;=Raw_hydro_bm!$J$2,Raw_hydro_bm!H2581,"")</f>
        <v/>
      </c>
      <c r="H2581" t="str">
        <f>IF(ROW(H2581)&lt;=Raw_hydro_bm!$J$2,Raw_hydro_bm!I2581,"")</f>
        <v/>
      </c>
      <c r="I2581" s="16" t="str">
        <f t="shared" si="40"/>
        <v/>
      </c>
    </row>
    <row r="2582" spans="1:9" x14ac:dyDescent="0.2">
      <c r="A2582" t="str">
        <f>IF(ROW(A2582)&lt;=Raw_hydro_bm!$J$2,Raw_hydro_bm!B2582,"")</f>
        <v/>
      </c>
      <c r="B2582" t="str">
        <f>IF(ROW(B2582)&lt;=Raw_hydro_bm!$J$2,Raw_hydro_bm!C2582,"")</f>
        <v/>
      </c>
      <c r="C2582" t="str">
        <f>IF(ROW(C2582)&lt;=Raw_hydro_bm!$J$2,Raw_hydro_bm!D2582,"")</f>
        <v/>
      </c>
      <c r="D2582" t="str">
        <f>IF(ROW(D2582)&lt;=Raw_hydro_bm!$J$2,Raw_hydro_bm!E2582,"")</f>
        <v/>
      </c>
      <c r="E2582" t="str">
        <f>IF(ROW(E2582)&lt;=Raw_hydro_bm!$J$2,Raw_hydro_bm!F2582,"")</f>
        <v/>
      </c>
      <c r="F2582" t="str">
        <f>IF(ROW(F2582)&lt;=Raw_hydro_bm!$J$2,Raw_hydro_bm!G2582,"")</f>
        <v/>
      </c>
      <c r="G2582" t="str">
        <f>IF(ROW(G2582)&lt;=Raw_hydro_bm!$J$2,Raw_hydro_bm!H2582,"")</f>
        <v/>
      </c>
      <c r="H2582" t="str">
        <f>IF(ROW(H2582)&lt;=Raw_hydro_bm!$J$2,Raw_hydro_bm!I2582,"")</f>
        <v/>
      </c>
      <c r="I2582" s="16" t="str">
        <f t="shared" si="40"/>
        <v/>
      </c>
    </row>
    <row r="2583" spans="1:9" x14ac:dyDescent="0.2">
      <c r="A2583" t="str">
        <f>IF(ROW(A2583)&lt;=Raw_hydro_bm!$J$2,Raw_hydro_bm!B2583,"")</f>
        <v/>
      </c>
      <c r="B2583" t="str">
        <f>IF(ROW(B2583)&lt;=Raw_hydro_bm!$J$2,Raw_hydro_bm!C2583,"")</f>
        <v/>
      </c>
      <c r="C2583" t="str">
        <f>IF(ROW(C2583)&lt;=Raw_hydro_bm!$J$2,Raw_hydro_bm!D2583,"")</f>
        <v/>
      </c>
      <c r="D2583" t="str">
        <f>IF(ROW(D2583)&lt;=Raw_hydro_bm!$J$2,Raw_hydro_bm!E2583,"")</f>
        <v/>
      </c>
      <c r="E2583" t="str">
        <f>IF(ROW(E2583)&lt;=Raw_hydro_bm!$J$2,Raw_hydro_bm!F2583,"")</f>
        <v/>
      </c>
      <c r="F2583" t="str">
        <f>IF(ROW(F2583)&lt;=Raw_hydro_bm!$J$2,Raw_hydro_bm!G2583,"")</f>
        <v/>
      </c>
      <c r="G2583" t="str">
        <f>IF(ROW(G2583)&lt;=Raw_hydro_bm!$J$2,Raw_hydro_bm!H2583,"")</f>
        <v/>
      </c>
      <c r="H2583" t="str">
        <f>IF(ROW(H2583)&lt;=Raw_hydro_bm!$J$2,Raw_hydro_bm!I2583,"")</f>
        <v/>
      </c>
      <c r="I2583" s="16" t="str">
        <f t="shared" si="40"/>
        <v/>
      </c>
    </row>
    <row r="2584" spans="1:9" x14ac:dyDescent="0.2">
      <c r="A2584" t="str">
        <f>IF(ROW(A2584)&lt;=Raw_hydro_bm!$J$2,Raw_hydro_bm!B2584,"")</f>
        <v/>
      </c>
      <c r="B2584" t="str">
        <f>IF(ROW(B2584)&lt;=Raw_hydro_bm!$J$2,Raw_hydro_bm!C2584,"")</f>
        <v/>
      </c>
      <c r="C2584" t="str">
        <f>IF(ROW(C2584)&lt;=Raw_hydro_bm!$J$2,Raw_hydro_bm!D2584,"")</f>
        <v/>
      </c>
      <c r="D2584" t="str">
        <f>IF(ROW(D2584)&lt;=Raw_hydro_bm!$J$2,Raw_hydro_bm!E2584,"")</f>
        <v/>
      </c>
      <c r="E2584" t="str">
        <f>IF(ROW(E2584)&lt;=Raw_hydro_bm!$J$2,Raw_hydro_bm!F2584,"")</f>
        <v/>
      </c>
      <c r="F2584" t="str">
        <f>IF(ROW(F2584)&lt;=Raw_hydro_bm!$J$2,Raw_hydro_bm!G2584,"")</f>
        <v/>
      </c>
      <c r="G2584" t="str">
        <f>IF(ROW(G2584)&lt;=Raw_hydro_bm!$J$2,Raw_hydro_bm!H2584,"")</f>
        <v/>
      </c>
      <c r="H2584" t="str">
        <f>IF(ROW(H2584)&lt;=Raw_hydro_bm!$J$2,Raw_hydro_bm!I2584,"")</f>
        <v/>
      </c>
      <c r="I2584" s="16" t="str">
        <f t="shared" si="40"/>
        <v/>
      </c>
    </row>
    <row r="2585" spans="1:9" x14ac:dyDescent="0.2">
      <c r="A2585" t="str">
        <f>IF(ROW(A2585)&lt;=Raw_hydro_bm!$J$2,Raw_hydro_bm!B2585,"")</f>
        <v/>
      </c>
      <c r="B2585" t="str">
        <f>IF(ROW(B2585)&lt;=Raw_hydro_bm!$J$2,Raw_hydro_bm!C2585,"")</f>
        <v/>
      </c>
      <c r="C2585" t="str">
        <f>IF(ROW(C2585)&lt;=Raw_hydro_bm!$J$2,Raw_hydro_bm!D2585,"")</f>
        <v/>
      </c>
      <c r="D2585" t="str">
        <f>IF(ROW(D2585)&lt;=Raw_hydro_bm!$J$2,Raw_hydro_bm!E2585,"")</f>
        <v/>
      </c>
      <c r="E2585" t="str">
        <f>IF(ROW(E2585)&lt;=Raw_hydro_bm!$J$2,Raw_hydro_bm!F2585,"")</f>
        <v/>
      </c>
      <c r="F2585" t="str">
        <f>IF(ROW(F2585)&lt;=Raw_hydro_bm!$J$2,Raw_hydro_bm!G2585,"")</f>
        <v/>
      </c>
      <c r="G2585" t="str">
        <f>IF(ROW(G2585)&lt;=Raw_hydro_bm!$J$2,Raw_hydro_bm!H2585,"")</f>
        <v/>
      </c>
      <c r="H2585" t="str">
        <f>IF(ROW(H2585)&lt;=Raw_hydro_bm!$J$2,Raw_hydro_bm!I2585,"")</f>
        <v/>
      </c>
      <c r="I2585" s="16" t="str">
        <f t="shared" si="40"/>
        <v/>
      </c>
    </row>
    <row r="2586" spans="1:9" x14ac:dyDescent="0.2">
      <c r="A2586" t="str">
        <f>IF(ROW(A2586)&lt;=Raw_hydro_bm!$J$2,Raw_hydro_bm!B2586,"")</f>
        <v/>
      </c>
      <c r="B2586" t="str">
        <f>IF(ROW(B2586)&lt;=Raw_hydro_bm!$J$2,Raw_hydro_bm!C2586,"")</f>
        <v/>
      </c>
      <c r="C2586" t="str">
        <f>IF(ROW(C2586)&lt;=Raw_hydro_bm!$J$2,Raw_hydro_bm!D2586,"")</f>
        <v/>
      </c>
      <c r="D2586" t="str">
        <f>IF(ROW(D2586)&lt;=Raw_hydro_bm!$J$2,Raw_hydro_bm!E2586,"")</f>
        <v/>
      </c>
      <c r="E2586" t="str">
        <f>IF(ROW(E2586)&lt;=Raw_hydro_bm!$J$2,Raw_hydro_bm!F2586,"")</f>
        <v/>
      </c>
      <c r="F2586" t="str">
        <f>IF(ROW(F2586)&lt;=Raw_hydro_bm!$J$2,Raw_hydro_bm!G2586,"")</f>
        <v/>
      </c>
      <c r="G2586" t="str">
        <f>IF(ROW(G2586)&lt;=Raw_hydro_bm!$J$2,Raw_hydro_bm!H2586,"")</f>
        <v/>
      </c>
      <c r="H2586" t="str">
        <f>IF(ROW(H2586)&lt;=Raw_hydro_bm!$J$2,Raw_hydro_bm!I2586,"")</f>
        <v/>
      </c>
      <c r="I2586" s="16" t="str">
        <f t="shared" si="40"/>
        <v/>
      </c>
    </row>
    <row r="2587" spans="1:9" x14ac:dyDescent="0.2">
      <c r="A2587" t="str">
        <f>IF(ROW(A2587)&lt;=Raw_hydro_bm!$J$2,Raw_hydro_bm!B2587,"")</f>
        <v/>
      </c>
      <c r="B2587" t="str">
        <f>IF(ROW(B2587)&lt;=Raw_hydro_bm!$J$2,Raw_hydro_bm!C2587,"")</f>
        <v/>
      </c>
      <c r="C2587" t="str">
        <f>IF(ROW(C2587)&lt;=Raw_hydro_bm!$J$2,Raw_hydro_bm!D2587,"")</f>
        <v/>
      </c>
      <c r="D2587" t="str">
        <f>IF(ROW(D2587)&lt;=Raw_hydro_bm!$J$2,Raw_hydro_bm!E2587,"")</f>
        <v/>
      </c>
      <c r="E2587" t="str">
        <f>IF(ROW(E2587)&lt;=Raw_hydro_bm!$J$2,Raw_hydro_bm!F2587,"")</f>
        <v/>
      </c>
      <c r="F2587" t="str">
        <f>IF(ROW(F2587)&lt;=Raw_hydro_bm!$J$2,Raw_hydro_bm!G2587,"")</f>
        <v/>
      </c>
      <c r="G2587" t="str">
        <f>IF(ROW(G2587)&lt;=Raw_hydro_bm!$J$2,Raw_hydro_bm!H2587,"")</f>
        <v/>
      </c>
      <c r="H2587" t="str">
        <f>IF(ROW(H2587)&lt;=Raw_hydro_bm!$J$2,Raw_hydro_bm!I2587,"")</f>
        <v/>
      </c>
      <c r="I2587" s="16" t="str">
        <f t="shared" si="40"/>
        <v/>
      </c>
    </row>
    <row r="2588" spans="1:9" x14ac:dyDescent="0.2">
      <c r="A2588" t="str">
        <f>IF(ROW(A2588)&lt;=Raw_hydro_bm!$J$2,Raw_hydro_bm!B2588,"")</f>
        <v/>
      </c>
      <c r="B2588" t="str">
        <f>IF(ROW(B2588)&lt;=Raw_hydro_bm!$J$2,Raw_hydro_bm!C2588,"")</f>
        <v/>
      </c>
      <c r="C2588" t="str">
        <f>IF(ROW(C2588)&lt;=Raw_hydro_bm!$J$2,Raw_hydro_bm!D2588,"")</f>
        <v/>
      </c>
      <c r="D2588" t="str">
        <f>IF(ROW(D2588)&lt;=Raw_hydro_bm!$J$2,Raw_hydro_bm!E2588,"")</f>
        <v/>
      </c>
      <c r="E2588" t="str">
        <f>IF(ROW(E2588)&lt;=Raw_hydro_bm!$J$2,Raw_hydro_bm!F2588,"")</f>
        <v/>
      </c>
      <c r="F2588" t="str">
        <f>IF(ROW(F2588)&lt;=Raw_hydro_bm!$J$2,Raw_hydro_bm!G2588,"")</f>
        <v/>
      </c>
      <c r="G2588" t="str">
        <f>IF(ROW(G2588)&lt;=Raw_hydro_bm!$J$2,Raw_hydro_bm!H2588,"")</f>
        <v/>
      </c>
      <c r="H2588" t="str">
        <f>IF(ROW(H2588)&lt;=Raw_hydro_bm!$J$2,Raw_hydro_bm!I2588,"")</f>
        <v/>
      </c>
      <c r="I2588" s="16" t="str">
        <f t="shared" si="40"/>
        <v/>
      </c>
    </row>
    <row r="2589" spans="1:9" x14ac:dyDescent="0.2">
      <c r="A2589" t="str">
        <f>IF(ROW(A2589)&lt;=Raw_hydro_bm!$J$2,Raw_hydro_bm!B2589,"")</f>
        <v/>
      </c>
      <c r="B2589" t="str">
        <f>IF(ROW(B2589)&lt;=Raw_hydro_bm!$J$2,Raw_hydro_bm!C2589,"")</f>
        <v/>
      </c>
      <c r="C2589" t="str">
        <f>IF(ROW(C2589)&lt;=Raw_hydro_bm!$J$2,Raw_hydro_bm!D2589,"")</f>
        <v/>
      </c>
      <c r="D2589" t="str">
        <f>IF(ROW(D2589)&lt;=Raw_hydro_bm!$J$2,Raw_hydro_bm!E2589,"")</f>
        <v/>
      </c>
      <c r="E2589" t="str">
        <f>IF(ROW(E2589)&lt;=Raw_hydro_bm!$J$2,Raw_hydro_bm!F2589,"")</f>
        <v/>
      </c>
      <c r="F2589" t="str">
        <f>IF(ROW(F2589)&lt;=Raw_hydro_bm!$J$2,Raw_hydro_bm!G2589,"")</f>
        <v/>
      </c>
      <c r="G2589" t="str">
        <f>IF(ROW(G2589)&lt;=Raw_hydro_bm!$J$2,Raw_hydro_bm!H2589,"")</f>
        <v/>
      </c>
      <c r="H2589" t="str">
        <f>IF(ROW(H2589)&lt;=Raw_hydro_bm!$J$2,Raw_hydro_bm!I2589,"")</f>
        <v/>
      </c>
      <c r="I2589" s="16" t="str">
        <f t="shared" si="40"/>
        <v/>
      </c>
    </row>
    <row r="2590" spans="1:9" x14ac:dyDescent="0.2">
      <c r="A2590" t="str">
        <f>IF(ROW(A2590)&lt;=Raw_hydro_bm!$J$2,Raw_hydro_bm!B2590,"")</f>
        <v/>
      </c>
      <c r="B2590" t="str">
        <f>IF(ROW(B2590)&lt;=Raw_hydro_bm!$J$2,Raw_hydro_bm!C2590,"")</f>
        <v/>
      </c>
      <c r="C2590" t="str">
        <f>IF(ROW(C2590)&lt;=Raw_hydro_bm!$J$2,Raw_hydro_bm!D2590,"")</f>
        <v/>
      </c>
      <c r="D2590" t="str">
        <f>IF(ROW(D2590)&lt;=Raw_hydro_bm!$J$2,Raw_hydro_bm!E2590,"")</f>
        <v/>
      </c>
      <c r="E2590" t="str">
        <f>IF(ROW(E2590)&lt;=Raw_hydro_bm!$J$2,Raw_hydro_bm!F2590,"")</f>
        <v/>
      </c>
      <c r="F2590" t="str">
        <f>IF(ROW(F2590)&lt;=Raw_hydro_bm!$J$2,Raw_hydro_bm!G2590,"")</f>
        <v/>
      </c>
      <c r="G2590" t="str">
        <f>IF(ROW(G2590)&lt;=Raw_hydro_bm!$J$2,Raw_hydro_bm!H2590,"")</f>
        <v/>
      </c>
      <c r="H2590" t="str">
        <f>IF(ROW(H2590)&lt;=Raw_hydro_bm!$J$2,Raw_hydro_bm!I2590,"")</f>
        <v/>
      </c>
      <c r="I2590" s="16" t="str">
        <f t="shared" si="40"/>
        <v/>
      </c>
    </row>
    <row r="2591" spans="1:9" x14ac:dyDescent="0.2">
      <c r="A2591" t="str">
        <f>IF(ROW(A2591)&lt;=Raw_hydro_bm!$J$2,Raw_hydro_bm!B2591,"")</f>
        <v/>
      </c>
      <c r="B2591" t="str">
        <f>IF(ROW(B2591)&lt;=Raw_hydro_bm!$J$2,Raw_hydro_bm!C2591,"")</f>
        <v/>
      </c>
      <c r="C2591" t="str">
        <f>IF(ROW(C2591)&lt;=Raw_hydro_bm!$J$2,Raw_hydro_bm!D2591,"")</f>
        <v/>
      </c>
      <c r="D2591" t="str">
        <f>IF(ROW(D2591)&lt;=Raw_hydro_bm!$J$2,Raw_hydro_bm!E2591,"")</f>
        <v/>
      </c>
      <c r="E2591" t="str">
        <f>IF(ROW(E2591)&lt;=Raw_hydro_bm!$J$2,Raw_hydro_bm!F2591,"")</f>
        <v/>
      </c>
      <c r="F2591" t="str">
        <f>IF(ROW(F2591)&lt;=Raw_hydro_bm!$J$2,Raw_hydro_bm!G2591,"")</f>
        <v/>
      </c>
      <c r="G2591" t="str">
        <f>IF(ROW(G2591)&lt;=Raw_hydro_bm!$J$2,Raw_hydro_bm!H2591,"")</f>
        <v/>
      </c>
      <c r="H2591" t="str">
        <f>IF(ROW(H2591)&lt;=Raw_hydro_bm!$J$2,Raw_hydro_bm!I2591,"")</f>
        <v/>
      </c>
      <c r="I2591" s="16" t="str">
        <f t="shared" si="40"/>
        <v/>
      </c>
    </row>
    <row r="2592" spans="1:9" x14ac:dyDescent="0.2">
      <c r="A2592" t="str">
        <f>IF(ROW(A2592)&lt;=Raw_hydro_bm!$J$2,Raw_hydro_bm!B2592,"")</f>
        <v/>
      </c>
      <c r="B2592" t="str">
        <f>IF(ROW(B2592)&lt;=Raw_hydro_bm!$J$2,Raw_hydro_bm!C2592,"")</f>
        <v/>
      </c>
      <c r="C2592" t="str">
        <f>IF(ROW(C2592)&lt;=Raw_hydro_bm!$J$2,Raw_hydro_bm!D2592,"")</f>
        <v/>
      </c>
      <c r="D2592" t="str">
        <f>IF(ROW(D2592)&lt;=Raw_hydro_bm!$J$2,Raw_hydro_bm!E2592,"")</f>
        <v/>
      </c>
      <c r="E2592" t="str">
        <f>IF(ROW(E2592)&lt;=Raw_hydro_bm!$J$2,Raw_hydro_bm!F2592,"")</f>
        <v/>
      </c>
      <c r="F2592" t="str">
        <f>IF(ROW(F2592)&lt;=Raw_hydro_bm!$J$2,Raw_hydro_bm!G2592,"")</f>
        <v/>
      </c>
      <c r="G2592" t="str">
        <f>IF(ROW(G2592)&lt;=Raw_hydro_bm!$J$2,Raw_hydro_bm!H2592,"")</f>
        <v/>
      </c>
      <c r="H2592" t="str">
        <f>IF(ROW(H2592)&lt;=Raw_hydro_bm!$J$2,Raw_hydro_bm!I2592,"")</f>
        <v/>
      </c>
      <c r="I2592" s="16" t="str">
        <f t="shared" si="40"/>
        <v/>
      </c>
    </row>
    <row r="2593" spans="1:9" x14ac:dyDescent="0.2">
      <c r="A2593" t="str">
        <f>IF(ROW(A2593)&lt;=Raw_hydro_bm!$J$2,Raw_hydro_bm!B2593,"")</f>
        <v/>
      </c>
      <c r="B2593" t="str">
        <f>IF(ROW(B2593)&lt;=Raw_hydro_bm!$J$2,Raw_hydro_bm!C2593,"")</f>
        <v/>
      </c>
      <c r="C2593" t="str">
        <f>IF(ROW(C2593)&lt;=Raw_hydro_bm!$J$2,Raw_hydro_bm!D2593,"")</f>
        <v/>
      </c>
      <c r="D2593" t="str">
        <f>IF(ROW(D2593)&lt;=Raw_hydro_bm!$J$2,Raw_hydro_bm!E2593,"")</f>
        <v/>
      </c>
      <c r="E2593" t="str">
        <f>IF(ROW(E2593)&lt;=Raw_hydro_bm!$J$2,Raw_hydro_bm!F2593,"")</f>
        <v/>
      </c>
      <c r="F2593" t="str">
        <f>IF(ROW(F2593)&lt;=Raw_hydro_bm!$J$2,Raw_hydro_bm!G2593,"")</f>
        <v/>
      </c>
      <c r="G2593" t="str">
        <f>IF(ROW(G2593)&lt;=Raw_hydro_bm!$J$2,Raw_hydro_bm!H2593,"")</f>
        <v/>
      </c>
      <c r="H2593" t="str">
        <f>IF(ROW(H2593)&lt;=Raw_hydro_bm!$J$2,Raw_hydro_bm!I2593,"")</f>
        <v/>
      </c>
      <c r="I2593" s="16" t="str">
        <f t="shared" si="40"/>
        <v/>
      </c>
    </row>
    <row r="2594" spans="1:9" x14ac:dyDescent="0.2">
      <c r="A2594" t="str">
        <f>IF(ROW(A2594)&lt;=Raw_hydro_bm!$J$2,Raw_hydro_bm!B2594,"")</f>
        <v/>
      </c>
      <c r="B2594" t="str">
        <f>IF(ROW(B2594)&lt;=Raw_hydro_bm!$J$2,Raw_hydro_bm!C2594,"")</f>
        <v/>
      </c>
      <c r="C2594" t="str">
        <f>IF(ROW(C2594)&lt;=Raw_hydro_bm!$J$2,Raw_hydro_bm!D2594,"")</f>
        <v/>
      </c>
      <c r="D2594" t="str">
        <f>IF(ROW(D2594)&lt;=Raw_hydro_bm!$J$2,Raw_hydro_bm!E2594,"")</f>
        <v/>
      </c>
      <c r="E2594" t="str">
        <f>IF(ROW(E2594)&lt;=Raw_hydro_bm!$J$2,Raw_hydro_bm!F2594,"")</f>
        <v/>
      </c>
      <c r="F2594" t="str">
        <f>IF(ROW(F2594)&lt;=Raw_hydro_bm!$J$2,Raw_hydro_bm!G2594,"")</f>
        <v/>
      </c>
      <c r="G2594" t="str">
        <f>IF(ROW(G2594)&lt;=Raw_hydro_bm!$J$2,Raw_hydro_bm!H2594,"")</f>
        <v/>
      </c>
      <c r="H2594" t="str">
        <f>IF(ROW(H2594)&lt;=Raw_hydro_bm!$J$2,Raw_hydro_bm!I2594,"")</f>
        <v/>
      </c>
      <c r="I2594" s="16" t="str">
        <f t="shared" si="40"/>
        <v/>
      </c>
    </row>
    <row r="2595" spans="1:9" x14ac:dyDescent="0.2">
      <c r="A2595" t="str">
        <f>IF(ROW(A2595)&lt;=Raw_hydro_bm!$J$2,Raw_hydro_bm!B2595,"")</f>
        <v/>
      </c>
      <c r="B2595" t="str">
        <f>IF(ROW(B2595)&lt;=Raw_hydro_bm!$J$2,Raw_hydro_bm!C2595,"")</f>
        <v/>
      </c>
      <c r="C2595" t="str">
        <f>IF(ROW(C2595)&lt;=Raw_hydro_bm!$J$2,Raw_hydro_bm!D2595,"")</f>
        <v/>
      </c>
      <c r="D2595" t="str">
        <f>IF(ROW(D2595)&lt;=Raw_hydro_bm!$J$2,Raw_hydro_bm!E2595,"")</f>
        <v/>
      </c>
      <c r="E2595" t="str">
        <f>IF(ROW(E2595)&lt;=Raw_hydro_bm!$J$2,Raw_hydro_bm!F2595,"")</f>
        <v/>
      </c>
      <c r="F2595" t="str">
        <f>IF(ROW(F2595)&lt;=Raw_hydro_bm!$J$2,Raw_hydro_bm!G2595,"")</f>
        <v/>
      </c>
      <c r="G2595" t="str">
        <f>IF(ROW(G2595)&lt;=Raw_hydro_bm!$J$2,Raw_hydro_bm!H2595,"")</f>
        <v/>
      </c>
      <c r="H2595" t="str">
        <f>IF(ROW(H2595)&lt;=Raw_hydro_bm!$J$2,Raw_hydro_bm!I2595,"")</f>
        <v/>
      </c>
      <c r="I2595" s="16" t="str">
        <f t="shared" si="40"/>
        <v/>
      </c>
    </row>
    <row r="2596" spans="1:9" x14ac:dyDescent="0.2">
      <c r="A2596" t="str">
        <f>IF(ROW(A2596)&lt;=Raw_hydro_bm!$J$2,Raw_hydro_bm!B2596,"")</f>
        <v/>
      </c>
      <c r="B2596" t="str">
        <f>IF(ROW(B2596)&lt;=Raw_hydro_bm!$J$2,Raw_hydro_bm!C2596,"")</f>
        <v/>
      </c>
      <c r="C2596" t="str">
        <f>IF(ROW(C2596)&lt;=Raw_hydro_bm!$J$2,Raw_hydro_bm!D2596,"")</f>
        <v/>
      </c>
      <c r="D2596" t="str">
        <f>IF(ROW(D2596)&lt;=Raw_hydro_bm!$J$2,Raw_hydro_bm!E2596,"")</f>
        <v/>
      </c>
      <c r="E2596" t="str">
        <f>IF(ROW(E2596)&lt;=Raw_hydro_bm!$J$2,Raw_hydro_bm!F2596,"")</f>
        <v/>
      </c>
      <c r="F2596" t="str">
        <f>IF(ROW(F2596)&lt;=Raw_hydro_bm!$J$2,Raw_hydro_bm!G2596,"")</f>
        <v/>
      </c>
      <c r="G2596" t="str">
        <f>IF(ROW(G2596)&lt;=Raw_hydro_bm!$J$2,Raw_hydro_bm!H2596,"")</f>
        <v/>
      </c>
      <c r="H2596" t="str">
        <f>IF(ROW(H2596)&lt;=Raw_hydro_bm!$J$2,Raw_hydro_bm!I2596,"")</f>
        <v/>
      </c>
      <c r="I2596" s="16" t="str">
        <f t="shared" si="40"/>
        <v/>
      </c>
    </row>
    <row r="2597" spans="1:9" x14ac:dyDescent="0.2">
      <c r="A2597" t="str">
        <f>IF(ROW(A2597)&lt;=Raw_hydro_bm!$J$2,Raw_hydro_bm!B2597,"")</f>
        <v/>
      </c>
      <c r="B2597" t="str">
        <f>IF(ROW(B2597)&lt;=Raw_hydro_bm!$J$2,Raw_hydro_bm!C2597,"")</f>
        <v/>
      </c>
      <c r="C2597" t="str">
        <f>IF(ROW(C2597)&lt;=Raw_hydro_bm!$J$2,Raw_hydro_bm!D2597,"")</f>
        <v/>
      </c>
      <c r="D2597" t="str">
        <f>IF(ROW(D2597)&lt;=Raw_hydro_bm!$J$2,Raw_hydro_bm!E2597,"")</f>
        <v/>
      </c>
      <c r="E2597" t="str">
        <f>IF(ROW(E2597)&lt;=Raw_hydro_bm!$J$2,Raw_hydro_bm!F2597,"")</f>
        <v/>
      </c>
      <c r="F2597" t="str">
        <f>IF(ROW(F2597)&lt;=Raw_hydro_bm!$J$2,Raw_hydro_bm!G2597,"")</f>
        <v/>
      </c>
      <c r="G2597" t="str">
        <f>IF(ROW(G2597)&lt;=Raw_hydro_bm!$J$2,Raw_hydro_bm!H2597,"")</f>
        <v/>
      </c>
      <c r="H2597" t="str">
        <f>IF(ROW(H2597)&lt;=Raw_hydro_bm!$J$2,Raw_hydro_bm!I2597,"")</f>
        <v/>
      </c>
      <c r="I2597" s="16" t="str">
        <f t="shared" si="40"/>
        <v/>
      </c>
    </row>
    <row r="2598" spans="1:9" x14ac:dyDescent="0.2">
      <c r="A2598" t="str">
        <f>IF(ROW(A2598)&lt;=Raw_hydro_bm!$J$2,Raw_hydro_bm!B2598,"")</f>
        <v/>
      </c>
      <c r="B2598" t="str">
        <f>IF(ROW(B2598)&lt;=Raw_hydro_bm!$J$2,Raw_hydro_bm!C2598,"")</f>
        <v/>
      </c>
      <c r="C2598" t="str">
        <f>IF(ROW(C2598)&lt;=Raw_hydro_bm!$J$2,Raw_hydro_bm!D2598,"")</f>
        <v/>
      </c>
      <c r="D2598" t="str">
        <f>IF(ROW(D2598)&lt;=Raw_hydro_bm!$J$2,Raw_hydro_bm!E2598,"")</f>
        <v/>
      </c>
      <c r="E2598" t="str">
        <f>IF(ROW(E2598)&lt;=Raw_hydro_bm!$J$2,Raw_hydro_bm!F2598,"")</f>
        <v/>
      </c>
      <c r="F2598" t="str">
        <f>IF(ROW(F2598)&lt;=Raw_hydro_bm!$J$2,Raw_hydro_bm!G2598,"")</f>
        <v/>
      </c>
      <c r="G2598" t="str">
        <f>IF(ROW(G2598)&lt;=Raw_hydro_bm!$J$2,Raw_hydro_bm!H2598,"")</f>
        <v/>
      </c>
      <c r="H2598" t="str">
        <f>IF(ROW(H2598)&lt;=Raw_hydro_bm!$J$2,Raw_hydro_bm!I2598,"")</f>
        <v/>
      </c>
      <c r="I2598" s="16" t="str">
        <f t="shared" si="40"/>
        <v/>
      </c>
    </row>
    <row r="2599" spans="1:9" x14ac:dyDescent="0.2">
      <c r="A2599" t="str">
        <f>IF(ROW(A2599)&lt;=Raw_hydro_bm!$J$2,Raw_hydro_bm!B2599,"")</f>
        <v/>
      </c>
      <c r="B2599" t="str">
        <f>IF(ROW(B2599)&lt;=Raw_hydro_bm!$J$2,Raw_hydro_bm!C2599,"")</f>
        <v/>
      </c>
      <c r="C2599" t="str">
        <f>IF(ROW(C2599)&lt;=Raw_hydro_bm!$J$2,Raw_hydro_bm!D2599,"")</f>
        <v/>
      </c>
      <c r="D2599" t="str">
        <f>IF(ROW(D2599)&lt;=Raw_hydro_bm!$J$2,Raw_hydro_bm!E2599,"")</f>
        <v/>
      </c>
      <c r="E2599" t="str">
        <f>IF(ROW(E2599)&lt;=Raw_hydro_bm!$J$2,Raw_hydro_bm!F2599,"")</f>
        <v/>
      </c>
      <c r="F2599" t="str">
        <f>IF(ROW(F2599)&lt;=Raw_hydro_bm!$J$2,Raw_hydro_bm!G2599,"")</f>
        <v/>
      </c>
      <c r="G2599" t="str">
        <f>IF(ROW(G2599)&lt;=Raw_hydro_bm!$J$2,Raw_hydro_bm!H2599,"")</f>
        <v/>
      </c>
      <c r="H2599" t="str">
        <f>IF(ROW(H2599)&lt;=Raw_hydro_bm!$J$2,Raw_hydro_bm!I2599,"")</f>
        <v/>
      </c>
      <c r="I2599" s="16" t="str">
        <f t="shared" si="40"/>
        <v/>
      </c>
    </row>
    <row r="2600" spans="1:9" x14ac:dyDescent="0.2">
      <c r="A2600" t="str">
        <f>IF(ROW(A2600)&lt;=Raw_hydro_bm!$J$2,Raw_hydro_bm!B2600,"")</f>
        <v/>
      </c>
      <c r="B2600" t="str">
        <f>IF(ROW(B2600)&lt;=Raw_hydro_bm!$J$2,Raw_hydro_bm!C2600,"")</f>
        <v/>
      </c>
      <c r="C2600" t="str">
        <f>IF(ROW(C2600)&lt;=Raw_hydro_bm!$J$2,Raw_hydro_bm!D2600,"")</f>
        <v/>
      </c>
      <c r="D2600" t="str">
        <f>IF(ROW(D2600)&lt;=Raw_hydro_bm!$J$2,Raw_hydro_bm!E2600,"")</f>
        <v/>
      </c>
      <c r="E2600" t="str">
        <f>IF(ROW(E2600)&lt;=Raw_hydro_bm!$J$2,Raw_hydro_bm!F2600,"")</f>
        <v/>
      </c>
      <c r="F2600" t="str">
        <f>IF(ROW(F2600)&lt;=Raw_hydro_bm!$J$2,Raw_hydro_bm!G2600,"")</f>
        <v/>
      </c>
      <c r="G2600" t="str">
        <f>IF(ROW(G2600)&lt;=Raw_hydro_bm!$J$2,Raw_hydro_bm!H2600,"")</f>
        <v/>
      </c>
      <c r="H2600" t="str">
        <f>IF(ROW(H2600)&lt;=Raw_hydro_bm!$J$2,Raw_hydro_bm!I2600,"")</f>
        <v/>
      </c>
      <c r="I2600" s="16" t="str">
        <f t="shared" si="40"/>
        <v/>
      </c>
    </row>
    <row r="2601" spans="1:9" x14ac:dyDescent="0.2">
      <c r="A2601" t="str">
        <f>IF(ROW(A2601)&lt;=Raw_hydro_bm!$J$2,Raw_hydro_bm!B2601,"")</f>
        <v/>
      </c>
      <c r="B2601" t="str">
        <f>IF(ROW(B2601)&lt;=Raw_hydro_bm!$J$2,Raw_hydro_bm!C2601,"")</f>
        <v/>
      </c>
      <c r="C2601" t="str">
        <f>IF(ROW(C2601)&lt;=Raw_hydro_bm!$J$2,Raw_hydro_bm!D2601,"")</f>
        <v/>
      </c>
      <c r="D2601" t="str">
        <f>IF(ROW(D2601)&lt;=Raw_hydro_bm!$J$2,Raw_hydro_bm!E2601,"")</f>
        <v/>
      </c>
      <c r="E2601" t="str">
        <f>IF(ROW(E2601)&lt;=Raw_hydro_bm!$J$2,Raw_hydro_bm!F2601,"")</f>
        <v/>
      </c>
      <c r="F2601" t="str">
        <f>IF(ROW(F2601)&lt;=Raw_hydro_bm!$J$2,Raw_hydro_bm!G2601,"")</f>
        <v/>
      </c>
      <c r="G2601" t="str">
        <f>IF(ROW(G2601)&lt;=Raw_hydro_bm!$J$2,Raw_hydro_bm!H2601,"")</f>
        <v/>
      </c>
      <c r="H2601" t="str">
        <f>IF(ROW(H2601)&lt;=Raw_hydro_bm!$J$2,Raw_hydro_bm!I2601,"")</f>
        <v/>
      </c>
      <c r="I2601" s="16" t="str">
        <f t="shared" si="40"/>
        <v/>
      </c>
    </row>
    <row r="2602" spans="1:9" x14ac:dyDescent="0.2">
      <c r="A2602" t="str">
        <f>IF(ROW(A2602)&lt;=Raw_hydro_bm!$J$2,Raw_hydro_bm!B2602,"")</f>
        <v/>
      </c>
      <c r="B2602" t="str">
        <f>IF(ROW(B2602)&lt;=Raw_hydro_bm!$J$2,Raw_hydro_bm!C2602,"")</f>
        <v/>
      </c>
      <c r="C2602" t="str">
        <f>IF(ROW(C2602)&lt;=Raw_hydro_bm!$J$2,Raw_hydro_bm!D2602,"")</f>
        <v/>
      </c>
      <c r="D2602" t="str">
        <f>IF(ROW(D2602)&lt;=Raw_hydro_bm!$J$2,Raw_hydro_bm!E2602,"")</f>
        <v/>
      </c>
      <c r="E2602" t="str">
        <f>IF(ROW(E2602)&lt;=Raw_hydro_bm!$J$2,Raw_hydro_bm!F2602,"")</f>
        <v/>
      </c>
      <c r="F2602" t="str">
        <f>IF(ROW(F2602)&lt;=Raw_hydro_bm!$J$2,Raw_hydro_bm!G2602,"")</f>
        <v/>
      </c>
      <c r="G2602" t="str">
        <f>IF(ROW(G2602)&lt;=Raw_hydro_bm!$J$2,Raw_hydro_bm!H2602,"")</f>
        <v/>
      </c>
      <c r="H2602" t="str">
        <f>IF(ROW(H2602)&lt;=Raw_hydro_bm!$J$2,Raw_hydro_bm!I2602,"")</f>
        <v/>
      </c>
      <c r="I2602" s="16" t="str">
        <f t="shared" si="40"/>
        <v/>
      </c>
    </row>
    <row r="2603" spans="1:9" x14ac:dyDescent="0.2">
      <c r="A2603" t="str">
        <f>IF(ROW(A2603)&lt;=Raw_hydro_bm!$J$2,Raw_hydro_bm!B2603,"")</f>
        <v/>
      </c>
      <c r="B2603" t="str">
        <f>IF(ROW(B2603)&lt;=Raw_hydro_bm!$J$2,Raw_hydro_bm!C2603,"")</f>
        <v/>
      </c>
      <c r="C2603" t="str">
        <f>IF(ROW(C2603)&lt;=Raw_hydro_bm!$J$2,Raw_hydro_bm!D2603,"")</f>
        <v/>
      </c>
      <c r="D2603" t="str">
        <f>IF(ROW(D2603)&lt;=Raw_hydro_bm!$J$2,Raw_hydro_bm!E2603,"")</f>
        <v/>
      </c>
      <c r="E2603" t="str">
        <f>IF(ROW(E2603)&lt;=Raw_hydro_bm!$J$2,Raw_hydro_bm!F2603,"")</f>
        <v/>
      </c>
      <c r="F2603" t="str">
        <f>IF(ROW(F2603)&lt;=Raw_hydro_bm!$J$2,Raw_hydro_bm!G2603,"")</f>
        <v/>
      </c>
      <c r="G2603" t="str">
        <f>IF(ROW(G2603)&lt;=Raw_hydro_bm!$J$2,Raw_hydro_bm!H2603,"")</f>
        <v/>
      </c>
      <c r="H2603" t="str">
        <f>IF(ROW(H2603)&lt;=Raw_hydro_bm!$J$2,Raw_hydro_bm!I2603,"")</f>
        <v/>
      </c>
      <c r="I2603" s="16" t="str">
        <f t="shared" si="40"/>
        <v/>
      </c>
    </row>
    <row r="2604" spans="1:9" x14ac:dyDescent="0.2">
      <c r="A2604" t="str">
        <f>IF(ROW(A2604)&lt;=Raw_hydro_bm!$J$2,Raw_hydro_bm!B2604,"")</f>
        <v/>
      </c>
      <c r="B2604" t="str">
        <f>IF(ROW(B2604)&lt;=Raw_hydro_bm!$J$2,Raw_hydro_bm!C2604,"")</f>
        <v/>
      </c>
      <c r="C2604" t="str">
        <f>IF(ROW(C2604)&lt;=Raw_hydro_bm!$J$2,Raw_hydro_bm!D2604,"")</f>
        <v/>
      </c>
      <c r="D2604" t="str">
        <f>IF(ROW(D2604)&lt;=Raw_hydro_bm!$J$2,Raw_hydro_bm!E2604,"")</f>
        <v/>
      </c>
      <c r="E2604" t="str">
        <f>IF(ROW(E2604)&lt;=Raw_hydro_bm!$J$2,Raw_hydro_bm!F2604,"")</f>
        <v/>
      </c>
      <c r="F2604" t="str">
        <f>IF(ROW(F2604)&lt;=Raw_hydro_bm!$J$2,Raw_hydro_bm!G2604,"")</f>
        <v/>
      </c>
      <c r="G2604" t="str">
        <f>IF(ROW(G2604)&lt;=Raw_hydro_bm!$J$2,Raw_hydro_bm!H2604,"")</f>
        <v/>
      </c>
      <c r="H2604" t="str">
        <f>IF(ROW(H2604)&lt;=Raw_hydro_bm!$J$2,Raw_hydro_bm!I2604,"")</f>
        <v/>
      </c>
      <c r="I2604" s="16" t="str">
        <f t="shared" si="40"/>
        <v/>
      </c>
    </row>
    <row r="2605" spans="1:9" x14ac:dyDescent="0.2">
      <c r="A2605" t="str">
        <f>IF(ROW(A2605)&lt;=Raw_hydro_bm!$J$2,Raw_hydro_bm!B2605,"")</f>
        <v/>
      </c>
      <c r="B2605" t="str">
        <f>IF(ROW(B2605)&lt;=Raw_hydro_bm!$J$2,Raw_hydro_bm!C2605,"")</f>
        <v/>
      </c>
      <c r="C2605" t="str">
        <f>IF(ROW(C2605)&lt;=Raw_hydro_bm!$J$2,Raw_hydro_bm!D2605,"")</f>
        <v/>
      </c>
      <c r="D2605" t="str">
        <f>IF(ROW(D2605)&lt;=Raw_hydro_bm!$J$2,Raw_hydro_bm!E2605,"")</f>
        <v/>
      </c>
      <c r="E2605" t="str">
        <f>IF(ROW(E2605)&lt;=Raw_hydro_bm!$J$2,Raw_hydro_bm!F2605,"")</f>
        <v/>
      </c>
      <c r="F2605" t="str">
        <f>IF(ROW(F2605)&lt;=Raw_hydro_bm!$J$2,Raw_hydro_bm!G2605,"")</f>
        <v/>
      </c>
      <c r="G2605" t="str">
        <f>IF(ROW(G2605)&lt;=Raw_hydro_bm!$J$2,Raw_hydro_bm!H2605,"")</f>
        <v/>
      </c>
      <c r="H2605" t="str">
        <f>IF(ROW(H2605)&lt;=Raw_hydro_bm!$J$2,Raw_hydro_bm!I2605,"")</f>
        <v/>
      </c>
      <c r="I2605" s="16" t="str">
        <f t="shared" si="40"/>
        <v/>
      </c>
    </row>
    <row r="2606" spans="1:9" x14ac:dyDescent="0.2">
      <c r="A2606" t="str">
        <f>IF(ROW(A2606)&lt;=Raw_hydro_bm!$J$2,Raw_hydro_bm!B2606,"")</f>
        <v/>
      </c>
      <c r="B2606" t="str">
        <f>IF(ROW(B2606)&lt;=Raw_hydro_bm!$J$2,Raw_hydro_bm!C2606,"")</f>
        <v/>
      </c>
      <c r="C2606" t="str">
        <f>IF(ROW(C2606)&lt;=Raw_hydro_bm!$J$2,Raw_hydro_bm!D2606,"")</f>
        <v/>
      </c>
      <c r="D2606" t="str">
        <f>IF(ROW(D2606)&lt;=Raw_hydro_bm!$J$2,Raw_hydro_bm!E2606,"")</f>
        <v/>
      </c>
      <c r="E2606" t="str">
        <f>IF(ROW(E2606)&lt;=Raw_hydro_bm!$J$2,Raw_hydro_bm!F2606,"")</f>
        <v/>
      </c>
      <c r="F2606" t="str">
        <f>IF(ROW(F2606)&lt;=Raw_hydro_bm!$J$2,Raw_hydro_bm!G2606,"")</f>
        <v/>
      </c>
      <c r="G2606" t="str">
        <f>IF(ROW(G2606)&lt;=Raw_hydro_bm!$J$2,Raw_hydro_bm!H2606,"")</f>
        <v/>
      </c>
      <c r="H2606" t="str">
        <f>IF(ROW(H2606)&lt;=Raw_hydro_bm!$J$2,Raw_hydro_bm!I2606,"")</f>
        <v/>
      </c>
      <c r="I2606" s="16" t="str">
        <f t="shared" si="40"/>
        <v/>
      </c>
    </row>
    <row r="2607" spans="1:9" x14ac:dyDescent="0.2">
      <c r="A2607" t="str">
        <f>IF(ROW(A2607)&lt;=Raw_hydro_bm!$J$2,Raw_hydro_bm!B2607,"")</f>
        <v/>
      </c>
      <c r="B2607" t="str">
        <f>IF(ROW(B2607)&lt;=Raw_hydro_bm!$J$2,Raw_hydro_bm!C2607,"")</f>
        <v/>
      </c>
      <c r="C2607" t="str">
        <f>IF(ROW(C2607)&lt;=Raw_hydro_bm!$J$2,Raw_hydro_bm!D2607,"")</f>
        <v/>
      </c>
      <c r="D2607" t="str">
        <f>IF(ROW(D2607)&lt;=Raw_hydro_bm!$J$2,Raw_hydro_bm!E2607,"")</f>
        <v/>
      </c>
      <c r="E2607" t="str">
        <f>IF(ROW(E2607)&lt;=Raw_hydro_bm!$J$2,Raw_hydro_bm!F2607,"")</f>
        <v/>
      </c>
      <c r="F2607" t="str">
        <f>IF(ROW(F2607)&lt;=Raw_hydro_bm!$J$2,Raw_hydro_bm!G2607,"")</f>
        <v/>
      </c>
      <c r="G2607" t="str">
        <f>IF(ROW(G2607)&lt;=Raw_hydro_bm!$J$2,Raw_hydro_bm!H2607,"")</f>
        <v/>
      </c>
      <c r="H2607" t="str">
        <f>IF(ROW(H2607)&lt;=Raw_hydro_bm!$J$2,Raw_hydro_bm!I2607,"")</f>
        <v/>
      </c>
      <c r="I2607" s="16" t="str">
        <f t="shared" si="40"/>
        <v/>
      </c>
    </row>
    <row r="2608" spans="1:9" x14ac:dyDescent="0.2">
      <c r="A2608" t="str">
        <f>IF(ROW(A2608)&lt;=Raw_hydro_bm!$J$2,Raw_hydro_bm!B2608,"")</f>
        <v/>
      </c>
      <c r="B2608" t="str">
        <f>IF(ROW(B2608)&lt;=Raw_hydro_bm!$J$2,Raw_hydro_bm!C2608,"")</f>
        <v/>
      </c>
      <c r="C2608" t="str">
        <f>IF(ROW(C2608)&lt;=Raw_hydro_bm!$J$2,Raw_hydro_bm!D2608,"")</f>
        <v/>
      </c>
      <c r="D2608" t="str">
        <f>IF(ROW(D2608)&lt;=Raw_hydro_bm!$J$2,Raw_hydro_bm!E2608,"")</f>
        <v/>
      </c>
      <c r="E2608" t="str">
        <f>IF(ROW(E2608)&lt;=Raw_hydro_bm!$J$2,Raw_hydro_bm!F2608,"")</f>
        <v/>
      </c>
      <c r="F2608" t="str">
        <f>IF(ROW(F2608)&lt;=Raw_hydro_bm!$J$2,Raw_hydro_bm!G2608,"")</f>
        <v/>
      </c>
      <c r="G2608" t="str">
        <f>IF(ROW(G2608)&lt;=Raw_hydro_bm!$J$2,Raw_hydro_bm!H2608,"")</f>
        <v/>
      </c>
      <c r="H2608" t="str">
        <f>IF(ROW(H2608)&lt;=Raw_hydro_bm!$J$2,Raw_hydro_bm!I2608,"")</f>
        <v/>
      </c>
      <c r="I2608" s="16" t="str">
        <f t="shared" si="40"/>
        <v/>
      </c>
    </row>
    <row r="2609" spans="1:9" x14ac:dyDescent="0.2">
      <c r="A2609" t="str">
        <f>IF(ROW(A2609)&lt;=Raw_hydro_bm!$J$2,Raw_hydro_bm!B2609,"")</f>
        <v/>
      </c>
      <c r="B2609" t="str">
        <f>IF(ROW(B2609)&lt;=Raw_hydro_bm!$J$2,Raw_hydro_bm!C2609,"")</f>
        <v/>
      </c>
      <c r="C2609" t="str">
        <f>IF(ROW(C2609)&lt;=Raw_hydro_bm!$J$2,Raw_hydro_bm!D2609,"")</f>
        <v/>
      </c>
      <c r="D2609" t="str">
        <f>IF(ROW(D2609)&lt;=Raw_hydro_bm!$J$2,Raw_hydro_bm!E2609,"")</f>
        <v/>
      </c>
      <c r="E2609" t="str">
        <f>IF(ROW(E2609)&lt;=Raw_hydro_bm!$J$2,Raw_hydro_bm!F2609,"")</f>
        <v/>
      </c>
      <c r="F2609" t="str">
        <f>IF(ROW(F2609)&lt;=Raw_hydro_bm!$J$2,Raw_hydro_bm!G2609,"")</f>
        <v/>
      </c>
      <c r="G2609" t="str">
        <f>IF(ROW(G2609)&lt;=Raw_hydro_bm!$J$2,Raw_hydro_bm!H2609,"")</f>
        <v/>
      </c>
      <c r="H2609" t="str">
        <f>IF(ROW(H2609)&lt;=Raw_hydro_bm!$J$2,Raw_hydro_bm!I2609,"")</f>
        <v/>
      </c>
      <c r="I2609" s="16" t="str">
        <f t="shared" si="40"/>
        <v/>
      </c>
    </row>
    <row r="2610" spans="1:9" x14ac:dyDescent="0.2">
      <c r="A2610" t="str">
        <f>IF(ROW(A2610)&lt;=Raw_hydro_bm!$J$2,Raw_hydro_bm!B2610,"")</f>
        <v/>
      </c>
      <c r="B2610" t="str">
        <f>IF(ROW(B2610)&lt;=Raw_hydro_bm!$J$2,Raw_hydro_bm!C2610,"")</f>
        <v/>
      </c>
      <c r="C2610" t="str">
        <f>IF(ROW(C2610)&lt;=Raw_hydro_bm!$J$2,Raw_hydro_bm!D2610,"")</f>
        <v/>
      </c>
      <c r="D2610" t="str">
        <f>IF(ROW(D2610)&lt;=Raw_hydro_bm!$J$2,Raw_hydro_bm!E2610,"")</f>
        <v/>
      </c>
      <c r="E2610" t="str">
        <f>IF(ROW(E2610)&lt;=Raw_hydro_bm!$J$2,Raw_hydro_bm!F2610,"")</f>
        <v/>
      </c>
      <c r="F2610" t="str">
        <f>IF(ROW(F2610)&lt;=Raw_hydro_bm!$J$2,Raw_hydro_bm!G2610,"")</f>
        <v/>
      </c>
      <c r="G2610" t="str">
        <f>IF(ROW(G2610)&lt;=Raw_hydro_bm!$J$2,Raw_hydro_bm!H2610,"")</f>
        <v/>
      </c>
      <c r="H2610" t="str">
        <f>IF(ROW(H2610)&lt;=Raw_hydro_bm!$J$2,Raw_hydro_bm!I2610,"")</f>
        <v/>
      </c>
      <c r="I2610" s="16" t="str">
        <f t="shared" si="40"/>
        <v/>
      </c>
    </row>
    <row r="2611" spans="1:9" x14ac:dyDescent="0.2">
      <c r="A2611" t="str">
        <f>IF(ROW(A2611)&lt;=Raw_hydro_bm!$J$2,Raw_hydro_bm!B2611,"")</f>
        <v/>
      </c>
      <c r="B2611" t="str">
        <f>IF(ROW(B2611)&lt;=Raw_hydro_bm!$J$2,Raw_hydro_bm!C2611,"")</f>
        <v/>
      </c>
      <c r="C2611" t="str">
        <f>IF(ROW(C2611)&lt;=Raw_hydro_bm!$J$2,Raw_hydro_bm!D2611,"")</f>
        <v/>
      </c>
      <c r="D2611" t="str">
        <f>IF(ROW(D2611)&lt;=Raw_hydro_bm!$J$2,Raw_hydro_bm!E2611,"")</f>
        <v/>
      </c>
      <c r="E2611" t="str">
        <f>IF(ROW(E2611)&lt;=Raw_hydro_bm!$J$2,Raw_hydro_bm!F2611,"")</f>
        <v/>
      </c>
      <c r="F2611" t="str">
        <f>IF(ROW(F2611)&lt;=Raw_hydro_bm!$J$2,Raw_hydro_bm!G2611,"")</f>
        <v/>
      </c>
      <c r="G2611" t="str">
        <f>IF(ROW(G2611)&lt;=Raw_hydro_bm!$J$2,Raw_hydro_bm!H2611,"")</f>
        <v/>
      </c>
      <c r="H2611" t="str">
        <f>IF(ROW(H2611)&lt;=Raw_hydro_bm!$J$2,Raw_hydro_bm!I2611,"")</f>
        <v/>
      </c>
      <c r="I2611" s="16" t="str">
        <f t="shared" si="40"/>
        <v/>
      </c>
    </row>
    <row r="2612" spans="1:9" x14ac:dyDescent="0.2">
      <c r="A2612" t="str">
        <f>IF(ROW(A2612)&lt;=Raw_hydro_bm!$J$2,Raw_hydro_bm!B2612,"")</f>
        <v/>
      </c>
      <c r="B2612" t="str">
        <f>IF(ROW(B2612)&lt;=Raw_hydro_bm!$J$2,Raw_hydro_bm!C2612,"")</f>
        <v/>
      </c>
      <c r="C2612" t="str">
        <f>IF(ROW(C2612)&lt;=Raw_hydro_bm!$J$2,Raw_hydro_bm!D2612,"")</f>
        <v/>
      </c>
      <c r="D2612" t="str">
        <f>IF(ROW(D2612)&lt;=Raw_hydro_bm!$J$2,Raw_hydro_bm!E2612,"")</f>
        <v/>
      </c>
      <c r="E2612" t="str">
        <f>IF(ROW(E2612)&lt;=Raw_hydro_bm!$J$2,Raw_hydro_bm!F2612,"")</f>
        <v/>
      </c>
      <c r="F2612" t="str">
        <f>IF(ROW(F2612)&lt;=Raw_hydro_bm!$J$2,Raw_hydro_bm!G2612,"")</f>
        <v/>
      </c>
      <c r="G2612" t="str">
        <f>IF(ROW(G2612)&lt;=Raw_hydro_bm!$J$2,Raw_hydro_bm!H2612,"")</f>
        <v/>
      </c>
      <c r="H2612" t="str">
        <f>IF(ROW(H2612)&lt;=Raw_hydro_bm!$J$2,Raw_hydro_bm!I2612,"")</f>
        <v/>
      </c>
      <c r="I2612" s="16" t="str">
        <f t="shared" si="40"/>
        <v/>
      </c>
    </row>
    <row r="2613" spans="1:9" x14ac:dyDescent="0.2">
      <c r="A2613" t="str">
        <f>IF(ROW(A2613)&lt;=Raw_hydro_bm!$J$2,Raw_hydro_bm!B2613,"")</f>
        <v/>
      </c>
      <c r="B2613" t="str">
        <f>IF(ROW(B2613)&lt;=Raw_hydro_bm!$J$2,Raw_hydro_bm!C2613,"")</f>
        <v/>
      </c>
      <c r="C2613" t="str">
        <f>IF(ROW(C2613)&lt;=Raw_hydro_bm!$J$2,Raw_hydro_bm!D2613,"")</f>
        <v/>
      </c>
      <c r="D2613" t="str">
        <f>IF(ROW(D2613)&lt;=Raw_hydro_bm!$J$2,Raw_hydro_bm!E2613,"")</f>
        <v/>
      </c>
      <c r="E2613" t="str">
        <f>IF(ROW(E2613)&lt;=Raw_hydro_bm!$J$2,Raw_hydro_bm!F2613,"")</f>
        <v/>
      </c>
      <c r="F2613" t="str">
        <f>IF(ROW(F2613)&lt;=Raw_hydro_bm!$J$2,Raw_hydro_bm!G2613,"")</f>
        <v/>
      </c>
      <c r="G2613" t="str">
        <f>IF(ROW(G2613)&lt;=Raw_hydro_bm!$J$2,Raw_hydro_bm!H2613,"")</f>
        <v/>
      </c>
      <c r="H2613" t="str">
        <f>IF(ROW(H2613)&lt;=Raw_hydro_bm!$J$2,Raw_hydro_bm!I2613,"")</f>
        <v/>
      </c>
      <c r="I2613" s="16" t="str">
        <f t="shared" si="40"/>
        <v/>
      </c>
    </row>
    <row r="2614" spans="1:9" x14ac:dyDescent="0.2">
      <c r="A2614" t="str">
        <f>IF(ROW(A2614)&lt;=Raw_hydro_bm!$J$2,Raw_hydro_bm!B2614,"")</f>
        <v/>
      </c>
      <c r="B2614" t="str">
        <f>IF(ROW(B2614)&lt;=Raw_hydro_bm!$J$2,Raw_hydro_bm!C2614,"")</f>
        <v/>
      </c>
      <c r="C2614" t="str">
        <f>IF(ROW(C2614)&lt;=Raw_hydro_bm!$J$2,Raw_hydro_bm!D2614,"")</f>
        <v/>
      </c>
      <c r="D2614" t="str">
        <f>IF(ROW(D2614)&lt;=Raw_hydro_bm!$J$2,Raw_hydro_bm!E2614,"")</f>
        <v/>
      </c>
      <c r="E2614" t="str">
        <f>IF(ROW(E2614)&lt;=Raw_hydro_bm!$J$2,Raw_hydro_bm!F2614,"")</f>
        <v/>
      </c>
      <c r="F2614" t="str">
        <f>IF(ROW(F2614)&lt;=Raw_hydro_bm!$J$2,Raw_hydro_bm!G2614,"")</f>
        <v/>
      </c>
      <c r="G2614" t="str">
        <f>IF(ROW(G2614)&lt;=Raw_hydro_bm!$J$2,Raw_hydro_bm!H2614,"")</f>
        <v/>
      </c>
      <c r="H2614" t="str">
        <f>IF(ROW(H2614)&lt;=Raw_hydro_bm!$J$2,Raw_hydro_bm!I2614,"")</f>
        <v/>
      </c>
      <c r="I2614" s="16" t="str">
        <f t="shared" si="40"/>
        <v/>
      </c>
    </row>
    <row r="2615" spans="1:9" x14ac:dyDescent="0.2">
      <c r="A2615" t="str">
        <f>IF(ROW(A2615)&lt;=Raw_hydro_bm!$J$2,Raw_hydro_bm!B2615,"")</f>
        <v/>
      </c>
      <c r="B2615" t="str">
        <f>IF(ROW(B2615)&lt;=Raw_hydro_bm!$J$2,Raw_hydro_bm!C2615,"")</f>
        <v/>
      </c>
      <c r="C2615" t="str">
        <f>IF(ROW(C2615)&lt;=Raw_hydro_bm!$J$2,Raw_hydro_bm!D2615,"")</f>
        <v/>
      </c>
      <c r="D2615" t="str">
        <f>IF(ROW(D2615)&lt;=Raw_hydro_bm!$J$2,Raw_hydro_bm!E2615,"")</f>
        <v/>
      </c>
      <c r="E2615" t="str">
        <f>IF(ROW(E2615)&lt;=Raw_hydro_bm!$J$2,Raw_hydro_bm!F2615,"")</f>
        <v/>
      </c>
      <c r="F2615" t="str">
        <f>IF(ROW(F2615)&lt;=Raw_hydro_bm!$J$2,Raw_hydro_bm!G2615,"")</f>
        <v/>
      </c>
      <c r="G2615" t="str">
        <f>IF(ROW(G2615)&lt;=Raw_hydro_bm!$J$2,Raw_hydro_bm!H2615,"")</f>
        <v/>
      </c>
      <c r="H2615" t="str">
        <f>IF(ROW(H2615)&lt;=Raw_hydro_bm!$J$2,Raw_hydro_bm!I2615,"")</f>
        <v/>
      </c>
      <c r="I2615" s="16" t="str">
        <f t="shared" si="40"/>
        <v/>
      </c>
    </row>
    <row r="2616" spans="1:9" x14ac:dyDescent="0.2">
      <c r="A2616" t="str">
        <f>IF(ROW(A2616)&lt;=Raw_hydro_bm!$J$2,Raw_hydro_bm!B2616,"")</f>
        <v/>
      </c>
      <c r="B2616" t="str">
        <f>IF(ROW(B2616)&lt;=Raw_hydro_bm!$J$2,Raw_hydro_bm!C2616,"")</f>
        <v/>
      </c>
      <c r="C2616" t="str">
        <f>IF(ROW(C2616)&lt;=Raw_hydro_bm!$J$2,Raw_hydro_bm!D2616,"")</f>
        <v/>
      </c>
      <c r="D2616" t="str">
        <f>IF(ROW(D2616)&lt;=Raw_hydro_bm!$J$2,Raw_hydro_bm!E2616,"")</f>
        <v/>
      </c>
      <c r="E2616" t="str">
        <f>IF(ROW(E2616)&lt;=Raw_hydro_bm!$J$2,Raw_hydro_bm!F2616,"")</f>
        <v/>
      </c>
      <c r="F2616" t="str">
        <f>IF(ROW(F2616)&lt;=Raw_hydro_bm!$J$2,Raw_hydro_bm!G2616,"")</f>
        <v/>
      </c>
      <c r="G2616" t="str">
        <f>IF(ROW(G2616)&lt;=Raw_hydro_bm!$J$2,Raw_hydro_bm!H2616,"")</f>
        <v/>
      </c>
      <c r="H2616" t="str">
        <f>IF(ROW(H2616)&lt;=Raw_hydro_bm!$J$2,Raw_hydro_bm!I2616,"")</f>
        <v/>
      </c>
      <c r="I2616" s="16" t="str">
        <f t="shared" si="40"/>
        <v/>
      </c>
    </row>
    <row r="2617" spans="1:9" x14ac:dyDescent="0.2">
      <c r="A2617" t="str">
        <f>IF(ROW(A2617)&lt;=Raw_hydro_bm!$J$2,Raw_hydro_bm!B2617,"")</f>
        <v/>
      </c>
      <c r="B2617" t="str">
        <f>IF(ROW(B2617)&lt;=Raw_hydro_bm!$J$2,Raw_hydro_bm!C2617,"")</f>
        <v/>
      </c>
      <c r="C2617" t="str">
        <f>IF(ROW(C2617)&lt;=Raw_hydro_bm!$J$2,Raw_hydro_bm!D2617,"")</f>
        <v/>
      </c>
      <c r="D2617" t="str">
        <f>IF(ROW(D2617)&lt;=Raw_hydro_bm!$J$2,Raw_hydro_bm!E2617,"")</f>
        <v/>
      </c>
      <c r="E2617" t="str">
        <f>IF(ROW(E2617)&lt;=Raw_hydro_bm!$J$2,Raw_hydro_bm!F2617,"")</f>
        <v/>
      </c>
      <c r="F2617" t="str">
        <f>IF(ROW(F2617)&lt;=Raw_hydro_bm!$J$2,Raw_hydro_bm!G2617,"")</f>
        <v/>
      </c>
      <c r="G2617" t="str">
        <f>IF(ROW(G2617)&lt;=Raw_hydro_bm!$J$2,Raw_hydro_bm!H2617,"")</f>
        <v/>
      </c>
      <c r="H2617" t="str">
        <f>IF(ROW(H2617)&lt;=Raw_hydro_bm!$J$2,Raw_hydro_bm!I2617,"")</f>
        <v/>
      </c>
      <c r="I2617" s="16" t="str">
        <f t="shared" si="40"/>
        <v/>
      </c>
    </row>
    <row r="2618" spans="1:9" x14ac:dyDescent="0.2">
      <c r="A2618" t="str">
        <f>IF(ROW(A2618)&lt;=Raw_hydro_bm!$J$2,Raw_hydro_bm!B2618,"")</f>
        <v/>
      </c>
      <c r="B2618" t="str">
        <f>IF(ROW(B2618)&lt;=Raw_hydro_bm!$J$2,Raw_hydro_bm!C2618,"")</f>
        <v/>
      </c>
      <c r="C2618" t="str">
        <f>IF(ROW(C2618)&lt;=Raw_hydro_bm!$J$2,Raw_hydro_bm!D2618,"")</f>
        <v/>
      </c>
      <c r="D2618" t="str">
        <f>IF(ROW(D2618)&lt;=Raw_hydro_bm!$J$2,Raw_hydro_bm!E2618,"")</f>
        <v/>
      </c>
      <c r="E2618" t="str">
        <f>IF(ROW(E2618)&lt;=Raw_hydro_bm!$J$2,Raw_hydro_bm!F2618,"")</f>
        <v/>
      </c>
      <c r="F2618" t="str">
        <f>IF(ROW(F2618)&lt;=Raw_hydro_bm!$J$2,Raw_hydro_bm!G2618,"")</f>
        <v/>
      </c>
      <c r="G2618" t="str">
        <f>IF(ROW(G2618)&lt;=Raw_hydro_bm!$J$2,Raw_hydro_bm!H2618,"")</f>
        <v/>
      </c>
      <c r="H2618" t="str">
        <f>IF(ROW(H2618)&lt;=Raw_hydro_bm!$J$2,Raw_hydro_bm!I2618,"")</f>
        <v/>
      </c>
      <c r="I2618" s="16" t="str">
        <f t="shared" si="40"/>
        <v/>
      </c>
    </row>
    <row r="2619" spans="1:9" x14ac:dyDescent="0.2">
      <c r="A2619" t="str">
        <f>IF(ROW(A2619)&lt;=Raw_hydro_bm!$J$2,Raw_hydro_bm!B2619,"")</f>
        <v/>
      </c>
      <c r="B2619" t="str">
        <f>IF(ROW(B2619)&lt;=Raw_hydro_bm!$J$2,Raw_hydro_bm!C2619,"")</f>
        <v/>
      </c>
      <c r="C2619" t="str">
        <f>IF(ROW(C2619)&lt;=Raw_hydro_bm!$J$2,Raw_hydro_bm!D2619,"")</f>
        <v/>
      </c>
      <c r="D2619" t="str">
        <f>IF(ROW(D2619)&lt;=Raw_hydro_bm!$J$2,Raw_hydro_bm!E2619,"")</f>
        <v/>
      </c>
      <c r="E2619" t="str">
        <f>IF(ROW(E2619)&lt;=Raw_hydro_bm!$J$2,Raw_hydro_bm!F2619,"")</f>
        <v/>
      </c>
      <c r="F2619" t="str">
        <f>IF(ROW(F2619)&lt;=Raw_hydro_bm!$J$2,Raw_hydro_bm!G2619,"")</f>
        <v/>
      </c>
      <c r="G2619" t="str">
        <f>IF(ROW(G2619)&lt;=Raw_hydro_bm!$J$2,Raw_hydro_bm!H2619,"")</f>
        <v/>
      </c>
      <c r="H2619" t="str">
        <f>IF(ROW(H2619)&lt;=Raw_hydro_bm!$J$2,Raw_hydro_bm!I2619,"")</f>
        <v/>
      </c>
      <c r="I2619" s="16" t="str">
        <f t="shared" si="40"/>
        <v/>
      </c>
    </row>
    <row r="2620" spans="1:9" x14ac:dyDescent="0.2">
      <c r="A2620" t="str">
        <f>IF(ROW(A2620)&lt;=Raw_hydro_bm!$J$2,Raw_hydro_bm!B2620,"")</f>
        <v/>
      </c>
      <c r="B2620" t="str">
        <f>IF(ROW(B2620)&lt;=Raw_hydro_bm!$J$2,Raw_hydro_bm!C2620,"")</f>
        <v/>
      </c>
      <c r="C2620" t="str">
        <f>IF(ROW(C2620)&lt;=Raw_hydro_bm!$J$2,Raw_hydro_bm!D2620,"")</f>
        <v/>
      </c>
      <c r="D2620" t="str">
        <f>IF(ROW(D2620)&lt;=Raw_hydro_bm!$J$2,Raw_hydro_bm!E2620,"")</f>
        <v/>
      </c>
      <c r="E2620" t="str">
        <f>IF(ROW(E2620)&lt;=Raw_hydro_bm!$J$2,Raw_hydro_bm!F2620,"")</f>
        <v/>
      </c>
      <c r="F2620" t="str">
        <f>IF(ROW(F2620)&lt;=Raw_hydro_bm!$J$2,Raw_hydro_bm!G2620,"")</f>
        <v/>
      </c>
      <c r="G2620" t="str">
        <f>IF(ROW(G2620)&lt;=Raw_hydro_bm!$J$2,Raw_hydro_bm!H2620,"")</f>
        <v/>
      </c>
      <c r="H2620" t="str">
        <f>IF(ROW(H2620)&lt;=Raw_hydro_bm!$J$2,Raw_hydro_bm!I2620,"")</f>
        <v/>
      </c>
      <c r="I2620" s="16" t="str">
        <f t="shared" si="40"/>
        <v/>
      </c>
    </row>
    <row r="2621" spans="1:9" x14ac:dyDescent="0.2">
      <c r="A2621" t="str">
        <f>IF(ROW(A2621)&lt;=Raw_hydro_bm!$J$2,Raw_hydro_bm!B2621,"")</f>
        <v/>
      </c>
      <c r="B2621" t="str">
        <f>IF(ROW(B2621)&lt;=Raw_hydro_bm!$J$2,Raw_hydro_bm!C2621,"")</f>
        <v/>
      </c>
      <c r="C2621" t="str">
        <f>IF(ROW(C2621)&lt;=Raw_hydro_bm!$J$2,Raw_hydro_bm!D2621,"")</f>
        <v/>
      </c>
      <c r="D2621" t="str">
        <f>IF(ROW(D2621)&lt;=Raw_hydro_bm!$J$2,Raw_hydro_bm!E2621,"")</f>
        <v/>
      </c>
      <c r="E2621" t="str">
        <f>IF(ROW(E2621)&lt;=Raw_hydro_bm!$J$2,Raw_hydro_bm!F2621,"")</f>
        <v/>
      </c>
      <c r="F2621" t="str">
        <f>IF(ROW(F2621)&lt;=Raw_hydro_bm!$J$2,Raw_hydro_bm!G2621,"")</f>
        <v/>
      </c>
      <c r="G2621" t="str">
        <f>IF(ROW(G2621)&lt;=Raw_hydro_bm!$J$2,Raw_hydro_bm!H2621,"")</f>
        <v/>
      </c>
      <c r="H2621" t="str">
        <f>IF(ROW(H2621)&lt;=Raw_hydro_bm!$J$2,Raw_hydro_bm!I2621,"")</f>
        <v/>
      </c>
      <c r="I2621" s="16" t="str">
        <f t="shared" si="40"/>
        <v/>
      </c>
    </row>
    <row r="2622" spans="1:9" x14ac:dyDescent="0.2">
      <c r="A2622" t="str">
        <f>IF(ROW(A2622)&lt;=Raw_hydro_bm!$J$2,Raw_hydro_bm!B2622,"")</f>
        <v/>
      </c>
      <c r="B2622" t="str">
        <f>IF(ROW(B2622)&lt;=Raw_hydro_bm!$J$2,Raw_hydro_bm!C2622,"")</f>
        <v/>
      </c>
      <c r="C2622" t="str">
        <f>IF(ROW(C2622)&lt;=Raw_hydro_bm!$J$2,Raw_hydro_bm!D2622,"")</f>
        <v/>
      </c>
      <c r="D2622" t="str">
        <f>IF(ROW(D2622)&lt;=Raw_hydro_bm!$J$2,Raw_hydro_bm!E2622,"")</f>
        <v/>
      </c>
      <c r="E2622" t="str">
        <f>IF(ROW(E2622)&lt;=Raw_hydro_bm!$J$2,Raw_hydro_bm!F2622,"")</f>
        <v/>
      </c>
      <c r="F2622" t="str">
        <f>IF(ROW(F2622)&lt;=Raw_hydro_bm!$J$2,Raw_hydro_bm!G2622,"")</f>
        <v/>
      </c>
      <c r="G2622" t="str">
        <f>IF(ROW(G2622)&lt;=Raw_hydro_bm!$J$2,Raw_hydro_bm!H2622,"")</f>
        <v/>
      </c>
      <c r="H2622" t="str">
        <f>IF(ROW(H2622)&lt;=Raw_hydro_bm!$J$2,Raw_hydro_bm!I2622,"")</f>
        <v/>
      </c>
      <c r="I2622" s="16" t="str">
        <f t="shared" si="40"/>
        <v/>
      </c>
    </row>
    <row r="2623" spans="1:9" x14ac:dyDescent="0.2">
      <c r="A2623" t="str">
        <f>IF(ROW(A2623)&lt;=Raw_hydro_bm!$J$2,Raw_hydro_bm!B2623,"")</f>
        <v/>
      </c>
      <c r="B2623" t="str">
        <f>IF(ROW(B2623)&lt;=Raw_hydro_bm!$J$2,Raw_hydro_bm!C2623,"")</f>
        <v/>
      </c>
      <c r="C2623" t="str">
        <f>IF(ROW(C2623)&lt;=Raw_hydro_bm!$J$2,Raw_hydro_bm!D2623,"")</f>
        <v/>
      </c>
      <c r="D2623" t="str">
        <f>IF(ROW(D2623)&lt;=Raw_hydro_bm!$J$2,Raw_hydro_bm!E2623,"")</f>
        <v/>
      </c>
      <c r="E2623" t="str">
        <f>IF(ROW(E2623)&lt;=Raw_hydro_bm!$J$2,Raw_hydro_bm!F2623,"")</f>
        <v/>
      </c>
      <c r="F2623" t="str">
        <f>IF(ROW(F2623)&lt;=Raw_hydro_bm!$J$2,Raw_hydro_bm!G2623,"")</f>
        <v/>
      </c>
      <c r="G2623" t="str">
        <f>IF(ROW(G2623)&lt;=Raw_hydro_bm!$J$2,Raw_hydro_bm!H2623,"")</f>
        <v/>
      </c>
      <c r="H2623" t="str">
        <f>IF(ROW(H2623)&lt;=Raw_hydro_bm!$J$2,Raw_hydro_bm!I2623,"")</f>
        <v/>
      </c>
      <c r="I2623" s="16" t="str">
        <f t="shared" si="40"/>
        <v/>
      </c>
    </row>
    <row r="2624" spans="1:9" x14ac:dyDescent="0.2">
      <c r="A2624" t="str">
        <f>IF(ROW(A2624)&lt;=Raw_hydro_bm!$J$2,Raw_hydro_bm!B2624,"")</f>
        <v/>
      </c>
      <c r="B2624" t="str">
        <f>IF(ROW(B2624)&lt;=Raw_hydro_bm!$J$2,Raw_hydro_bm!C2624,"")</f>
        <v/>
      </c>
      <c r="C2624" t="str">
        <f>IF(ROW(C2624)&lt;=Raw_hydro_bm!$J$2,Raw_hydro_bm!D2624,"")</f>
        <v/>
      </c>
      <c r="D2624" t="str">
        <f>IF(ROW(D2624)&lt;=Raw_hydro_bm!$J$2,Raw_hydro_bm!E2624,"")</f>
        <v/>
      </c>
      <c r="E2624" t="str">
        <f>IF(ROW(E2624)&lt;=Raw_hydro_bm!$J$2,Raw_hydro_bm!F2624,"")</f>
        <v/>
      </c>
      <c r="F2624" t="str">
        <f>IF(ROW(F2624)&lt;=Raw_hydro_bm!$J$2,Raw_hydro_bm!G2624,"")</f>
        <v/>
      </c>
      <c r="G2624" t="str">
        <f>IF(ROW(G2624)&lt;=Raw_hydro_bm!$J$2,Raw_hydro_bm!H2624,"")</f>
        <v/>
      </c>
      <c r="H2624" t="str">
        <f>IF(ROW(H2624)&lt;=Raw_hydro_bm!$J$2,Raw_hydro_bm!I2624,"")</f>
        <v/>
      </c>
      <c r="I2624" s="16" t="str">
        <f t="shared" si="40"/>
        <v/>
      </c>
    </row>
    <row r="2625" spans="1:9" x14ac:dyDescent="0.2">
      <c r="A2625" t="str">
        <f>IF(ROW(A2625)&lt;=Raw_hydro_bm!$J$2,Raw_hydro_bm!B2625,"")</f>
        <v/>
      </c>
      <c r="B2625" t="str">
        <f>IF(ROW(B2625)&lt;=Raw_hydro_bm!$J$2,Raw_hydro_bm!C2625,"")</f>
        <v/>
      </c>
      <c r="C2625" t="str">
        <f>IF(ROW(C2625)&lt;=Raw_hydro_bm!$J$2,Raw_hydro_bm!D2625,"")</f>
        <v/>
      </c>
      <c r="D2625" t="str">
        <f>IF(ROW(D2625)&lt;=Raw_hydro_bm!$J$2,Raw_hydro_bm!E2625,"")</f>
        <v/>
      </c>
      <c r="E2625" t="str">
        <f>IF(ROW(E2625)&lt;=Raw_hydro_bm!$J$2,Raw_hydro_bm!F2625,"")</f>
        <v/>
      </c>
      <c r="F2625" t="str">
        <f>IF(ROW(F2625)&lt;=Raw_hydro_bm!$J$2,Raw_hydro_bm!G2625,"")</f>
        <v/>
      </c>
      <c r="G2625" t="str">
        <f>IF(ROW(G2625)&lt;=Raw_hydro_bm!$J$2,Raw_hydro_bm!H2625,"")</f>
        <v/>
      </c>
      <c r="H2625" t="str">
        <f>IF(ROW(H2625)&lt;=Raw_hydro_bm!$J$2,Raw_hydro_bm!I2625,"")</f>
        <v/>
      </c>
      <c r="I2625" s="16" t="str">
        <f t="shared" si="40"/>
        <v/>
      </c>
    </row>
    <row r="2626" spans="1:9" x14ac:dyDescent="0.2">
      <c r="A2626" t="str">
        <f>IF(ROW(A2626)&lt;=Raw_hydro_bm!$J$2,Raw_hydro_bm!B2626,"")</f>
        <v/>
      </c>
      <c r="B2626" t="str">
        <f>IF(ROW(B2626)&lt;=Raw_hydro_bm!$J$2,Raw_hydro_bm!C2626,"")</f>
        <v/>
      </c>
      <c r="C2626" t="str">
        <f>IF(ROW(C2626)&lt;=Raw_hydro_bm!$J$2,Raw_hydro_bm!D2626,"")</f>
        <v/>
      </c>
      <c r="D2626" t="str">
        <f>IF(ROW(D2626)&lt;=Raw_hydro_bm!$J$2,Raw_hydro_bm!E2626,"")</f>
        <v/>
      </c>
      <c r="E2626" t="str">
        <f>IF(ROW(E2626)&lt;=Raw_hydro_bm!$J$2,Raw_hydro_bm!F2626,"")</f>
        <v/>
      </c>
      <c r="F2626" t="str">
        <f>IF(ROW(F2626)&lt;=Raw_hydro_bm!$J$2,Raw_hydro_bm!G2626,"")</f>
        <v/>
      </c>
      <c r="G2626" t="str">
        <f>IF(ROW(G2626)&lt;=Raw_hydro_bm!$J$2,Raw_hydro_bm!H2626,"")</f>
        <v/>
      </c>
      <c r="H2626" t="str">
        <f>IF(ROW(H2626)&lt;=Raw_hydro_bm!$J$2,Raw_hydro_bm!I2626,"")</f>
        <v/>
      </c>
      <c r="I2626" s="16" t="str">
        <f t="shared" ref="I2626:I2689" si="41">IF(IFERROR(FIND("e",H2626),-1)&lt;0,IFERROR(_xlfn.NUMBERVALUE(LEFT(H2626,FIND(".",H2626)-1))+_xlfn.NUMBERVALUE("0,"&amp;RIGHT(H2626,LEN(H2626)-FIND(".",H2626))),""),0)</f>
        <v/>
      </c>
    </row>
    <row r="2627" spans="1:9" x14ac:dyDescent="0.2">
      <c r="A2627" t="str">
        <f>IF(ROW(A2627)&lt;=Raw_hydro_bm!$J$2,Raw_hydro_bm!B2627,"")</f>
        <v/>
      </c>
      <c r="B2627" t="str">
        <f>IF(ROW(B2627)&lt;=Raw_hydro_bm!$J$2,Raw_hydro_bm!C2627,"")</f>
        <v/>
      </c>
      <c r="C2627" t="str">
        <f>IF(ROW(C2627)&lt;=Raw_hydro_bm!$J$2,Raw_hydro_bm!D2627,"")</f>
        <v/>
      </c>
      <c r="D2627" t="str">
        <f>IF(ROW(D2627)&lt;=Raw_hydro_bm!$J$2,Raw_hydro_bm!E2627,"")</f>
        <v/>
      </c>
      <c r="E2627" t="str">
        <f>IF(ROW(E2627)&lt;=Raw_hydro_bm!$J$2,Raw_hydro_bm!F2627,"")</f>
        <v/>
      </c>
      <c r="F2627" t="str">
        <f>IF(ROW(F2627)&lt;=Raw_hydro_bm!$J$2,Raw_hydro_bm!G2627,"")</f>
        <v/>
      </c>
      <c r="G2627" t="str">
        <f>IF(ROW(G2627)&lt;=Raw_hydro_bm!$J$2,Raw_hydro_bm!H2627,"")</f>
        <v/>
      </c>
      <c r="H2627" t="str">
        <f>IF(ROW(H2627)&lt;=Raw_hydro_bm!$J$2,Raw_hydro_bm!I2627,"")</f>
        <v/>
      </c>
      <c r="I2627" s="16" t="str">
        <f t="shared" si="41"/>
        <v/>
      </c>
    </row>
    <row r="2628" spans="1:9" x14ac:dyDescent="0.2">
      <c r="A2628" t="str">
        <f>IF(ROW(A2628)&lt;=Raw_hydro_bm!$J$2,Raw_hydro_bm!B2628,"")</f>
        <v/>
      </c>
      <c r="B2628" t="str">
        <f>IF(ROW(B2628)&lt;=Raw_hydro_bm!$J$2,Raw_hydro_bm!C2628,"")</f>
        <v/>
      </c>
      <c r="C2628" t="str">
        <f>IF(ROW(C2628)&lt;=Raw_hydro_bm!$J$2,Raw_hydro_bm!D2628,"")</f>
        <v/>
      </c>
      <c r="D2628" t="str">
        <f>IF(ROW(D2628)&lt;=Raw_hydro_bm!$J$2,Raw_hydro_bm!E2628,"")</f>
        <v/>
      </c>
      <c r="E2628" t="str">
        <f>IF(ROW(E2628)&lt;=Raw_hydro_bm!$J$2,Raw_hydro_bm!F2628,"")</f>
        <v/>
      </c>
      <c r="F2628" t="str">
        <f>IF(ROW(F2628)&lt;=Raw_hydro_bm!$J$2,Raw_hydro_bm!G2628,"")</f>
        <v/>
      </c>
      <c r="G2628" t="str">
        <f>IF(ROW(G2628)&lt;=Raw_hydro_bm!$J$2,Raw_hydro_bm!H2628,"")</f>
        <v/>
      </c>
      <c r="H2628" t="str">
        <f>IF(ROW(H2628)&lt;=Raw_hydro_bm!$J$2,Raw_hydro_bm!I2628,"")</f>
        <v/>
      </c>
      <c r="I2628" s="16" t="str">
        <f t="shared" si="41"/>
        <v/>
      </c>
    </row>
    <row r="2629" spans="1:9" x14ac:dyDescent="0.2">
      <c r="A2629" t="str">
        <f>IF(ROW(A2629)&lt;=Raw_hydro_bm!$J$2,Raw_hydro_bm!B2629,"")</f>
        <v/>
      </c>
      <c r="B2629" t="str">
        <f>IF(ROW(B2629)&lt;=Raw_hydro_bm!$J$2,Raw_hydro_bm!C2629,"")</f>
        <v/>
      </c>
      <c r="C2629" t="str">
        <f>IF(ROW(C2629)&lt;=Raw_hydro_bm!$J$2,Raw_hydro_bm!D2629,"")</f>
        <v/>
      </c>
      <c r="D2629" t="str">
        <f>IF(ROW(D2629)&lt;=Raw_hydro_bm!$J$2,Raw_hydro_bm!E2629,"")</f>
        <v/>
      </c>
      <c r="E2629" t="str">
        <f>IF(ROW(E2629)&lt;=Raw_hydro_bm!$J$2,Raw_hydro_bm!F2629,"")</f>
        <v/>
      </c>
      <c r="F2629" t="str">
        <f>IF(ROW(F2629)&lt;=Raw_hydro_bm!$J$2,Raw_hydro_bm!G2629,"")</f>
        <v/>
      </c>
      <c r="G2629" t="str">
        <f>IF(ROW(G2629)&lt;=Raw_hydro_bm!$J$2,Raw_hydro_bm!H2629,"")</f>
        <v/>
      </c>
      <c r="H2629" t="str">
        <f>IF(ROW(H2629)&lt;=Raw_hydro_bm!$J$2,Raw_hydro_bm!I2629,"")</f>
        <v/>
      </c>
      <c r="I2629" s="16" t="str">
        <f t="shared" si="41"/>
        <v/>
      </c>
    </row>
    <row r="2630" spans="1:9" x14ac:dyDescent="0.2">
      <c r="A2630" t="str">
        <f>IF(ROW(A2630)&lt;=Raw_hydro_bm!$J$2,Raw_hydro_bm!B2630,"")</f>
        <v/>
      </c>
      <c r="B2630" t="str">
        <f>IF(ROW(B2630)&lt;=Raw_hydro_bm!$J$2,Raw_hydro_bm!C2630,"")</f>
        <v/>
      </c>
      <c r="C2630" t="str">
        <f>IF(ROW(C2630)&lt;=Raw_hydro_bm!$J$2,Raw_hydro_bm!D2630,"")</f>
        <v/>
      </c>
      <c r="D2630" t="str">
        <f>IF(ROW(D2630)&lt;=Raw_hydro_bm!$J$2,Raw_hydro_bm!E2630,"")</f>
        <v/>
      </c>
      <c r="E2630" t="str">
        <f>IF(ROW(E2630)&lt;=Raw_hydro_bm!$J$2,Raw_hydro_bm!F2630,"")</f>
        <v/>
      </c>
      <c r="F2630" t="str">
        <f>IF(ROW(F2630)&lt;=Raw_hydro_bm!$J$2,Raw_hydro_bm!G2630,"")</f>
        <v/>
      </c>
      <c r="G2630" t="str">
        <f>IF(ROW(G2630)&lt;=Raw_hydro_bm!$J$2,Raw_hydro_bm!H2630,"")</f>
        <v/>
      </c>
      <c r="H2630" t="str">
        <f>IF(ROW(H2630)&lt;=Raw_hydro_bm!$J$2,Raw_hydro_bm!I2630,"")</f>
        <v/>
      </c>
      <c r="I2630" s="16" t="str">
        <f t="shared" si="41"/>
        <v/>
      </c>
    </row>
    <row r="2631" spans="1:9" x14ac:dyDescent="0.2">
      <c r="A2631" t="str">
        <f>IF(ROW(A2631)&lt;=Raw_hydro_bm!$J$2,Raw_hydro_bm!B2631,"")</f>
        <v/>
      </c>
      <c r="B2631" t="str">
        <f>IF(ROW(B2631)&lt;=Raw_hydro_bm!$J$2,Raw_hydro_bm!C2631,"")</f>
        <v/>
      </c>
      <c r="C2631" t="str">
        <f>IF(ROW(C2631)&lt;=Raw_hydro_bm!$J$2,Raw_hydro_bm!D2631,"")</f>
        <v/>
      </c>
      <c r="D2631" t="str">
        <f>IF(ROW(D2631)&lt;=Raw_hydro_bm!$J$2,Raw_hydro_bm!E2631,"")</f>
        <v/>
      </c>
      <c r="E2631" t="str">
        <f>IF(ROW(E2631)&lt;=Raw_hydro_bm!$J$2,Raw_hydro_bm!F2631,"")</f>
        <v/>
      </c>
      <c r="F2631" t="str">
        <f>IF(ROW(F2631)&lt;=Raw_hydro_bm!$J$2,Raw_hydro_bm!G2631,"")</f>
        <v/>
      </c>
      <c r="G2631" t="str">
        <f>IF(ROW(G2631)&lt;=Raw_hydro_bm!$J$2,Raw_hydro_bm!H2631,"")</f>
        <v/>
      </c>
      <c r="H2631" t="str">
        <f>IF(ROW(H2631)&lt;=Raw_hydro_bm!$J$2,Raw_hydro_bm!I2631,"")</f>
        <v/>
      </c>
      <c r="I2631" s="16" t="str">
        <f t="shared" si="41"/>
        <v/>
      </c>
    </row>
    <row r="2632" spans="1:9" x14ac:dyDescent="0.2">
      <c r="A2632" t="str">
        <f>IF(ROW(A2632)&lt;=Raw_hydro_bm!$J$2,Raw_hydro_bm!B2632,"")</f>
        <v/>
      </c>
      <c r="B2632" t="str">
        <f>IF(ROW(B2632)&lt;=Raw_hydro_bm!$J$2,Raw_hydro_bm!C2632,"")</f>
        <v/>
      </c>
      <c r="C2632" t="str">
        <f>IF(ROW(C2632)&lt;=Raw_hydro_bm!$J$2,Raw_hydro_bm!D2632,"")</f>
        <v/>
      </c>
      <c r="D2632" t="str">
        <f>IF(ROW(D2632)&lt;=Raw_hydro_bm!$J$2,Raw_hydro_bm!E2632,"")</f>
        <v/>
      </c>
      <c r="E2632" t="str">
        <f>IF(ROW(E2632)&lt;=Raw_hydro_bm!$J$2,Raw_hydro_bm!F2632,"")</f>
        <v/>
      </c>
      <c r="F2632" t="str">
        <f>IF(ROW(F2632)&lt;=Raw_hydro_bm!$J$2,Raw_hydro_bm!G2632,"")</f>
        <v/>
      </c>
      <c r="G2632" t="str">
        <f>IF(ROW(G2632)&lt;=Raw_hydro_bm!$J$2,Raw_hydro_bm!H2632,"")</f>
        <v/>
      </c>
      <c r="H2632" t="str">
        <f>IF(ROW(H2632)&lt;=Raw_hydro_bm!$J$2,Raw_hydro_bm!I2632,"")</f>
        <v/>
      </c>
      <c r="I2632" s="16" t="str">
        <f t="shared" si="41"/>
        <v/>
      </c>
    </row>
    <row r="2633" spans="1:9" x14ac:dyDescent="0.2">
      <c r="A2633" t="str">
        <f>IF(ROW(A2633)&lt;=Raw_hydro_bm!$J$2,Raw_hydro_bm!B2633,"")</f>
        <v/>
      </c>
      <c r="B2633" t="str">
        <f>IF(ROW(B2633)&lt;=Raw_hydro_bm!$J$2,Raw_hydro_bm!C2633,"")</f>
        <v/>
      </c>
      <c r="C2633" t="str">
        <f>IF(ROW(C2633)&lt;=Raw_hydro_bm!$J$2,Raw_hydro_bm!D2633,"")</f>
        <v/>
      </c>
      <c r="D2633" t="str">
        <f>IF(ROW(D2633)&lt;=Raw_hydro_bm!$J$2,Raw_hydro_bm!E2633,"")</f>
        <v/>
      </c>
      <c r="E2633" t="str">
        <f>IF(ROW(E2633)&lt;=Raw_hydro_bm!$J$2,Raw_hydro_bm!F2633,"")</f>
        <v/>
      </c>
      <c r="F2633" t="str">
        <f>IF(ROW(F2633)&lt;=Raw_hydro_bm!$J$2,Raw_hydro_bm!G2633,"")</f>
        <v/>
      </c>
      <c r="G2633" t="str">
        <f>IF(ROW(G2633)&lt;=Raw_hydro_bm!$J$2,Raw_hydro_bm!H2633,"")</f>
        <v/>
      </c>
      <c r="H2633" t="str">
        <f>IF(ROW(H2633)&lt;=Raw_hydro_bm!$J$2,Raw_hydro_bm!I2633,"")</f>
        <v/>
      </c>
      <c r="I2633" s="16" t="str">
        <f t="shared" si="41"/>
        <v/>
      </c>
    </row>
    <row r="2634" spans="1:9" x14ac:dyDescent="0.2">
      <c r="A2634" t="str">
        <f>IF(ROW(A2634)&lt;=Raw_hydro_bm!$J$2,Raw_hydro_bm!B2634,"")</f>
        <v/>
      </c>
      <c r="B2634" t="str">
        <f>IF(ROW(B2634)&lt;=Raw_hydro_bm!$J$2,Raw_hydro_bm!C2634,"")</f>
        <v/>
      </c>
      <c r="C2634" t="str">
        <f>IF(ROW(C2634)&lt;=Raw_hydro_bm!$J$2,Raw_hydro_bm!D2634,"")</f>
        <v/>
      </c>
      <c r="D2634" t="str">
        <f>IF(ROW(D2634)&lt;=Raw_hydro_bm!$J$2,Raw_hydro_bm!E2634,"")</f>
        <v/>
      </c>
      <c r="E2634" t="str">
        <f>IF(ROW(E2634)&lt;=Raw_hydro_bm!$J$2,Raw_hydro_bm!F2634,"")</f>
        <v/>
      </c>
      <c r="F2634" t="str">
        <f>IF(ROW(F2634)&lt;=Raw_hydro_bm!$J$2,Raw_hydro_bm!G2634,"")</f>
        <v/>
      </c>
      <c r="G2634" t="str">
        <f>IF(ROW(G2634)&lt;=Raw_hydro_bm!$J$2,Raw_hydro_bm!H2634,"")</f>
        <v/>
      </c>
      <c r="H2634" t="str">
        <f>IF(ROW(H2634)&lt;=Raw_hydro_bm!$J$2,Raw_hydro_bm!I2634,"")</f>
        <v/>
      </c>
      <c r="I2634" s="16" t="str">
        <f t="shared" si="41"/>
        <v/>
      </c>
    </row>
    <row r="2635" spans="1:9" x14ac:dyDescent="0.2">
      <c r="A2635" t="str">
        <f>IF(ROW(A2635)&lt;=Raw_hydro_bm!$J$2,Raw_hydro_bm!B2635,"")</f>
        <v/>
      </c>
      <c r="B2635" t="str">
        <f>IF(ROW(B2635)&lt;=Raw_hydro_bm!$J$2,Raw_hydro_bm!C2635,"")</f>
        <v/>
      </c>
      <c r="C2635" t="str">
        <f>IF(ROW(C2635)&lt;=Raw_hydro_bm!$J$2,Raw_hydro_bm!D2635,"")</f>
        <v/>
      </c>
      <c r="D2635" t="str">
        <f>IF(ROW(D2635)&lt;=Raw_hydro_bm!$J$2,Raw_hydro_bm!E2635,"")</f>
        <v/>
      </c>
      <c r="E2635" t="str">
        <f>IF(ROW(E2635)&lt;=Raw_hydro_bm!$J$2,Raw_hydro_bm!F2635,"")</f>
        <v/>
      </c>
      <c r="F2635" t="str">
        <f>IF(ROW(F2635)&lt;=Raw_hydro_bm!$J$2,Raw_hydro_bm!G2635,"")</f>
        <v/>
      </c>
      <c r="G2635" t="str">
        <f>IF(ROW(G2635)&lt;=Raw_hydro_bm!$J$2,Raw_hydro_bm!H2635,"")</f>
        <v/>
      </c>
      <c r="H2635" t="str">
        <f>IF(ROW(H2635)&lt;=Raw_hydro_bm!$J$2,Raw_hydro_bm!I2635,"")</f>
        <v/>
      </c>
      <c r="I2635" s="16" t="str">
        <f t="shared" si="41"/>
        <v/>
      </c>
    </row>
    <row r="2636" spans="1:9" x14ac:dyDescent="0.2">
      <c r="A2636" t="str">
        <f>IF(ROW(A2636)&lt;=Raw_hydro_bm!$J$2,Raw_hydro_bm!B2636,"")</f>
        <v/>
      </c>
      <c r="B2636" t="str">
        <f>IF(ROW(B2636)&lt;=Raw_hydro_bm!$J$2,Raw_hydro_bm!C2636,"")</f>
        <v/>
      </c>
      <c r="C2636" t="str">
        <f>IF(ROW(C2636)&lt;=Raw_hydro_bm!$J$2,Raw_hydro_bm!D2636,"")</f>
        <v/>
      </c>
      <c r="D2636" t="str">
        <f>IF(ROW(D2636)&lt;=Raw_hydro_bm!$J$2,Raw_hydro_bm!E2636,"")</f>
        <v/>
      </c>
      <c r="E2636" t="str">
        <f>IF(ROW(E2636)&lt;=Raw_hydro_bm!$J$2,Raw_hydro_bm!F2636,"")</f>
        <v/>
      </c>
      <c r="F2636" t="str">
        <f>IF(ROW(F2636)&lt;=Raw_hydro_bm!$J$2,Raw_hydro_bm!G2636,"")</f>
        <v/>
      </c>
      <c r="G2636" t="str">
        <f>IF(ROW(G2636)&lt;=Raw_hydro_bm!$J$2,Raw_hydro_bm!H2636,"")</f>
        <v/>
      </c>
      <c r="H2636" t="str">
        <f>IF(ROW(H2636)&lt;=Raw_hydro_bm!$J$2,Raw_hydro_bm!I2636,"")</f>
        <v/>
      </c>
      <c r="I2636" s="16" t="str">
        <f t="shared" si="41"/>
        <v/>
      </c>
    </row>
    <row r="2637" spans="1:9" x14ac:dyDescent="0.2">
      <c r="A2637" t="str">
        <f>IF(ROW(A2637)&lt;=Raw_hydro_bm!$J$2,Raw_hydro_bm!B2637,"")</f>
        <v/>
      </c>
      <c r="B2637" t="str">
        <f>IF(ROW(B2637)&lt;=Raw_hydro_bm!$J$2,Raw_hydro_bm!C2637,"")</f>
        <v/>
      </c>
      <c r="C2637" t="str">
        <f>IF(ROW(C2637)&lt;=Raw_hydro_bm!$J$2,Raw_hydro_bm!D2637,"")</f>
        <v/>
      </c>
      <c r="D2637" t="str">
        <f>IF(ROW(D2637)&lt;=Raw_hydro_bm!$J$2,Raw_hydro_bm!E2637,"")</f>
        <v/>
      </c>
      <c r="E2637" t="str">
        <f>IF(ROW(E2637)&lt;=Raw_hydro_bm!$J$2,Raw_hydro_bm!F2637,"")</f>
        <v/>
      </c>
      <c r="F2637" t="str">
        <f>IF(ROW(F2637)&lt;=Raw_hydro_bm!$J$2,Raw_hydro_bm!G2637,"")</f>
        <v/>
      </c>
      <c r="G2637" t="str">
        <f>IF(ROW(G2637)&lt;=Raw_hydro_bm!$J$2,Raw_hydro_bm!H2637,"")</f>
        <v/>
      </c>
      <c r="H2637" t="str">
        <f>IF(ROW(H2637)&lt;=Raw_hydro_bm!$J$2,Raw_hydro_bm!I2637,"")</f>
        <v/>
      </c>
      <c r="I2637" s="16" t="str">
        <f t="shared" si="41"/>
        <v/>
      </c>
    </row>
    <row r="2638" spans="1:9" x14ac:dyDescent="0.2">
      <c r="A2638" t="str">
        <f>IF(ROW(A2638)&lt;=Raw_hydro_bm!$J$2,Raw_hydro_bm!B2638,"")</f>
        <v/>
      </c>
      <c r="B2638" t="str">
        <f>IF(ROW(B2638)&lt;=Raw_hydro_bm!$J$2,Raw_hydro_bm!C2638,"")</f>
        <v/>
      </c>
      <c r="C2638" t="str">
        <f>IF(ROW(C2638)&lt;=Raw_hydro_bm!$J$2,Raw_hydro_bm!D2638,"")</f>
        <v/>
      </c>
      <c r="D2638" t="str">
        <f>IF(ROW(D2638)&lt;=Raw_hydro_bm!$J$2,Raw_hydro_bm!E2638,"")</f>
        <v/>
      </c>
      <c r="E2638" t="str">
        <f>IF(ROW(E2638)&lt;=Raw_hydro_bm!$J$2,Raw_hydro_bm!F2638,"")</f>
        <v/>
      </c>
      <c r="F2638" t="str">
        <f>IF(ROW(F2638)&lt;=Raw_hydro_bm!$J$2,Raw_hydro_bm!G2638,"")</f>
        <v/>
      </c>
      <c r="G2638" t="str">
        <f>IF(ROW(G2638)&lt;=Raw_hydro_bm!$J$2,Raw_hydro_bm!H2638,"")</f>
        <v/>
      </c>
      <c r="H2638" t="str">
        <f>IF(ROW(H2638)&lt;=Raw_hydro_bm!$J$2,Raw_hydro_bm!I2638,"")</f>
        <v/>
      </c>
      <c r="I2638" s="16" t="str">
        <f t="shared" si="41"/>
        <v/>
      </c>
    </row>
    <row r="2639" spans="1:9" x14ac:dyDescent="0.2">
      <c r="A2639" t="str">
        <f>IF(ROW(A2639)&lt;=Raw_hydro_bm!$J$2,Raw_hydro_bm!B2639,"")</f>
        <v/>
      </c>
      <c r="B2639" t="str">
        <f>IF(ROW(B2639)&lt;=Raw_hydro_bm!$J$2,Raw_hydro_bm!C2639,"")</f>
        <v/>
      </c>
      <c r="C2639" t="str">
        <f>IF(ROW(C2639)&lt;=Raw_hydro_bm!$J$2,Raw_hydro_bm!D2639,"")</f>
        <v/>
      </c>
      <c r="D2639" t="str">
        <f>IF(ROW(D2639)&lt;=Raw_hydro_bm!$J$2,Raw_hydro_bm!E2639,"")</f>
        <v/>
      </c>
      <c r="E2639" t="str">
        <f>IF(ROW(E2639)&lt;=Raw_hydro_bm!$J$2,Raw_hydro_bm!F2639,"")</f>
        <v/>
      </c>
      <c r="F2639" t="str">
        <f>IF(ROW(F2639)&lt;=Raw_hydro_bm!$J$2,Raw_hydro_bm!G2639,"")</f>
        <v/>
      </c>
      <c r="G2639" t="str">
        <f>IF(ROW(G2639)&lt;=Raw_hydro_bm!$J$2,Raw_hydro_bm!H2639,"")</f>
        <v/>
      </c>
      <c r="H2639" t="str">
        <f>IF(ROW(H2639)&lt;=Raw_hydro_bm!$J$2,Raw_hydro_bm!I2639,"")</f>
        <v/>
      </c>
      <c r="I2639" s="16" t="str">
        <f t="shared" si="41"/>
        <v/>
      </c>
    </row>
    <row r="2640" spans="1:9" x14ac:dyDescent="0.2">
      <c r="A2640" t="str">
        <f>IF(ROW(A2640)&lt;=Raw_hydro_bm!$J$2,Raw_hydro_bm!B2640,"")</f>
        <v/>
      </c>
      <c r="B2640" t="str">
        <f>IF(ROW(B2640)&lt;=Raw_hydro_bm!$J$2,Raw_hydro_bm!C2640,"")</f>
        <v/>
      </c>
      <c r="C2640" t="str">
        <f>IF(ROW(C2640)&lt;=Raw_hydro_bm!$J$2,Raw_hydro_bm!D2640,"")</f>
        <v/>
      </c>
      <c r="D2640" t="str">
        <f>IF(ROW(D2640)&lt;=Raw_hydro_bm!$J$2,Raw_hydro_bm!E2640,"")</f>
        <v/>
      </c>
      <c r="E2640" t="str">
        <f>IF(ROW(E2640)&lt;=Raw_hydro_bm!$J$2,Raw_hydro_bm!F2640,"")</f>
        <v/>
      </c>
      <c r="F2640" t="str">
        <f>IF(ROW(F2640)&lt;=Raw_hydro_bm!$J$2,Raw_hydro_bm!G2640,"")</f>
        <v/>
      </c>
      <c r="G2640" t="str">
        <f>IF(ROW(G2640)&lt;=Raw_hydro_bm!$J$2,Raw_hydro_bm!H2640,"")</f>
        <v/>
      </c>
      <c r="H2640" t="str">
        <f>IF(ROW(H2640)&lt;=Raw_hydro_bm!$J$2,Raw_hydro_bm!I2640,"")</f>
        <v/>
      </c>
      <c r="I2640" s="16" t="str">
        <f t="shared" si="41"/>
        <v/>
      </c>
    </row>
    <row r="2641" spans="1:9" x14ac:dyDescent="0.2">
      <c r="A2641" t="str">
        <f>IF(ROW(A2641)&lt;=Raw_hydro_bm!$J$2,Raw_hydro_bm!B2641,"")</f>
        <v/>
      </c>
      <c r="B2641" t="str">
        <f>IF(ROW(B2641)&lt;=Raw_hydro_bm!$J$2,Raw_hydro_bm!C2641,"")</f>
        <v/>
      </c>
      <c r="C2641" t="str">
        <f>IF(ROW(C2641)&lt;=Raw_hydro_bm!$J$2,Raw_hydro_bm!D2641,"")</f>
        <v/>
      </c>
      <c r="D2641" t="str">
        <f>IF(ROW(D2641)&lt;=Raw_hydro_bm!$J$2,Raw_hydro_bm!E2641,"")</f>
        <v/>
      </c>
      <c r="E2641" t="str">
        <f>IF(ROW(E2641)&lt;=Raw_hydro_bm!$J$2,Raw_hydro_bm!F2641,"")</f>
        <v/>
      </c>
      <c r="F2641" t="str">
        <f>IF(ROW(F2641)&lt;=Raw_hydro_bm!$J$2,Raw_hydro_bm!G2641,"")</f>
        <v/>
      </c>
      <c r="G2641" t="str">
        <f>IF(ROW(G2641)&lt;=Raw_hydro_bm!$J$2,Raw_hydro_bm!H2641,"")</f>
        <v/>
      </c>
      <c r="H2641" t="str">
        <f>IF(ROW(H2641)&lt;=Raw_hydro_bm!$J$2,Raw_hydro_bm!I2641,"")</f>
        <v/>
      </c>
      <c r="I2641" s="16" t="str">
        <f t="shared" si="41"/>
        <v/>
      </c>
    </row>
    <row r="2642" spans="1:9" x14ac:dyDescent="0.2">
      <c r="A2642" t="str">
        <f>IF(ROW(A2642)&lt;=Raw_hydro_bm!$J$2,Raw_hydro_bm!B2642,"")</f>
        <v/>
      </c>
      <c r="B2642" t="str">
        <f>IF(ROW(B2642)&lt;=Raw_hydro_bm!$J$2,Raw_hydro_bm!C2642,"")</f>
        <v/>
      </c>
      <c r="C2642" t="str">
        <f>IF(ROW(C2642)&lt;=Raw_hydro_bm!$J$2,Raw_hydro_bm!D2642,"")</f>
        <v/>
      </c>
      <c r="D2642" t="str">
        <f>IF(ROW(D2642)&lt;=Raw_hydro_bm!$J$2,Raw_hydro_bm!E2642,"")</f>
        <v/>
      </c>
      <c r="E2642" t="str">
        <f>IF(ROW(E2642)&lt;=Raw_hydro_bm!$J$2,Raw_hydro_bm!F2642,"")</f>
        <v/>
      </c>
      <c r="F2642" t="str">
        <f>IF(ROW(F2642)&lt;=Raw_hydro_bm!$J$2,Raw_hydro_bm!G2642,"")</f>
        <v/>
      </c>
      <c r="G2642" t="str">
        <f>IF(ROW(G2642)&lt;=Raw_hydro_bm!$J$2,Raw_hydro_bm!H2642,"")</f>
        <v/>
      </c>
      <c r="H2642" t="str">
        <f>IF(ROW(H2642)&lt;=Raw_hydro_bm!$J$2,Raw_hydro_bm!I2642,"")</f>
        <v/>
      </c>
      <c r="I2642" s="16" t="str">
        <f t="shared" si="41"/>
        <v/>
      </c>
    </row>
    <row r="2643" spans="1:9" x14ac:dyDescent="0.2">
      <c r="A2643" t="str">
        <f>IF(ROW(A2643)&lt;=Raw_hydro_bm!$J$2,Raw_hydro_bm!B2643,"")</f>
        <v/>
      </c>
      <c r="B2643" t="str">
        <f>IF(ROW(B2643)&lt;=Raw_hydro_bm!$J$2,Raw_hydro_bm!C2643,"")</f>
        <v/>
      </c>
      <c r="C2643" t="str">
        <f>IF(ROW(C2643)&lt;=Raw_hydro_bm!$J$2,Raw_hydro_bm!D2643,"")</f>
        <v/>
      </c>
      <c r="D2643" t="str">
        <f>IF(ROW(D2643)&lt;=Raw_hydro_bm!$J$2,Raw_hydro_bm!E2643,"")</f>
        <v/>
      </c>
      <c r="E2643" t="str">
        <f>IF(ROW(E2643)&lt;=Raw_hydro_bm!$J$2,Raw_hydro_bm!F2643,"")</f>
        <v/>
      </c>
      <c r="F2643" t="str">
        <f>IF(ROW(F2643)&lt;=Raw_hydro_bm!$J$2,Raw_hydro_bm!G2643,"")</f>
        <v/>
      </c>
      <c r="G2643" t="str">
        <f>IF(ROW(G2643)&lt;=Raw_hydro_bm!$J$2,Raw_hydro_bm!H2643,"")</f>
        <v/>
      </c>
      <c r="H2643" t="str">
        <f>IF(ROW(H2643)&lt;=Raw_hydro_bm!$J$2,Raw_hydro_bm!I2643,"")</f>
        <v/>
      </c>
      <c r="I2643" s="16" t="str">
        <f t="shared" si="41"/>
        <v/>
      </c>
    </row>
    <row r="2644" spans="1:9" x14ac:dyDescent="0.2">
      <c r="A2644" t="str">
        <f>IF(ROW(A2644)&lt;=Raw_hydro_bm!$J$2,Raw_hydro_bm!B2644,"")</f>
        <v/>
      </c>
      <c r="B2644" t="str">
        <f>IF(ROW(B2644)&lt;=Raw_hydro_bm!$J$2,Raw_hydro_bm!C2644,"")</f>
        <v/>
      </c>
      <c r="C2644" t="str">
        <f>IF(ROW(C2644)&lt;=Raw_hydro_bm!$J$2,Raw_hydro_bm!D2644,"")</f>
        <v/>
      </c>
      <c r="D2644" t="str">
        <f>IF(ROW(D2644)&lt;=Raw_hydro_bm!$J$2,Raw_hydro_bm!E2644,"")</f>
        <v/>
      </c>
      <c r="E2644" t="str">
        <f>IF(ROW(E2644)&lt;=Raw_hydro_bm!$J$2,Raw_hydro_bm!F2644,"")</f>
        <v/>
      </c>
      <c r="F2644" t="str">
        <f>IF(ROW(F2644)&lt;=Raw_hydro_bm!$J$2,Raw_hydro_bm!G2644,"")</f>
        <v/>
      </c>
      <c r="G2644" t="str">
        <f>IF(ROW(G2644)&lt;=Raw_hydro_bm!$J$2,Raw_hydro_bm!H2644,"")</f>
        <v/>
      </c>
      <c r="H2644" t="str">
        <f>IF(ROW(H2644)&lt;=Raw_hydro_bm!$J$2,Raw_hydro_bm!I2644,"")</f>
        <v/>
      </c>
      <c r="I2644" s="16" t="str">
        <f t="shared" si="41"/>
        <v/>
      </c>
    </row>
    <row r="2645" spans="1:9" x14ac:dyDescent="0.2">
      <c r="A2645" t="str">
        <f>IF(ROW(A2645)&lt;=Raw_hydro_bm!$J$2,Raw_hydro_bm!B2645,"")</f>
        <v/>
      </c>
      <c r="B2645" t="str">
        <f>IF(ROW(B2645)&lt;=Raw_hydro_bm!$J$2,Raw_hydro_bm!C2645,"")</f>
        <v/>
      </c>
      <c r="C2645" t="str">
        <f>IF(ROW(C2645)&lt;=Raw_hydro_bm!$J$2,Raw_hydro_bm!D2645,"")</f>
        <v/>
      </c>
      <c r="D2645" t="str">
        <f>IF(ROW(D2645)&lt;=Raw_hydro_bm!$J$2,Raw_hydro_bm!E2645,"")</f>
        <v/>
      </c>
      <c r="E2645" t="str">
        <f>IF(ROW(E2645)&lt;=Raw_hydro_bm!$J$2,Raw_hydro_bm!F2645,"")</f>
        <v/>
      </c>
      <c r="F2645" t="str">
        <f>IF(ROW(F2645)&lt;=Raw_hydro_bm!$J$2,Raw_hydro_bm!G2645,"")</f>
        <v/>
      </c>
      <c r="G2645" t="str">
        <f>IF(ROW(G2645)&lt;=Raw_hydro_bm!$J$2,Raw_hydro_bm!H2645,"")</f>
        <v/>
      </c>
      <c r="H2645" t="str">
        <f>IF(ROW(H2645)&lt;=Raw_hydro_bm!$J$2,Raw_hydro_bm!I2645,"")</f>
        <v/>
      </c>
      <c r="I2645" s="16" t="str">
        <f t="shared" si="41"/>
        <v/>
      </c>
    </row>
    <row r="2646" spans="1:9" x14ac:dyDescent="0.2">
      <c r="A2646" t="str">
        <f>IF(ROW(A2646)&lt;=Raw_hydro_bm!$J$2,Raw_hydro_bm!B2646,"")</f>
        <v/>
      </c>
      <c r="B2646" t="str">
        <f>IF(ROW(B2646)&lt;=Raw_hydro_bm!$J$2,Raw_hydro_bm!C2646,"")</f>
        <v/>
      </c>
      <c r="C2646" t="str">
        <f>IF(ROW(C2646)&lt;=Raw_hydro_bm!$J$2,Raw_hydro_bm!D2646,"")</f>
        <v/>
      </c>
      <c r="D2646" t="str">
        <f>IF(ROW(D2646)&lt;=Raw_hydro_bm!$J$2,Raw_hydro_bm!E2646,"")</f>
        <v/>
      </c>
      <c r="E2646" t="str">
        <f>IF(ROW(E2646)&lt;=Raw_hydro_bm!$J$2,Raw_hydro_bm!F2646,"")</f>
        <v/>
      </c>
      <c r="F2646" t="str">
        <f>IF(ROW(F2646)&lt;=Raw_hydro_bm!$J$2,Raw_hydro_bm!G2646,"")</f>
        <v/>
      </c>
      <c r="G2646" t="str">
        <f>IF(ROW(G2646)&lt;=Raw_hydro_bm!$J$2,Raw_hydro_bm!H2646,"")</f>
        <v/>
      </c>
      <c r="H2646" t="str">
        <f>IF(ROW(H2646)&lt;=Raw_hydro_bm!$J$2,Raw_hydro_bm!I2646,"")</f>
        <v/>
      </c>
      <c r="I2646" s="16" t="str">
        <f t="shared" si="41"/>
        <v/>
      </c>
    </row>
    <row r="2647" spans="1:9" x14ac:dyDescent="0.2">
      <c r="A2647" t="str">
        <f>IF(ROW(A2647)&lt;=Raw_hydro_bm!$J$2,Raw_hydro_bm!B2647,"")</f>
        <v/>
      </c>
      <c r="B2647" t="str">
        <f>IF(ROW(B2647)&lt;=Raw_hydro_bm!$J$2,Raw_hydro_bm!C2647,"")</f>
        <v/>
      </c>
      <c r="C2647" t="str">
        <f>IF(ROW(C2647)&lt;=Raw_hydro_bm!$J$2,Raw_hydro_bm!D2647,"")</f>
        <v/>
      </c>
      <c r="D2647" t="str">
        <f>IF(ROW(D2647)&lt;=Raw_hydro_bm!$J$2,Raw_hydro_bm!E2647,"")</f>
        <v/>
      </c>
      <c r="E2647" t="str">
        <f>IF(ROW(E2647)&lt;=Raw_hydro_bm!$J$2,Raw_hydro_bm!F2647,"")</f>
        <v/>
      </c>
      <c r="F2647" t="str">
        <f>IF(ROW(F2647)&lt;=Raw_hydro_bm!$J$2,Raw_hydro_bm!G2647,"")</f>
        <v/>
      </c>
      <c r="G2647" t="str">
        <f>IF(ROW(G2647)&lt;=Raw_hydro_bm!$J$2,Raw_hydro_bm!H2647,"")</f>
        <v/>
      </c>
      <c r="H2647" t="str">
        <f>IF(ROW(H2647)&lt;=Raw_hydro_bm!$J$2,Raw_hydro_bm!I2647,"")</f>
        <v/>
      </c>
      <c r="I2647" s="16" t="str">
        <f t="shared" si="41"/>
        <v/>
      </c>
    </row>
    <row r="2648" spans="1:9" x14ac:dyDescent="0.2">
      <c r="A2648" t="str">
        <f>IF(ROW(A2648)&lt;=Raw_hydro_bm!$J$2,Raw_hydro_bm!B2648,"")</f>
        <v/>
      </c>
      <c r="B2648" t="str">
        <f>IF(ROW(B2648)&lt;=Raw_hydro_bm!$J$2,Raw_hydro_bm!C2648,"")</f>
        <v/>
      </c>
      <c r="C2648" t="str">
        <f>IF(ROW(C2648)&lt;=Raw_hydro_bm!$J$2,Raw_hydro_bm!D2648,"")</f>
        <v/>
      </c>
      <c r="D2648" t="str">
        <f>IF(ROW(D2648)&lt;=Raw_hydro_bm!$J$2,Raw_hydro_bm!E2648,"")</f>
        <v/>
      </c>
      <c r="E2648" t="str">
        <f>IF(ROW(E2648)&lt;=Raw_hydro_bm!$J$2,Raw_hydro_bm!F2648,"")</f>
        <v/>
      </c>
      <c r="F2648" t="str">
        <f>IF(ROW(F2648)&lt;=Raw_hydro_bm!$J$2,Raw_hydro_bm!G2648,"")</f>
        <v/>
      </c>
      <c r="G2648" t="str">
        <f>IF(ROW(G2648)&lt;=Raw_hydro_bm!$J$2,Raw_hydro_bm!H2648,"")</f>
        <v/>
      </c>
      <c r="H2648" t="str">
        <f>IF(ROW(H2648)&lt;=Raw_hydro_bm!$J$2,Raw_hydro_bm!I2648,"")</f>
        <v/>
      </c>
      <c r="I2648" s="16" t="str">
        <f t="shared" si="41"/>
        <v/>
      </c>
    </row>
    <row r="2649" spans="1:9" x14ac:dyDescent="0.2">
      <c r="A2649" t="str">
        <f>IF(ROW(A2649)&lt;=Raw_hydro_bm!$J$2,Raw_hydro_bm!B2649,"")</f>
        <v/>
      </c>
      <c r="B2649" t="str">
        <f>IF(ROW(B2649)&lt;=Raw_hydro_bm!$J$2,Raw_hydro_bm!C2649,"")</f>
        <v/>
      </c>
      <c r="C2649" t="str">
        <f>IF(ROW(C2649)&lt;=Raw_hydro_bm!$J$2,Raw_hydro_bm!D2649,"")</f>
        <v/>
      </c>
      <c r="D2649" t="str">
        <f>IF(ROW(D2649)&lt;=Raw_hydro_bm!$J$2,Raw_hydro_bm!E2649,"")</f>
        <v/>
      </c>
      <c r="E2649" t="str">
        <f>IF(ROW(E2649)&lt;=Raw_hydro_bm!$J$2,Raw_hydro_bm!F2649,"")</f>
        <v/>
      </c>
      <c r="F2649" t="str">
        <f>IF(ROW(F2649)&lt;=Raw_hydro_bm!$J$2,Raw_hydro_bm!G2649,"")</f>
        <v/>
      </c>
      <c r="G2649" t="str">
        <f>IF(ROW(G2649)&lt;=Raw_hydro_bm!$J$2,Raw_hydro_bm!H2649,"")</f>
        <v/>
      </c>
      <c r="H2649" t="str">
        <f>IF(ROW(H2649)&lt;=Raw_hydro_bm!$J$2,Raw_hydro_bm!I2649,"")</f>
        <v/>
      </c>
      <c r="I2649" s="16" t="str">
        <f t="shared" si="41"/>
        <v/>
      </c>
    </row>
    <row r="2650" spans="1:9" x14ac:dyDescent="0.2">
      <c r="A2650" t="str">
        <f>IF(ROW(A2650)&lt;=Raw_hydro_bm!$J$2,Raw_hydro_bm!B2650,"")</f>
        <v/>
      </c>
      <c r="B2650" t="str">
        <f>IF(ROW(B2650)&lt;=Raw_hydro_bm!$J$2,Raw_hydro_bm!C2650,"")</f>
        <v/>
      </c>
      <c r="C2650" t="str">
        <f>IF(ROW(C2650)&lt;=Raw_hydro_bm!$J$2,Raw_hydro_bm!D2650,"")</f>
        <v/>
      </c>
      <c r="D2650" t="str">
        <f>IF(ROW(D2650)&lt;=Raw_hydro_bm!$J$2,Raw_hydro_bm!E2650,"")</f>
        <v/>
      </c>
      <c r="E2650" t="str">
        <f>IF(ROW(E2650)&lt;=Raw_hydro_bm!$J$2,Raw_hydro_bm!F2650,"")</f>
        <v/>
      </c>
      <c r="F2650" t="str">
        <f>IF(ROW(F2650)&lt;=Raw_hydro_bm!$J$2,Raw_hydro_bm!G2650,"")</f>
        <v/>
      </c>
      <c r="G2650" t="str">
        <f>IF(ROW(G2650)&lt;=Raw_hydro_bm!$J$2,Raw_hydro_bm!H2650,"")</f>
        <v/>
      </c>
      <c r="H2650" t="str">
        <f>IF(ROW(H2650)&lt;=Raw_hydro_bm!$J$2,Raw_hydro_bm!I2650,"")</f>
        <v/>
      </c>
      <c r="I2650" s="16" t="str">
        <f t="shared" si="41"/>
        <v/>
      </c>
    </row>
    <row r="2651" spans="1:9" x14ac:dyDescent="0.2">
      <c r="A2651" t="str">
        <f>IF(ROW(A2651)&lt;=Raw_hydro_bm!$J$2,Raw_hydro_bm!B2651,"")</f>
        <v/>
      </c>
      <c r="B2651" t="str">
        <f>IF(ROW(B2651)&lt;=Raw_hydro_bm!$J$2,Raw_hydro_bm!C2651,"")</f>
        <v/>
      </c>
      <c r="C2651" t="str">
        <f>IF(ROW(C2651)&lt;=Raw_hydro_bm!$J$2,Raw_hydro_bm!D2651,"")</f>
        <v/>
      </c>
      <c r="D2651" t="str">
        <f>IF(ROW(D2651)&lt;=Raw_hydro_bm!$J$2,Raw_hydro_bm!E2651,"")</f>
        <v/>
      </c>
      <c r="E2651" t="str">
        <f>IF(ROW(E2651)&lt;=Raw_hydro_bm!$J$2,Raw_hydro_bm!F2651,"")</f>
        <v/>
      </c>
      <c r="F2651" t="str">
        <f>IF(ROW(F2651)&lt;=Raw_hydro_bm!$J$2,Raw_hydro_bm!G2651,"")</f>
        <v/>
      </c>
      <c r="G2651" t="str">
        <f>IF(ROW(G2651)&lt;=Raw_hydro_bm!$J$2,Raw_hydro_bm!H2651,"")</f>
        <v/>
      </c>
      <c r="H2651" t="str">
        <f>IF(ROW(H2651)&lt;=Raw_hydro_bm!$J$2,Raw_hydro_bm!I2651,"")</f>
        <v/>
      </c>
      <c r="I2651" s="16" t="str">
        <f t="shared" si="41"/>
        <v/>
      </c>
    </row>
    <row r="2652" spans="1:9" x14ac:dyDescent="0.2">
      <c r="A2652" t="str">
        <f>IF(ROW(A2652)&lt;=Raw_hydro_bm!$J$2,Raw_hydro_bm!B2652,"")</f>
        <v/>
      </c>
      <c r="B2652" t="str">
        <f>IF(ROW(B2652)&lt;=Raw_hydro_bm!$J$2,Raw_hydro_bm!C2652,"")</f>
        <v/>
      </c>
      <c r="C2652" t="str">
        <f>IF(ROW(C2652)&lt;=Raw_hydro_bm!$J$2,Raw_hydro_bm!D2652,"")</f>
        <v/>
      </c>
      <c r="D2652" t="str">
        <f>IF(ROW(D2652)&lt;=Raw_hydro_bm!$J$2,Raw_hydro_bm!E2652,"")</f>
        <v/>
      </c>
      <c r="E2652" t="str">
        <f>IF(ROW(E2652)&lt;=Raw_hydro_bm!$J$2,Raw_hydro_bm!F2652,"")</f>
        <v/>
      </c>
      <c r="F2652" t="str">
        <f>IF(ROW(F2652)&lt;=Raw_hydro_bm!$J$2,Raw_hydro_bm!G2652,"")</f>
        <v/>
      </c>
      <c r="G2652" t="str">
        <f>IF(ROW(G2652)&lt;=Raw_hydro_bm!$J$2,Raw_hydro_bm!H2652,"")</f>
        <v/>
      </c>
      <c r="H2652" t="str">
        <f>IF(ROW(H2652)&lt;=Raw_hydro_bm!$J$2,Raw_hydro_bm!I2652,"")</f>
        <v/>
      </c>
      <c r="I2652" s="16" t="str">
        <f t="shared" si="41"/>
        <v/>
      </c>
    </row>
    <row r="2653" spans="1:9" x14ac:dyDescent="0.2">
      <c r="A2653" t="str">
        <f>IF(ROW(A2653)&lt;=Raw_hydro_bm!$J$2,Raw_hydro_bm!B2653,"")</f>
        <v/>
      </c>
      <c r="B2653" t="str">
        <f>IF(ROW(B2653)&lt;=Raw_hydro_bm!$J$2,Raw_hydro_bm!C2653,"")</f>
        <v/>
      </c>
      <c r="C2653" t="str">
        <f>IF(ROW(C2653)&lt;=Raw_hydro_bm!$J$2,Raw_hydro_bm!D2653,"")</f>
        <v/>
      </c>
      <c r="D2653" t="str">
        <f>IF(ROW(D2653)&lt;=Raw_hydro_bm!$J$2,Raw_hydro_bm!E2653,"")</f>
        <v/>
      </c>
      <c r="E2653" t="str">
        <f>IF(ROW(E2653)&lt;=Raw_hydro_bm!$J$2,Raw_hydro_bm!F2653,"")</f>
        <v/>
      </c>
      <c r="F2653" t="str">
        <f>IF(ROW(F2653)&lt;=Raw_hydro_bm!$J$2,Raw_hydro_bm!G2653,"")</f>
        <v/>
      </c>
      <c r="G2653" t="str">
        <f>IF(ROW(G2653)&lt;=Raw_hydro_bm!$J$2,Raw_hydro_bm!H2653,"")</f>
        <v/>
      </c>
      <c r="H2653" t="str">
        <f>IF(ROW(H2653)&lt;=Raw_hydro_bm!$J$2,Raw_hydro_bm!I2653,"")</f>
        <v/>
      </c>
      <c r="I2653" s="16" t="str">
        <f t="shared" si="41"/>
        <v/>
      </c>
    </row>
    <row r="2654" spans="1:9" x14ac:dyDescent="0.2">
      <c r="A2654" t="str">
        <f>IF(ROW(A2654)&lt;=Raw_hydro_bm!$J$2,Raw_hydro_bm!B2654,"")</f>
        <v/>
      </c>
      <c r="B2654" t="str">
        <f>IF(ROW(B2654)&lt;=Raw_hydro_bm!$J$2,Raw_hydro_bm!C2654,"")</f>
        <v/>
      </c>
      <c r="C2654" t="str">
        <f>IF(ROW(C2654)&lt;=Raw_hydro_bm!$J$2,Raw_hydro_bm!D2654,"")</f>
        <v/>
      </c>
      <c r="D2654" t="str">
        <f>IF(ROW(D2654)&lt;=Raw_hydro_bm!$J$2,Raw_hydro_bm!E2654,"")</f>
        <v/>
      </c>
      <c r="E2654" t="str">
        <f>IF(ROW(E2654)&lt;=Raw_hydro_bm!$J$2,Raw_hydro_bm!F2654,"")</f>
        <v/>
      </c>
      <c r="F2654" t="str">
        <f>IF(ROW(F2654)&lt;=Raw_hydro_bm!$J$2,Raw_hydro_bm!G2654,"")</f>
        <v/>
      </c>
      <c r="G2654" t="str">
        <f>IF(ROW(G2654)&lt;=Raw_hydro_bm!$J$2,Raw_hydro_bm!H2654,"")</f>
        <v/>
      </c>
      <c r="H2654" t="str">
        <f>IF(ROW(H2654)&lt;=Raw_hydro_bm!$J$2,Raw_hydro_bm!I2654,"")</f>
        <v/>
      </c>
      <c r="I2654" s="16" t="str">
        <f t="shared" si="41"/>
        <v/>
      </c>
    </row>
    <row r="2655" spans="1:9" x14ac:dyDescent="0.2">
      <c r="A2655" t="str">
        <f>IF(ROW(A2655)&lt;=Raw_hydro_bm!$J$2,Raw_hydro_bm!B2655,"")</f>
        <v/>
      </c>
      <c r="B2655" t="str">
        <f>IF(ROW(B2655)&lt;=Raw_hydro_bm!$J$2,Raw_hydro_bm!C2655,"")</f>
        <v/>
      </c>
      <c r="C2655" t="str">
        <f>IF(ROW(C2655)&lt;=Raw_hydro_bm!$J$2,Raw_hydro_bm!D2655,"")</f>
        <v/>
      </c>
      <c r="D2655" t="str">
        <f>IF(ROW(D2655)&lt;=Raw_hydro_bm!$J$2,Raw_hydro_bm!E2655,"")</f>
        <v/>
      </c>
      <c r="E2655" t="str">
        <f>IF(ROW(E2655)&lt;=Raw_hydro_bm!$J$2,Raw_hydro_bm!F2655,"")</f>
        <v/>
      </c>
      <c r="F2655" t="str">
        <f>IF(ROW(F2655)&lt;=Raw_hydro_bm!$J$2,Raw_hydro_bm!G2655,"")</f>
        <v/>
      </c>
      <c r="G2655" t="str">
        <f>IF(ROW(G2655)&lt;=Raw_hydro_bm!$J$2,Raw_hydro_bm!H2655,"")</f>
        <v/>
      </c>
      <c r="H2655" t="str">
        <f>IF(ROW(H2655)&lt;=Raw_hydro_bm!$J$2,Raw_hydro_bm!I2655,"")</f>
        <v/>
      </c>
      <c r="I2655" s="16" t="str">
        <f t="shared" si="41"/>
        <v/>
      </c>
    </row>
    <row r="2656" spans="1:9" x14ac:dyDescent="0.2">
      <c r="A2656" t="str">
        <f>IF(ROW(A2656)&lt;=Raw_hydro_bm!$J$2,Raw_hydro_bm!B2656,"")</f>
        <v/>
      </c>
      <c r="B2656" t="str">
        <f>IF(ROW(B2656)&lt;=Raw_hydro_bm!$J$2,Raw_hydro_bm!C2656,"")</f>
        <v/>
      </c>
      <c r="C2656" t="str">
        <f>IF(ROW(C2656)&lt;=Raw_hydro_bm!$J$2,Raw_hydro_bm!D2656,"")</f>
        <v/>
      </c>
      <c r="D2656" t="str">
        <f>IF(ROW(D2656)&lt;=Raw_hydro_bm!$J$2,Raw_hydro_bm!E2656,"")</f>
        <v/>
      </c>
      <c r="E2656" t="str">
        <f>IF(ROW(E2656)&lt;=Raw_hydro_bm!$J$2,Raw_hydro_bm!F2656,"")</f>
        <v/>
      </c>
      <c r="F2656" t="str">
        <f>IF(ROW(F2656)&lt;=Raw_hydro_bm!$J$2,Raw_hydro_bm!G2656,"")</f>
        <v/>
      </c>
      <c r="G2656" t="str">
        <f>IF(ROW(G2656)&lt;=Raw_hydro_bm!$J$2,Raw_hydro_bm!H2656,"")</f>
        <v/>
      </c>
      <c r="H2656" t="str">
        <f>IF(ROW(H2656)&lt;=Raw_hydro_bm!$J$2,Raw_hydro_bm!I2656,"")</f>
        <v/>
      </c>
      <c r="I2656" s="16" t="str">
        <f t="shared" si="41"/>
        <v/>
      </c>
    </row>
    <row r="2657" spans="1:9" x14ac:dyDescent="0.2">
      <c r="A2657" t="str">
        <f>IF(ROW(A2657)&lt;=Raw_hydro_bm!$J$2,Raw_hydro_bm!B2657,"")</f>
        <v/>
      </c>
      <c r="B2657" t="str">
        <f>IF(ROW(B2657)&lt;=Raw_hydro_bm!$J$2,Raw_hydro_bm!C2657,"")</f>
        <v/>
      </c>
      <c r="C2657" t="str">
        <f>IF(ROW(C2657)&lt;=Raw_hydro_bm!$J$2,Raw_hydro_bm!D2657,"")</f>
        <v/>
      </c>
      <c r="D2657" t="str">
        <f>IF(ROW(D2657)&lt;=Raw_hydro_bm!$J$2,Raw_hydro_bm!E2657,"")</f>
        <v/>
      </c>
      <c r="E2657" t="str">
        <f>IF(ROW(E2657)&lt;=Raw_hydro_bm!$J$2,Raw_hydro_bm!F2657,"")</f>
        <v/>
      </c>
      <c r="F2657" t="str">
        <f>IF(ROW(F2657)&lt;=Raw_hydro_bm!$J$2,Raw_hydro_bm!G2657,"")</f>
        <v/>
      </c>
      <c r="G2657" t="str">
        <f>IF(ROW(G2657)&lt;=Raw_hydro_bm!$J$2,Raw_hydro_bm!H2657,"")</f>
        <v/>
      </c>
      <c r="H2657" t="str">
        <f>IF(ROW(H2657)&lt;=Raw_hydro_bm!$J$2,Raw_hydro_bm!I2657,"")</f>
        <v/>
      </c>
      <c r="I2657" s="16" t="str">
        <f t="shared" si="41"/>
        <v/>
      </c>
    </row>
    <row r="2658" spans="1:9" x14ac:dyDescent="0.2">
      <c r="A2658" t="str">
        <f>IF(ROW(A2658)&lt;=Raw_hydro_bm!$J$2,Raw_hydro_bm!B2658,"")</f>
        <v/>
      </c>
      <c r="B2658" t="str">
        <f>IF(ROW(B2658)&lt;=Raw_hydro_bm!$J$2,Raw_hydro_bm!C2658,"")</f>
        <v/>
      </c>
      <c r="C2658" t="str">
        <f>IF(ROW(C2658)&lt;=Raw_hydro_bm!$J$2,Raw_hydro_bm!D2658,"")</f>
        <v/>
      </c>
      <c r="D2658" t="str">
        <f>IF(ROW(D2658)&lt;=Raw_hydro_bm!$J$2,Raw_hydro_bm!E2658,"")</f>
        <v/>
      </c>
      <c r="E2658" t="str">
        <f>IF(ROW(E2658)&lt;=Raw_hydro_bm!$J$2,Raw_hydro_bm!F2658,"")</f>
        <v/>
      </c>
      <c r="F2658" t="str">
        <f>IF(ROW(F2658)&lt;=Raw_hydro_bm!$J$2,Raw_hydro_bm!G2658,"")</f>
        <v/>
      </c>
      <c r="G2658" t="str">
        <f>IF(ROW(G2658)&lt;=Raw_hydro_bm!$J$2,Raw_hydro_bm!H2658,"")</f>
        <v/>
      </c>
      <c r="H2658" t="str">
        <f>IF(ROW(H2658)&lt;=Raw_hydro_bm!$J$2,Raw_hydro_bm!I2658,"")</f>
        <v/>
      </c>
      <c r="I2658" s="16" t="str">
        <f t="shared" si="41"/>
        <v/>
      </c>
    </row>
    <row r="2659" spans="1:9" x14ac:dyDescent="0.2">
      <c r="A2659" t="str">
        <f>IF(ROW(A2659)&lt;=Raw_hydro_bm!$J$2,Raw_hydro_bm!B2659,"")</f>
        <v/>
      </c>
      <c r="B2659" t="str">
        <f>IF(ROW(B2659)&lt;=Raw_hydro_bm!$J$2,Raw_hydro_bm!C2659,"")</f>
        <v/>
      </c>
      <c r="C2659" t="str">
        <f>IF(ROW(C2659)&lt;=Raw_hydro_bm!$J$2,Raw_hydro_bm!D2659,"")</f>
        <v/>
      </c>
      <c r="D2659" t="str">
        <f>IF(ROW(D2659)&lt;=Raw_hydro_bm!$J$2,Raw_hydro_bm!E2659,"")</f>
        <v/>
      </c>
      <c r="E2659" t="str">
        <f>IF(ROW(E2659)&lt;=Raw_hydro_bm!$J$2,Raw_hydro_bm!F2659,"")</f>
        <v/>
      </c>
      <c r="F2659" t="str">
        <f>IF(ROW(F2659)&lt;=Raw_hydro_bm!$J$2,Raw_hydro_bm!G2659,"")</f>
        <v/>
      </c>
      <c r="G2659" t="str">
        <f>IF(ROW(G2659)&lt;=Raw_hydro_bm!$J$2,Raw_hydro_bm!H2659,"")</f>
        <v/>
      </c>
      <c r="H2659" t="str">
        <f>IF(ROW(H2659)&lt;=Raw_hydro_bm!$J$2,Raw_hydro_bm!I2659,"")</f>
        <v/>
      </c>
      <c r="I2659" s="16" t="str">
        <f t="shared" si="41"/>
        <v/>
      </c>
    </row>
    <row r="2660" spans="1:9" x14ac:dyDescent="0.2">
      <c r="A2660" t="str">
        <f>IF(ROW(A2660)&lt;=Raw_hydro_bm!$J$2,Raw_hydro_bm!B2660,"")</f>
        <v/>
      </c>
      <c r="B2660" t="str">
        <f>IF(ROW(B2660)&lt;=Raw_hydro_bm!$J$2,Raw_hydro_bm!C2660,"")</f>
        <v/>
      </c>
      <c r="C2660" t="str">
        <f>IF(ROW(C2660)&lt;=Raw_hydro_bm!$J$2,Raw_hydro_bm!D2660,"")</f>
        <v/>
      </c>
      <c r="D2660" t="str">
        <f>IF(ROW(D2660)&lt;=Raw_hydro_bm!$J$2,Raw_hydro_bm!E2660,"")</f>
        <v/>
      </c>
      <c r="E2660" t="str">
        <f>IF(ROW(E2660)&lt;=Raw_hydro_bm!$J$2,Raw_hydro_bm!F2660,"")</f>
        <v/>
      </c>
      <c r="F2660" t="str">
        <f>IF(ROW(F2660)&lt;=Raw_hydro_bm!$J$2,Raw_hydro_bm!G2660,"")</f>
        <v/>
      </c>
      <c r="G2660" t="str">
        <f>IF(ROW(G2660)&lt;=Raw_hydro_bm!$J$2,Raw_hydro_bm!H2660,"")</f>
        <v/>
      </c>
      <c r="H2660" t="str">
        <f>IF(ROW(H2660)&lt;=Raw_hydro_bm!$J$2,Raw_hydro_bm!I2660,"")</f>
        <v/>
      </c>
      <c r="I2660" s="16" t="str">
        <f t="shared" si="41"/>
        <v/>
      </c>
    </row>
    <row r="2661" spans="1:9" x14ac:dyDescent="0.2">
      <c r="A2661" t="str">
        <f>IF(ROW(A2661)&lt;=Raw_hydro_bm!$J$2,Raw_hydro_bm!B2661,"")</f>
        <v/>
      </c>
      <c r="B2661" t="str">
        <f>IF(ROW(B2661)&lt;=Raw_hydro_bm!$J$2,Raw_hydro_bm!C2661,"")</f>
        <v/>
      </c>
      <c r="C2661" t="str">
        <f>IF(ROW(C2661)&lt;=Raw_hydro_bm!$J$2,Raw_hydro_bm!D2661,"")</f>
        <v/>
      </c>
      <c r="D2661" t="str">
        <f>IF(ROW(D2661)&lt;=Raw_hydro_bm!$J$2,Raw_hydro_bm!E2661,"")</f>
        <v/>
      </c>
      <c r="E2661" t="str">
        <f>IF(ROW(E2661)&lt;=Raw_hydro_bm!$J$2,Raw_hydro_bm!F2661,"")</f>
        <v/>
      </c>
      <c r="F2661" t="str">
        <f>IF(ROW(F2661)&lt;=Raw_hydro_bm!$J$2,Raw_hydro_bm!G2661,"")</f>
        <v/>
      </c>
      <c r="G2661" t="str">
        <f>IF(ROW(G2661)&lt;=Raw_hydro_bm!$J$2,Raw_hydro_bm!H2661,"")</f>
        <v/>
      </c>
      <c r="H2661" t="str">
        <f>IF(ROW(H2661)&lt;=Raw_hydro_bm!$J$2,Raw_hydro_bm!I2661,"")</f>
        <v/>
      </c>
      <c r="I2661" s="16" t="str">
        <f t="shared" si="41"/>
        <v/>
      </c>
    </row>
    <row r="2662" spans="1:9" x14ac:dyDescent="0.2">
      <c r="A2662" t="str">
        <f>IF(ROW(A2662)&lt;=Raw_hydro_bm!$J$2,Raw_hydro_bm!B2662,"")</f>
        <v/>
      </c>
      <c r="B2662" t="str">
        <f>IF(ROW(B2662)&lt;=Raw_hydro_bm!$J$2,Raw_hydro_bm!C2662,"")</f>
        <v/>
      </c>
      <c r="C2662" t="str">
        <f>IF(ROW(C2662)&lt;=Raw_hydro_bm!$J$2,Raw_hydro_bm!D2662,"")</f>
        <v/>
      </c>
      <c r="D2662" t="str">
        <f>IF(ROW(D2662)&lt;=Raw_hydro_bm!$J$2,Raw_hydro_bm!E2662,"")</f>
        <v/>
      </c>
      <c r="E2662" t="str">
        <f>IF(ROW(E2662)&lt;=Raw_hydro_bm!$J$2,Raw_hydro_bm!F2662,"")</f>
        <v/>
      </c>
      <c r="F2662" t="str">
        <f>IF(ROW(F2662)&lt;=Raw_hydro_bm!$J$2,Raw_hydro_bm!G2662,"")</f>
        <v/>
      </c>
      <c r="G2662" t="str">
        <f>IF(ROW(G2662)&lt;=Raw_hydro_bm!$J$2,Raw_hydro_bm!H2662,"")</f>
        <v/>
      </c>
      <c r="H2662" t="str">
        <f>IF(ROW(H2662)&lt;=Raw_hydro_bm!$J$2,Raw_hydro_bm!I2662,"")</f>
        <v/>
      </c>
      <c r="I2662" s="16" t="str">
        <f t="shared" si="41"/>
        <v/>
      </c>
    </row>
    <row r="2663" spans="1:9" x14ac:dyDescent="0.2">
      <c r="A2663" t="str">
        <f>IF(ROW(A2663)&lt;=Raw_hydro_bm!$J$2,Raw_hydro_bm!B2663,"")</f>
        <v/>
      </c>
      <c r="B2663" t="str">
        <f>IF(ROW(B2663)&lt;=Raw_hydro_bm!$J$2,Raw_hydro_bm!C2663,"")</f>
        <v/>
      </c>
      <c r="C2663" t="str">
        <f>IF(ROW(C2663)&lt;=Raw_hydro_bm!$J$2,Raw_hydro_bm!D2663,"")</f>
        <v/>
      </c>
      <c r="D2663" t="str">
        <f>IF(ROW(D2663)&lt;=Raw_hydro_bm!$J$2,Raw_hydro_bm!E2663,"")</f>
        <v/>
      </c>
      <c r="E2663" t="str">
        <f>IF(ROW(E2663)&lt;=Raw_hydro_bm!$J$2,Raw_hydro_bm!F2663,"")</f>
        <v/>
      </c>
      <c r="F2663" t="str">
        <f>IF(ROW(F2663)&lt;=Raw_hydro_bm!$J$2,Raw_hydro_bm!G2663,"")</f>
        <v/>
      </c>
      <c r="G2663" t="str">
        <f>IF(ROW(G2663)&lt;=Raw_hydro_bm!$J$2,Raw_hydro_bm!H2663,"")</f>
        <v/>
      </c>
      <c r="H2663" t="str">
        <f>IF(ROW(H2663)&lt;=Raw_hydro_bm!$J$2,Raw_hydro_bm!I2663,"")</f>
        <v/>
      </c>
      <c r="I2663" s="16" t="str">
        <f t="shared" si="41"/>
        <v/>
      </c>
    </row>
    <row r="2664" spans="1:9" x14ac:dyDescent="0.2">
      <c r="A2664" t="str">
        <f>IF(ROW(A2664)&lt;=Raw_hydro_bm!$J$2,Raw_hydro_bm!B2664,"")</f>
        <v/>
      </c>
      <c r="B2664" t="str">
        <f>IF(ROW(B2664)&lt;=Raw_hydro_bm!$J$2,Raw_hydro_bm!C2664,"")</f>
        <v/>
      </c>
      <c r="C2664" t="str">
        <f>IF(ROW(C2664)&lt;=Raw_hydro_bm!$J$2,Raw_hydro_bm!D2664,"")</f>
        <v/>
      </c>
      <c r="D2664" t="str">
        <f>IF(ROW(D2664)&lt;=Raw_hydro_bm!$J$2,Raw_hydro_bm!E2664,"")</f>
        <v/>
      </c>
      <c r="E2664" t="str">
        <f>IF(ROW(E2664)&lt;=Raw_hydro_bm!$J$2,Raw_hydro_bm!F2664,"")</f>
        <v/>
      </c>
      <c r="F2664" t="str">
        <f>IF(ROW(F2664)&lt;=Raw_hydro_bm!$J$2,Raw_hydro_bm!G2664,"")</f>
        <v/>
      </c>
      <c r="G2664" t="str">
        <f>IF(ROW(G2664)&lt;=Raw_hydro_bm!$J$2,Raw_hydro_bm!H2664,"")</f>
        <v/>
      </c>
      <c r="H2664" t="str">
        <f>IF(ROW(H2664)&lt;=Raw_hydro_bm!$J$2,Raw_hydro_bm!I2664,"")</f>
        <v/>
      </c>
      <c r="I2664" s="16" t="str">
        <f t="shared" si="41"/>
        <v/>
      </c>
    </row>
    <row r="2665" spans="1:9" x14ac:dyDescent="0.2">
      <c r="A2665" t="str">
        <f>IF(ROW(A2665)&lt;=Raw_hydro_bm!$J$2,Raw_hydro_bm!B2665,"")</f>
        <v/>
      </c>
      <c r="B2665" t="str">
        <f>IF(ROW(B2665)&lt;=Raw_hydro_bm!$J$2,Raw_hydro_bm!C2665,"")</f>
        <v/>
      </c>
      <c r="C2665" t="str">
        <f>IF(ROW(C2665)&lt;=Raw_hydro_bm!$J$2,Raw_hydro_bm!D2665,"")</f>
        <v/>
      </c>
      <c r="D2665" t="str">
        <f>IF(ROW(D2665)&lt;=Raw_hydro_bm!$J$2,Raw_hydro_bm!E2665,"")</f>
        <v/>
      </c>
      <c r="E2665" t="str">
        <f>IF(ROW(E2665)&lt;=Raw_hydro_bm!$J$2,Raw_hydro_bm!F2665,"")</f>
        <v/>
      </c>
      <c r="F2665" t="str">
        <f>IF(ROW(F2665)&lt;=Raw_hydro_bm!$J$2,Raw_hydro_bm!G2665,"")</f>
        <v/>
      </c>
      <c r="G2665" t="str">
        <f>IF(ROW(G2665)&lt;=Raw_hydro_bm!$J$2,Raw_hydro_bm!H2665,"")</f>
        <v/>
      </c>
      <c r="H2665" t="str">
        <f>IF(ROW(H2665)&lt;=Raw_hydro_bm!$J$2,Raw_hydro_bm!I2665,"")</f>
        <v/>
      </c>
      <c r="I2665" s="16" t="str">
        <f t="shared" si="41"/>
        <v/>
      </c>
    </row>
    <row r="2666" spans="1:9" x14ac:dyDescent="0.2">
      <c r="A2666" t="str">
        <f>IF(ROW(A2666)&lt;=Raw_hydro_bm!$J$2,Raw_hydro_bm!B2666,"")</f>
        <v/>
      </c>
      <c r="B2666" t="str">
        <f>IF(ROW(B2666)&lt;=Raw_hydro_bm!$J$2,Raw_hydro_bm!C2666,"")</f>
        <v/>
      </c>
      <c r="C2666" t="str">
        <f>IF(ROW(C2666)&lt;=Raw_hydro_bm!$J$2,Raw_hydro_bm!D2666,"")</f>
        <v/>
      </c>
      <c r="D2666" t="str">
        <f>IF(ROW(D2666)&lt;=Raw_hydro_bm!$J$2,Raw_hydro_bm!E2666,"")</f>
        <v/>
      </c>
      <c r="E2666" t="str">
        <f>IF(ROW(E2666)&lt;=Raw_hydro_bm!$J$2,Raw_hydro_bm!F2666,"")</f>
        <v/>
      </c>
      <c r="F2666" t="str">
        <f>IF(ROW(F2666)&lt;=Raw_hydro_bm!$J$2,Raw_hydro_bm!G2666,"")</f>
        <v/>
      </c>
      <c r="G2666" t="str">
        <f>IF(ROW(G2666)&lt;=Raw_hydro_bm!$J$2,Raw_hydro_bm!H2666,"")</f>
        <v/>
      </c>
      <c r="H2666" t="str">
        <f>IF(ROW(H2666)&lt;=Raw_hydro_bm!$J$2,Raw_hydro_bm!I2666,"")</f>
        <v/>
      </c>
      <c r="I2666" s="16" t="str">
        <f t="shared" si="41"/>
        <v/>
      </c>
    </row>
    <row r="2667" spans="1:9" x14ac:dyDescent="0.2">
      <c r="A2667" t="str">
        <f>IF(ROW(A2667)&lt;=Raw_hydro_bm!$J$2,Raw_hydro_bm!B2667,"")</f>
        <v/>
      </c>
      <c r="B2667" t="str">
        <f>IF(ROW(B2667)&lt;=Raw_hydro_bm!$J$2,Raw_hydro_bm!C2667,"")</f>
        <v/>
      </c>
      <c r="C2667" t="str">
        <f>IF(ROW(C2667)&lt;=Raw_hydro_bm!$J$2,Raw_hydro_bm!D2667,"")</f>
        <v/>
      </c>
      <c r="D2667" t="str">
        <f>IF(ROW(D2667)&lt;=Raw_hydro_bm!$J$2,Raw_hydro_bm!E2667,"")</f>
        <v/>
      </c>
      <c r="E2667" t="str">
        <f>IF(ROW(E2667)&lt;=Raw_hydro_bm!$J$2,Raw_hydro_bm!F2667,"")</f>
        <v/>
      </c>
      <c r="F2667" t="str">
        <f>IF(ROW(F2667)&lt;=Raw_hydro_bm!$J$2,Raw_hydro_bm!G2667,"")</f>
        <v/>
      </c>
      <c r="G2667" t="str">
        <f>IF(ROW(G2667)&lt;=Raw_hydro_bm!$J$2,Raw_hydro_bm!H2667,"")</f>
        <v/>
      </c>
      <c r="H2667" t="str">
        <f>IF(ROW(H2667)&lt;=Raw_hydro_bm!$J$2,Raw_hydro_bm!I2667,"")</f>
        <v/>
      </c>
      <c r="I2667" s="16" t="str">
        <f t="shared" si="41"/>
        <v/>
      </c>
    </row>
    <row r="2668" spans="1:9" x14ac:dyDescent="0.2">
      <c r="A2668" t="str">
        <f>IF(ROW(A2668)&lt;=Raw_hydro_bm!$J$2,Raw_hydro_bm!B2668,"")</f>
        <v/>
      </c>
      <c r="B2668" t="str">
        <f>IF(ROW(B2668)&lt;=Raw_hydro_bm!$J$2,Raw_hydro_bm!C2668,"")</f>
        <v/>
      </c>
      <c r="C2668" t="str">
        <f>IF(ROW(C2668)&lt;=Raw_hydro_bm!$J$2,Raw_hydro_bm!D2668,"")</f>
        <v/>
      </c>
      <c r="D2668" t="str">
        <f>IF(ROW(D2668)&lt;=Raw_hydro_bm!$J$2,Raw_hydro_bm!E2668,"")</f>
        <v/>
      </c>
      <c r="E2668" t="str">
        <f>IF(ROW(E2668)&lt;=Raw_hydro_bm!$J$2,Raw_hydro_bm!F2668,"")</f>
        <v/>
      </c>
      <c r="F2668" t="str">
        <f>IF(ROW(F2668)&lt;=Raw_hydro_bm!$J$2,Raw_hydro_bm!G2668,"")</f>
        <v/>
      </c>
      <c r="G2668" t="str">
        <f>IF(ROW(G2668)&lt;=Raw_hydro_bm!$J$2,Raw_hydro_bm!H2668,"")</f>
        <v/>
      </c>
      <c r="H2668" t="str">
        <f>IF(ROW(H2668)&lt;=Raw_hydro_bm!$J$2,Raw_hydro_bm!I2668,"")</f>
        <v/>
      </c>
      <c r="I2668" s="16" t="str">
        <f t="shared" si="41"/>
        <v/>
      </c>
    </row>
    <row r="2669" spans="1:9" x14ac:dyDescent="0.2">
      <c r="A2669" t="str">
        <f>IF(ROW(A2669)&lt;=Raw_hydro_bm!$J$2,Raw_hydro_bm!B2669,"")</f>
        <v/>
      </c>
      <c r="B2669" t="str">
        <f>IF(ROW(B2669)&lt;=Raw_hydro_bm!$J$2,Raw_hydro_bm!C2669,"")</f>
        <v/>
      </c>
      <c r="C2669" t="str">
        <f>IF(ROW(C2669)&lt;=Raw_hydro_bm!$J$2,Raw_hydro_bm!D2669,"")</f>
        <v/>
      </c>
      <c r="D2669" t="str">
        <f>IF(ROW(D2669)&lt;=Raw_hydro_bm!$J$2,Raw_hydro_bm!E2669,"")</f>
        <v/>
      </c>
      <c r="E2669" t="str">
        <f>IF(ROW(E2669)&lt;=Raw_hydro_bm!$J$2,Raw_hydro_bm!F2669,"")</f>
        <v/>
      </c>
      <c r="F2669" t="str">
        <f>IF(ROW(F2669)&lt;=Raw_hydro_bm!$J$2,Raw_hydro_bm!G2669,"")</f>
        <v/>
      </c>
      <c r="G2669" t="str">
        <f>IF(ROW(G2669)&lt;=Raw_hydro_bm!$J$2,Raw_hydro_bm!H2669,"")</f>
        <v/>
      </c>
      <c r="H2669" t="str">
        <f>IF(ROW(H2669)&lt;=Raw_hydro_bm!$J$2,Raw_hydro_bm!I2669,"")</f>
        <v/>
      </c>
      <c r="I2669" s="16" t="str">
        <f t="shared" si="41"/>
        <v/>
      </c>
    </row>
    <row r="2670" spans="1:9" x14ac:dyDescent="0.2">
      <c r="A2670" t="str">
        <f>IF(ROW(A2670)&lt;=Raw_hydro_bm!$J$2,Raw_hydro_bm!B2670,"")</f>
        <v/>
      </c>
      <c r="B2670" t="str">
        <f>IF(ROW(B2670)&lt;=Raw_hydro_bm!$J$2,Raw_hydro_bm!C2670,"")</f>
        <v/>
      </c>
      <c r="C2670" t="str">
        <f>IF(ROW(C2670)&lt;=Raw_hydro_bm!$J$2,Raw_hydro_bm!D2670,"")</f>
        <v/>
      </c>
      <c r="D2670" t="str">
        <f>IF(ROW(D2670)&lt;=Raw_hydro_bm!$J$2,Raw_hydro_bm!E2670,"")</f>
        <v/>
      </c>
      <c r="E2670" t="str">
        <f>IF(ROW(E2670)&lt;=Raw_hydro_bm!$J$2,Raw_hydro_bm!F2670,"")</f>
        <v/>
      </c>
      <c r="F2670" t="str">
        <f>IF(ROW(F2670)&lt;=Raw_hydro_bm!$J$2,Raw_hydro_bm!G2670,"")</f>
        <v/>
      </c>
      <c r="G2670" t="str">
        <f>IF(ROW(G2670)&lt;=Raw_hydro_bm!$J$2,Raw_hydro_bm!H2670,"")</f>
        <v/>
      </c>
      <c r="H2670" t="str">
        <f>IF(ROW(H2670)&lt;=Raw_hydro_bm!$J$2,Raw_hydro_bm!I2670,"")</f>
        <v/>
      </c>
      <c r="I2670" s="16" t="str">
        <f t="shared" si="41"/>
        <v/>
      </c>
    </row>
    <row r="2671" spans="1:9" x14ac:dyDescent="0.2">
      <c r="A2671" t="str">
        <f>IF(ROW(A2671)&lt;=Raw_hydro_bm!$J$2,Raw_hydro_bm!B2671,"")</f>
        <v/>
      </c>
      <c r="B2671" t="str">
        <f>IF(ROW(B2671)&lt;=Raw_hydro_bm!$J$2,Raw_hydro_bm!C2671,"")</f>
        <v/>
      </c>
      <c r="C2671" t="str">
        <f>IF(ROW(C2671)&lt;=Raw_hydro_bm!$J$2,Raw_hydro_bm!D2671,"")</f>
        <v/>
      </c>
      <c r="D2671" t="str">
        <f>IF(ROW(D2671)&lt;=Raw_hydro_bm!$J$2,Raw_hydro_bm!E2671,"")</f>
        <v/>
      </c>
      <c r="E2671" t="str">
        <f>IF(ROW(E2671)&lt;=Raw_hydro_bm!$J$2,Raw_hydro_bm!F2671,"")</f>
        <v/>
      </c>
      <c r="F2671" t="str">
        <f>IF(ROW(F2671)&lt;=Raw_hydro_bm!$J$2,Raw_hydro_bm!G2671,"")</f>
        <v/>
      </c>
      <c r="G2671" t="str">
        <f>IF(ROW(G2671)&lt;=Raw_hydro_bm!$J$2,Raw_hydro_bm!H2671,"")</f>
        <v/>
      </c>
      <c r="H2671" t="str">
        <f>IF(ROW(H2671)&lt;=Raw_hydro_bm!$J$2,Raw_hydro_bm!I2671,"")</f>
        <v/>
      </c>
      <c r="I2671" s="16" t="str">
        <f t="shared" si="41"/>
        <v/>
      </c>
    </row>
    <row r="2672" spans="1:9" x14ac:dyDescent="0.2">
      <c r="A2672" t="str">
        <f>IF(ROW(A2672)&lt;=Raw_hydro_bm!$J$2,Raw_hydro_bm!B2672,"")</f>
        <v/>
      </c>
      <c r="B2672" t="str">
        <f>IF(ROW(B2672)&lt;=Raw_hydro_bm!$J$2,Raw_hydro_bm!C2672,"")</f>
        <v/>
      </c>
      <c r="C2672" t="str">
        <f>IF(ROW(C2672)&lt;=Raw_hydro_bm!$J$2,Raw_hydro_bm!D2672,"")</f>
        <v/>
      </c>
      <c r="D2672" t="str">
        <f>IF(ROW(D2672)&lt;=Raw_hydro_bm!$J$2,Raw_hydro_bm!E2672,"")</f>
        <v/>
      </c>
      <c r="E2672" t="str">
        <f>IF(ROW(E2672)&lt;=Raw_hydro_bm!$J$2,Raw_hydro_bm!F2672,"")</f>
        <v/>
      </c>
      <c r="F2672" t="str">
        <f>IF(ROW(F2672)&lt;=Raw_hydro_bm!$J$2,Raw_hydro_bm!G2672,"")</f>
        <v/>
      </c>
      <c r="G2672" t="str">
        <f>IF(ROW(G2672)&lt;=Raw_hydro_bm!$J$2,Raw_hydro_bm!H2672,"")</f>
        <v/>
      </c>
      <c r="H2672" t="str">
        <f>IF(ROW(H2672)&lt;=Raw_hydro_bm!$J$2,Raw_hydro_bm!I2672,"")</f>
        <v/>
      </c>
      <c r="I2672" s="16" t="str">
        <f t="shared" si="41"/>
        <v/>
      </c>
    </row>
    <row r="2673" spans="1:9" x14ac:dyDescent="0.2">
      <c r="A2673" t="str">
        <f>IF(ROW(A2673)&lt;=Raw_hydro_bm!$J$2,Raw_hydro_bm!B2673,"")</f>
        <v/>
      </c>
      <c r="B2673" t="str">
        <f>IF(ROW(B2673)&lt;=Raw_hydro_bm!$J$2,Raw_hydro_bm!C2673,"")</f>
        <v/>
      </c>
      <c r="C2673" t="str">
        <f>IF(ROW(C2673)&lt;=Raw_hydro_bm!$J$2,Raw_hydro_bm!D2673,"")</f>
        <v/>
      </c>
      <c r="D2673" t="str">
        <f>IF(ROW(D2673)&lt;=Raw_hydro_bm!$J$2,Raw_hydro_bm!E2673,"")</f>
        <v/>
      </c>
      <c r="E2673" t="str">
        <f>IF(ROW(E2673)&lt;=Raw_hydro_bm!$J$2,Raw_hydro_bm!F2673,"")</f>
        <v/>
      </c>
      <c r="F2673" t="str">
        <f>IF(ROW(F2673)&lt;=Raw_hydro_bm!$J$2,Raw_hydro_bm!G2673,"")</f>
        <v/>
      </c>
      <c r="G2673" t="str">
        <f>IF(ROW(G2673)&lt;=Raw_hydro_bm!$J$2,Raw_hydro_bm!H2673,"")</f>
        <v/>
      </c>
      <c r="H2673" t="str">
        <f>IF(ROW(H2673)&lt;=Raw_hydro_bm!$J$2,Raw_hydro_bm!I2673,"")</f>
        <v/>
      </c>
      <c r="I2673" s="16" t="str">
        <f t="shared" si="41"/>
        <v/>
      </c>
    </row>
    <row r="2674" spans="1:9" x14ac:dyDescent="0.2">
      <c r="A2674" t="str">
        <f>IF(ROW(A2674)&lt;=Raw_hydro_bm!$J$2,Raw_hydro_bm!B2674,"")</f>
        <v/>
      </c>
      <c r="B2674" t="str">
        <f>IF(ROW(B2674)&lt;=Raw_hydro_bm!$J$2,Raw_hydro_bm!C2674,"")</f>
        <v/>
      </c>
      <c r="C2674" t="str">
        <f>IF(ROW(C2674)&lt;=Raw_hydro_bm!$J$2,Raw_hydro_bm!D2674,"")</f>
        <v/>
      </c>
      <c r="D2674" t="str">
        <f>IF(ROW(D2674)&lt;=Raw_hydro_bm!$J$2,Raw_hydro_bm!E2674,"")</f>
        <v/>
      </c>
      <c r="E2674" t="str">
        <f>IF(ROW(E2674)&lt;=Raw_hydro_bm!$J$2,Raw_hydro_bm!F2674,"")</f>
        <v/>
      </c>
      <c r="F2674" t="str">
        <f>IF(ROW(F2674)&lt;=Raw_hydro_bm!$J$2,Raw_hydro_bm!G2674,"")</f>
        <v/>
      </c>
      <c r="G2674" t="str">
        <f>IF(ROW(G2674)&lt;=Raw_hydro_bm!$J$2,Raw_hydro_bm!H2674,"")</f>
        <v/>
      </c>
      <c r="H2674" t="str">
        <f>IF(ROW(H2674)&lt;=Raw_hydro_bm!$J$2,Raw_hydro_bm!I2674,"")</f>
        <v/>
      </c>
      <c r="I2674" s="16" t="str">
        <f t="shared" si="41"/>
        <v/>
      </c>
    </row>
    <row r="2675" spans="1:9" x14ac:dyDescent="0.2">
      <c r="A2675" t="str">
        <f>IF(ROW(A2675)&lt;=Raw_hydro_bm!$J$2,Raw_hydro_bm!B2675,"")</f>
        <v/>
      </c>
      <c r="B2675" t="str">
        <f>IF(ROW(B2675)&lt;=Raw_hydro_bm!$J$2,Raw_hydro_bm!C2675,"")</f>
        <v/>
      </c>
      <c r="C2675" t="str">
        <f>IF(ROW(C2675)&lt;=Raw_hydro_bm!$J$2,Raw_hydro_bm!D2675,"")</f>
        <v/>
      </c>
      <c r="D2675" t="str">
        <f>IF(ROW(D2675)&lt;=Raw_hydro_bm!$J$2,Raw_hydro_bm!E2675,"")</f>
        <v/>
      </c>
      <c r="E2675" t="str">
        <f>IF(ROW(E2675)&lt;=Raw_hydro_bm!$J$2,Raw_hydro_bm!F2675,"")</f>
        <v/>
      </c>
      <c r="F2675" t="str">
        <f>IF(ROW(F2675)&lt;=Raw_hydro_bm!$J$2,Raw_hydro_bm!G2675,"")</f>
        <v/>
      </c>
      <c r="G2675" t="str">
        <f>IF(ROW(G2675)&lt;=Raw_hydro_bm!$J$2,Raw_hydro_bm!H2675,"")</f>
        <v/>
      </c>
      <c r="H2675" t="str">
        <f>IF(ROW(H2675)&lt;=Raw_hydro_bm!$J$2,Raw_hydro_bm!I2675,"")</f>
        <v/>
      </c>
      <c r="I2675" s="16" t="str">
        <f t="shared" si="41"/>
        <v/>
      </c>
    </row>
    <row r="2676" spans="1:9" x14ac:dyDescent="0.2">
      <c r="A2676" t="str">
        <f>IF(ROW(A2676)&lt;=Raw_hydro_bm!$J$2,Raw_hydro_bm!B2676,"")</f>
        <v/>
      </c>
      <c r="B2676" t="str">
        <f>IF(ROW(B2676)&lt;=Raw_hydro_bm!$J$2,Raw_hydro_bm!C2676,"")</f>
        <v/>
      </c>
      <c r="C2676" t="str">
        <f>IF(ROW(C2676)&lt;=Raw_hydro_bm!$J$2,Raw_hydro_bm!D2676,"")</f>
        <v/>
      </c>
      <c r="D2676" t="str">
        <f>IF(ROW(D2676)&lt;=Raw_hydro_bm!$J$2,Raw_hydro_bm!E2676,"")</f>
        <v/>
      </c>
      <c r="E2676" t="str">
        <f>IF(ROW(E2676)&lt;=Raw_hydro_bm!$J$2,Raw_hydro_bm!F2676,"")</f>
        <v/>
      </c>
      <c r="F2676" t="str">
        <f>IF(ROW(F2676)&lt;=Raw_hydro_bm!$J$2,Raw_hydro_bm!G2676,"")</f>
        <v/>
      </c>
      <c r="G2676" t="str">
        <f>IF(ROW(G2676)&lt;=Raw_hydro_bm!$J$2,Raw_hydro_bm!H2676,"")</f>
        <v/>
      </c>
      <c r="H2676" t="str">
        <f>IF(ROW(H2676)&lt;=Raw_hydro_bm!$J$2,Raw_hydro_bm!I2676,"")</f>
        <v/>
      </c>
      <c r="I2676" s="16" t="str">
        <f t="shared" si="41"/>
        <v/>
      </c>
    </row>
    <row r="2677" spans="1:9" x14ac:dyDescent="0.2">
      <c r="A2677" t="str">
        <f>IF(ROW(A2677)&lt;=Raw_hydro_bm!$J$2,Raw_hydro_bm!B2677,"")</f>
        <v/>
      </c>
      <c r="B2677" t="str">
        <f>IF(ROW(B2677)&lt;=Raw_hydro_bm!$J$2,Raw_hydro_bm!C2677,"")</f>
        <v/>
      </c>
      <c r="C2677" t="str">
        <f>IF(ROW(C2677)&lt;=Raw_hydro_bm!$J$2,Raw_hydro_bm!D2677,"")</f>
        <v/>
      </c>
      <c r="D2677" t="str">
        <f>IF(ROW(D2677)&lt;=Raw_hydro_bm!$J$2,Raw_hydro_bm!E2677,"")</f>
        <v/>
      </c>
      <c r="E2677" t="str">
        <f>IF(ROW(E2677)&lt;=Raw_hydro_bm!$J$2,Raw_hydro_bm!F2677,"")</f>
        <v/>
      </c>
      <c r="F2677" t="str">
        <f>IF(ROW(F2677)&lt;=Raw_hydro_bm!$J$2,Raw_hydro_bm!G2677,"")</f>
        <v/>
      </c>
      <c r="G2677" t="str">
        <f>IF(ROW(G2677)&lt;=Raw_hydro_bm!$J$2,Raw_hydro_bm!H2677,"")</f>
        <v/>
      </c>
      <c r="H2677" t="str">
        <f>IF(ROW(H2677)&lt;=Raw_hydro_bm!$J$2,Raw_hydro_bm!I2677,"")</f>
        <v/>
      </c>
      <c r="I2677" s="16" t="str">
        <f t="shared" si="41"/>
        <v/>
      </c>
    </row>
    <row r="2678" spans="1:9" x14ac:dyDescent="0.2">
      <c r="A2678" t="str">
        <f>IF(ROW(A2678)&lt;=Raw_hydro_bm!$J$2,Raw_hydro_bm!B2678,"")</f>
        <v/>
      </c>
      <c r="B2678" t="str">
        <f>IF(ROW(B2678)&lt;=Raw_hydro_bm!$J$2,Raw_hydro_bm!C2678,"")</f>
        <v/>
      </c>
      <c r="C2678" t="str">
        <f>IF(ROW(C2678)&lt;=Raw_hydro_bm!$J$2,Raw_hydro_bm!D2678,"")</f>
        <v/>
      </c>
      <c r="D2678" t="str">
        <f>IF(ROW(D2678)&lt;=Raw_hydro_bm!$J$2,Raw_hydro_bm!E2678,"")</f>
        <v/>
      </c>
      <c r="E2678" t="str">
        <f>IF(ROW(E2678)&lt;=Raw_hydro_bm!$J$2,Raw_hydro_bm!F2678,"")</f>
        <v/>
      </c>
      <c r="F2678" t="str">
        <f>IF(ROW(F2678)&lt;=Raw_hydro_bm!$J$2,Raw_hydro_bm!G2678,"")</f>
        <v/>
      </c>
      <c r="G2678" t="str">
        <f>IF(ROW(G2678)&lt;=Raw_hydro_bm!$J$2,Raw_hydro_bm!H2678,"")</f>
        <v/>
      </c>
      <c r="H2678" t="str">
        <f>IF(ROW(H2678)&lt;=Raw_hydro_bm!$J$2,Raw_hydro_bm!I2678,"")</f>
        <v/>
      </c>
      <c r="I2678" s="16" t="str">
        <f t="shared" si="41"/>
        <v/>
      </c>
    </row>
    <row r="2679" spans="1:9" x14ac:dyDescent="0.2">
      <c r="A2679" t="str">
        <f>IF(ROW(A2679)&lt;=Raw_hydro_bm!$J$2,Raw_hydro_bm!B2679,"")</f>
        <v/>
      </c>
      <c r="B2679" t="str">
        <f>IF(ROW(B2679)&lt;=Raw_hydro_bm!$J$2,Raw_hydro_bm!C2679,"")</f>
        <v/>
      </c>
      <c r="C2679" t="str">
        <f>IF(ROW(C2679)&lt;=Raw_hydro_bm!$J$2,Raw_hydro_bm!D2679,"")</f>
        <v/>
      </c>
      <c r="D2679" t="str">
        <f>IF(ROW(D2679)&lt;=Raw_hydro_bm!$J$2,Raw_hydro_bm!E2679,"")</f>
        <v/>
      </c>
      <c r="E2679" t="str">
        <f>IF(ROW(E2679)&lt;=Raw_hydro_bm!$J$2,Raw_hydro_bm!F2679,"")</f>
        <v/>
      </c>
      <c r="F2679" t="str">
        <f>IF(ROW(F2679)&lt;=Raw_hydro_bm!$J$2,Raw_hydro_bm!G2679,"")</f>
        <v/>
      </c>
      <c r="G2679" t="str">
        <f>IF(ROW(G2679)&lt;=Raw_hydro_bm!$J$2,Raw_hydro_bm!H2679,"")</f>
        <v/>
      </c>
      <c r="H2679" t="str">
        <f>IF(ROW(H2679)&lt;=Raw_hydro_bm!$J$2,Raw_hydro_bm!I2679,"")</f>
        <v/>
      </c>
      <c r="I2679" s="16" t="str">
        <f t="shared" si="41"/>
        <v/>
      </c>
    </row>
    <row r="2680" spans="1:9" x14ac:dyDescent="0.2">
      <c r="A2680" t="str">
        <f>IF(ROW(A2680)&lt;=Raw_hydro_bm!$J$2,Raw_hydro_bm!B2680,"")</f>
        <v/>
      </c>
      <c r="B2680" t="str">
        <f>IF(ROW(B2680)&lt;=Raw_hydro_bm!$J$2,Raw_hydro_bm!C2680,"")</f>
        <v/>
      </c>
      <c r="C2680" t="str">
        <f>IF(ROW(C2680)&lt;=Raw_hydro_bm!$J$2,Raw_hydro_bm!D2680,"")</f>
        <v/>
      </c>
      <c r="D2680" t="str">
        <f>IF(ROW(D2680)&lt;=Raw_hydro_bm!$J$2,Raw_hydro_bm!E2680,"")</f>
        <v/>
      </c>
      <c r="E2680" t="str">
        <f>IF(ROW(E2680)&lt;=Raw_hydro_bm!$J$2,Raw_hydro_bm!F2680,"")</f>
        <v/>
      </c>
      <c r="F2680" t="str">
        <f>IF(ROW(F2680)&lt;=Raw_hydro_bm!$J$2,Raw_hydro_bm!G2680,"")</f>
        <v/>
      </c>
      <c r="G2680" t="str">
        <f>IF(ROW(G2680)&lt;=Raw_hydro_bm!$J$2,Raw_hydro_bm!H2680,"")</f>
        <v/>
      </c>
      <c r="H2680" t="str">
        <f>IF(ROW(H2680)&lt;=Raw_hydro_bm!$J$2,Raw_hydro_bm!I2680,"")</f>
        <v/>
      </c>
      <c r="I2680" s="16" t="str">
        <f t="shared" si="41"/>
        <v/>
      </c>
    </row>
    <row r="2681" spans="1:9" x14ac:dyDescent="0.2">
      <c r="A2681" t="str">
        <f>IF(ROW(A2681)&lt;=Raw_hydro_bm!$J$2,Raw_hydro_bm!B2681,"")</f>
        <v/>
      </c>
      <c r="B2681" t="str">
        <f>IF(ROW(B2681)&lt;=Raw_hydro_bm!$J$2,Raw_hydro_bm!C2681,"")</f>
        <v/>
      </c>
      <c r="C2681" t="str">
        <f>IF(ROW(C2681)&lt;=Raw_hydro_bm!$J$2,Raw_hydro_bm!D2681,"")</f>
        <v/>
      </c>
      <c r="D2681" t="str">
        <f>IF(ROW(D2681)&lt;=Raw_hydro_bm!$J$2,Raw_hydro_bm!E2681,"")</f>
        <v/>
      </c>
      <c r="E2681" t="str">
        <f>IF(ROW(E2681)&lt;=Raw_hydro_bm!$J$2,Raw_hydro_bm!F2681,"")</f>
        <v/>
      </c>
      <c r="F2681" t="str">
        <f>IF(ROW(F2681)&lt;=Raw_hydro_bm!$J$2,Raw_hydro_bm!G2681,"")</f>
        <v/>
      </c>
      <c r="G2681" t="str">
        <f>IF(ROW(G2681)&lt;=Raw_hydro_bm!$J$2,Raw_hydro_bm!H2681,"")</f>
        <v/>
      </c>
      <c r="H2681" t="str">
        <f>IF(ROW(H2681)&lt;=Raw_hydro_bm!$J$2,Raw_hydro_bm!I2681,"")</f>
        <v/>
      </c>
      <c r="I2681" s="16" t="str">
        <f t="shared" si="41"/>
        <v/>
      </c>
    </row>
    <row r="2682" spans="1:9" x14ac:dyDescent="0.2">
      <c r="A2682" t="str">
        <f>IF(ROW(A2682)&lt;=Raw_hydro_bm!$J$2,Raw_hydro_bm!B2682,"")</f>
        <v/>
      </c>
      <c r="B2682" t="str">
        <f>IF(ROW(B2682)&lt;=Raw_hydro_bm!$J$2,Raw_hydro_bm!C2682,"")</f>
        <v/>
      </c>
      <c r="C2682" t="str">
        <f>IF(ROW(C2682)&lt;=Raw_hydro_bm!$J$2,Raw_hydro_bm!D2682,"")</f>
        <v/>
      </c>
      <c r="D2682" t="str">
        <f>IF(ROW(D2682)&lt;=Raw_hydro_bm!$J$2,Raw_hydro_bm!E2682,"")</f>
        <v/>
      </c>
      <c r="E2682" t="str">
        <f>IF(ROW(E2682)&lt;=Raw_hydro_bm!$J$2,Raw_hydro_bm!F2682,"")</f>
        <v/>
      </c>
      <c r="F2682" t="str">
        <f>IF(ROW(F2682)&lt;=Raw_hydro_bm!$J$2,Raw_hydro_bm!G2682,"")</f>
        <v/>
      </c>
      <c r="G2682" t="str">
        <f>IF(ROW(G2682)&lt;=Raw_hydro_bm!$J$2,Raw_hydro_bm!H2682,"")</f>
        <v/>
      </c>
      <c r="H2682" t="str">
        <f>IF(ROW(H2682)&lt;=Raw_hydro_bm!$J$2,Raw_hydro_bm!I2682,"")</f>
        <v/>
      </c>
      <c r="I2682" s="16" t="str">
        <f t="shared" si="41"/>
        <v/>
      </c>
    </row>
    <row r="2683" spans="1:9" x14ac:dyDescent="0.2">
      <c r="A2683" t="str">
        <f>IF(ROW(A2683)&lt;=Raw_hydro_bm!$J$2,Raw_hydro_bm!B2683,"")</f>
        <v/>
      </c>
      <c r="B2683" t="str">
        <f>IF(ROW(B2683)&lt;=Raw_hydro_bm!$J$2,Raw_hydro_bm!C2683,"")</f>
        <v/>
      </c>
      <c r="C2683" t="str">
        <f>IF(ROW(C2683)&lt;=Raw_hydro_bm!$J$2,Raw_hydro_bm!D2683,"")</f>
        <v/>
      </c>
      <c r="D2683" t="str">
        <f>IF(ROW(D2683)&lt;=Raw_hydro_bm!$J$2,Raw_hydro_bm!E2683,"")</f>
        <v/>
      </c>
      <c r="E2683" t="str">
        <f>IF(ROW(E2683)&lt;=Raw_hydro_bm!$J$2,Raw_hydro_bm!F2683,"")</f>
        <v/>
      </c>
      <c r="F2683" t="str">
        <f>IF(ROW(F2683)&lt;=Raw_hydro_bm!$J$2,Raw_hydro_bm!G2683,"")</f>
        <v/>
      </c>
      <c r="G2683" t="str">
        <f>IF(ROW(G2683)&lt;=Raw_hydro_bm!$J$2,Raw_hydro_bm!H2683,"")</f>
        <v/>
      </c>
      <c r="H2683" t="str">
        <f>IF(ROW(H2683)&lt;=Raw_hydro_bm!$J$2,Raw_hydro_bm!I2683,"")</f>
        <v/>
      </c>
      <c r="I2683" s="16" t="str">
        <f t="shared" si="41"/>
        <v/>
      </c>
    </row>
    <row r="2684" spans="1:9" x14ac:dyDescent="0.2">
      <c r="A2684" t="str">
        <f>IF(ROW(A2684)&lt;=Raw_hydro_bm!$J$2,Raw_hydro_bm!B2684,"")</f>
        <v/>
      </c>
      <c r="B2684" t="str">
        <f>IF(ROW(B2684)&lt;=Raw_hydro_bm!$J$2,Raw_hydro_bm!C2684,"")</f>
        <v/>
      </c>
      <c r="C2684" t="str">
        <f>IF(ROW(C2684)&lt;=Raw_hydro_bm!$J$2,Raw_hydro_bm!D2684,"")</f>
        <v/>
      </c>
      <c r="D2684" t="str">
        <f>IF(ROW(D2684)&lt;=Raw_hydro_bm!$J$2,Raw_hydro_bm!E2684,"")</f>
        <v/>
      </c>
      <c r="E2684" t="str">
        <f>IF(ROW(E2684)&lt;=Raw_hydro_bm!$J$2,Raw_hydro_bm!F2684,"")</f>
        <v/>
      </c>
      <c r="F2684" t="str">
        <f>IF(ROW(F2684)&lt;=Raw_hydro_bm!$J$2,Raw_hydro_bm!G2684,"")</f>
        <v/>
      </c>
      <c r="G2684" t="str">
        <f>IF(ROW(G2684)&lt;=Raw_hydro_bm!$J$2,Raw_hydro_bm!H2684,"")</f>
        <v/>
      </c>
      <c r="H2684" t="str">
        <f>IF(ROW(H2684)&lt;=Raw_hydro_bm!$J$2,Raw_hydro_bm!I2684,"")</f>
        <v/>
      </c>
      <c r="I2684" s="16" t="str">
        <f t="shared" si="41"/>
        <v/>
      </c>
    </row>
    <row r="2685" spans="1:9" x14ac:dyDescent="0.2">
      <c r="A2685" t="str">
        <f>IF(ROW(A2685)&lt;=Raw_hydro_bm!$J$2,Raw_hydro_bm!B2685,"")</f>
        <v/>
      </c>
      <c r="B2685" t="str">
        <f>IF(ROW(B2685)&lt;=Raw_hydro_bm!$J$2,Raw_hydro_bm!C2685,"")</f>
        <v/>
      </c>
      <c r="C2685" t="str">
        <f>IF(ROW(C2685)&lt;=Raw_hydro_bm!$J$2,Raw_hydro_bm!D2685,"")</f>
        <v/>
      </c>
      <c r="D2685" t="str">
        <f>IF(ROW(D2685)&lt;=Raw_hydro_bm!$J$2,Raw_hydro_bm!E2685,"")</f>
        <v/>
      </c>
      <c r="E2685" t="str">
        <f>IF(ROW(E2685)&lt;=Raw_hydro_bm!$J$2,Raw_hydro_bm!F2685,"")</f>
        <v/>
      </c>
      <c r="F2685" t="str">
        <f>IF(ROW(F2685)&lt;=Raw_hydro_bm!$J$2,Raw_hydro_bm!G2685,"")</f>
        <v/>
      </c>
      <c r="G2685" t="str">
        <f>IF(ROW(G2685)&lt;=Raw_hydro_bm!$J$2,Raw_hydro_bm!H2685,"")</f>
        <v/>
      </c>
      <c r="H2685" t="str">
        <f>IF(ROW(H2685)&lt;=Raw_hydro_bm!$J$2,Raw_hydro_bm!I2685,"")</f>
        <v/>
      </c>
      <c r="I2685" s="16" t="str">
        <f t="shared" si="41"/>
        <v/>
      </c>
    </row>
    <row r="2686" spans="1:9" x14ac:dyDescent="0.2">
      <c r="A2686" t="str">
        <f>IF(ROW(A2686)&lt;=Raw_hydro_bm!$J$2,Raw_hydro_bm!B2686,"")</f>
        <v/>
      </c>
      <c r="B2686" t="str">
        <f>IF(ROW(B2686)&lt;=Raw_hydro_bm!$J$2,Raw_hydro_bm!C2686,"")</f>
        <v/>
      </c>
      <c r="C2686" t="str">
        <f>IF(ROW(C2686)&lt;=Raw_hydro_bm!$J$2,Raw_hydro_bm!D2686,"")</f>
        <v/>
      </c>
      <c r="D2686" t="str">
        <f>IF(ROW(D2686)&lt;=Raw_hydro_bm!$J$2,Raw_hydro_bm!E2686,"")</f>
        <v/>
      </c>
      <c r="E2686" t="str">
        <f>IF(ROW(E2686)&lt;=Raw_hydro_bm!$J$2,Raw_hydro_bm!F2686,"")</f>
        <v/>
      </c>
      <c r="F2686" t="str">
        <f>IF(ROW(F2686)&lt;=Raw_hydro_bm!$J$2,Raw_hydro_bm!G2686,"")</f>
        <v/>
      </c>
      <c r="G2686" t="str">
        <f>IF(ROW(G2686)&lt;=Raw_hydro_bm!$J$2,Raw_hydro_bm!H2686,"")</f>
        <v/>
      </c>
      <c r="H2686" t="str">
        <f>IF(ROW(H2686)&lt;=Raw_hydro_bm!$J$2,Raw_hydro_bm!I2686,"")</f>
        <v/>
      </c>
      <c r="I2686" s="16" t="str">
        <f t="shared" si="41"/>
        <v/>
      </c>
    </row>
    <row r="2687" spans="1:9" x14ac:dyDescent="0.2">
      <c r="A2687" t="str">
        <f>IF(ROW(A2687)&lt;=Raw_hydro_bm!$J$2,Raw_hydro_bm!B2687,"")</f>
        <v/>
      </c>
      <c r="B2687" t="str">
        <f>IF(ROW(B2687)&lt;=Raw_hydro_bm!$J$2,Raw_hydro_bm!C2687,"")</f>
        <v/>
      </c>
      <c r="C2687" t="str">
        <f>IF(ROW(C2687)&lt;=Raw_hydro_bm!$J$2,Raw_hydro_bm!D2687,"")</f>
        <v/>
      </c>
      <c r="D2687" t="str">
        <f>IF(ROW(D2687)&lt;=Raw_hydro_bm!$J$2,Raw_hydro_bm!E2687,"")</f>
        <v/>
      </c>
      <c r="E2687" t="str">
        <f>IF(ROW(E2687)&lt;=Raw_hydro_bm!$J$2,Raw_hydro_bm!F2687,"")</f>
        <v/>
      </c>
      <c r="F2687" t="str">
        <f>IF(ROW(F2687)&lt;=Raw_hydro_bm!$J$2,Raw_hydro_bm!G2687,"")</f>
        <v/>
      </c>
      <c r="G2687" t="str">
        <f>IF(ROW(G2687)&lt;=Raw_hydro_bm!$J$2,Raw_hydro_bm!H2687,"")</f>
        <v/>
      </c>
      <c r="H2687" t="str">
        <f>IF(ROW(H2687)&lt;=Raw_hydro_bm!$J$2,Raw_hydro_bm!I2687,"")</f>
        <v/>
      </c>
      <c r="I2687" s="16" t="str">
        <f t="shared" si="41"/>
        <v/>
      </c>
    </row>
    <row r="2688" spans="1:9" x14ac:dyDescent="0.2">
      <c r="A2688" t="str">
        <f>IF(ROW(A2688)&lt;=Raw_hydro_bm!$J$2,Raw_hydro_bm!B2688,"")</f>
        <v/>
      </c>
      <c r="B2688" t="str">
        <f>IF(ROW(B2688)&lt;=Raw_hydro_bm!$J$2,Raw_hydro_bm!C2688,"")</f>
        <v/>
      </c>
      <c r="C2688" t="str">
        <f>IF(ROW(C2688)&lt;=Raw_hydro_bm!$J$2,Raw_hydro_bm!D2688,"")</f>
        <v/>
      </c>
      <c r="D2688" t="str">
        <f>IF(ROW(D2688)&lt;=Raw_hydro_bm!$J$2,Raw_hydro_bm!E2688,"")</f>
        <v/>
      </c>
      <c r="E2688" t="str">
        <f>IF(ROW(E2688)&lt;=Raw_hydro_bm!$J$2,Raw_hydro_bm!F2688,"")</f>
        <v/>
      </c>
      <c r="F2688" t="str">
        <f>IF(ROW(F2688)&lt;=Raw_hydro_bm!$J$2,Raw_hydro_bm!G2688,"")</f>
        <v/>
      </c>
      <c r="G2688" t="str">
        <f>IF(ROW(G2688)&lt;=Raw_hydro_bm!$J$2,Raw_hydro_bm!H2688,"")</f>
        <v/>
      </c>
      <c r="H2688" t="str">
        <f>IF(ROW(H2688)&lt;=Raw_hydro_bm!$J$2,Raw_hydro_bm!I2688,"")</f>
        <v/>
      </c>
      <c r="I2688" s="16" t="str">
        <f t="shared" si="41"/>
        <v/>
      </c>
    </row>
    <row r="2689" spans="1:9" x14ac:dyDescent="0.2">
      <c r="A2689" t="str">
        <f>IF(ROW(A2689)&lt;=Raw_hydro_bm!$J$2,Raw_hydro_bm!B2689,"")</f>
        <v/>
      </c>
      <c r="B2689" t="str">
        <f>IF(ROW(B2689)&lt;=Raw_hydro_bm!$J$2,Raw_hydro_bm!C2689,"")</f>
        <v/>
      </c>
      <c r="C2689" t="str">
        <f>IF(ROW(C2689)&lt;=Raw_hydro_bm!$J$2,Raw_hydro_bm!D2689,"")</f>
        <v/>
      </c>
      <c r="D2689" t="str">
        <f>IF(ROW(D2689)&lt;=Raw_hydro_bm!$J$2,Raw_hydro_bm!E2689,"")</f>
        <v/>
      </c>
      <c r="E2689" t="str">
        <f>IF(ROW(E2689)&lt;=Raw_hydro_bm!$J$2,Raw_hydro_bm!F2689,"")</f>
        <v/>
      </c>
      <c r="F2689" t="str">
        <f>IF(ROW(F2689)&lt;=Raw_hydro_bm!$J$2,Raw_hydro_bm!G2689,"")</f>
        <v/>
      </c>
      <c r="G2689" t="str">
        <f>IF(ROW(G2689)&lt;=Raw_hydro_bm!$J$2,Raw_hydro_bm!H2689,"")</f>
        <v/>
      </c>
      <c r="H2689" t="str">
        <f>IF(ROW(H2689)&lt;=Raw_hydro_bm!$J$2,Raw_hydro_bm!I2689,"")</f>
        <v/>
      </c>
      <c r="I2689" s="16" t="str">
        <f t="shared" si="41"/>
        <v/>
      </c>
    </row>
    <row r="2690" spans="1:9" x14ac:dyDescent="0.2">
      <c r="A2690" t="str">
        <f>IF(ROW(A2690)&lt;=Raw_hydro_bm!$J$2,Raw_hydro_bm!B2690,"")</f>
        <v/>
      </c>
      <c r="B2690" t="str">
        <f>IF(ROW(B2690)&lt;=Raw_hydro_bm!$J$2,Raw_hydro_bm!C2690,"")</f>
        <v/>
      </c>
      <c r="C2690" t="str">
        <f>IF(ROW(C2690)&lt;=Raw_hydro_bm!$J$2,Raw_hydro_bm!D2690,"")</f>
        <v/>
      </c>
      <c r="D2690" t="str">
        <f>IF(ROW(D2690)&lt;=Raw_hydro_bm!$J$2,Raw_hydro_bm!E2690,"")</f>
        <v/>
      </c>
      <c r="E2690" t="str">
        <f>IF(ROW(E2690)&lt;=Raw_hydro_bm!$J$2,Raw_hydro_bm!F2690,"")</f>
        <v/>
      </c>
      <c r="F2690" t="str">
        <f>IF(ROW(F2690)&lt;=Raw_hydro_bm!$J$2,Raw_hydro_bm!G2690,"")</f>
        <v/>
      </c>
      <c r="G2690" t="str">
        <f>IF(ROW(G2690)&lt;=Raw_hydro_bm!$J$2,Raw_hydro_bm!H2690,"")</f>
        <v/>
      </c>
      <c r="H2690" t="str">
        <f>IF(ROW(H2690)&lt;=Raw_hydro_bm!$J$2,Raw_hydro_bm!I2690,"")</f>
        <v/>
      </c>
      <c r="I2690" s="16" t="str">
        <f t="shared" ref="I2690:I2753" si="42">IF(IFERROR(FIND("e",H2690),-1)&lt;0,IFERROR(_xlfn.NUMBERVALUE(LEFT(H2690,FIND(".",H2690)-1))+_xlfn.NUMBERVALUE("0,"&amp;RIGHT(H2690,LEN(H2690)-FIND(".",H2690))),""),0)</f>
        <v/>
      </c>
    </row>
    <row r="2691" spans="1:9" x14ac:dyDescent="0.2">
      <c r="A2691" t="str">
        <f>IF(ROW(A2691)&lt;=Raw_hydro_bm!$J$2,Raw_hydro_bm!B2691,"")</f>
        <v/>
      </c>
      <c r="B2691" t="str">
        <f>IF(ROW(B2691)&lt;=Raw_hydro_bm!$J$2,Raw_hydro_bm!C2691,"")</f>
        <v/>
      </c>
      <c r="C2691" t="str">
        <f>IF(ROW(C2691)&lt;=Raw_hydro_bm!$J$2,Raw_hydro_bm!D2691,"")</f>
        <v/>
      </c>
      <c r="D2691" t="str">
        <f>IF(ROW(D2691)&lt;=Raw_hydro_bm!$J$2,Raw_hydro_bm!E2691,"")</f>
        <v/>
      </c>
      <c r="E2691" t="str">
        <f>IF(ROW(E2691)&lt;=Raw_hydro_bm!$J$2,Raw_hydro_bm!F2691,"")</f>
        <v/>
      </c>
      <c r="F2691" t="str">
        <f>IF(ROW(F2691)&lt;=Raw_hydro_bm!$J$2,Raw_hydro_bm!G2691,"")</f>
        <v/>
      </c>
      <c r="G2691" t="str">
        <f>IF(ROW(G2691)&lt;=Raw_hydro_bm!$J$2,Raw_hydro_bm!H2691,"")</f>
        <v/>
      </c>
      <c r="H2691" t="str">
        <f>IF(ROW(H2691)&lt;=Raw_hydro_bm!$J$2,Raw_hydro_bm!I2691,"")</f>
        <v/>
      </c>
      <c r="I2691" s="16" t="str">
        <f t="shared" si="42"/>
        <v/>
      </c>
    </row>
    <row r="2692" spans="1:9" x14ac:dyDescent="0.2">
      <c r="A2692" t="str">
        <f>IF(ROW(A2692)&lt;=Raw_hydro_bm!$J$2,Raw_hydro_bm!B2692,"")</f>
        <v/>
      </c>
      <c r="B2692" t="str">
        <f>IF(ROW(B2692)&lt;=Raw_hydro_bm!$J$2,Raw_hydro_bm!C2692,"")</f>
        <v/>
      </c>
      <c r="C2692" t="str">
        <f>IF(ROW(C2692)&lt;=Raw_hydro_bm!$J$2,Raw_hydro_bm!D2692,"")</f>
        <v/>
      </c>
      <c r="D2692" t="str">
        <f>IF(ROW(D2692)&lt;=Raw_hydro_bm!$J$2,Raw_hydro_bm!E2692,"")</f>
        <v/>
      </c>
      <c r="E2692" t="str">
        <f>IF(ROW(E2692)&lt;=Raw_hydro_bm!$J$2,Raw_hydro_bm!F2692,"")</f>
        <v/>
      </c>
      <c r="F2692" t="str">
        <f>IF(ROW(F2692)&lt;=Raw_hydro_bm!$J$2,Raw_hydro_bm!G2692,"")</f>
        <v/>
      </c>
      <c r="G2692" t="str">
        <f>IF(ROW(G2692)&lt;=Raw_hydro_bm!$J$2,Raw_hydro_bm!H2692,"")</f>
        <v/>
      </c>
      <c r="H2692" t="str">
        <f>IF(ROW(H2692)&lt;=Raw_hydro_bm!$J$2,Raw_hydro_bm!I2692,"")</f>
        <v/>
      </c>
      <c r="I2692" s="16" t="str">
        <f t="shared" si="42"/>
        <v/>
      </c>
    </row>
    <row r="2693" spans="1:9" x14ac:dyDescent="0.2">
      <c r="A2693" t="str">
        <f>IF(ROW(A2693)&lt;=Raw_hydro_bm!$J$2,Raw_hydro_bm!B2693,"")</f>
        <v/>
      </c>
      <c r="B2693" t="str">
        <f>IF(ROW(B2693)&lt;=Raw_hydro_bm!$J$2,Raw_hydro_bm!C2693,"")</f>
        <v/>
      </c>
      <c r="C2693" t="str">
        <f>IF(ROW(C2693)&lt;=Raw_hydro_bm!$J$2,Raw_hydro_bm!D2693,"")</f>
        <v/>
      </c>
      <c r="D2693" t="str">
        <f>IF(ROW(D2693)&lt;=Raw_hydro_bm!$J$2,Raw_hydro_bm!E2693,"")</f>
        <v/>
      </c>
      <c r="E2693" t="str">
        <f>IF(ROW(E2693)&lt;=Raw_hydro_bm!$J$2,Raw_hydro_bm!F2693,"")</f>
        <v/>
      </c>
      <c r="F2693" t="str">
        <f>IF(ROW(F2693)&lt;=Raw_hydro_bm!$J$2,Raw_hydro_bm!G2693,"")</f>
        <v/>
      </c>
      <c r="G2693" t="str">
        <f>IF(ROW(G2693)&lt;=Raw_hydro_bm!$J$2,Raw_hydro_bm!H2693,"")</f>
        <v/>
      </c>
      <c r="H2693" t="str">
        <f>IF(ROW(H2693)&lt;=Raw_hydro_bm!$J$2,Raw_hydro_bm!I2693,"")</f>
        <v/>
      </c>
      <c r="I2693" s="16" t="str">
        <f t="shared" si="42"/>
        <v/>
      </c>
    </row>
    <row r="2694" spans="1:9" x14ac:dyDescent="0.2">
      <c r="A2694" t="str">
        <f>IF(ROW(A2694)&lt;=Raw_hydro_bm!$J$2,Raw_hydro_bm!B2694,"")</f>
        <v/>
      </c>
      <c r="B2694" t="str">
        <f>IF(ROW(B2694)&lt;=Raw_hydro_bm!$J$2,Raw_hydro_bm!C2694,"")</f>
        <v/>
      </c>
      <c r="C2694" t="str">
        <f>IF(ROW(C2694)&lt;=Raw_hydro_bm!$J$2,Raw_hydro_bm!D2694,"")</f>
        <v/>
      </c>
      <c r="D2694" t="str">
        <f>IF(ROW(D2694)&lt;=Raw_hydro_bm!$J$2,Raw_hydro_bm!E2694,"")</f>
        <v/>
      </c>
      <c r="E2694" t="str">
        <f>IF(ROW(E2694)&lt;=Raw_hydro_bm!$J$2,Raw_hydro_bm!F2694,"")</f>
        <v/>
      </c>
      <c r="F2694" t="str">
        <f>IF(ROW(F2694)&lt;=Raw_hydro_bm!$J$2,Raw_hydro_bm!G2694,"")</f>
        <v/>
      </c>
      <c r="G2694" t="str">
        <f>IF(ROW(G2694)&lt;=Raw_hydro_bm!$J$2,Raw_hydro_bm!H2694,"")</f>
        <v/>
      </c>
      <c r="H2694" t="str">
        <f>IF(ROW(H2694)&lt;=Raw_hydro_bm!$J$2,Raw_hydro_bm!I2694,"")</f>
        <v/>
      </c>
      <c r="I2694" s="16" t="str">
        <f t="shared" si="42"/>
        <v/>
      </c>
    </row>
    <row r="2695" spans="1:9" x14ac:dyDescent="0.2">
      <c r="A2695" t="str">
        <f>IF(ROW(A2695)&lt;=Raw_hydro_bm!$J$2,Raw_hydro_bm!B2695,"")</f>
        <v/>
      </c>
      <c r="B2695" t="str">
        <f>IF(ROW(B2695)&lt;=Raw_hydro_bm!$J$2,Raw_hydro_bm!C2695,"")</f>
        <v/>
      </c>
      <c r="C2695" t="str">
        <f>IF(ROW(C2695)&lt;=Raw_hydro_bm!$J$2,Raw_hydro_bm!D2695,"")</f>
        <v/>
      </c>
      <c r="D2695" t="str">
        <f>IF(ROW(D2695)&lt;=Raw_hydro_bm!$J$2,Raw_hydro_bm!E2695,"")</f>
        <v/>
      </c>
      <c r="E2695" t="str">
        <f>IF(ROW(E2695)&lt;=Raw_hydro_bm!$J$2,Raw_hydro_bm!F2695,"")</f>
        <v/>
      </c>
      <c r="F2695" t="str">
        <f>IF(ROW(F2695)&lt;=Raw_hydro_bm!$J$2,Raw_hydro_bm!G2695,"")</f>
        <v/>
      </c>
      <c r="G2695" t="str">
        <f>IF(ROW(G2695)&lt;=Raw_hydro_bm!$J$2,Raw_hydro_bm!H2695,"")</f>
        <v/>
      </c>
      <c r="H2695" t="str">
        <f>IF(ROW(H2695)&lt;=Raw_hydro_bm!$J$2,Raw_hydro_bm!I2695,"")</f>
        <v/>
      </c>
      <c r="I2695" s="16" t="str">
        <f t="shared" si="42"/>
        <v/>
      </c>
    </row>
    <row r="2696" spans="1:9" x14ac:dyDescent="0.2">
      <c r="A2696" t="str">
        <f>IF(ROW(A2696)&lt;=Raw_hydro_bm!$J$2,Raw_hydro_bm!B2696,"")</f>
        <v/>
      </c>
      <c r="B2696" t="str">
        <f>IF(ROW(B2696)&lt;=Raw_hydro_bm!$J$2,Raw_hydro_bm!C2696,"")</f>
        <v/>
      </c>
      <c r="C2696" t="str">
        <f>IF(ROW(C2696)&lt;=Raw_hydro_bm!$J$2,Raw_hydro_bm!D2696,"")</f>
        <v/>
      </c>
      <c r="D2696" t="str">
        <f>IF(ROW(D2696)&lt;=Raw_hydro_bm!$J$2,Raw_hydro_bm!E2696,"")</f>
        <v/>
      </c>
      <c r="E2696" t="str">
        <f>IF(ROW(E2696)&lt;=Raw_hydro_bm!$J$2,Raw_hydro_bm!F2696,"")</f>
        <v/>
      </c>
      <c r="F2696" t="str">
        <f>IF(ROW(F2696)&lt;=Raw_hydro_bm!$J$2,Raw_hydro_bm!G2696,"")</f>
        <v/>
      </c>
      <c r="G2696" t="str">
        <f>IF(ROW(G2696)&lt;=Raw_hydro_bm!$J$2,Raw_hydro_bm!H2696,"")</f>
        <v/>
      </c>
      <c r="H2696" t="str">
        <f>IF(ROW(H2696)&lt;=Raw_hydro_bm!$J$2,Raw_hydro_bm!I2696,"")</f>
        <v/>
      </c>
      <c r="I2696" s="16" t="str">
        <f t="shared" si="42"/>
        <v/>
      </c>
    </row>
    <row r="2697" spans="1:9" x14ac:dyDescent="0.2">
      <c r="A2697" t="str">
        <f>IF(ROW(A2697)&lt;=Raw_hydro_bm!$J$2,Raw_hydro_bm!B2697,"")</f>
        <v/>
      </c>
      <c r="B2697" t="str">
        <f>IF(ROW(B2697)&lt;=Raw_hydro_bm!$J$2,Raw_hydro_bm!C2697,"")</f>
        <v/>
      </c>
      <c r="C2697" t="str">
        <f>IF(ROW(C2697)&lt;=Raw_hydro_bm!$J$2,Raw_hydro_bm!D2697,"")</f>
        <v/>
      </c>
      <c r="D2697" t="str">
        <f>IF(ROW(D2697)&lt;=Raw_hydro_bm!$J$2,Raw_hydro_bm!E2697,"")</f>
        <v/>
      </c>
      <c r="E2697" t="str">
        <f>IF(ROW(E2697)&lt;=Raw_hydro_bm!$J$2,Raw_hydro_bm!F2697,"")</f>
        <v/>
      </c>
      <c r="F2697" t="str">
        <f>IF(ROW(F2697)&lt;=Raw_hydro_bm!$J$2,Raw_hydro_bm!G2697,"")</f>
        <v/>
      </c>
      <c r="G2697" t="str">
        <f>IF(ROW(G2697)&lt;=Raw_hydro_bm!$J$2,Raw_hydro_bm!H2697,"")</f>
        <v/>
      </c>
      <c r="H2697" t="str">
        <f>IF(ROW(H2697)&lt;=Raw_hydro_bm!$J$2,Raw_hydro_bm!I2697,"")</f>
        <v/>
      </c>
      <c r="I2697" s="16" t="str">
        <f t="shared" si="42"/>
        <v/>
      </c>
    </row>
    <row r="2698" spans="1:9" x14ac:dyDescent="0.2">
      <c r="A2698" t="str">
        <f>IF(ROW(A2698)&lt;=Raw_hydro_bm!$J$2,Raw_hydro_bm!B2698,"")</f>
        <v/>
      </c>
      <c r="B2698" t="str">
        <f>IF(ROW(B2698)&lt;=Raw_hydro_bm!$J$2,Raw_hydro_bm!C2698,"")</f>
        <v/>
      </c>
      <c r="C2698" t="str">
        <f>IF(ROW(C2698)&lt;=Raw_hydro_bm!$J$2,Raw_hydro_bm!D2698,"")</f>
        <v/>
      </c>
      <c r="D2698" t="str">
        <f>IF(ROW(D2698)&lt;=Raw_hydro_bm!$J$2,Raw_hydro_bm!E2698,"")</f>
        <v/>
      </c>
      <c r="E2698" t="str">
        <f>IF(ROW(E2698)&lt;=Raw_hydro_bm!$J$2,Raw_hydro_bm!F2698,"")</f>
        <v/>
      </c>
      <c r="F2698" t="str">
        <f>IF(ROW(F2698)&lt;=Raw_hydro_bm!$J$2,Raw_hydro_bm!G2698,"")</f>
        <v/>
      </c>
      <c r="G2698" t="str">
        <f>IF(ROW(G2698)&lt;=Raw_hydro_bm!$J$2,Raw_hydro_bm!H2698,"")</f>
        <v/>
      </c>
      <c r="H2698" t="str">
        <f>IF(ROW(H2698)&lt;=Raw_hydro_bm!$J$2,Raw_hydro_bm!I2698,"")</f>
        <v/>
      </c>
      <c r="I2698" s="16" t="str">
        <f t="shared" si="42"/>
        <v/>
      </c>
    </row>
    <row r="2699" spans="1:9" x14ac:dyDescent="0.2">
      <c r="A2699" t="str">
        <f>IF(ROW(A2699)&lt;=Raw_hydro_bm!$J$2,Raw_hydro_bm!B2699,"")</f>
        <v/>
      </c>
      <c r="B2699" t="str">
        <f>IF(ROW(B2699)&lt;=Raw_hydro_bm!$J$2,Raw_hydro_bm!C2699,"")</f>
        <v/>
      </c>
      <c r="C2699" t="str">
        <f>IF(ROW(C2699)&lt;=Raw_hydro_bm!$J$2,Raw_hydro_bm!D2699,"")</f>
        <v/>
      </c>
      <c r="D2699" t="str">
        <f>IF(ROW(D2699)&lt;=Raw_hydro_bm!$J$2,Raw_hydro_bm!E2699,"")</f>
        <v/>
      </c>
      <c r="E2699" t="str">
        <f>IF(ROW(E2699)&lt;=Raw_hydro_bm!$J$2,Raw_hydro_bm!F2699,"")</f>
        <v/>
      </c>
      <c r="F2699" t="str">
        <f>IF(ROW(F2699)&lt;=Raw_hydro_bm!$J$2,Raw_hydro_bm!G2699,"")</f>
        <v/>
      </c>
      <c r="G2699" t="str">
        <f>IF(ROW(G2699)&lt;=Raw_hydro_bm!$J$2,Raw_hydro_bm!H2699,"")</f>
        <v/>
      </c>
      <c r="H2699" t="str">
        <f>IF(ROW(H2699)&lt;=Raw_hydro_bm!$J$2,Raw_hydro_bm!I2699,"")</f>
        <v/>
      </c>
      <c r="I2699" s="16" t="str">
        <f t="shared" si="42"/>
        <v/>
      </c>
    </row>
    <row r="2700" spans="1:9" x14ac:dyDescent="0.2">
      <c r="A2700" t="str">
        <f>IF(ROW(A2700)&lt;=Raw_hydro_bm!$J$2,Raw_hydro_bm!B2700,"")</f>
        <v/>
      </c>
      <c r="B2700" t="str">
        <f>IF(ROW(B2700)&lt;=Raw_hydro_bm!$J$2,Raw_hydro_bm!C2700,"")</f>
        <v/>
      </c>
      <c r="C2700" t="str">
        <f>IF(ROW(C2700)&lt;=Raw_hydro_bm!$J$2,Raw_hydro_bm!D2700,"")</f>
        <v/>
      </c>
      <c r="D2700" t="str">
        <f>IF(ROW(D2700)&lt;=Raw_hydro_bm!$J$2,Raw_hydro_bm!E2700,"")</f>
        <v/>
      </c>
      <c r="E2700" t="str">
        <f>IF(ROW(E2700)&lt;=Raw_hydro_bm!$J$2,Raw_hydro_bm!F2700,"")</f>
        <v/>
      </c>
      <c r="F2700" t="str">
        <f>IF(ROW(F2700)&lt;=Raw_hydro_bm!$J$2,Raw_hydro_bm!G2700,"")</f>
        <v/>
      </c>
      <c r="G2700" t="str">
        <f>IF(ROW(G2700)&lt;=Raw_hydro_bm!$J$2,Raw_hydro_bm!H2700,"")</f>
        <v/>
      </c>
      <c r="H2700" t="str">
        <f>IF(ROW(H2700)&lt;=Raw_hydro_bm!$J$2,Raw_hydro_bm!I2700,"")</f>
        <v/>
      </c>
      <c r="I2700" s="16" t="str">
        <f t="shared" si="42"/>
        <v/>
      </c>
    </row>
    <row r="2701" spans="1:9" x14ac:dyDescent="0.2">
      <c r="A2701" t="str">
        <f>IF(ROW(A2701)&lt;=Raw_hydro_bm!$J$2,Raw_hydro_bm!B2701,"")</f>
        <v/>
      </c>
      <c r="B2701" t="str">
        <f>IF(ROW(B2701)&lt;=Raw_hydro_bm!$J$2,Raw_hydro_bm!C2701,"")</f>
        <v/>
      </c>
      <c r="C2701" t="str">
        <f>IF(ROW(C2701)&lt;=Raw_hydro_bm!$J$2,Raw_hydro_bm!D2701,"")</f>
        <v/>
      </c>
      <c r="D2701" t="str">
        <f>IF(ROW(D2701)&lt;=Raw_hydro_bm!$J$2,Raw_hydro_bm!E2701,"")</f>
        <v/>
      </c>
      <c r="E2701" t="str">
        <f>IF(ROW(E2701)&lt;=Raw_hydro_bm!$J$2,Raw_hydro_bm!F2701,"")</f>
        <v/>
      </c>
      <c r="F2701" t="str">
        <f>IF(ROW(F2701)&lt;=Raw_hydro_bm!$J$2,Raw_hydro_bm!G2701,"")</f>
        <v/>
      </c>
      <c r="G2701" t="str">
        <f>IF(ROW(G2701)&lt;=Raw_hydro_bm!$J$2,Raw_hydro_bm!H2701,"")</f>
        <v/>
      </c>
      <c r="H2701" t="str">
        <f>IF(ROW(H2701)&lt;=Raw_hydro_bm!$J$2,Raw_hydro_bm!I2701,"")</f>
        <v/>
      </c>
      <c r="I2701" s="16" t="str">
        <f t="shared" si="42"/>
        <v/>
      </c>
    </row>
    <row r="2702" spans="1:9" x14ac:dyDescent="0.2">
      <c r="A2702" t="str">
        <f>IF(ROW(A2702)&lt;=Raw_hydro_bm!$J$2,Raw_hydro_bm!B2702,"")</f>
        <v/>
      </c>
      <c r="B2702" t="str">
        <f>IF(ROW(B2702)&lt;=Raw_hydro_bm!$J$2,Raw_hydro_bm!C2702,"")</f>
        <v/>
      </c>
      <c r="C2702" t="str">
        <f>IF(ROW(C2702)&lt;=Raw_hydro_bm!$J$2,Raw_hydro_bm!D2702,"")</f>
        <v/>
      </c>
      <c r="D2702" t="str">
        <f>IF(ROW(D2702)&lt;=Raw_hydro_bm!$J$2,Raw_hydro_bm!E2702,"")</f>
        <v/>
      </c>
      <c r="E2702" t="str">
        <f>IF(ROW(E2702)&lt;=Raw_hydro_bm!$J$2,Raw_hydro_bm!F2702,"")</f>
        <v/>
      </c>
      <c r="F2702" t="str">
        <f>IF(ROW(F2702)&lt;=Raw_hydro_bm!$J$2,Raw_hydro_bm!G2702,"")</f>
        <v/>
      </c>
      <c r="G2702" t="str">
        <f>IF(ROW(G2702)&lt;=Raw_hydro_bm!$J$2,Raw_hydro_bm!H2702,"")</f>
        <v/>
      </c>
      <c r="H2702" t="str">
        <f>IF(ROW(H2702)&lt;=Raw_hydro_bm!$J$2,Raw_hydro_bm!I2702,"")</f>
        <v/>
      </c>
      <c r="I2702" s="16" t="str">
        <f t="shared" si="42"/>
        <v/>
      </c>
    </row>
    <row r="2703" spans="1:9" x14ac:dyDescent="0.2">
      <c r="A2703" t="str">
        <f>IF(ROW(A2703)&lt;=Raw_hydro_bm!$J$2,Raw_hydro_bm!B2703,"")</f>
        <v/>
      </c>
      <c r="B2703" t="str">
        <f>IF(ROW(B2703)&lt;=Raw_hydro_bm!$J$2,Raw_hydro_bm!C2703,"")</f>
        <v/>
      </c>
      <c r="C2703" t="str">
        <f>IF(ROW(C2703)&lt;=Raw_hydro_bm!$J$2,Raw_hydro_bm!D2703,"")</f>
        <v/>
      </c>
      <c r="D2703" t="str">
        <f>IF(ROW(D2703)&lt;=Raw_hydro_bm!$J$2,Raw_hydro_bm!E2703,"")</f>
        <v/>
      </c>
      <c r="E2703" t="str">
        <f>IF(ROW(E2703)&lt;=Raw_hydro_bm!$J$2,Raw_hydro_bm!F2703,"")</f>
        <v/>
      </c>
      <c r="F2703" t="str">
        <f>IF(ROW(F2703)&lt;=Raw_hydro_bm!$J$2,Raw_hydro_bm!G2703,"")</f>
        <v/>
      </c>
      <c r="G2703" t="str">
        <f>IF(ROW(G2703)&lt;=Raw_hydro_bm!$J$2,Raw_hydro_bm!H2703,"")</f>
        <v/>
      </c>
      <c r="H2703" t="str">
        <f>IF(ROW(H2703)&lt;=Raw_hydro_bm!$J$2,Raw_hydro_bm!I2703,"")</f>
        <v/>
      </c>
      <c r="I2703" s="16" t="str">
        <f t="shared" si="42"/>
        <v/>
      </c>
    </row>
    <row r="2704" spans="1:9" x14ac:dyDescent="0.2">
      <c r="A2704" t="str">
        <f>IF(ROW(A2704)&lt;=Raw_hydro_bm!$J$2,Raw_hydro_bm!B2704,"")</f>
        <v/>
      </c>
      <c r="B2704" t="str">
        <f>IF(ROW(B2704)&lt;=Raw_hydro_bm!$J$2,Raw_hydro_bm!C2704,"")</f>
        <v/>
      </c>
      <c r="C2704" t="str">
        <f>IF(ROW(C2704)&lt;=Raw_hydro_bm!$J$2,Raw_hydro_bm!D2704,"")</f>
        <v/>
      </c>
      <c r="D2704" t="str">
        <f>IF(ROW(D2704)&lt;=Raw_hydro_bm!$J$2,Raw_hydro_bm!E2704,"")</f>
        <v/>
      </c>
      <c r="E2704" t="str">
        <f>IF(ROW(E2704)&lt;=Raw_hydro_bm!$J$2,Raw_hydro_bm!F2704,"")</f>
        <v/>
      </c>
      <c r="F2704" t="str">
        <f>IF(ROW(F2704)&lt;=Raw_hydro_bm!$J$2,Raw_hydro_bm!G2704,"")</f>
        <v/>
      </c>
      <c r="G2704" t="str">
        <f>IF(ROW(G2704)&lt;=Raw_hydro_bm!$J$2,Raw_hydro_bm!H2704,"")</f>
        <v/>
      </c>
      <c r="H2704" t="str">
        <f>IF(ROW(H2704)&lt;=Raw_hydro_bm!$J$2,Raw_hydro_bm!I2704,"")</f>
        <v/>
      </c>
      <c r="I2704" s="16" t="str">
        <f t="shared" si="42"/>
        <v/>
      </c>
    </row>
    <row r="2705" spans="1:9" x14ac:dyDescent="0.2">
      <c r="A2705" t="str">
        <f>IF(ROW(A2705)&lt;=Raw_hydro_bm!$J$2,Raw_hydro_bm!B2705,"")</f>
        <v/>
      </c>
      <c r="B2705" t="str">
        <f>IF(ROW(B2705)&lt;=Raw_hydro_bm!$J$2,Raw_hydro_bm!C2705,"")</f>
        <v/>
      </c>
      <c r="C2705" t="str">
        <f>IF(ROW(C2705)&lt;=Raw_hydro_bm!$J$2,Raw_hydro_bm!D2705,"")</f>
        <v/>
      </c>
      <c r="D2705" t="str">
        <f>IF(ROW(D2705)&lt;=Raw_hydro_bm!$J$2,Raw_hydro_bm!E2705,"")</f>
        <v/>
      </c>
      <c r="E2705" t="str">
        <f>IF(ROW(E2705)&lt;=Raw_hydro_bm!$J$2,Raw_hydro_bm!F2705,"")</f>
        <v/>
      </c>
      <c r="F2705" t="str">
        <f>IF(ROW(F2705)&lt;=Raw_hydro_bm!$J$2,Raw_hydro_bm!G2705,"")</f>
        <v/>
      </c>
      <c r="G2705" t="str">
        <f>IF(ROW(G2705)&lt;=Raw_hydro_bm!$J$2,Raw_hydro_bm!H2705,"")</f>
        <v/>
      </c>
      <c r="H2705" t="str">
        <f>IF(ROW(H2705)&lt;=Raw_hydro_bm!$J$2,Raw_hydro_bm!I2705,"")</f>
        <v/>
      </c>
      <c r="I2705" s="16" t="str">
        <f t="shared" si="42"/>
        <v/>
      </c>
    </row>
    <row r="2706" spans="1:9" x14ac:dyDescent="0.2">
      <c r="A2706" t="str">
        <f>IF(ROW(A2706)&lt;=Raw_hydro_bm!$J$2,Raw_hydro_bm!B2706,"")</f>
        <v/>
      </c>
      <c r="B2706" t="str">
        <f>IF(ROW(B2706)&lt;=Raw_hydro_bm!$J$2,Raw_hydro_bm!C2706,"")</f>
        <v/>
      </c>
      <c r="C2706" t="str">
        <f>IF(ROW(C2706)&lt;=Raw_hydro_bm!$J$2,Raw_hydro_bm!D2706,"")</f>
        <v/>
      </c>
      <c r="D2706" t="str">
        <f>IF(ROW(D2706)&lt;=Raw_hydro_bm!$J$2,Raw_hydro_bm!E2706,"")</f>
        <v/>
      </c>
      <c r="E2706" t="str">
        <f>IF(ROW(E2706)&lt;=Raw_hydro_bm!$J$2,Raw_hydro_bm!F2706,"")</f>
        <v/>
      </c>
      <c r="F2706" t="str">
        <f>IF(ROW(F2706)&lt;=Raw_hydro_bm!$J$2,Raw_hydro_bm!G2706,"")</f>
        <v/>
      </c>
      <c r="G2706" t="str">
        <f>IF(ROW(G2706)&lt;=Raw_hydro_bm!$J$2,Raw_hydro_bm!H2706,"")</f>
        <v/>
      </c>
      <c r="H2706" t="str">
        <f>IF(ROW(H2706)&lt;=Raw_hydro_bm!$J$2,Raw_hydro_bm!I2706,"")</f>
        <v/>
      </c>
      <c r="I2706" s="16" t="str">
        <f t="shared" si="42"/>
        <v/>
      </c>
    </row>
    <row r="2707" spans="1:9" x14ac:dyDescent="0.2">
      <c r="A2707" t="str">
        <f>IF(ROW(A2707)&lt;=Raw_hydro_bm!$J$2,Raw_hydro_bm!B2707,"")</f>
        <v/>
      </c>
      <c r="B2707" t="str">
        <f>IF(ROW(B2707)&lt;=Raw_hydro_bm!$J$2,Raw_hydro_bm!C2707,"")</f>
        <v/>
      </c>
      <c r="C2707" t="str">
        <f>IF(ROW(C2707)&lt;=Raw_hydro_bm!$J$2,Raw_hydro_bm!D2707,"")</f>
        <v/>
      </c>
      <c r="D2707" t="str">
        <f>IF(ROW(D2707)&lt;=Raw_hydro_bm!$J$2,Raw_hydro_bm!E2707,"")</f>
        <v/>
      </c>
      <c r="E2707" t="str">
        <f>IF(ROW(E2707)&lt;=Raw_hydro_bm!$J$2,Raw_hydro_bm!F2707,"")</f>
        <v/>
      </c>
      <c r="F2707" t="str">
        <f>IF(ROW(F2707)&lt;=Raw_hydro_bm!$J$2,Raw_hydro_bm!G2707,"")</f>
        <v/>
      </c>
      <c r="G2707" t="str">
        <f>IF(ROW(G2707)&lt;=Raw_hydro_bm!$J$2,Raw_hydro_bm!H2707,"")</f>
        <v/>
      </c>
      <c r="H2707" t="str">
        <f>IF(ROW(H2707)&lt;=Raw_hydro_bm!$J$2,Raw_hydro_bm!I2707,"")</f>
        <v/>
      </c>
      <c r="I2707" s="16" t="str">
        <f t="shared" si="42"/>
        <v/>
      </c>
    </row>
    <row r="2708" spans="1:9" x14ac:dyDescent="0.2">
      <c r="A2708" t="str">
        <f>IF(ROW(A2708)&lt;=Raw_hydro_bm!$J$2,Raw_hydro_bm!B2708,"")</f>
        <v/>
      </c>
      <c r="B2708" t="str">
        <f>IF(ROW(B2708)&lt;=Raw_hydro_bm!$J$2,Raw_hydro_bm!C2708,"")</f>
        <v/>
      </c>
      <c r="C2708" t="str">
        <f>IF(ROW(C2708)&lt;=Raw_hydro_bm!$J$2,Raw_hydro_bm!D2708,"")</f>
        <v/>
      </c>
      <c r="D2708" t="str">
        <f>IF(ROW(D2708)&lt;=Raw_hydro_bm!$J$2,Raw_hydro_bm!E2708,"")</f>
        <v/>
      </c>
      <c r="E2708" t="str">
        <f>IF(ROW(E2708)&lt;=Raw_hydro_bm!$J$2,Raw_hydro_bm!F2708,"")</f>
        <v/>
      </c>
      <c r="F2708" t="str">
        <f>IF(ROW(F2708)&lt;=Raw_hydro_bm!$J$2,Raw_hydro_bm!G2708,"")</f>
        <v/>
      </c>
      <c r="G2708" t="str">
        <f>IF(ROW(G2708)&lt;=Raw_hydro_bm!$J$2,Raw_hydro_bm!H2708,"")</f>
        <v/>
      </c>
      <c r="H2708" t="str">
        <f>IF(ROW(H2708)&lt;=Raw_hydro_bm!$J$2,Raw_hydro_bm!I2708,"")</f>
        <v/>
      </c>
      <c r="I2708" s="16" t="str">
        <f t="shared" si="42"/>
        <v/>
      </c>
    </row>
    <row r="2709" spans="1:9" x14ac:dyDescent="0.2">
      <c r="A2709" t="str">
        <f>IF(ROW(A2709)&lt;=Raw_hydro_bm!$J$2,Raw_hydro_bm!B2709,"")</f>
        <v/>
      </c>
      <c r="B2709" t="str">
        <f>IF(ROW(B2709)&lt;=Raw_hydro_bm!$J$2,Raw_hydro_bm!C2709,"")</f>
        <v/>
      </c>
      <c r="C2709" t="str">
        <f>IF(ROW(C2709)&lt;=Raw_hydro_bm!$J$2,Raw_hydro_bm!D2709,"")</f>
        <v/>
      </c>
      <c r="D2709" t="str">
        <f>IF(ROW(D2709)&lt;=Raw_hydro_bm!$J$2,Raw_hydro_bm!E2709,"")</f>
        <v/>
      </c>
      <c r="E2709" t="str">
        <f>IF(ROW(E2709)&lt;=Raw_hydro_bm!$J$2,Raw_hydro_bm!F2709,"")</f>
        <v/>
      </c>
      <c r="F2709" t="str">
        <f>IF(ROW(F2709)&lt;=Raw_hydro_bm!$J$2,Raw_hydro_bm!G2709,"")</f>
        <v/>
      </c>
      <c r="G2709" t="str">
        <f>IF(ROW(G2709)&lt;=Raw_hydro_bm!$J$2,Raw_hydro_bm!H2709,"")</f>
        <v/>
      </c>
      <c r="H2709" t="str">
        <f>IF(ROW(H2709)&lt;=Raw_hydro_bm!$J$2,Raw_hydro_bm!I2709,"")</f>
        <v/>
      </c>
      <c r="I2709" s="16" t="str">
        <f t="shared" si="42"/>
        <v/>
      </c>
    </row>
    <row r="2710" spans="1:9" x14ac:dyDescent="0.2">
      <c r="A2710" t="str">
        <f>IF(ROW(A2710)&lt;=Raw_hydro_bm!$J$2,Raw_hydro_bm!B2710,"")</f>
        <v/>
      </c>
      <c r="B2710" t="str">
        <f>IF(ROW(B2710)&lt;=Raw_hydro_bm!$J$2,Raw_hydro_bm!C2710,"")</f>
        <v/>
      </c>
      <c r="C2710" t="str">
        <f>IF(ROW(C2710)&lt;=Raw_hydro_bm!$J$2,Raw_hydro_bm!D2710,"")</f>
        <v/>
      </c>
      <c r="D2710" t="str">
        <f>IF(ROW(D2710)&lt;=Raw_hydro_bm!$J$2,Raw_hydro_bm!E2710,"")</f>
        <v/>
      </c>
      <c r="E2710" t="str">
        <f>IF(ROW(E2710)&lt;=Raw_hydro_bm!$J$2,Raw_hydro_bm!F2710,"")</f>
        <v/>
      </c>
      <c r="F2710" t="str">
        <f>IF(ROW(F2710)&lt;=Raw_hydro_bm!$J$2,Raw_hydro_bm!G2710,"")</f>
        <v/>
      </c>
      <c r="G2710" t="str">
        <f>IF(ROW(G2710)&lt;=Raw_hydro_bm!$J$2,Raw_hydro_bm!H2710,"")</f>
        <v/>
      </c>
      <c r="H2710" t="str">
        <f>IF(ROW(H2710)&lt;=Raw_hydro_bm!$J$2,Raw_hydro_bm!I2710,"")</f>
        <v/>
      </c>
      <c r="I2710" s="16" t="str">
        <f t="shared" si="42"/>
        <v/>
      </c>
    </row>
    <row r="2711" spans="1:9" x14ac:dyDescent="0.2">
      <c r="A2711" t="str">
        <f>IF(ROW(A2711)&lt;=Raw_hydro_bm!$J$2,Raw_hydro_bm!B2711,"")</f>
        <v/>
      </c>
      <c r="B2711" t="str">
        <f>IF(ROW(B2711)&lt;=Raw_hydro_bm!$J$2,Raw_hydro_bm!C2711,"")</f>
        <v/>
      </c>
      <c r="C2711" t="str">
        <f>IF(ROW(C2711)&lt;=Raw_hydro_bm!$J$2,Raw_hydro_bm!D2711,"")</f>
        <v/>
      </c>
      <c r="D2711" t="str">
        <f>IF(ROW(D2711)&lt;=Raw_hydro_bm!$J$2,Raw_hydro_bm!E2711,"")</f>
        <v/>
      </c>
      <c r="E2711" t="str">
        <f>IF(ROW(E2711)&lt;=Raw_hydro_bm!$J$2,Raw_hydro_bm!F2711,"")</f>
        <v/>
      </c>
      <c r="F2711" t="str">
        <f>IF(ROW(F2711)&lt;=Raw_hydro_bm!$J$2,Raw_hydro_bm!G2711,"")</f>
        <v/>
      </c>
      <c r="G2711" t="str">
        <f>IF(ROW(G2711)&lt;=Raw_hydro_bm!$J$2,Raw_hydro_bm!H2711,"")</f>
        <v/>
      </c>
      <c r="H2711" t="str">
        <f>IF(ROW(H2711)&lt;=Raw_hydro_bm!$J$2,Raw_hydro_bm!I2711,"")</f>
        <v/>
      </c>
      <c r="I2711" s="16" t="str">
        <f t="shared" si="42"/>
        <v/>
      </c>
    </row>
    <row r="2712" spans="1:9" x14ac:dyDescent="0.2">
      <c r="A2712" t="str">
        <f>IF(ROW(A2712)&lt;=Raw_hydro_bm!$J$2,Raw_hydro_bm!B2712,"")</f>
        <v/>
      </c>
      <c r="B2712" t="str">
        <f>IF(ROW(B2712)&lt;=Raw_hydro_bm!$J$2,Raw_hydro_bm!C2712,"")</f>
        <v/>
      </c>
      <c r="C2712" t="str">
        <f>IF(ROW(C2712)&lt;=Raw_hydro_bm!$J$2,Raw_hydro_bm!D2712,"")</f>
        <v/>
      </c>
      <c r="D2712" t="str">
        <f>IF(ROW(D2712)&lt;=Raw_hydro_bm!$J$2,Raw_hydro_bm!E2712,"")</f>
        <v/>
      </c>
      <c r="E2712" t="str">
        <f>IF(ROW(E2712)&lt;=Raw_hydro_bm!$J$2,Raw_hydro_bm!F2712,"")</f>
        <v/>
      </c>
      <c r="F2712" t="str">
        <f>IF(ROW(F2712)&lt;=Raw_hydro_bm!$J$2,Raw_hydro_bm!G2712,"")</f>
        <v/>
      </c>
      <c r="G2712" t="str">
        <f>IF(ROW(G2712)&lt;=Raw_hydro_bm!$J$2,Raw_hydro_bm!H2712,"")</f>
        <v/>
      </c>
      <c r="H2712" t="str">
        <f>IF(ROW(H2712)&lt;=Raw_hydro_bm!$J$2,Raw_hydro_bm!I2712,"")</f>
        <v/>
      </c>
      <c r="I2712" s="16" t="str">
        <f t="shared" si="42"/>
        <v/>
      </c>
    </row>
    <row r="2713" spans="1:9" x14ac:dyDescent="0.2">
      <c r="A2713" t="str">
        <f>IF(ROW(A2713)&lt;=Raw_hydro_bm!$J$2,Raw_hydro_bm!B2713,"")</f>
        <v/>
      </c>
      <c r="B2713" t="str">
        <f>IF(ROW(B2713)&lt;=Raw_hydro_bm!$J$2,Raw_hydro_bm!C2713,"")</f>
        <v/>
      </c>
      <c r="C2713" t="str">
        <f>IF(ROW(C2713)&lt;=Raw_hydro_bm!$J$2,Raw_hydro_bm!D2713,"")</f>
        <v/>
      </c>
      <c r="D2713" t="str">
        <f>IF(ROW(D2713)&lt;=Raw_hydro_bm!$J$2,Raw_hydro_bm!E2713,"")</f>
        <v/>
      </c>
      <c r="E2713" t="str">
        <f>IF(ROW(E2713)&lt;=Raw_hydro_bm!$J$2,Raw_hydro_bm!F2713,"")</f>
        <v/>
      </c>
      <c r="F2713" t="str">
        <f>IF(ROW(F2713)&lt;=Raw_hydro_bm!$J$2,Raw_hydro_bm!G2713,"")</f>
        <v/>
      </c>
      <c r="G2713" t="str">
        <f>IF(ROW(G2713)&lt;=Raw_hydro_bm!$J$2,Raw_hydro_bm!H2713,"")</f>
        <v/>
      </c>
      <c r="H2713" t="str">
        <f>IF(ROW(H2713)&lt;=Raw_hydro_bm!$J$2,Raw_hydro_bm!I2713,"")</f>
        <v/>
      </c>
      <c r="I2713" s="16" t="str">
        <f t="shared" si="42"/>
        <v/>
      </c>
    </row>
    <row r="2714" spans="1:9" x14ac:dyDescent="0.2">
      <c r="A2714" t="str">
        <f>IF(ROW(A2714)&lt;=Raw_hydro_bm!$J$2,Raw_hydro_bm!B2714,"")</f>
        <v/>
      </c>
      <c r="B2714" t="str">
        <f>IF(ROW(B2714)&lt;=Raw_hydro_bm!$J$2,Raw_hydro_bm!C2714,"")</f>
        <v/>
      </c>
      <c r="C2714" t="str">
        <f>IF(ROW(C2714)&lt;=Raw_hydro_bm!$J$2,Raw_hydro_bm!D2714,"")</f>
        <v/>
      </c>
      <c r="D2714" t="str">
        <f>IF(ROW(D2714)&lt;=Raw_hydro_bm!$J$2,Raw_hydro_bm!E2714,"")</f>
        <v/>
      </c>
      <c r="E2714" t="str">
        <f>IF(ROW(E2714)&lt;=Raw_hydro_bm!$J$2,Raw_hydro_bm!F2714,"")</f>
        <v/>
      </c>
      <c r="F2714" t="str">
        <f>IF(ROW(F2714)&lt;=Raw_hydro_bm!$J$2,Raw_hydro_bm!G2714,"")</f>
        <v/>
      </c>
      <c r="G2714" t="str">
        <f>IF(ROW(G2714)&lt;=Raw_hydro_bm!$J$2,Raw_hydro_bm!H2714,"")</f>
        <v/>
      </c>
      <c r="H2714" t="str">
        <f>IF(ROW(H2714)&lt;=Raw_hydro_bm!$J$2,Raw_hydro_bm!I2714,"")</f>
        <v/>
      </c>
      <c r="I2714" s="16" t="str">
        <f t="shared" si="42"/>
        <v/>
      </c>
    </row>
    <row r="2715" spans="1:9" x14ac:dyDescent="0.2">
      <c r="A2715" t="str">
        <f>IF(ROW(A2715)&lt;=Raw_hydro_bm!$J$2,Raw_hydro_bm!B2715,"")</f>
        <v/>
      </c>
      <c r="B2715" t="str">
        <f>IF(ROW(B2715)&lt;=Raw_hydro_bm!$J$2,Raw_hydro_bm!C2715,"")</f>
        <v/>
      </c>
      <c r="C2715" t="str">
        <f>IF(ROW(C2715)&lt;=Raw_hydro_bm!$J$2,Raw_hydro_bm!D2715,"")</f>
        <v/>
      </c>
      <c r="D2715" t="str">
        <f>IF(ROW(D2715)&lt;=Raw_hydro_bm!$J$2,Raw_hydro_bm!E2715,"")</f>
        <v/>
      </c>
      <c r="E2715" t="str">
        <f>IF(ROW(E2715)&lt;=Raw_hydro_bm!$J$2,Raw_hydro_bm!F2715,"")</f>
        <v/>
      </c>
      <c r="F2715" t="str">
        <f>IF(ROW(F2715)&lt;=Raw_hydro_bm!$J$2,Raw_hydro_bm!G2715,"")</f>
        <v/>
      </c>
      <c r="G2715" t="str">
        <f>IF(ROW(G2715)&lt;=Raw_hydro_bm!$J$2,Raw_hydro_bm!H2715,"")</f>
        <v/>
      </c>
      <c r="H2715" t="str">
        <f>IF(ROW(H2715)&lt;=Raw_hydro_bm!$J$2,Raw_hydro_bm!I2715,"")</f>
        <v/>
      </c>
      <c r="I2715" s="16" t="str">
        <f t="shared" si="42"/>
        <v/>
      </c>
    </row>
    <row r="2716" spans="1:9" x14ac:dyDescent="0.2">
      <c r="A2716" t="str">
        <f>IF(ROW(A2716)&lt;=Raw_hydro_bm!$J$2,Raw_hydro_bm!B2716,"")</f>
        <v/>
      </c>
      <c r="B2716" t="str">
        <f>IF(ROW(B2716)&lt;=Raw_hydro_bm!$J$2,Raw_hydro_bm!C2716,"")</f>
        <v/>
      </c>
      <c r="C2716" t="str">
        <f>IF(ROW(C2716)&lt;=Raw_hydro_bm!$J$2,Raw_hydro_bm!D2716,"")</f>
        <v/>
      </c>
      <c r="D2716" t="str">
        <f>IF(ROW(D2716)&lt;=Raw_hydro_bm!$J$2,Raw_hydro_bm!E2716,"")</f>
        <v/>
      </c>
      <c r="E2716" t="str">
        <f>IF(ROW(E2716)&lt;=Raw_hydro_bm!$J$2,Raw_hydro_bm!F2716,"")</f>
        <v/>
      </c>
      <c r="F2716" t="str">
        <f>IF(ROW(F2716)&lt;=Raw_hydro_bm!$J$2,Raw_hydro_bm!G2716,"")</f>
        <v/>
      </c>
      <c r="G2716" t="str">
        <f>IF(ROW(G2716)&lt;=Raw_hydro_bm!$J$2,Raw_hydro_bm!H2716,"")</f>
        <v/>
      </c>
      <c r="H2716" t="str">
        <f>IF(ROW(H2716)&lt;=Raw_hydro_bm!$J$2,Raw_hydro_bm!I2716,"")</f>
        <v/>
      </c>
      <c r="I2716" s="16" t="str">
        <f t="shared" si="42"/>
        <v/>
      </c>
    </row>
    <row r="2717" spans="1:9" x14ac:dyDescent="0.2">
      <c r="A2717" t="str">
        <f>IF(ROW(A2717)&lt;=Raw_hydro_bm!$J$2,Raw_hydro_bm!B2717,"")</f>
        <v/>
      </c>
      <c r="B2717" t="str">
        <f>IF(ROW(B2717)&lt;=Raw_hydro_bm!$J$2,Raw_hydro_bm!C2717,"")</f>
        <v/>
      </c>
      <c r="C2717" t="str">
        <f>IF(ROW(C2717)&lt;=Raw_hydro_bm!$J$2,Raw_hydro_bm!D2717,"")</f>
        <v/>
      </c>
      <c r="D2717" t="str">
        <f>IF(ROW(D2717)&lt;=Raw_hydro_bm!$J$2,Raw_hydro_bm!E2717,"")</f>
        <v/>
      </c>
      <c r="E2717" t="str">
        <f>IF(ROW(E2717)&lt;=Raw_hydro_bm!$J$2,Raw_hydro_bm!F2717,"")</f>
        <v/>
      </c>
      <c r="F2717" t="str">
        <f>IF(ROW(F2717)&lt;=Raw_hydro_bm!$J$2,Raw_hydro_bm!G2717,"")</f>
        <v/>
      </c>
      <c r="G2717" t="str">
        <f>IF(ROW(G2717)&lt;=Raw_hydro_bm!$J$2,Raw_hydro_bm!H2717,"")</f>
        <v/>
      </c>
      <c r="H2717" t="str">
        <f>IF(ROW(H2717)&lt;=Raw_hydro_bm!$J$2,Raw_hydro_bm!I2717,"")</f>
        <v/>
      </c>
      <c r="I2717" s="16" t="str">
        <f t="shared" si="42"/>
        <v/>
      </c>
    </row>
    <row r="2718" spans="1:9" x14ac:dyDescent="0.2">
      <c r="A2718" t="str">
        <f>IF(ROW(A2718)&lt;=Raw_hydro_bm!$J$2,Raw_hydro_bm!B2718,"")</f>
        <v/>
      </c>
      <c r="B2718" t="str">
        <f>IF(ROW(B2718)&lt;=Raw_hydro_bm!$J$2,Raw_hydro_bm!C2718,"")</f>
        <v/>
      </c>
      <c r="C2718" t="str">
        <f>IF(ROW(C2718)&lt;=Raw_hydro_bm!$J$2,Raw_hydro_bm!D2718,"")</f>
        <v/>
      </c>
      <c r="D2718" t="str">
        <f>IF(ROW(D2718)&lt;=Raw_hydro_bm!$J$2,Raw_hydro_bm!E2718,"")</f>
        <v/>
      </c>
      <c r="E2718" t="str">
        <f>IF(ROW(E2718)&lt;=Raw_hydro_bm!$J$2,Raw_hydro_bm!F2718,"")</f>
        <v/>
      </c>
      <c r="F2718" t="str">
        <f>IF(ROW(F2718)&lt;=Raw_hydro_bm!$J$2,Raw_hydro_bm!G2718,"")</f>
        <v/>
      </c>
      <c r="G2718" t="str">
        <f>IF(ROW(G2718)&lt;=Raw_hydro_bm!$J$2,Raw_hydro_bm!H2718,"")</f>
        <v/>
      </c>
      <c r="H2718" t="str">
        <f>IF(ROW(H2718)&lt;=Raw_hydro_bm!$J$2,Raw_hydro_bm!I2718,"")</f>
        <v/>
      </c>
      <c r="I2718" s="16" t="str">
        <f t="shared" si="42"/>
        <v/>
      </c>
    </row>
    <row r="2719" spans="1:9" x14ac:dyDescent="0.2">
      <c r="A2719" t="str">
        <f>IF(ROW(A2719)&lt;=Raw_hydro_bm!$J$2,Raw_hydro_bm!B2719,"")</f>
        <v/>
      </c>
      <c r="B2719" t="str">
        <f>IF(ROW(B2719)&lt;=Raw_hydro_bm!$J$2,Raw_hydro_bm!C2719,"")</f>
        <v/>
      </c>
      <c r="C2719" t="str">
        <f>IF(ROW(C2719)&lt;=Raw_hydro_bm!$J$2,Raw_hydro_bm!D2719,"")</f>
        <v/>
      </c>
      <c r="D2719" t="str">
        <f>IF(ROW(D2719)&lt;=Raw_hydro_bm!$J$2,Raw_hydro_bm!E2719,"")</f>
        <v/>
      </c>
      <c r="E2719" t="str">
        <f>IF(ROW(E2719)&lt;=Raw_hydro_bm!$J$2,Raw_hydro_bm!F2719,"")</f>
        <v/>
      </c>
      <c r="F2719" t="str">
        <f>IF(ROW(F2719)&lt;=Raw_hydro_bm!$J$2,Raw_hydro_bm!G2719,"")</f>
        <v/>
      </c>
      <c r="G2719" t="str">
        <f>IF(ROW(G2719)&lt;=Raw_hydro_bm!$J$2,Raw_hydro_bm!H2719,"")</f>
        <v/>
      </c>
      <c r="H2719" t="str">
        <f>IF(ROW(H2719)&lt;=Raw_hydro_bm!$J$2,Raw_hydro_bm!I2719,"")</f>
        <v/>
      </c>
      <c r="I2719" s="16" t="str">
        <f t="shared" si="42"/>
        <v/>
      </c>
    </row>
    <row r="2720" spans="1:9" x14ac:dyDescent="0.2">
      <c r="A2720" t="str">
        <f>IF(ROW(A2720)&lt;=Raw_hydro_bm!$J$2,Raw_hydro_bm!B2720,"")</f>
        <v/>
      </c>
      <c r="B2720" t="str">
        <f>IF(ROW(B2720)&lt;=Raw_hydro_bm!$J$2,Raw_hydro_bm!C2720,"")</f>
        <v/>
      </c>
      <c r="C2720" t="str">
        <f>IF(ROW(C2720)&lt;=Raw_hydro_bm!$J$2,Raw_hydro_bm!D2720,"")</f>
        <v/>
      </c>
      <c r="D2720" t="str">
        <f>IF(ROW(D2720)&lt;=Raw_hydro_bm!$J$2,Raw_hydro_bm!E2720,"")</f>
        <v/>
      </c>
      <c r="E2720" t="str">
        <f>IF(ROW(E2720)&lt;=Raw_hydro_bm!$J$2,Raw_hydro_bm!F2720,"")</f>
        <v/>
      </c>
      <c r="F2720" t="str">
        <f>IF(ROW(F2720)&lt;=Raw_hydro_bm!$J$2,Raw_hydro_bm!G2720,"")</f>
        <v/>
      </c>
      <c r="G2720" t="str">
        <f>IF(ROW(G2720)&lt;=Raw_hydro_bm!$J$2,Raw_hydro_bm!H2720,"")</f>
        <v/>
      </c>
      <c r="H2720" t="str">
        <f>IF(ROW(H2720)&lt;=Raw_hydro_bm!$J$2,Raw_hydro_bm!I2720,"")</f>
        <v/>
      </c>
      <c r="I2720" s="16" t="str">
        <f t="shared" si="42"/>
        <v/>
      </c>
    </row>
    <row r="2721" spans="1:9" x14ac:dyDescent="0.2">
      <c r="A2721" t="str">
        <f>IF(ROW(A2721)&lt;=Raw_hydro_bm!$J$2,Raw_hydro_bm!B2721,"")</f>
        <v/>
      </c>
      <c r="B2721" t="str">
        <f>IF(ROW(B2721)&lt;=Raw_hydro_bm!$J$2,Raw_hydro_bm!C2721,"")</f>
        <v/>
      </c>
      <c r="C2721" t="str">
        <f>IF(ROW(C2721)&lt;=Raw_hydro_bm!$J$2,Raw_hydro_bm!D2721,"")</f>
        <v/>
      </c>
      <c r="D2721" t="str">
        <f>IF(ROW(D2721)&lt;=Raw_hydro_bm!$J$2,Raw_hydro_bm!E2721,"")</f>
        <v/>
      </c>
      <c r="E2721" t="str">
        <f>IF(ROW(E2721)&lt;=Raw_hydro_bm!$J$2,Raw_hydro_bm!F2721,"")</f>
        <v/>
      </c>
      <c r="F2721" t="str">
        <f>IF(ROW(F2721)&lt;=Raw_hydro_bm!$J$2,Raw_hydro_bm!G2721,"")</f>
        <v/>
      </c>
      <c r="G2721" t="str">
        <f>IF(ROW(G2721)&lt;=Raw_hydro_bm!$J$2,Raw_hydro_bm!H2721,"")</f>
        <v/>
      </c>
      <c r="H2721" t="str">
        <f>IF(ROW(H2721)&lt;=Raw_hydro_bm!$J$2,Raw_hydro_bm!I2721,"")</f>
        <v/>
      </c>
      <c r="I2721" s="16" t="str">
        <f t="shared" si="42"/>
        <v/>
      </c>
    </row>
    <row r="2722" spans="1:9" x14ac:dyDescent="0.2">
      <c r="A2722" t="str">
        <f>IF(ROW(A2722)&lt;=Raw_hydro_bm!$J$2,Raw_hydro_bm!B2722,"")</f>
        <v/>
      </c>
      <c r="B2722" t="str">
        <f>IF(ROW(B2722)&lt;=Raw_hydro_bm!$J$2,Raw_hydro_bm!C2722,"")</f>
        <v/>
      </c>
      <c r="C2722" t="str">
        <f>IF(ROW(C2722)&lt;=Raw_hydro_bm!$J$2,Raw_hydro_bm!D2722,"")</f>
        <v/>
      </c>
      <c r="D2722" t="str">
        <f>IF(ROW(D2722)&lt;=Raw_hydro_bm!$J$2,Raw_hydro_bm!E2722,"")</f>
        <v/>
      </c>
      <c r="E2722" t="str">
        <f>IF(ROW(E2722)&lt;=Raw_hydro_bm!$J$2,Raw_hydro_bm!F2722,"")</f>
        <v/>
      </c>
      <c r="F2722" t="str">
        <f>IF(ROW(F2722)&lt;=Raw_hydro_bm!$J$2,Raw_hydro_bm!G2722,"")</f>
        <v/>
      </c>
      <c r="G2722" t="str">
        <f>IF(ROW(G2722)&lt;=Raw_hydro_bm!$J$2,Raw_hydro_bm!H2722,"")</f>
        <v/>
      </c>
      <c r="H2722" t="str">
        <f>IF(ROW(H2722)&lt;=Raw_hydro_bm!$J$2,Raw_hydro_bm!I2722,"")</f>
        <v/>
      </c>
      <c r="I2722" s="16" t="str">
        <f t="shared" si="42"/>
        <v/>
      </c>
    </row>
    <row r="2723" spans="1:9" x14ac:dyDescent="0.2">
      <c r="A2723" t="str">
        <f>IF(ROW(A2723)&lt;=Raw_hydro_bm!$J$2,Raw_hydro_bm!B2723,"")</f>
        <v/>
      </c>
      <c r="B2723" t="str">
        <f>IF(ROW(B2723)&lt;=Raw_hydro_bm!$J$2,Raw_hydro_bm!C2723,"")</f>
        <v/>
      </c>
      <c r="C2723" t="str">
        <f>IF(ROW(C2723)&lt;=Raw_hydro_bm!$J$2,Raw_hydro_bm!D2723,"")</f>
        <v/>
      </c>
      <c r="D2723" t="str">
        <f>IF(ROW(D2723)&lt;=Raw_hydro_bm!$J$2,Raw_hydro_bm!E2723,"")</f>
        <v/>
      </c>
      <c r="E2723" t="str">
        <f>IF(ROW(E2723)&lt;=Raw_hydro_bm!$J$2,Raw_hydro_bm!F2723,"")</f>
        <v/>
      </c>
      <c r="F2723" t="str">
        <f>IF(ROW(F2723)&lt;=Raw_hydro_bm!$J$2,Raw_hydro_bm!G2723,"")</f>
        <v/>
      </c>
      <c r="G2723" t="str">
        <f>IF(ROW(G2723)&lt;=Raw_hydro_bm!$J$2,Raw_hydro_bm!H2723,"")</f>
        <v/>
      </c>
      <c r="H2723" t="str">
        <f>IF(ROW(H2723)&lt;=Raw_hydro_bm!$J$2,Raw_hydro_bm!I2723,"")</f>
        <v/>
      </c>
      <c r="I2723" s="16" t="str">
        <f t="shared" si="42"/>
        <v/>
      </c>
    </row>
    <row r="2724" spans="1:9" x14ac:dyDescent="0.2">
      <c r="A2724" t="str">
        <f>IF(ROW(A2724)&lt;=Raw_hydro_bm!$J$2,Raw_hydro_bm!B2724,"")</f>
        <v/>
      </c>
      <c r="B2724" t="str">
        <f>IF(ROW(B2724)&lt;=Raw_hydro_bm!$J$2,Raw_hydro_bm!C2724,"")</f>
        <v/>
      </c>
      <c r="C2724" t="str">
        <f>IF(ROW(C2724)&lt;=Raw_hydro_bm!$J$2,Raw_hydro_bm!D2724,"")</f>
        <v/>
      </c>
      <c r="D2724" t="str">
        <f>IF(ROW(D2724)&lt;=Raw_hydro_bm!$J$2,Raw_hydro_bm!E2724,"")</f>
        <v/>
      </c>
      <c r="E2724" t="str">
        <f>IF(ROW(E2724)&lt;=Raw_hydro_bm!$J$2,Raw_hydro_bm!F2724,"")</f>
        <v/>
      </c>
      <c r="F2724" t="str">
        <f>IF(ROW(F2724)&lt;=Raw_hydro_bm!$J$2,Raw_hydro_bm!G2724,"")</f>
        <v/>
      </c>
      <c r="G2724" t="str">
        <f>IF(ROW(G2724)&lt;=Raw_hydro_bm!$J$2,Raw_hydro_bm!H2724,"")</f>
        <v/>
      </c>
      <c r="H2724" t="str">
        <f>IF(ROW(H2724)&lt;=Raw_hydro_bm!$J$2,Raw_hydro_bm!I2724,"")</f>
        <v/>
      </c>
      <c r="I2724" s="16" t="str">
        <f t="shared" si="42"/>
        <v/>
      </c>
    </row>
    <row r="2725" spans="1:9" x14ac:dyDescent="0.2">
      <c r="A2725" t="str">
        <f>IF(ROW(A2725)&lt;=Raw_hydro_bm!$J$2,Raw_hydro_bm!B2725,"")</f>
        <v/>
      </c>
      <c r="B2725" t="str">
        <f>IF(ROW(B2725)&lt;=Raw_hydro_bm!$J$2,Raw_hydro_bm!C2725,"")</f>
        <v/>
      </c>
      <c r="C2725" t="str">
        <f>IF(ROW(C2725)&lt;=Raw_hydro_bm!$J$2,Raw_hydro_bm!D2725,"")</f>
        <v/>
      </c>
      <c r="D2725" t="str">
        <f>IF(ROW(D2725)&lt;=Raw_hydro_bm!$J$2,Raw_hydro_bm!E2725,"")</f>
        <v/>
      </c>
      <c r="E2725" t="str">
        <f>IF(ROW(E2725)&lt;=Raw_hydro_bm!$J$2,Raw_hydro_bm!F2725,"")</f>
        <v/>
      </c>
      <c r="F2725" t="str">
        <f>IF(ROW(F2725)&lt;=Raw_hydro_bm!$J$2,Raw_hydro_bm!G2725,"")</f>
        <v/>
      </c>
      <c r="G2725" t="str">
        <f>IF(ROW(G2725)&lt;=Raw_hydro_bm!$J$2,Raw_hydro_bm!H2725,"")</f>
        <v/>
      </c>
      <c r="H2725" t="str">
        <f>IF(ROW(H2725)&lt;=Raw_hydro_bm!$J$2,Raw_hydro_bm!I2725,"")</f>
        <v/>
      </c>
      <c r="I2725" s="16" t="str">
        <f t="shared" si="42"/>
        <v/>
      </c>
    </row>
    <row r="2726" spans="1:9" x14ac:dyDescent="0.2">
      <c r="A2726" t="str">
        <f>IF(ROW(A2726)&lt;=Raw_hydro_bm!$J$2,Raw_hydro_bm!B2726,"")</f>
        <v/>
      </c>
      <c r="B2726" t="str">
        <f>IF(ROW(B2726)&lt;=Raw_hydro_bm!$J$2,Raw_hydro_bm!C2726,"")</f>
        <v/>
      </c>
      <c r="C2726" t="str">
        <f>IF(ROW(C2726)&lt;=Raw_hydro_bm!$J$2,Raw_hydro_bm!D2726,"")</f>
        <v/>
      </c>
      <c r="D2726" t="str">
        <f>IF(ROW(D2726)&lt;=Raw_hydro_bm!$J$2,Raw_hydro_bm!E2726,"")</f>
        <v/>
      </c>
      <c r="E2726" t="str">
        <f>IF(ROW(E2726)&lt;=Raw_hydro_bm!$J$2,Raw_hydro_bm!F2726,"")</f>
        <v/>
      </c>
      <c r="F2726" t="str">
        <f>IF(ROW(F2726)&lt;=Raw_hydro_bm!$J$2,Raw_hydro_bm!G2726,"")</f>
        <v/>
      </c>
      <c r="G2726" t="str">
        <f>IF(ROW(G2726)&lt;=Raw_hydro_bm!$J$2,Raw_hydro_bm!H2726,"")</f>
        <v/>
      </c>
      <c r="H2726" t="str">
        <f>IF(ROW(H2726)&lt;=Raw_hydro_bm!$J$2,Raw_hydro_bm!I2726,"")</f>
        <v/>
      </c>
      <c r="I2726" s="16" t="str">
        <f t="shared" si="42"/>
        <v/>
      </c>
    </row>
    <row r="2727" spans="1:9" x14ac:dyDescent="0.2">
      <c r="A2727" t="str">
        <f>IF(ROW(A2727)&lt;=Raw_hydro_bm!$J$2,Raw_hydro_bm!B2727,"")</f>
        <v/>
      </c>
      <c r="B2727" t="str">
        <f>IF(ROW(B2727)&lt;=Raw_hydro_bm!$J$2,Raw_hydro_bm!C2727,"")</f>
        <v/>
      </c>
      <c r="C2727" t="str">
        <f>IF(ROW(C2727)&lt;=Raw_hydro_bm!$J$2,Raw_hydro_bm!D2727,"")</f>
        <v/>
      </c>
      <c r="D2727" t="str">
        <f>IF(ROW(D2727)&lt;=Raw_hydro_bm!$J$2,Raw_hydro_bm!E2727,"")</f>
        <v/>
      </c>
      <c r="E2727" t="str">
        <f>IF(ROW(E2727)&lt;=Raw_hydro_bm!$J$2,Raw_hydro_bm!F2727,"")</f>
        <v/>
      </c>
      <c r="F2727" t="str">
        <f>IF(ROW(F2727)&lt;=Raw_hydro_bm!$J$2,Raw_hydro_bm!G2727,"")</f>
        <v/>
      </c>
      <c r="G2727" t="str">
        <f>IF(ROW(G2727)&lt;=Raw_hydro_bm!$J$2,Raw_hydro_bm!H2727,"")</f>
        <v/>
      </c>
      <c r="H2727" t="str">
        <f>IF(ROW(H2727)&lt;=Raw_hydro_bm!$J$2,Raw_hydro_bm!I2727,"")</f>
        <v/>
      </c>
      <c r="I2727" s="16" t="str">
        <f t="shared" si="42"/>
        <v/>
      </c>
    </row>
    <row r="2728" spans="1:9" x14ac:dyDescent="0.2">
      <c r="A2728" t="str">
        <f>IF(ROW(A2728)&lt;=Raw_hydro_bm!$J$2,Raw_hydro_bm!B2728,"")</f>
        <v/>
      </c>
      <c r="B2728" t="str">
        <f>IF(ROW(B2728)&lt;=Raw_hydro_bm!$J$2,Raw_hydro_bm!C2728,"")</f>
        <v/>
      </c>
      <c r="C2728" t="str">
        <f>IF(ROW(C2728)&lt;=Raw_hydro_bm!$J$2,Raw_hydro_bm!D2728,"")</f>
        <v/>
      </c>
      <c r="D2728" t="str">
        <f>IF(ROW(D2728)&lt;=Raw_hydro_bm!$J$2,Raw_hydro_bm!E2728,"")</f>
        <v/>
      </c>
      <c r="E2728" t="str">
        <f>IF(ROW(E2728)&lt;=Raw_hydro_bm!$J$2,Raw_hydro_bm!F2728,"")</f>
        <v/>
      </c>
      <c r="F2728" t="str">
        <f>IF(ROW(F2728)&lt;=Raw_hydro_bm!$J$2,Raw_hydro_bm!G2728,"")</f>
        <v/>
      </c>
      <c r="G2728" t="str">
        <f>IF(ROW(G2728)&lt;=Raw_hydro_bm!$J$2,Raw_hydro_bm!H2728,"")</f>
        <v/>
      </c>
      <c r="H2728" t="str">
        <f>IF(ROW(H2728)&lt;=Raw_hydro_bm!$J$2,Raw_hydro_bm!I2728,"")</f>
        <v/>
      </c>
      <c r="I2728" s="16" t="str">
        <f t="shared" si="42"/>
        <v/>
      </c>
    </row>
    <row r="2729" spans="1:9" x14ac:dyDescent="0.2">
      <c r="A2729" t="str">
        <f>IF(ROW(A2729)&lt;=Raw_hydro_bm!$J$2,Raw_hydro_bm!B2729,"")</f>
        <v/>
      </c>
      <c r="B2729" t="str">
        <f>IF(ROW(B2729)&lt;=Raw_hydro_bm!$J$2,Raw_hydro_bm!C2729,"")</f>
        <v/>
      </c>
      <c r="C2729" t="str">
        <f>IF(ROW(C2729)&lt;=Raw_hydro_bm!$J$2,Raw_hydro_bm!D2729,"")</f>
        <v/>
      </c>
      <c r="D2729" t="str">
        <f>IF(ROW(D2729)&lt;=Raw_hydro_bm!$J$2,Raw_hydro_bm!E2729,"")</f>
        <v/>
      </c>
      <c r="E2729" t="str">
        <f>IF(ROW(E2729)&lt;=Raw_hydro_bm!$J$2,Raw_hydro_bm!F2729,"")</f>
        <v/>
      </c>
      <c r="F2729" t="str">
        <f>IF(ROW(F2729)&lt;=Raw_hydro_bm!$J$2,Raw_hydro_bm!G2729,"")</f>
        <v/>
      </c>
      <c r="G2729" t="str">
        <f>IF(ROW(G2729)&lt;=Raw_hydro_bm!$J$2,Raw_hydro_bm!H2729,"")</f>
        <v/>
      </c>
      <c r="H2729" t="str">
        <f>IF(ROW(H2729)&lt;=Raw_hydro_bm!$J$2,Raw_hydro_bm!I2729,"")</f>
        <v/>
      </c>
      <c r="I2729" s="16" t="str">
        <f t="shared" si="42"/>
        <v/>
      </c>
    </row>
    <row r="2730" spans="1:9" x14ac:dyDescent="0.2">
      <c r="A2730" t="str">
        <f>IF(ROW(A2730)&lt;=Raw_hydro_bm!$J$2,Raw_hydro_bm!B2730,"")</f>
        <v/>
      </c>
      <c r="B2730" t="str">
        <f>IF(ROW(B2730)&lt;=Raw_hydro_bm!$J$2,Raw_hydro_bm!C2730,"")</f>
        <v/>
      </c>
      <c r="C2730" t="str">
        <f>IF(ROW(C2730)&lt;=Raw_hydro_bm!$J$2,Raw_hydro_bm!D2730,"")</f>
        <v/>
      </c>
      <c r="D2730" t="str">
        <f>IF(ROW(D2730)&lt;=Raw_hydro_bm!$J$2,Raw_hydro_bm!E2730,"")</f>
        <v/>
      </c>
      <c r="E2730" t="str">
        <f>IF(ROW(E2730)&lt;=Raw_hydro_bm!$J$2,Raw_hydro_bm!F2730,"")</f>
        <v/>
      </c>
      <c r="F2730" t="str">
        <f>IF(ROW(F2730)&lt;=Raw_hydro_bm!$J$2,Raw_hydro_bm!G2730,"")</f>
        <v/>
      </c>
      <c r="G2730" t="str">
        <f>IF(ROW(G2730)&lt;=Raw_hydro_bm!$J$2,Raw_hydro_bm!H2730,"")</f>
        <v/>
      </c>
      <c r="H2730" t="str">
        <f>IF(ROW(H2730)&lt;=Raw_hydro_bm!$J$2,Raw_hydro_bm!I2730,"")</f>
        <v/>
      </c>
      <c r="I2730" s="16" t="str">
        <f t="shared" si="42"/>
        <v/>
      </c>
    </row>
    <row r="2731" spans="1:9" x14ac:dyDescent="0.2">
      <c r="A2731" t="str">
        <f>IF(ROW(A2731)&lt;=Raw_hydro_bm!$J$2,Raw_hydro_bm!B2731,"")</f>
        <v/>
      </c>
      <c r="B2731" t="str">
        <f>IF(ROW(B2731)&lt;=Raw_hydro_bm!$J$2,Raw_hydro_bm!C2731,"")</f>
        <v/>
      </c>
      <c r="C2731" t="str">
        <f>IF(ROW(C2731)&lt;=Raw_hydro_bm!$J$2,Raw_hydro_bm!D2731,"")</f>
        <v/>
      </c>
      <c r="D2731" t="str">
        <f>IF(ROW(D2731)&lt;=Raw_hydro_bm!$J$2,Raw_hydro_bm!E2731,"")</f>
        <v/>
      </c>
      <c r="E2731" t="str">
        <f>IF(ROW(E2731)&lt;=Raw_hydro_bm!$J$2,Raw_hydro_bm!F2731,"")</f>
        <v/>
      </c>
      <c r="F2731" t="str">
        <f>IF(ROW(F2731)&lt;=Raw_hydro_bm!$J$2,Raw_hydro_bm!G2731,"")</f>
        <v/>
      </c>
      <c r="G2731" t="str">
        <f>IF(ROW(G2731)&lt;=Raw_hydro_bm!$J$2,Raw_hydro_bm!H2731,"")</f>
        <v/>
      </c>
      <c r="H2731" t="str">
        <f>IF(ROW(H2731)&lt;=Raw_hydro_bm!$J$2,Raw_hydro_bm!I2731,"")</f>
        <v/>
      </c>
      <c r="I2731" s="16" t="str">
        <f t="shared" si="42"/>
        <v/>
      </c>
    </row>
    <row r="2732" spans="1:9" x14ac:dyDescent="0.2">
      <c r="A2732" t="str">
        <f>IF(ROW(A2732)&lt;=Raw_hydro_bm!$J$2,Raw_hydro_bm!B2732,"")</f>
        <v/>
      </c>
      <c r="B2732" t="str">
        <f>IF(ROW(B2732)&lt;=Raw_hydro_bm!$J$2,Raw_hydro_bm!C2732,"")</f>
        <v/>
      </c>
      <c r="C2732" t="str">
        <f>IF(ROW(C2732)&lt;=Raw_hydro_bm!$J$2,Raw_hydro_bm!D2732,"")</f>
        <v/>
      </c>
      <c r="D2732" t="str">
        <f>IF(ROW(D2732)&lt;=Raw_hydro_bm!$J$2,Raw_hydro_bm!E2732,"")</f>
        <v/>
      </c>
      <c r="E2732" t="str">
        <f>IF(ROW(E2732)&lt;=Raw_hydro_bm!$J$2,Raw_hydro_bm!F2732,"")</f>
        <v/>
      </c>
      <c r="F2732" t="str">
        <f>IF(ROW(F2732)&lt;=Raw_hydro_bm!$J$2,Raw_hydro_bm!G2732,"")</f>
        <v/>
      </c>
      <c r="G2732" t="str">
        <f>IF(ROW(G2732)&lt;=Raw_hydro_bm!$J$2,Raw_hydro_bm!H2732,"")</f>
        <v/>
      </c>
      <c r="H2732" t="str">
        <f>IF(ROW(H2732)&lt;=Raw_hydro_bm!$J$2,Raw_hydro_bm!I2732,"")</f>
        <v/>
      </c>
      <c r="I2732" s="16" t="str">
        <f t="shared" si="42"/>
        <v/>
      </c>
    </row>
    <row r="2733" spans="1:9" x14ac:dyDescent="0.2">
      <c r="A2733" t="str">
        <f>IF(ROW(A2733)&lt;=Raw_hydro_bm!$J$2,Raw_hydro_bm!B2733,"")</f>
        <v/>
      </c>
      <c r="B2733" t="str">
        <f>IF(ROW(B2733)&lt;=Raw_hydro_bm!$J$2,Raw_hydro_bm!C2733,"")</f>
        <v/>
      </c>
      <c r="C2733" t="str">
        <f>IF(ROW(C2733)&lt;=Raw_hydro_bm!$J$2,Raw_hydro_bm!D2733,"")</f>
        <v/>
      </c>
      <c r="D2733" t="str">
        <f>IF(ROW(D2733)&lt;=Raw_hydro_bm!$J$2,Raw_hydro_bm!E2733,"")</f>
        <v/>
      </c>
      <c r="E2733" t="str">
        <f>IF(ROW(E2733)&lt;=Raw_hydro_bm!$J$2,Raw_hydro_bm!F2733,"")</f>
        <v/>
      </c>
      <c r="F2733" t="str">
        <f>IF(ROW(F2733)&lt;=Raw_hydro_bm!$J$2,Raw_hydro_bm!G2733,"")</f>
        <v/>
      </c>
      <c r="G2733" t="str">
        <f>IF(ROW(G2733)&lt;=Raw_hydro_bm!$J$2,Raw_hydro_bm!H2733,"")</f>
        <v/>
      </c>
      <c r="H2733" t="str">
        <f>IF(ROW(H2733)&lt;=Raw_hydro_bm!$J$2,Raw_hydro_bm!I2733,"")</f>
        <v/>
      </c>
      <c r="I2733" s="16" t="str">
        <f t="shared" si="42"/>
        <v/>
      </c>
    </row>
    <row r="2734" spans="1:9" x14ac:dyDescent="0.2">
      <c r="A2734" t="str">
        <f>IF(ROW(A2734)&lt;=Raw_hydro_bm!$J$2,Raw_hydro_bm!B2734,"")</f>
        <v/>
      </c>
      <c r="B2734" t="str">
        <f>IF(ROW(B2734)&lt;=Raw_hydro_bm!$J$2,Raw_hydro_bm!C2734,"")</f>
        <v/>
      </c>
      <c r="C2734" t="str">
        <f>IF(ROW(C2734)&lt;=Raw_hydro_bm!$J$2,Raw_hydro_bm!D2734,"")</f>
        <v/>
      </c>
      <c r="D2734" t="str">
        <f>IF(ROW(D2734)&lt;=Raw_hydro_bm!$J$2,Raw_hydro_bm!E2734,"")</f>
        <v/>
      </c>
      <c r="E2734" t="str">
        <f>IF(ROW(E2734)&lt;=Raw_hydro_bm!$J$2,Raw_hydro_bm!F2734,"")</f>
        <v/>
      </c>
      <c r="F2734" t="str">
        <f>IF(ROW(F2734)&lt;=Raw_hydro_bm!$J$2,Raw_hydro_bm!G2734,"")</f>
        <v/>
      </c>
      <c r="G2734" t="str">
        <f>IF(ROW(G2734)&lt;=Raw_hydro_bm!$J$2,Raw_hydro_bm!H2734,"")</f>
        <v/>
      </c>
      <c r="H2734" t="str">
        <f>IF(ROW(H2734)&lt;=Raw_hydro_bm!$J$2,Raw_hydro_bm!I2734,"")</f>
        <v/>
      </c>
      <c r="I2734" s="16" t="str">
        <f t="shared" si="42"/>
        <v/>
      </c>
    </row>
    <row r="2735" spans="1:9" x14ac:dyDescent="0.2">
      <c r="A2735" t="str">
        <f>IF(ROW(A2735)&lt;=Raw_hydro_bm!$J$2,Raw_hydro_bm!B2735,"")</f>
        <v/>
      </c>
      <c r="B2735" t="str">
        <f>IF(ROW(B2735)&lt;=Raw_hydro_bm!$J$2,Raw_hydro_bm!C2735,"")</f>
        <v/>
      </c>
      <c r="C2735" t="str">
        <f>IF(ROW(C2735)&lt;=Raw_hydro_bm!$J$2,Raw_hydro_bm!D2735,"")</f>
        <v/>
      </c>
      <c r="D2735" t="str">
        <f>IF(ROW(D2735)&lt;=Raw_hydro_bm!$J$2,Raw_hydro_bm!E2735,"")</f>
        <v/>
      </c>
      <c r="E2735" t="str">
        <f>IF(ROW(E2735)&lt;=Raw_hydro_bm!$J$2,Raw_hydro_bm!F2735,"")</f>
        <v/>
      </c>
      <c r="F2735" t="str">
        <f>IF(ROW(F2735)&lt;=Raw_hydro_bm!$J$2,Raw_hydro_bm!G2735,"")</f>
        <v/>
      </c>
      <c r="G2735" t="str">
        <f>IF(ROW(G2735)&lt;=Raw_hydro_bm!$J$2,Raw_hydro_bm!H2735,"")</f>
        <v/>
      </c>
      <c r="H2735" t="str">
        <f>IF(ROW(H2735)&lt;=Raw_hydro_bm!$J$2,Raw_hydro_bm!I2735,"")</f>
        <v/>
      </c>
      <c r="I2735" s="16" t="str">
        <f t="shared" si="42"/>
        <v/>
      </c>
    </row>
    <row r="2736" spans="1:9" x14ac:dyDescent="0.2">
      <c r="A2736" t="str">
        <f>IF(ROW(A2736)&lt;=Raw_hydro_bm!$J$2,Raw_hydro_bm!B2736,"")</f>
        <v/>
      </c>
      <c r="B2736" t="str">
        <f>IF(ROW(B2736)&lt;=Raw_hydro_bm!$J$2,Raw_hydro_bm!C2736,"")</f>
        <v/>
      </c>
      <c r="C2736" t="str">
        <f>IF(ROW(C2736)&lt;=Raw_hydro_bm!$J$2,Raw_hydro_bm!D2736,"")</f>
        <v/>
      </c>
      <c r="D2736" t="str">
        <f>IF(ROW(D2736)&lt;=Raw_hydro_bm!$J$2,Raw_hydro_bm!E2736,"")</f>
        <v/>
      </c>
      <c r="E2736" t="str">
        <f>IF(ROW(E2736)&lt;=Raw_hydro_bm!$J$2,Raw_hydro_bm!F2736,"")</f>
        <v/>
      </c>
      <c r="F2736" t="str">
        <f>IF(ROW(F2736)&lt;=Raw_hydro_bm!$J$2,Raw_hydro_bm!G2736,"")</f>
        <v/>
      </c>
      <c r="G2736" t="str">
        <f>IF(ROW(G2736)&lt;=Raw_hydro_bm!$J$2,Raw_hydro_bm!H2736,"")</f>
        <v/>
      </c>
      <c r="H2736" t="str">
        <f>IF(ROW(H2736)&lt;=Raw_hydro_bm!$J$2,Raw_hydro_bm!I2736,"")</f>
        <v/>
      </c>
      <c r="I2736" s="16" t="str">
        <f t="shared" si="42"/>
        <v/>
      </c>
    </row>
    <row r="2737" spans="1:9" x14ac:dyDescent="0.2">
      <c r="A2737" t="str">
        <f>IF(ROW(A2737)&lt;=Raw_hydro_bm!$J$2,Raw_hydro_bm!B2737,"")</f>
        <v/>
      </c>
      <c r="B2737" t="str">
        <f>IF(ROW(B2737)&lt;=Raw_hydro_bm!$J$2,Raw_hydro_bm!C2737,"")</f>
        <v/>
      </c>
      <c r="C2737" t="str">
        <f>IF(ROW(C2737)&lt;=Raw_hydro_bm!$J$2,Raw_hydro_bm!D2737,"")</f>
        <v/>
      </c>
      <c r="D2737" t="str">
        <f>IF(ROW(D2737)&lt;=Raw_hydro_bm!$J$2,Raw_hydro_bm!E2737,"")</f>
        <v/>
      </c>
      <c r="E2737" t="str">
        <f>IF(ROW(E2737)&lt;=Raw_hydro_bm!$J$2,Raw_hydro_bm!F2737,"")</f>
        <v/>
      </c>
      <c r="F2737" t="str">
        <f>IF(ROW(F2737)&lt;=Raw_hydro_bm!$J$2,Raw_hydro_bm!G2737,"")</f>
        <v/>
      </c>
      <c r="G2737" t="str">
        <f>IF(ROW(G2737)&lt;=Raw_hydro_bm!$J$2,Raw_hydro_bm!H2737,"")</f>
        <v/>
      </c>
      <c r="H2737" t="str">
        <f>IF(ROW(H2737)&lt;=Raw_hydro_bm!$J$2,Raw_hydro_bm!I2737,"")</f>
        <v/>
      </c>
      <c r="I2737" s="16" t="str">
        <f t="shared" si="42"/>
        <v/>
      </c>
    </row>
    <row r="2738" spans="1:9" x14ac:dyDescent="0.2">
      <c r="A2738" t="str">
        <f>IF(ROW(A2738)&lt;=Raw_hydro_bm!$J$2,Raw_hydro_bm!B2738,"")</f>
        <v/>
      </c>
      <c r="B2738" t="str">
        <f>IF(ROW(B2738)&lt;=Raw_hydro_bm!$J$2,Raw_hydro_bm!C2738,"")</f>
        <v/>
      </c>
      <c r="C2738" t="str">
        <f>IF(ROW(C2738)&lt;=Raw_hydro_bm!$J$2,Raw_hydro_bm!D2738,"")</f>
        <v/>
      </c>
      <c r="D2738" t="str">
        <f>IF(ROW(D2738)&lt;=Raw_hydro_bm!$J$2,Raw_hydro_bm!E2738,"")</f>
        <v/>
      </c>
      <c r="E2738" t="str">
        <f>IF(ROW(E2738)&lt;=Raw_hydro_bm!$J$2,Raw_hydro_bm!F2738,"")</f>
        <v/>
      </c>
      <c r="F2738" t="str">
        <f>IF(ROW(F2738)&lt;=Raw_hydro_bm!$J$2,Raw_hydro_bm!G2738,"")</f>
        <v/>
      </c>
      <c r="G2738" t="str">
        <f>IF(ROW(G2738)&lt;=Raw_hydro_bm!$J$2,Raw_hydro_bm!H2738,"")</f>
        <v/>
      </c>
      <c r="H2738" t="str">
        <f>IF(ROW(H2738)&lt;=Raw_hydro_bm!$J$2,Raw_hydro_bm!I2738,"")</f>
        <v/>
      </c>
      <c r="I2738" s="16" t="str">
        <f t="shared" si="42"/>
        <v/>
      </c>
    </row>
    <row r="2739" spans="1:9" x14ac:dyDescent="0.2">
      <c r="A2739" t="str">
        <f>IF(ROW(A2739)&lt;=Raw_hydro_bm!$J$2,Raw_hydro_bm!B2739,"")</f>
        <v/>
      </c>
      <c r="B2739" t="str">
        <f>IF(ROW(B2739)&lt;=Raw_hydro_bm!$J$2,Raw_hydro_bm!C2739,"")</f>
        <v/>
      </c>
      <c r="C2739" t="str">
        <f>IF(ROW(C2739)&lt;=Raw_hydro_bm!$J$2,Raw_hydro_bm!D2739,"")</f>
        <v/>
      </c>
      <c r="D2739" t="str">
        <f>IF(ROW(D2739)&lt;=Raw_hydro_bm!$J$2,Raw_hydro_bm!E2739,"")</f>
        <v/>
      </c>
      <c r="E2739" t="str">
        <f>IF(ROW(E2739)&lt;=Raw_hydro_bm!$J$2,Raw_hydro_bm!F2739,"")</f>
        <v/>
      </c>
      <c r="F2739" t="str">
        <f>IF(ROW(F2739)&lt;=Raw_hydro_bm!$J$2,Raw_hydro_bm!G2739,"")</f>
        <v/>
      </c>
      <c r="G2739" t="str">
        <f>IF(ROW(G2739)&lt;=Raw_hydro_bm!$J$2,Raw_hydro_bm!H2739,"")</f>
        <v/>
      </c>
      <c r="H2739" t="str">
        <f>IF(ROW(H2739)&lt;=Raw_hydro_bm!$J$2,Raw_hydro_bm!I2739,"")</f>
        <v/>
      </c>
      <c r="I2739" s="16" t="str">
        <f t="shared" si="42"/>
        <v/>
      </c>
    </row>
    <row r="2740" spans="1:9" x14ac:dyDescent="0.2">
      <c r="A2740" t="str">
        <f>IF(ROW(A2740)&lt;=Raw_hydro_bm!$J$2,Raw_hydro_bm!B2740,"")</f>
        <v/>
      </c>
      <c r="B2740" t="str">
        <f>IF(ROW(B2740)&lt;=Raw_hydro_bm!$J$2,Raw_hydro_bm!C2740,"")</f>
        <v/>
      </c>
      <c r="C2740" t="str">
        <f>IF(ROW(C2740)&lt;=Raw_hydro_bm!$J$2,Raw_hydro_bm!D2740,"")</f>
        <v/>
      </c>
      <c r="D2740" t="str">
        <f>IF(ROW(D2740)&lt;=Raw_hydro_bm!$J$2,Raw_hydro_bm!E2740,"")</f>
        <v/>
      </c>
      <c r="E2740" t="str">
        <f>IF(ROW(E2740)&lt;=Raw_hydro_bm!$J$2,Raw_hydro_bm!F2740,"")</f>
        <v/>
      </c>
      <c r="F2740" t="str">
        <f>IF(ROW(F2740)&lt;=Raw_hydro_bm!$J$2,Raw_hydro_bm!G2740,"")</f>
        <v/>
      </c>
      <c r="G2740" t="str">
        <f>IF(ROW(G2740)&lt;=Raw_hydro_bm!$J$2,Raw_hydro_bm!H2740,"")</f>
        <v/>
      </c>
      <c r="H2740" t="str">
        <f>IF(ROW(H2740)&lt;=Raw_hydro_bm!$J$2,Raw_hydro_bm!I2740,"")</f>
        <v/>
      </c>
      <c r="I2740" s="16" t="str">
        <f t="shared" si="42"/>
        <v/>
      </c>
    </row>
    <row r="2741" spans="1:9" x14ac:dyDescent="0.2">
      <c r="A2741" t="str">
        <f>IF(ROW(A2741)&lt;=Raw_hydro_bm!$J$2,Raw_hydro_bm!B2741,"")</f>
        <v/>
      </c>
      <c r="B2741" t="str">
        <f>IF(ROW(B2741)&lt;=Raw_hydro_bm!$J$2,Raw_hydro_bm!C2741,"")</f>
        <v/>
      </c>
      <c r="C2741" t="str">
        <f>IF(ROW(C2741)&lt;=Raw_hydro_bm!$J$2,Raw_hydro_bm!D2741,"")</f>
        <v/>
      </c>
      <c r="D2741" t="str">
        <f>IF(ROW(D2741)&lt;=Raw_hydro_bm!$J$2,Raw_hydro_bm!E2741,"")</f>
        <v/>
      </c>
      <c r="E2741" t="str">
        <f>IF(ROW(E2741)&lt;=Raw_hydro_bm!$J$2,Raw_hydro_bm!F2741,"")</f>
        <v/>
      </c>
      <c r="F2741" t="str">
        <f>IF(ROW(F2741)&lt;=Raw_hydro_bm!$J$2,Raw_hydro_bm!G2741,"")</f>
        <v/>
      </c>
      <c r="G2741" t="str">
        <f>IF(ROW(G2741)&lt;=Raw_hydro_bm!$J$2,Raw_hydro_bm!H2741,"")</f>
        <v/>
      </c>
      <c r="H2741" t="str">
        <f>IF(ROW(H2741)&lt;=Raw_hydro_bm!$J$2,Raw_hydro_bm!I2741,"")</f>
        <v/>
      </c>
      <c r="I2741" s="16" t="str">
        <f t="shared" si="42"/>
        <v/>
      </c>
    </row>
    <row r="2742" spans="1:9" x14ac:dyDescent="0.2">
      <c r="A2742" t="str">
        <f>IF(ROW(A2742)&lt;=Raw_hydro_bm!$J$2,Raw_hydro_bm!B2742,"")</f>
        <v/>
      </c>
      <c r="B2742" t="str">
        <f>IF(ROW(B2742)&lt;=Raw_hydro_bm!$J$2,Raw_hydro_bm!C2742,"")</f>
        <v/>
      </c>
      <c r="C2742" t="str">
        <f>IF(ROW(C2742)&lt;=Raw_hydro_bm!$J$2,Raw_hydro_bm!D2742,"")</f>
        <v/>
      </c>
      <c r="D2742" t="str">
        <f>IF(ROW(D2742)&lt;=Raw_hydro_bm!$J$2,Raw_hydro_bm!E2742,"")</f>
        <v/>
      </c>
      <c r="E2742" t="str">
        <f>IF(ROW(E2742)&lt;=Raw_hydro_bm!$J$2,Raw_hydro_bm!F2742,"")</f>
        <v/>
      </c>
      <c r="F2742" t="str">
        <f>IF(ROW(F2742)&lt;=Raw_hydro_bm!$J$2,Raw_hydro_bm!G2742,"")</f>
        <v/>
      </c>
      <c r="G2742" t="str">
        <f>IF(ROW(G2742)&lt;=Raw_hydro_bm!$J$2,Raw_hydro_bm!H2742,"")</f>
        <v/>
      </c>
      <c r="H2742" t="str">
        <f>IF(ROW(H2742)&lt;=Raw_hydro_bm!$J$2,Raw_hydro_bm!I2742,"")</f>
        <v/>
      </c>
      <c r="I2742" s="16" t="str">
        <f t="shared" si="42"/>
        <v/>
      </c>
    </row>
    <row r="2743" spans="1:9" x14ac:dyDescent="0.2">
      <c r="A2743" t="str">
        <f>IF(ROW(A2743)&lt;=Raw_hydro_bm!$J$2,Raw_hydro_bm!B2743,"")</f>
        <v/>
      </c>
      <c r="B2743" t="str">
        <f>IF(ROW(B2743)&lt;=Raw_hydro_bm!$J$2,Raw_hydro_bm!C2743,"")</f>
        <v/>
      </c>
      <c r="C2743" t="str">
        <f>IF(ROW(C2743)&lt;=Raw_hydro_bm!$J$2,Raw_hydro_bm!D2743,"")</f>
        <v/>
      </c>
      <c r="D2743" t="str">
        <f>IF(ROW(D2743)&lt;=Raw_hydro_bm!$J$2,Raw_hydro_bm!E2743,"")</f>
        <v/>
      </c>
      <c r="E2743" t="str">
        <f>IF(ROW(E2743)&lt;=Raw_hydro_bm!$J$2,Raw_hydro_bm!F2743,"")</f>
        <v/>
      </c>
      <c r="F2743" t="str">
        <f>IF(ROW(F2743)&lt;=Raw_hydro_bm!$J$2,Raw_hydro_bm!G2743,"")</f>
        <v/>
      </c>
      <c r="G2743" t="str">
        <f>IF(ROW(G2743)&lt;=Raw_hydro_bm!$J$2,Raw_hydro_bm!H2743,"")</f>
        <v/>
      </c>
      <c r="H2743" t="str">
        <f>IF(ROW(H2743)&lt;=Raw_hydro_bm!$J$2,Raw_hydro_bm!I2743,"")</f>
        <v/>
      </c>
      <c r="I2743" s="16" t="str">
        <f t="shared" si="42"/>
        <v/>
      </c>
    </row>
    <row r="2744" spans="1:9" x14ac:dyDescent="0.2">
      <c r="A2744" t="str">
        <f>IF(ROW(A2744)&lt;=Raw_hydro_bm!$J$2,Raw_hydro_bm!B2744,"")</f>
        <v/>
      </c>
      <c r="B2744" t="str">
        <f>IF(ROW(B2744)&lt;=Raw_hydro_bm!$J$2,Raw_hydro_bm!C2744,"")</f>
        <v/>
      </c>
      <c r="C2744" t="str">
        <f>IF(ROW(C2744)&lt;=Raw_hydro_bm!$J$2,Raw_hydro_bm!D2744,"")</f>
        <v/>
      </c>
      <c r="D2744" t="str">
        <f>IF(ROW(D2744)&lt;=Raw_hydro_bm!$J$2,Raw_hydro_bm!E2744,"")</f>
        <v/>
      </c>
      <c r="E2744" t="str">
        <f>IF(ROW(E2744)&lt;=Raw_hydro_bm!$J$2,Raw_hydro_bm!F2744,"")</f>
        <v/>
      </c>
      <c r="F2744" t="str">
        <f>IF(ROW(F2744)&lt;=Raw_hydro_bm!$J$2,Raw_hydro_bm!G2744,"")</f>
        <v/>
      </c>
      <c r="G2744" t="str">
        <f>IF(ROW(G2744)&lt;=Raw_hydro_bm!$J$2,Raw_hydro_bm!H2744,"")</f>
        <v/>
      </c>
      <c r="H2744" t="str">
        <f>IF(ROW(H2744)&lt;=Raw_hydro_bm!$J$2,Raw_hydro_bm!I2744,"")</f>
        <v/>
      </c>
      <c r="I2744" s="16" t="str">
        <f t="shared" si="42"/>
        <v/>
      </c>
    </row>
    <row r="2745" spans="1:9" x14ac:dyDescent="0.2">
      <c r="A2745" t="str">
        <f>IF(ROW(A2745)&lt;=Raw_hydro_bm!$J$2,Raw_hydro_bm!B2745,"")</f>
        <v/>
      </c>
      <c r="B2745" t="str">
        <f>IF(ROW(B2745)&lt;=Raw_hydro_bm!$J$2,Raw_hydro_bm!C2745,"")</f>
        <v/>
      </c>
      <c r="C2745" t="str">
        <f>IF(ROW(C2745)&lt;=Raw_hydro_bm!$J$2,Raw_hydro_bm!D2745,"")</f>
        <v/>
      </c>
      <c r="D2745" t="str">
        <f>IF(ROW(D2745)&lt;=Raw_hydro_bm!$J$2,Raw_hydro_bm!E2745,"")</f>
        <v/>
      </c>
      <c r="E2745" t="str">
        <f>IF(ROW(E2745)&lt;=Raw_hydro_bm!$J$2,Raw_hydro_bm!F2745,"")</f>
        <v/>
      </c>
      <c r="F2745" t="str">
        <f>IF(ROW(F2745)&lt;=Raw_hydro_bm!$J$2,Raw_hydro_bm!G2745,"")</f>
        <v/>
      </c>
      <c r="G2745" t="str">
        <f>IF(ROW(G2745)&lt;=Raw_hydro_bm!$J$2,Raw_hydro_bm!H2745,"")</f>
        <v/>
      </c>
      <c r="H2745" t="str">
        <f>IF(ROW(H2745)&lt;=Raw_hydro_bm!$J$2,Raw_hydro_bm!I2745,"")</f>
        <v/>
      </c>
      <c r="I2745" s="16" t="str">
        <f t="shared" si="42"/>
        <v/>
      </c>
    </row>
    <row r="2746" spans="1:9" x14ac:dyDescent="0.2">
      <c r="A2746" t="str">
        <f>IF(ROW(A2746)&lt;=Raw_hydro_bm!$J$2,Raw_hydro_bm!B2746,"")</f>
        <v/>
      </c>
      <c r="B2746" t="str">
        <f>IF(ROW(B2746)&lt;=Raw_hydro_bm!$J$2,Raw_hydro_bm!C2746,"")</f>
        <v/>
      </c>
      <c r="C2746" t="str">
        <f>IF(ROW(C2746)&lt;=Raw_hydro_bm!$J$2,Raw_hydro_bm!D2746,"")</f>
        <v/>
      </c>
      <c r="D2746" t="str">
        <f>IF(ROW(D2746)&lt;=Raw_hydro_bm!$J$2,Raw_hydro_bm!E2746,"")</f>
        <v/>
      </c>
      <c r="E2746" t="str">
        <f>IF(ROW(E2746)&lt;=Raw_hydro_bm!$J$2,Raw_hydro_bm!F2746,"")</f>
        <v/>
      </c>
      <c r="F2746" t="str">
        <f>IF(ROW(F2746)&lt;=Raw_hydro_bm!$J$2,Raw_hydro_bm!G2746,"")</f>
        <v/>
      </c>
      <c r="G2746" t="str">
        <f>IF(ROW(G2746)&lt;=Raw_hydro_bm!$J$2,Raw_hydro_bm!H2746,"")</f>
        <v/>
      </c>
      <c r="H2746" t="str">
        <f>IF(ROW(H2746)&lt;=Raw_hydro_bm!$J$2,Raw_hydro_bm!I2746,"")</f>
        <v/>
      </c>
      <c r="I2746" s="16" t="str">
        <f t="shared" si="42"/>
        <v/>
      </c>
    </row>
    <row r="2747" spans="1:9" x14ac:dyDescent="0.2">
      <c r="A2747" t="str">
        <f>IF(ROW(A2747)&lt;=Raw_hydro_bm!$J$2,Raw_hydro_bm!B2747,"")</f>
        <v/>
      </c>
      <c r="B2747" t="str">
        <f>IF(ROW(B2747)&lt;=Raw_hydro_bm!$J$2,Raw_hydro_bm!C2747,"")</f>
        <v/>
      </c>
      <c r="C2747" t="str">
        <f>IF(ROW(C2747)&lt;=Raw_hydro_bm!$J$2,Raw_hydro_bm!D2747,"")</f>
        <v/>
      </c>
      <c r="D2747" t="str">
        <f>IF(ROW(D2747)&lt;=Raw_hydro_bm!$J$2,Raw_hydro_bm!E2747,"")</f>
        <v/>
      </c>
      <c r="E2747" t="str">
        <f>IF(ROW(E2747)&lt;=Raw_hydro_bm!$J$2,Raw_hydro_bm!F2747,"")</f>
        <v/>
      </c>
      <c r="F2747" t="str">
        <f>IF(ROW(F2747)&lt;=Raw_hydro_bm!$J$2,Raw_hydro_bm!G2747,"")</f>
        <v/>
      </c>
      <c r="G2747" t="str">
        <f>IF(ROW(G2747)&lt;=Raw_hydro_bm!$J$2,Raw_hydro_bm!H2747,"")</f>
        <v/>
      </c>
      <c r="H2747" t="str">
        <f>IF(ROW(H2747)&lt;=Raw_hydro_bm!$J$2,Raw_hydro_bm!I2747,"")</f>
        <v/>
      </c>
      <c r="I2747" s="16" t="str">
        <f t="shared" si="42"/>
        <v/>
      </c>
    </row>
    <row r="2748" spans="1:9" x14ac:dyDescent="0.2">
      <c r="A2748" t="str">
        <f>IF(ROW(A2748)&lt;=Raw_hydro_bm!$J$2,Raw_hydro_bm!B2748,"")</f>
        <v/>
      </c>
      <c r="B2748" t="str">
        <f>IF(ROW(B2748)&lt;=Raw_hydro_bm!$J$2,Raw_hydro_bm!C2748,"")</f>
        <v/>
      </c>
      <c r="C2748" t="str">
        <f>IF(ROW(C2748)&lt;=Raw_hydro_bm!$J$2,Raw_hydro_bm!D2748,"")</f>
        <v/>
      </c>
      <c r="D2748" t="str">
        <f>IF(ROW(D2748)&lt;=Raw_hydro_bm!$J$2,Raw_hydro_bm!E2748,"")</f>
        <v/>
      </c>
      <c r="E2748" t="str">
        <f>IF(ROW(E2748)&lt;=Raw_hydro_bm!$J$2,Raw_hydro_bm!F2748,"")</f>
        <v/>
      </c>
      <c r="F2748" t="str">
        <f>IF(ROW(F2748)&lt;=Raw_hydro_bm!$J$2,Raw_hydro_bm!G2748,"")</f>
        <v/>
      </c>
      <c r="G2748" t="str">
        <f>IF(ROW(G2748)&lt;=Raw_hydro_bm!$J$2,Raw_hydro_bm!H2748,"")</f>
        <v/>
      </c>
      <c r="H2748" t="str">
        <f>IF(ROW(H2748)&lt;=Raw_hydro_bm!$J$2,Raw_hydro_bm!I2748,"")</f>
        <v/>
      </c>
      <c r="I2748" s="16" t="str">
        <f t="shared" si="42"/>
        <v/>
      </c>
    </row>
    <row r="2749" spans="1:9" x14ac:dyDescent="0.2">
      <c r="A2749" t="str">
        <f>IF(ROW(A2749)&lt;=Raw_hydro_bm!$J$2,Raw_hydro_bm!B2749,"")</f>
        <v/>
      </c>
      <c r="B2749" t="str">
        <f>IF(ROW(B2749)&lt;=Raw_hydro_bm!$J$2,Raw_hydro_bm!C2749,"")</f>
        <v/>
      </c>
      <c r="C2749" t="str">
        <f>IF(ROW(C2749)&lt;=Raw_hydro_bm!$J$2,Raw_hydro_bm!D2749,"")</f>
        <v/>
      </c>
      <c r="D2749" t="str">
        <f>IF(ROW(D2749)&lt;=Raw_hydro_bm!$J$2,Raw_hydro_bm!E2749,"")</f>
        <v/>
      </c>
      <c r="E2749" t="str">
        <f>IF(ROW(E2749)&lt;=Raw_hydro_bm!$J$2,Raw_hydro_bm!F2749,"")</f>
        <v/>
      </c>
      <c r="F2749" t="str">
        <f>IF(ROW(F2749)&lt;=Raw_hydro_bm!$J$2,Raw_hydro_bm!G2749,"")</f>
        <v/>
      </c>
      <c r="G2749" t="str">
        <f>IF(ROW(G2749)&lt;=Raw_hydro_bm!$J$2,Raw_hydro_bm!H2749,"")</f>
        <v/>
      </c>
      <c r="H2749" t="str">
        <f>IF(ROW(H2749)&lt;=Raw_hydro_bm!$J$2,Raw_hydro_bm!I2749,"")</f>
        <v/>
      </c>
      <c r="I2749" s="16" t="str">
        <f t="shared" si="42"/>
        <v/>
      </c>
    </row>
    <row r="2750" spans="1:9" x14ac:dyDescent="0.2">
      <c r="A2750" t="str">
        <f>IF(ROW(A2750)&lt;=Raw_hydro_bm!$J$2,Raw_hydro_bm!B2750,"")</f>
        <v/>
      </c>
      <c r="B2750" t="str">
        <f>IF(ROW(B2750)&lt;=Raw_hydro_bm!$J$2,Raw_hydro_bm!C2750,"")</f>
        <v/>
      </c>
      <c r="C2750" t="str">
        <f>IF(ROW(C2750)&lt;=Raw_hydro_bm!$J$2,Raw_hydro_bm!D2750,"")</f>
        <v/>
      </c>
      <c r="D2750" t="str">
        <f>IF(ROW(D2750)&lt;=Raw_hydro_bm!$J$2,Raw_hydro_bm!E2750,"")</f>
        <v/>
      </c>
      <c r="E2750" t="str">
        <f>IF(ROW(E2750)&lt;=Raw_hydro_bm!$J$2,Raw_hydro_bm!F2750,"")</f>
        <v/>
      </c>
      <c r="F2750" t="str">
        <f>IF(ROW(F2750)&lt;=Raw_hydro_bm!$J$2,Raw_hydro_bm!G2750,"")</f>
        <v/>
      </c>
      <c r="G2750" t="str">
        <f>IF(ROW(G2750)&lt;=Raw_hydro_bm!$J$2,Raw_hydro_bm!H2750,"")</f>
        <v/>
      </c>
      <c r="H2750" t="str">
        <f>IF(ROW(H2750)&lt;=Raw_hydro_bm!$J$2,Raw_hydro_bm!I2750,"")</f>
        <v/>
      </c>
      <c r="I2750" s="16" t="str">
        <f t="shared" si="42"/>
        <v/>
      </c>
    </row>
    <row r="2751" spans="1:9" x14ac:dyDescent="0.2">
      <c r="A2751" t="str">
        <f>IF(ROW(A2751)&lt;=Raw_hydro_bm!$J$2,Raw_hydro_bm!B2751,"")</f>
        <v/>
      </c>
      <c r="B2751" t="str">
        <f>IF(ROW(B2751)&lt;=Raw_hydro_bm!$J$2,Raw_hydro_bm!C2751,"")</f>
        <v/>
      </c>
      <c r="C2751" t="str">
        <f>IF(ROW(C2751)&lt;=Raw_hydro_bm!$J$2,Raw_hydro_bm!D2751,"")</f>
        <v/>
      </c>
      <c r="D2751" t="str">
        <f>IF(ROW(D2751)&lt;=Raw_hydro_bm!$J$2,Raw_hydro_bm!E2751,"")</f>
        <v/>
      </c>
      <c r="E2751" t="str">
        <f>IF(ROW(E2751)&lt;=Raw_hydro_bm!$J$2,Raw_hydro_bm!F2751,"")</f>
        <v/>
      </c>
      <c r="F2751" t="str">
        <f>IF(ROW(F2751)&lt;=Raw_hydro_bm!$J$2,Raw_hydro_bm!G2751,"")</f>
        <v/>
      </c>
      <c r="G2751" t="str">
        <f>IF(ROW(G2751)&lt;=Raw_hydro_bm!$J$2,Raw_hydro_bm!H2751,"")</f>
        <v/>
      </c>
      <c r="H2751" t="str">
        <f>IF(ROW(H2751)&lt;=Raw_hydro_bm!$J$2,Raw_hydro_bm!I2751,"")</f>
        <v/>
      </c>
      <c r="I2751" s="16" t="str">
        <f t="shared" si="42"/>
        <v/>
      </c>
    </row>
    <row r="2752" spans="1:9" x14ac:dyDescent="0.2">
      <c r="A2752" t="str">
        <f>IF(ROW(A2752)&lt;=Raw_hydro_bm!$J$2,Raw_hydro_bm!B2752,"")</f>
        <v/>
      </c>
      <c r="B2752" t="str">
        <f>IF(ROW(B2752)&lt;=Raw_hydro_bm!$J$2,Raw_hydro_bm!C2752,"")</f>
        <v/>
      </c>
      <c r="C2752" t="str">
        <f>IF(ROW(C2752)&lt;=Raw_hydro_bm!$J$2,Raw_hydro_bm!D2752,"")</f>
        <v/>
      </c>
      <c r="D2752" t="str">
        <f>IF(ROW(D2752)&lt;=Raw_hydro_bm!$J$2,Raw_hydro_bm!E2752,"")</f>
        <v/>
      </c>
      <c r="E2752" t="str">
        <f>IF(ROW(E2752)&lt;=Raw_hydro_bm!$J$2,Raw_hydro_bm!F2752,"")</f>
        <v/>
      </c>
      <c r="F2752" t="str">
        <f>IF(ROW(F2752)&lt;=Raw_hydro_bm!$J$2,Raw_hydro_bm!G2752,"")</f>
        <v/>
      </c>
      <c r="G2752" t="str">
        <f>IF(ROW(G2752)&lt;=Raw_hydro_bm!$J$2,Raw_hydro_bm!H2752,"")</f>
        <v/>
      </c>
      <c r="H2752" t="str">
        <f>IF(ROW(H2752)&lt;=Raw_hydro_bm!$J$2,Raw_hydro_bm!I2752,"")</f>
        <v/>
      </c>
      <c r="I2752" s="16" t="str">
        <f t="shared" si="42"/>
        <v/>
      </c>
    </row>
    <row r="2753" spans="1:9" x14ac:dyDescent="0.2">
      <c r="A2753" t="str">
        <f>IF(ROW(A2753)&lt;=Raw_hydro_bm!$J$2,Raw_hydro_bm!B2753,"")</f>
        <v/>
      </c>
      <c r="B2753" t="str">
        <f>IF(ROW(B2753)&lt;=Raw_hydro_bm!$J$2,Raw_hydro_bm!C2753,"")</f>
        <v/>
      </c>
      <c r="C2753" t="str">
        <f>IF(ROW(C2753)&lt;=Raw_hydro_bm!$J$2,Raw_hydro_bm!D2753,"")</f>
        <v/>
      </c>
      <c r="D2753" t="str">
        <f>IF(ROW(D2753)&lt;=Raw_hydro_bm!$J$2,Raw_hydro_bm!E2753,"")</f>
        <v/>
      </c>
      <c r="E2753" t="str">
        <f>IF(ROW(E2753)&lt;=Raw_hydro_bm!$J$2,Raw_hydro_bm!F2753,"")</f>
        <v/>
      </c>
      <c r="F2753" t="str">
        <f>IF(ROW(F2753)&lt;=Raw_hydro_bm!$J$2,Raw_hydro_bm!G2753,"")</f>
        <v/>
      </c>
      <c r="G2753" t="str">
        <f>IF(ROW(G2753)&lt;=Raw_hydro_bm!$J$2,Raw_hydro_bm!H2753,"")</f>
        <v/>
      </c>
      <c r="H2753" t="str">
        <f>IF(ROW(H2753)&lt;=Raw_hydro_bm!$J$2,Raw_hydro_bm!I2753,"")</f>
        <v/>
      </c>
      <c r="I2753" s="16" t="str">
        <f t="shared" si="42"/>
        <v/>
      </c>
    </row>
    <row r="2754" spans="1:9" x14ac:dyDescent="0.2">
      <c r="A2754" t="str">
        <f>IF(ROW(A2754)&lt;=Raw_hydro_bm!$J$2,Raw_hydro_bm!B2754,"")</f>
        <v/>
      </c>
      <c r="B2754" t="str">
        <f>IF(ROW(B2754)&lt;=Raw_hydro_bm!$J$2,Raw_hydro_bm!C2754,"")</f>
        <v/>
      </c>
      <c r="C2754" t="str">
        <f>IF(ROW(C2754)&lt;=Raw_hydro_bm!$J$2,Raw_hydro_bm!D2754,"")</f>
        <v/>
      </c>
      <c r="D2754" t="str">
        <f>IF(ROW(D2754)&lt;=Raw_hydro_bm!$J$2,Raw_hydro_bm!E2754,"")</f>
        <v/>
      </c>
      <c r="E2754" t="str">
        <f>IF(ROW(E2754)&lt;=Raw_hydro_bm!$J$2,Raw_hydro_bm!F2754,"")</f>
        <v/>
      </c>
      <c r="F2754" t="str">
        <f>IF(ROW(F2754)&lt;=Raw_hydro_bm!$J$2,Raw_hydro_bm!G2754,"")</f>
        <v/>
      </c>
      <c r="G2754" t="str">
        <f>IF(ROW(G2754)&lt;=Raw_hydro_bm!$J$2,Raw_hydro_bm!H2754,"")</f>
        <v/>
      </c>
      <c r="H2754" t="str">
        <f>IF(ROW(H2754)&lt;=Raw_hydro_bm!$J$2,Raw_hydro_bm!I2754,"")</f>
        <v/>
      </c>
      <c r="I2754" s="16" t="str">
        <f t="shared" ref="I2754:I2817" si="43">IF(IFERROR(FIND("e",H2754),-1)&lt;0,IFERROR(_xlfn.NUMBERVALUE(LEFT(H2754,FIND(".",H2754)-1))+_xlfn.NUMBERVALUE("0,"&amp;RIGHT(H2754,LEN(H2754)-FIND(".",H2754))),""),0)</f>
        <v/>
      </c>
    </row>
    <row r="2755" spans="1:9" x14ac:dyDescent="0.2">
      <c r="A2755" t="str">
        <f>IF(ROW(A2755)&lt;=Raw_hydro_bm!$J$2,Raw_hydro_bm!B2755,"")</f>
        <v/>
      </c>
      <c r="B2755" t="str">
        <f>IF(ROW(B2755)&lt;=Raw_hydro_bm!$J$2,Raw_hydro_bm!C2755,"")</f>
        <v/>
      </c>
      <c r="C2755" t="str">
        <f>IF(ROW(C2755)&lt;=Raw_hydro_bm!$J$2,Raw_hydro_bm!D2755,"")</f>
        <v/>
      </c>
      <c r="D2755" t="str">
        <f>IF(ROW(D2755)&lt;=Raw_hydro_bm!$J$2,Raw_hydro_bm!E2755,"")</f>
        <v/>
      </c>
      <c r="E2755" t="str">
        <f>IF(ROW(E2755)&lt;=Raw_hydro_bm!$J$2,Raw_hydro_bm!F2755,"")</f>
        <v/>
      </c>
      <c r="F2755" t="str">
        <f>IF(ROW(F2755)&lt;=Raw_hydro_bm!$J$2,Raw_hydro_bm!G2755,"")</f>
        <v/>
      </c>
      <c r="G2755" t="str">
        <f>IF(ROW(G2755)&lt;=Raw_hydro_bm!$J$2,Raw_hydro_bm!H2755,"")</f>
        <v/>
      </c>
      <c r="H2755" t="str">
        <f>IF(ROW(H2755)&lt;=Raw_hydro_bm!$J$2,Raw_hydro_bm!I2755,"")</f>
        <v/>
      </c>
      <c r="I2755" s="16" t="str">
        <f t="shared" si="43"/>
        <v/>
      </c>
    </row>
    <row r="2756" spans="1:9" x14ac:dyDescent="0.2">
      <c r="A2756" t="str">
        <f>IF(ROW(A2756)&lt;=Raw_hydro_bm!$J$2,Raw_hydro_bm!B2756,"")</f>
        <v/>
      </c>
      <c r="B2756" t="str">
        <f>IF(ROW(B2756)&lt;=Raw_hydro_bm!$J$2,Raw_hydro_bm!C2756,"")</f>
        <v/>
      </c>
      <c r="C2756" t="str">
        <f>IF(ROW(C2756)&lt;=Raw_hydro_bm!$J$2,Raw_hydro_bm!D2756,"")</f>
        <v/>
      </c>
      <c r="D2756" t="str">
        <f>IF(ROW(D2756)&lt;=Raw_hydro_bm!$J$2,Raw_hydro_bm!E2756,"")</f>
        <v/>
      </c>
      <c r="E2756" t="str">
        <f>IF(ROW(E2756)&lt;=Raw_hydro_bm!$J$2,Raw_hydro_bm!F2756,"")</f>
        <v/>
      </c>
      <c r="F2756" t="str">
        <f>IF(ROW(F2756)&lt;=Raw_hydro_bm!$J$2,Raw_hydro_bm!G2756,"")</f>
        <v/>
      </c>
      <c r="G2756" t="str">
        <f>IF(ROW(G2756)&lt;=Raw_hydro_bm!$J$2,Raw_hydro_bm!H2756,"")</f>
        <v/>
      </c>
      <c r="H2756" t="str">
        <f>IF(ROW(H2756)&lt;=Raw_hydro_bm!$J$2,Raw_hydro_bm!I2756,"")</f>
        <v/>
      </c>
      <c r="I2756" s="16" t="str">
        <f t="shared" si="43"/>
        <v/>
      </c>
    </row>
    <row r="2757" spans="1:9" x14ac:dyDescent="0.2">
      <c r="A2757" t="str">
        <f>IF(ROW(A2757)&lt;=Raw_hydro_bm!$J$2,Raw_hydro_bm!B2757,"")</f>
        <v/>
      </c>
      <c r="B2757" t="str">
        <f>IF(ROW(B2757)&lt;=Raw_hydro_bm!$J$2,Raw_hydro_bm!C2757,"")</f>
        <v/>
      </c>
      <c r="C2757" t="str">
        <f>IF(ROW(C2757)&lt;=Raw_hydro_bm!$J$2,Raw_hydro_bm!D2757,"")</f>
        <v/>
      </c>
      <c r="D2757" t="str">
        <f>IF(ROW(D2757)&lt;=Raw_hydro_bm!$J$2,Raw_hydro_bm!E2757,"")</f>
        <v/>
      </c>
      <c r="E2757" t="str">
        <f>IF(ROW(E2757)&lt;=Raw_hydro_bm!$J$2,Raw_hydro_bm!F2757,"")</f>
        <v/>
      </c>
      <c r="F2757" t="str">
        <f>IF(ROW(F2757)&lt;=Raw_hydro_bm!$J$2,Raw_hydro_bm!G2757,"")</f>
        <v/>
      </c>
      <c r="G2757" t="str">
        <f>IF(ROW(G2757)&lt;=Raw_hydro_bm!$J$2,Raw_hydro_bm!H2757,"")</f>
        <v/>
      </c>
      <c r="H2757" t="str">
        <f>IF(ROW(H2757)&lt;=Raw_hydro_bm!$J$2,Raw_hydro_bm!I2757,"")</f>
        <v/>
      </c>
      <c r="I2757" s="16" t="str">
        <f t="shared" si="43"/>
        <v/>
      </c>
    </row>
    <row r="2758" spans="1:9" x14ac:dyDescent="0.2">
      <c r="A2758" t="str">
        <f>IF(ROW(A2758)&lt;=Raw_hydro_bm!$J$2,Raw_hydro_bm!B2758,"")</f>
        <v/>
      </c>
      <c r="B2758" t="str">
        <f>IF(ROW(B2758)&lt;=Raw_hydro_bm!$J$2,Raw_hydro_bm!C2758,"")</f>
        <v/>
      </c>
      <c r="C2758" t="str">
        <f>IF(ROW(C2758)&lt;=Raw_hydro_bm!$J$2,Raw_hydro_bm!D2758,"")</f>
        <v/>
      </c>
      <c r="D2758" t="str">
        <f>IF(ROW(D2758)&lt;=Raw_hydro_bm!$J$2,Raw_hydro_bm!E2758,"")</f>
        <v/>
      </c>
      <c r="E2758" t="str">
        <f>IF(ROW(E2758)&lt;=Raw_hydro_bm!$J$2,Raw_hydro_bm!F2758,"")</f>
        <v/>
      </c>
      <c r="F2758" t="str">
        <f>IF(ROW(F2758)&lt;=Raw_hydro_bm!$J$2,Raw_hydro_bm!G2758,"")</f>
        <v/>
      </c>
      <c r="G2758" t="str">
        <f>IF(ROW(G2758)&lt;=Raw_hydro_bm!$J$2,Raw_hydro_bm!H2758,"")</f>
        <v/>
      </c>
      <c r="H2758" t="str">
        <f>IF(ROW(H2758)&lt;=Raw_hydro_bm!$J$2,Raw_hydro_bm!I2758,"")</f>
        <v/>
      </c>
      <c r="I2758" s="16" t="str">
        <f t="shared" si="43"/>
        <v/>
      </c>
    </row>
    <row r="2759" spans="1:9" x14ac:dyDescent="0.2">
      <c r="A2759" t="str">
        <f>IF(ROW(A2759)&lt;=Raw_hydro_bm!$J$2,Raw_hydro_bm!B2759,"")</f>
        <v/>
      </c>
      <c r="B2759" t="str">
        <f>IF(ROW(B2759)&lt;=Raw_hydro_bm!$J$2,Raw_hydro_bm!C2759,"")</f>
        <v/>
      </c>
      <c r="C2759" t="str">
        <f>IF(ROW(C2759)&lt;=Raw_hydro_bm!$J$2,Raw_hydro_bm!D2759,"")</f>
        <v/>
      </c>
      <c r="D2759" t="str">
        <f>IF(ROW(D2759)&lt;=Raw_hydro_bm!$J$2,Raw_hydro_bm!E2759,"")</f>
        <v/>
      </c>
      <c r="E2759" t="str">
        <f>IF(ROW(E2759)&lt;=Raw_hydro_bm!$J$2,Raw_hydro_bm!F2759,"")</f>
        <v/>
      </c>
      <c r="F2759" t="str">
        <f>IF(ROW(F2759)&lt;=Raw_hydro_bm!$J$2,Raw_hydro_bm!G2759,"")</f>
        <v/>
      </c>
      <c r="G2759" t="str">
        <f>IF(ROW(G2759)&lt;=Raw_hydro_bm!$J$2,Raw_hydro_bm!H2759,"")</f>
        <v/>
      </c>
      <c r="H2759" t="str">
        <f>IF(ROW(H2759)&lt;=Raw_hydro_bm!$J$2,Raw_hydro_bm!I2759,"")</f>
        <v/>
      </c>
      <c r="I2759" s="16" t="str">
        <f t="shared" si="43"/>
        <v/>
      </c>
    </row>
    <row r="2760" spans="1:9" x14ac:dyDescent="0.2">
      <c r="A2760" t="str">
        <f>IF(ROW(A2760)&lt;=Raw_hydro_bm!$J$2,Raw_hydro_bm!B2760,"")</f>
        <v/>
      </c>
      <c r="B2760" t="str">
        <f>IF(ROW(B2760)&lt;=Raw_hydro_bm!$J$2,Raw_hydro_bm!C2760,"")</f>
        <v/>
      </c>
      <c r="C2760" t="str">
        <f>IF(ROW(C2760)&lt;=Raw_hydro_bm!$J$2,Raw_hydro_bm!D2760,"")</f>
        <v/>
      </c>
      <c r="D2760" t="str">
        <f>IF(ROW(D2760)&lt;=Raw_hydro_bm!$J$2,Raw_hydro_bm!E2760,"")</f>
        <v/>
      </c>
      <c r="E2760" t="str">
        <f>IF(ROW(E2760)&lt;=Raw_hydro_bm!$J$2,Raw_hydro_bm!F2760,"")</f>
        <v/>
      </c>
      <c r="F2760" t="str">
        <f>IF(ROW(F2760)&lt;=Raw_hydro_bm!$J$2,Raw_hydro_bm!G2760,"")</f>
        <v/>
      </c>
      <c r="G2760" t="str">
        <f>IF(ROW(G2760)&lt;=Raw_hydro_bm!$J$2,Raw_hydro_bm!H2760,"")</f>
        <v/>
      </c>
      <c r="H2760" t="str">
        <f>IF(ROW(H2760)&lt;=Raw_hydro_bm!$J$2,Raw_hydro_bm!I2760,"")</f>
        <v/>
      </c>
      <c r="I2760" s="16" t="str">
        <f t="shared" si="43"/>
        <v/>
      </c>
    </row>
    <row r="2761" spans="1:9" x14ac:dyDescent="0.2">
      <c r="A2761" t="str">
        <f>IF(ROW(A2761)&lt;=Raw_hydro_bm!$J$2,Raw_hydro_bm!B2761,"")</f>
        <v/>
      </c>
      <c r="B2761" t="str">
        <f>IF(ROW(B2761)&lt;=Raw_hydro_bm!$J$2,Raw_hydro_bm!C2761,"")</f>
        <v/>
      </c>
      <c r="C2761" t="str">
        <f>IF(ROW(C2761)&lt;=Raw_hydro_bm!$J$2,Raw_hydro_bm!D2761,"")</f>
        <v/>
      </c>
      <c r="D2761" t="str">
        <f>IF(ROW(D2761)&lt;=Raw_hydro_bm!$J$2,Raw_hydro_bm!E2761,"")</f>
        <v/>
      </c>
      <c r="E2761" t="str">
        <f>IF(ROW(E2761)&lt;=Raw_hydro_bm!$J$2,Raw_hydro_bm!F2761,"")</f>
        <v/>
      </c>
      <c r="F2761" t="str">
        <f>IF(ROW(F2761)&lt;=Raw_hydro_bm!$J$2,Raw_hydro_bm!G2761,"")</f>
        <v/>
      </c>
      <c r="G2761" t="str">
        <f>IF(ROW(G2761)&lt;=Raw_hydro_bm!$J$2,Raw_hydro_bm!H2761,"")</f>
        <v/>
      </c>
      <c r="H2761" t="str">
        <f>IF(ROW(H2761)&lt;=Raw_hydro_bm!$J$2,Raw_hydro_bm!I2761,"")</f>
        <v/>
      </c>
      <c r="I2761" s="16" t="str">
        <f t="shared" si="43"/>
        <v/>
      </c>
    </row>
    <row r="2762" spans="1:9" x14ac:dyDescent="0.2">
      <c r="A2762" t="str">
        <f>IF(ROW(A2762)&lt;=Raw_hydro_bm!$J$2,Raw_hydro_bm!B2762,"")</f>
        <v/>
      </c>
      <c r="B2762" t="str">
        <f>IF(ROW(B2762)&lt;=Raw_hydro_bm!$J$2,Raw_hydro_bm!C2762,"")</f>
        <v/>
      </c>
      <c r="C2762" t="str">
        <f>IF(ROW(C2762)&lt;=Raw_hydro_bm!$J$2,Raw_hydro_bm!D2762,"")</f>
        <v/>
      </c>
      <c r="D2762" t="str">
        <f>IF(ROW(D2762)&lt;=Raw_hydro_bm!$J$2,Raw_hydro_bm!E2762,"")</f>
        <v/>
      </c>
      <c r="E2762" t="str">
        <f>IF(ROW(E2762)&lt;=Raw_hydro_bm!$J$2,Raw_hydro_bm!F2762,"")</f>
        <v/>
      </c>
      <c r="F2762" t="str">
        <f>IF(ROW(F2762)&lt;=Raw_hydro_bm!$J$2,Raw_hydro_bm!G2762,"")</f>
        <v/>
      </c>
      <c r="G2762" t="str">
        <f>IF(ROW(G2762)&lt;=Raw_hydro_bm!$J$2,Raw_hydro_bm!H2762,"")</f>
        <v/>
      </c>
      <c r="H2762" t="str">
        <f>IF(ROW(H2762)&lt;=Raw_hydro_bm!$J$2,Raw_hydro_bm!I2762,"")</f>
        <v/>
      </c>
      <c r="I2762" s="16" t="str">
        <f t="shared" si="43"/>
        <v/>
      </c>
    </row>
    <row r="2763" spans="1:9" x14ac:dyDescent="0.2">
      <c r="A2763" t="str">
        <f>IF(ROW(A2763)&lt;=Raw_hydro_bm!$J$2,Raw_hydro_bm!B2763,"")</f>
        <v/>
      </c>
      <c r="B2763" t="str">
        <f>IF(ROW(B2763)&lt;=Raw_hydro_bm!$J$2,Raw_hydro_bm!C2763,"")</f>
        <v/>
      </c>
      <c r="C2763" t="str">
        <f>IF(ROW(C2763)&lt;=Raw_hydro_bm!$J$2,Raw_hydro_bm!D2763,"")</f>
        <v/>
      </c>
      <c r="D2763" t="str">
        <f>IF(ROW(D2763)&lt;=Raw_hydro_bm!$J$2,Raw_hydro_bm!E2763,"")</f>
        <v/>
      </c>
      <c r="E2763" t="str">
        <f>IF(ROW(E2763)&lt;=Raw_hydro_bm!$J$2,Raw_hydro_bm!F2763,"")</f>
        <v/>
      </c>
      <c r="F2763" t="str">
        <f>IF(ROW(F2763)&lt;=Raw_hydro_bm!$J$2,Raw_hydro_bm!G2763,"")</f>
        <v/>
      </c>
      <c r="G2763" t="str">
        <f>IF(ROW(G2763)&lt;=Raw_hydro_bm!$J$2,Raw_hydro_bm!H2763,"")</f>
        <v/>
      </c>
      <c r="H2763" t="str">
        <f>IF(ROW(H2763)&lt;=Raw_hydro_bm!$J$2,Raw_hydro_bm!I2763,"")</f>
        <v/>
      </c>
      <c r="I2763" s="16" t="str">
        <f t="shared" si="43"/>
        <v/>
      </c>
    </row>
    <row r="2764" spans="1:9" x14ac:dyDescent="0.2">
      <c r="A2764" t="str">
        <f>IF(ROW(A2764)&lt;=Raw_hydro_bm!$J$2,Raw_hydro_bm!B2764,"")</f>
        <v/>
      </c>
      <c r="B2764" t="str">
        <f>IF(ROW(B2764)&lt;=Raw_hydro_bm!$J$2,Raw_hydro_bm!C2764,"")</f>
        <v/>
      </c>
      <c r="C2764" t="str">
        <f>IF(ROW(C2764)&lt;=Raw_hydro_bm!$J$2,Raw_hydro_bm!D2764,"")</f>
        <v/>
      </c>
      <c r="D2764" t="str">
        <f>IF(ROW(D2764)&lt;=Raw_hydro_bm!$J$2,Raw_hydro_bm!E2764,"")</f>
        <v/>
      </c>
      <c r="E2764" t="str">
        <f>IF(ROW(E2764)&lt;=Raw_hydro_bm!$J$2,Raw_hydro_bm!F2764,"")</f>
        <v/>
      </c>
      <c r="F2764" t="str">
        <f>IF(ROW(F2764)&lt;=Raw_hydro_bm!$J$2,Raw_hydro_bm!G2764,"")</f>
        <v/>
      </c>
      <c r="G2764" t="str">
        <f>IF(ROW(G2764)&lt;=Raw_hydro_bm!$J$2,Raw_hydro_bm!H2764,"")</f>
        <v/>
      </c>
      <c r="H2764" t="str">
        <f>IF(ROW(H2764)&lt;=Raw_hydro_bm!$J$2,Raw_hydro_bm!I2764,"")</f>
        <v/>
      </c>
      <c r="I2764" s="16" t="str">
        <f t="shared" si="43"/>
        <v/>
      </c>
    </row>
    <row r="2765" spans="1:9" x14ac:dyDescent="0.2">
      <c r="A2765" t="str">
        <f>IF(ROW(A2765)&lt;=Raw_hydro_bm!$J$2,Raw_hydro_bm!B2765,"")</f>
        <v/>
      </c>
      <c r="B2765" t="str">
        <f>IF(ROW(B2765)&lt;=Raw_hydro_bm!$J$2,Raw_hydro_bm!C2765,"")</f>
        <v/>
      </c>
      <c r="C2765" t="str">
        <f>IF(ROW(C2765)&lt;=Raw_hydro_bm!$J$2,Raw_hydro_bm!D2765,"")</f>
        <v/>
      </c>
      <c r="D2765" t="str">
        <f>IF(ROW(D2765)&lt;=Raw_hydro_bm!$J$2,Raw_hydro_bm!E2765,"")</f>
        <v/>
      </c>
      <c r="E2765" t="str">
        <f>IF(ROW(E2765)&lt;=Raw_hydro_bm!$J$2,Raw_hydro_bm!F2765,"")</f>
        <v/>
      </c>
      <c r="F2765" t="str">
        <f>IF(ROW(F2765)&lt;=Raw_hydro_bm!$J$2,Raw_hydro_bm!G2765,"")</f>
        <v/>
      </c>
      <c r="G2765" t="str">
        <f>IF(ROW(G2765)&lt;=Raw_hydro_bm!$J$2,Raw_hydro_bm!H2765,"")</f>
        <v/>
      </c>
      <c r="H2765" t="str">
        <f>IF(ROW(H2765)&lt;=Raw_hydro_bm!$J$2,Raw_hydro_bm!I2765,"")</f>
        <v/>
      </c>
      <c r="I2765" s="16" t="str">
        <f t="shared" si="43"/>
        <v/>
      </c>
    </row>
    <row r="2766" spans="1:9" x14ac:dyDescent="0.2">
      <c r="A2766" t="str">
        <f>IF(ROW(A2766)&lt;=Raw_hydro_bm!$J$2,Raw_hydro_bm!B2766,"")</f>
        <v/>
      </c>
      <c r="B2766" t="str">
        <f>IF(ROW(B2766)&lt;=Raw_hydro_bm!$J$2,Raw_hydro_bm!C2766,"")</f>
        <v/>
      </c>
      <c r="C2766" t="str">
        <f>IF(ROW(C2766)&lt;=Raw_hydro_bm!$J$2,Raw_hydro_bm!D2766,"")</f>
        <v/>
      </c>
      <c r="D2766" t="str">
        <f>IF(ROW(D2766)&lt;=Raw_hydro_bm!$J$2,Raw_hydro_bm!E2766,"")</f>
        <v/>
      </c>
      <c r="E2766" t="str">
        <f>IF(ROW(E2766)&lt;=Raw_hydro_bm!$J$2,Raw_hydro_bm!F2766,"")</f>
        <v/>
      </c>
      <c r="F2766" t="str">
        <f>IF(ROW(F2766)&lt;=Raw_hydro_bm!$J$2,Raw_hydro_bm!G2766,"")</f>
        <v/>
      </c>
      <c r="G2766" t="str">
        <f>IF(ROW(G2766)&lt;=Raw_hydro_bm!$J$2,Raw_hydro_bm!H2766,"")</f>
        <v/>
      </c>
      <c r="H2766" t="str">
        <f>IF(ROW(H2766)&lt;=Raw_hydro_bm!$J$2,Raw_hydro_bm!I2766,"")</f>
        <v/>
      </c>
      <c r="I2766" s="16" t="str">
        <f t="shared" si="43"/>
        <v/>
      </c>
    </row>
    <row r="2767" spans="1:9" x14ac:dyDescent="0.2">
      <c r="A2767" t="str">
        <f>IF(ROW(A2767)&lt;=Raw_hydro_bm!$J$2,Raw_hydro_bm!B2767,"")</f>
        <v/>
      </c>
      <c r="B2767" t="str">
        <f>IF(ROW(B2767)&lt;=Raw_hydro_bm!$J$2,Raw_hydro_bm!C2767,"")</f>
        <v/>
      </c>
      <c r="C2767" t="str">
        <f>IF(ROW(C2767)&lt;=Raw_hydro_bm!$J$2,Raw_hydro_bm!D2767,"")</f>
        <v/>
      </c>
      <c r="D2767" t="str">
        <f>IF(ROW(D2767)&lt;=Raw_hydro_bm!$J$2,Raw_hydro_bm!E2767,"")</f>
        <v/>
      </c>
      <c r="E2767" t="str">
        <f>IF(ROW(E2767)&lt;=Raw_hydro_bm!$J$2,Raw_hydro_bm!F2767,"")</f>
        <v/>
      </c>
      <c r="F2767" t="str">
        <f>IF(ROW(F2767)&lt;=Raw_hydro_bm!$J$2,Raw_hydro_bm!G2767,"")</f>
        <v/>
      </c>
      <c r="G2767" t="str">
        <f>IF(ROW(G2767)&lt;=Raw_hydro_bm!$J$2,Raw_hydro_bm!H2767,"")</f>
        <v/>
      </c>
      <c r="H2767" t="str">
        <f>IF(ROW(H2767)&lt;=Raw_hydro_bm!$J$2,Raw_hydro_bm!I2767,"")</f>
        <v/>
      </c>
      <c r="I2767" s="16" t="str">
        <f t="shared" si="43"/>
        <v/>
      </c>
    </row>
    <row r="2768" spans="1:9" x14ac:dyDescent="0.2">
      <c r="A2768" t="str">
        <f>IF(ROW(A2768)&lt;=Raw_hydro_bm!$J$2,Raw_hydro_bm!B2768,"")</f>
        <v/>
      </c>
      <c r="B2768" t="str">
        <f>IF(ROW(B2768)&lt;=Raw_hydro_bm!$J$2,Raw_hydro_bm!C2768,"")</f>
        <v/>
      </c>
      <c r="C2768" t="str">
        <f>IF(ROW(C2768)&lt;=Raw_hydro_bm!$J$2,Raw_hydro_bm!D2768,"")</f>
        <v/>
      </c>
      <c r="D2768" t="str">
        <f>IF(ROW(D2768)&lt;=Raw_hydro_bm!$J$2,Raw_hydro_bm!E2768,"")</f>
        <v/>
      </c>
      <c r="E2768" t="str">
        <f>IF(ROW(E2768)&lt;=Raw_hydro_bm!$J$2,Raw_hydro_bm!F2768,"")</f>
        <v/>
      </c>
      <c r="F2768" t="str">
        <f>IF(ROW(F2768)&lt;=Raw_hydro_bm!$J$2,Raw_hydro_bm!G2768,"")</f>
        <v/>
      </c>
      <c r="G2768" t="str">
        <f>IF(ROW(G2768)&lt;=Raw_hydro_bm!$J$2,Raw_hydro_bm!H2768,"")</f>
        <v/>
      </c>
      <c r="H2768" t="str">
        <f>IF(ROW(H2768)&lt;=Raw_hydro_bm!$J$2,Raw_hydro_bm!I2768,"")</f>
        <v/>
      </c>
      <c r="I2768" s="16" t="str">
        <f t="shared" si="43"/>
        <v/>
      </c>
    </row>
    <row r="2769" spans="1:9" x14ac:dyDescent="0.2">
      <c r="A2769" t="str">
        <f>IF(ROW(A2769)&lt;=Raw_hydro_bm!$J$2,Raw_hydro_bm!B2769,"")</f>
        <v/>
      </c>
      <c r="B2769" t="str">
        <f>IF(ROW(B2769)&lt;=Raw_hydro_bm!$J$2,Raw_hydro_bm!C2769,"")</f>
        <v/>
      </c>
      <c r="C2769" t="str">
        <f>IF(ROW(C2769)&lt;=Raw_hydro_bm!$J$2,Raw_hydro_bm!D2769,"")</f>
        <v/>
      </c>
      <c r="D2769" t="str">
        <f>IF(ROW(D2769)&lt;=Raw_hydro_bm!$J$2,Raw_hydro_bm!E2769,"")</f>
        <v/>
      </c>
      <c r="E2769" t="str">
        <f>IF(ROW(E2769)&lt;=Raw_hydro_bm!$J$2,Raw_hydro_bm!F2769,"")</f>
        <v/>
      </c>
      <c r="F2769" t="str">
        <f>IF(ROW(F2769)&lt;=Raw_hydro_bm!$J$2,Raw_hydro_bm!G2769,"")</f>
        <v/>
      </c>
      <c r="G2769" t="str">
        <f>IF(ROW(G2769)&lt;=Raw_hydro_bm!$J$2,Raw_hydro_bm!H2769,"")</f>
        <v/>
      </c>
      <c r="H2769" t="str">
        <f>IF(ROW(H2769)&lt;=Raw_hydro_bm!$J$2,Raw_hydro_bm!I2769,"")</f>
        <v/>
      </c>
      <c r="I2769" s="16" t="str">
        <f t="shared" si="43"/>
        <v/>
      </c>
    </row>
    <row r="2770" spans="1:9" x14ac:dyDescent="0.2">
      <c r="A2770" t="str">
        <f>IF(ROW(A2770)&lt;=Raw_hydro_bm!$J$2,Raw_hydro_bm!B2770,"")</f>
        <v/>
      </c>
      <c r="B2770" t="str">
        <f>IF(ROW(B2770)&lt;=Raw_hydro_bm!$J$2,Raw_hydro_bm!C2770,"")</f>
        <v/>
      </c>
      <c r="C2770" t="str">
        <f>IF(ROW(C2770)&lt;=Raw_hydro_bm!$J$2,Raw_hydro_bm!D2770,"")</f>
        <v/>
      </c>
      <c r="D2770" t="str">
        <f>IF(ROW(D2770)&lt;=Raw_hydro_bm!$J$2,Raw_hydro_bm!E2770,"")</f>
        <v/>
      </c>
      <c r="E2770" t="str">
        <f>IF(ROW(E2770)&lt;=Raw_hydro_bm!$J$2,Raw_hydro_bm!F2770,"")</f>
        <v/>
      </c>
      <c r="F2770" t="str">
        <f>IF(ROW(F2770)&lt;=Raw_hydro_bm!$J$2,Raw_hydro_bm!G2770,"")</f>
        <v/>
      </c>
      <c r="G2770" t="str">
        <f>IF(ROW(G2770)&lt;=Raw_hydro_bm!$J$2,Raw_hydro_bm!H2770,"")</f>
        <v/>
      </c>
      <c r="H2770" t="str">
        <f>IF(ROW(H2770)&lt;=Raw_hydro_bm!$J$2,Raw_hydro_bm!I2770,"")</f>
        <v/>
      </c>
      <c r="I2770" s="16" t="str">
        <f t="shared" si="43"/>
        <v/>
      </c>
    </row>
    <row r="2771" spans="1:9" x14ac:dyDescent="0.2">
      <c r="A2771" t="str">
        <f>IF(ROW(A2771)&lt;=Raw_hydro_bm!$J$2,Raw_hydro_bm!B2771,"")</f>
        <v/>
      </c>
      <c r="B2771" t="str">
        <f>IF(ROW(B2771)&lt;=Raw_hydro_bm!$J$2,Raw_hydro_bm!C2771,"")</f>
        <v/>
      </c>
      <c r="C2771" t="str">
        <f>IF(ROW(C2771)&lt;=Raw_hydro_bm!$J$2,Raw_hydro_bm!D2771,"")</f>
        <v/>
      </c>
      <c r="D2771" t="str">
        <f>IF(ROW(D2771)&lt;=Raw_hydro_bm!$J$2,Raw_hydro_bm!E2771,"")</f>
        <v/>
      </c>
      <c r="E2771" t="str">
        <f>IF(ROW(E2771)&lt;=Raw_hydro_bm!$J$2,Raw_hydro_bm!F2771,"")</f>
        <v/>
      </c>
      <c r="F2771" t="str">
        <f>IF(ROW(F2771)&lt;=Raw_hydro_bm!$J$2,Raw_hydro_bm!G2771,"")</f>
        <v/>
      </c>
      <c r="G2771" t="str">
        <f>IF(ROW(G2771)&lt;=Raw_hydro_bm!$J$2,Raw_hydro_bm!H2771,"")</f>
        <v/>
      </c>
      <c r="H2771" t="str">
        <f>IF(ROW(H2771)&lt;=Raw_hydro_bm!$J$2,Raw_hydro_bm!I2771,"")</f>
        <v/>
      </c>
      <c r="I2771" s="16" t="str">
        <f t="shared" si="43"/>
        <v/>
      </c>
    </row>
    <row r="2772" spans="1:9" x14ac:dyDescent="0.2">
      <c r="A2772" t="str">
        <f>IF(ROW(A2772)&lt;=Raw_hydro_bm!$J$2,Raw_hydro_bm!B2772,"")</f>
        <v/>
      </c>
      <c r="B2772" t="str">
        <f>IF(ROW(B2772)&lt;=Raw_hydro_bm!$J$2,Raw_hydro_bm!C2772,"")</f>
        <v/>
      </c>
      <c r="C2772" t="str">
        <f>IF(ROW(C2772)&lt;=Raw_hydro_bm!$J$2,Raw_hydro_bm!D2772,"")</f>
        <v/>
      </c>
      <c r="D2772" t="str">
        <f>IF(ROW(D2772)&lt;=Raw_hydro_bm!$J$2,Raw_hydro_bm!E2772,"")</f>
        <v/>
      </c>
      <c r="E2772" t="str">
        <f>IF(ROW(E2772)&lt;=Raw_hydro_bm!$J$2,Raw_hydro_bm!F2772,"")</f>
        <v/>
      </c>
      <c r="F2772" t="str">
        <f>IF(ROW(F2772)&lt;=Raw_hydro_bm!$J$2,Raw_hydro_bm!G2772,"")</f>
        <v/>
      </c>
      <c r="G2772" t="str">
        <f>IF(ROW(G2772)&lt;=Raw_hydro_bm!$J$2,Raw_hydro_bm!H2772,"")</f>
        <v/>
      </c>
      <c r="H2772" t="str">
        <f>IF(ROW(H2772)&lt;=Raw_hydro_bm!$J$2,Raw_hydro_bm!I2772,"")</f>
        <v/>
      </c>
      <c r="I2772" s="16" t="str">
        <f t="shared" si="43"/>
        <v/>
      </c>
    </row>
    <row r="2773" spans="1:9" x14ac:dyDescent="0.2">
      <c r="A2773" t="str">
        <f>IF(ROW(A2773)&lt;=Raw_hydro_bm!$J$2,Raw_hydro_bm!B2773,"")</f>
        <v/>
      </c>
      <c r="B2773" t="str">
        <f>IF(ROW(B2773)&lt;=Raw_hydro_bm!$J$2,Raw_hydro_bm!C2773,"")</f>
        <v/>
      </c>
      <c r="C2773" t="str">
        <f>IF(ROW(C2773)&lt;=Raw_hydro_bm!$J$2,Raw_hydro_bm!D2773,"")</f>
        <v/>
      </c>
      <c r="D2773" t="str">
        <f>IF(ROW(D2773)&lt;=Raw_hydro_bm!$J$2,Raw_hydro_bm!E2773,"")</f>
        <v/>
      </c>
      <c r="E2773" t="str">
        <f>IF(ROW(E2773)&lt;=Raw_hydro_bm!$J$2,Raw_hydro_bm!F2773,"")</f>
        <v/>
      </c>
      <c r="F2773" t="str">
        <f>IF(ROW(F2773)&lt;=Raw_hydro_bm!$J$2,Raw_hydro_bm!G2773,"")</f>
        <v/>
      </c>
      <c r="G2773" t="str">
        <f>IF(ROW(G2773)&lt;=Raw_hydro_bm!$J$2,Raw_hydro_bm!H2773,"")</f>
        <v/>
      </c>
      <c r="H2773" t="str">
        <f>IF(ROW(H2773)&lt;=Raw_hydro_bm!$J$2,Raw_hydro_bm!I2773,"")</f>
        <v/>
      </c>
      <c r="I2773" s="16" t="str">
        <f t="shared" si="43"/>
        <v/>
      </c>
    </row>
    <row r="2774" spans="1:9" x14ac:dyDescent="0.2">
      <c r="A2774" t="str">
        <f>IF(ROW(A2774)&lt;=Raw_hydro_bm!$J$2,Raw_hydro_bm!B2774,"")</f>
        <v/>
      </c>
      <c r="B2774" t="str">
        <f>IF(ROW(B2774)&lt;=Raw_hydro_bm!$J$2,Raw_hydro_bm!C2774,"")</f>
        <v/>
      </c>
      <c r="C2774" t="str">
        <f>IF(ROW(C2774)&lt;=Raw_hydro_bm!$J$2,Raw_hydro_bm!D2774,"")</f>
        <v/>
      </c>
      <c r="D2774" t="str">
        <f>IF(ROW(D2774)&lt;=Raw_hydro_bm!$J$2,Raw_hydro_bm!E2774,"")</f>
        <v/>
      </c>
      <c r="E2774" t="str">
        <f>IF(ROW(E2774)&lt;=Raw_hydro_bm!$J$2,Raw_hydro_bm!F2774,"")</f>
        <v/>
      </c>
      <c r="F2774" t="str">
        <f>IF(ROW(F2774)&lt;=Raw_hydro_bm!$J$2,Raw_hydro_bm!G2774,"")</f>
        <v/>
      </c>
      <c r="G2774" t="str">
        <f>IF(ROW(G2774)&lt;=Raw_hydro_bm!$J$2,Raw_hydro_bm!H2774,"")</f>
        <v/>
      </c>
      <c r="H2774" t="str">
        <f>IF(ROW(H2774)&lt;=Raw_hydro_bm!$J$2,Raw_hydro_bm!I2774,"")</f>
        <v/>
      </c>
      <c r="I2774" s="16" t="str">
        <f t="shared" si="43"/>
        <v/>
      </c>
    </row>
    <row r="2775" spans="1:9" x14ac:dyDescent="0.2">
      <c r="A2775" t="str">
        <f>IF(ROW(A2775)&lt;=Raw_hydro_bm!$J$2,Raw_hydro_bm!B2775,"")</f>
        <v/>
      </c>
      <c r="B2775" t="str">
        <f>IF(ROW(B2775)&lt;=Raw_hydro_bm!$J$2,Raw_hydro_bm!C2775,"")</f>
        <v/>
      </c>
      <c r="C2775" t="str">
        <f>IF(ROW(C2775)&lt;=Raw_hydro_bm!$J$2,Raw_hydro_bm!D2775,"")</f>
        <v/>
      </c>
      <c r="D2775" t="str">
        <f>IF(ROW(D2775)&lt;=Raw_hydro_bm!$J$2,Raw_hydro_bm!E2775,"")</f>
        <v/>
      </c>
      <c r="E2775" t="str">
        <f>IF(ROW(E2775)&lt;=Raw_hydro_bm!$J$2,Raw_hydro_bm!F2775,"")</f>
        <v/>
      </c>
      <c r="F2775" t="str">
        <f>IF(ROW(F2775)&lt;=Raw_hydro_bm!$J$2,Raw_hydro_bm!G2775,"")</f>
        <v/>
      </c>
      <c r="G2775" t="str">
        <f>IF(ROW(G2775)&lt;=Raw_hydro_bm!$J$2,Raw_hydro_bm!H2775,"")</f>
        <v/>
      </c>
      <c r="H2775" t="str">
        <f>IF(ROW(H2775)&lt;=Raw_hydro_bm!$J$2,Raw_hydro_bm!I2775,"")</f>
        <v/>
      </c>
      <c r="I2775" s="16" t="str">
        <f t="shared" si="43"/>
        <v/>
      </c>
    </row>
    <row r="2776" spans="1:9" x14ac:dyDescent="0.2">
      <c r="A2776" t="str">
        <f>IF(ROW(A2776)&lt;=Raw_hydro_bm!$J$2,Raw_hydro_bm!B2776,"")</f>
        <v/>
      </c>
      <c r="B2776" t="str">
        <f>IF(ROW(B2776)&lt;=Raw_hydro_bm!$J$2,Raw_hydro_bm!C2776,"")</f>
        <v/>
      </c>
      <c r="C2776" t="str">
        <f>IF(ROW(C2776)&lt;=Raw_hydro_bm!$J$2,Raw_hydro_bm!D2776,"")</f>
        <v/>
      </c>
      <c r="D2776" t="str">
        <f>IF(ROW(D2776)&lt;=Raw_hydro_bm!$J$2,Raw_hydro_bm!E2776,"")</f>
        <v/>
      </c>
      <c r="E2776" t="str">
        <f>IF(ROW(E2776)&lt;=Raw_hydro_bm!$J$2,Raw_hydro_bm!F2776,"")</f>
        <v/>
      </c>
      <c r="F2776" t="str">
        <f>IF(ROW(F2776)&lt;=Raw_hydro_bm!$J$2,Raw_hydro_bm!G2776,"")</f>
        <v/>
      </c>
      <c r="G2776" t="str">
        <f>IF(ROW(G2776)&lt;=Raw_hydro_bm!$J$2,Raw_hydro_bm!H2776,"")</f>
        <v/>
      </c>
      <c r="H2776" t="str">
        <f>IF(ROW(H2776)&lt;=Raw_hydro_bm!$J$2,Raw_hydro_bm!I2776,"")</f>
        <v/>
      </c>
      <c r="I2776" s="16" t="str">
        <f t="shared" si="43"/>
        <v/>
      </c>
    </row>
    <row r="2777" spans="1:9" x14ac:dyDescent="0.2">
      <c r="A2777" t="str">
        <f>IF(ROW(A2777)&lt;=Raw_hydro_bm!$J$2,Raw_hydro_bm!B2777,"")</f>
        <v/>
      </c>
      <c r="B2777" t="str">
        <f>IF(ROW(B2777)&lt;=Raw_hydro_bm!$J$2,Raw_hydro_bm!C2777,"")</f>
        <v/>
      </c>
      <c r="C2777" t="str">
        <f>IF(ROW(C2777)&lt;=Raw_hydro_bm!$J$2,Raw_hydro_bm!D2777,"")</f>
        <v/>
      </c>
      <c r="D2777" t="str">
        <f>IF(ROW(D2777)&lt;=Raw_hydro_bm!$J$2,Raw_hydro_bm!E2777,"")</f>
        <v/>
      </c>
      <c r="E2777" t="str">
        <f>IF(ROW(E2777)&lt;=Raw_hydro_bm!$J$2,Raw_hydro_bm!F2777,"")</f>
        <v/>
      </c>
      <c r="F2777" t="str">
        <f>IF(ROW(F2777)&lt;=Raw_hydro_bm!$J$2,Raw_hydro_bm!G2777,"")</f>
        <v/>
      </c>
      <c r="G2777" t="str">
        <f>IF(ROW(G2777)&lt;=Raw_hydro_bm!$J$2,Raw_hydro_bm!H2777,"")</f>
        <v/>
      </c>
      <c r="H2777" t="str">
        <f>IF(ROW(H2777)&lt;=Raw_hydro_bm!$J$2,Raw_hydro_bm!I2777,"")</f>
        <v/>
      </c>
      <c r="I2777" s="16" t="str">
        <f t="shared" si="43"/>
        <v/>
      </c>
    </row>
    <row r="2778" spans="1:9" x14ac:dyDescent="0.2">
      <c r="A2778" t="str">
        <f>IF(ROW(A2778)&lt;=Raw_hydro_bm!$J$2,Raw_hydro_bm!B2778,"")</f>
        <v/>
      </c>
      <c r="B2778" t="str">
        <f>IF(ROW(B2778)&lt;=Raw_hydro_bm!$J$2,Raw_hydro_bm!C2778,"")</f>
        <v/>
      </c>
      <c r="C2778" t="str">
        <f>IF(ROW(C2778)&lt;=Raw_hydro_bm!$J$2,Raw_hydro_bm!D2778,"")</f>
        <v/>
      </c>
      <c r="D2778" t="str">
        <f>IF(ROW(D2778)&lt;=Raw_hydro_bm!$J$2,Raw_hydro_bm!E2778,"")</f>
        <v/>
      </c>
      <c r="E2778" t="str">
        <f>IF(ROW(E2778)&lt;=Raw_hydro_bm!$J$2,Raw_hydro_bm!F2778,"")</f>
        <v/>
      </c>
      <c r="F2778" t="str">
        <f>IF(ROW(F2778)&lt;=Raw_hydro_bm!$J$2,Raw_hydro_bm!G2778,"")</f>
        <v/>
      </c>
      <c r="G2778" t="str">
        <f>IF(ROW(G2778)&lt;=Raw_hydro_bm!$J$2,Raw_hydro_bm!H2778,"")</f>
        <v/>
      </c>
      <c r="H2778" t="str">
        <f>IF(ROW(H2778)&lt;=Raw_hydro_bm!$J$2,Raw_hydro_bm!I2778,"")</f>
        <v/>
      </c>
      <c r="I2778" s="16" t="str">
        <f t="shared" si="43"/>
        <v/>
      </c>
    </row>
    <row r="2779" spans="1:9" x14ac:dyDescent="0.2">
      <c r="A2779" t="str">
        <f>IF(ROW(A2779)&lt;=Raw_hydro_bm!$J$2,Raw_hydro_bm!B2779,"")</f>
        <v/>
      </c>
      <c r="B2779" t="str">
        <f>IF(ROW(B2779)&lt;=Raw_hydro_bm!$J$2,Raw_hydro_bm!C2779,"")</f>
        <v/>
      </c>
      <c r="C2779" t="str">
        <f>IF(ROW(C2779)&lt;=Raw_hydro_bm!$J$2,Raw_hydro_bm!D2779,"")</f>
        <v/>
      </c>
      <c r="D2779" t="str">
        <f>IF(ROW(D2779)&lt;=Raw_hydro_bm!$J$2,Raw_hydro_bm!E2779,"")</f>
        <v/>
      </c>
      <c r="E2779" t="str">
        <f>IF(ROW(E2779)&lt;=Raw_hydro_bm!$J$2,Raw_hydro_bm!F2779,"")</f>
        <v/>
      </c>
      <c r="F2779" t="str">
        <f>IF(ROW(F2779)&lt;=Raw_hydro_bm!$J$2,Raw_hydro_bm!G2779,"")</f>
        <v/>
      </c>
      <c r="G2779" t="str">
        <f>IF(ROW(G2779)&lt;=Raw_hydro_bm!$J$2,Raw_hydro_bm!H2779,"")</f>
        <v/>
      </c>
      <c r="H2779" t="str">
        <f>IF(ROW(H2779)&lt;=Raw_hydro_bm!$J$2,Raw_hydro_bm!I2779,"")</f>
        <v/>
      </c>
      <c r="I2779" s="16" t="str">
        <f t="shared" si="43"/>
        <v/>
      </c>
    </row>
    <row r="2780" spans="1:9" x14ac:dyDescent="0.2">
      <c r="A2780" t="str">
        <f>IF(ROW(A2780)&lt;=Raw_hydro_bm!$J$2,Raw_hydro_bm!B2780,"")</f>
        <v/>
      </c>
      <c r="B2780" t="str">
        <f>IF(ROW(B2780)&lt;=Raw_hydro_bm!$J$2,Raw_hydro_bm!C2780,"")</f>
        <v/>
      </c>
      <c r="C2780" t="str">
        <f>IF(ROW(C2780)&lt;=Raw_hydro_bm!$J$2,Raw_hydro_bm!D2780,"")</f>
        <v/>
      </c>
      <c r="D2780" t="str">
        <f>IF(ROW(D2780)&lt;=Raw_hydro_bm!$J$2,Raw_hydro_bm!E2780,"")</f>
        <v/>
      </c>
      <c r="E2780" t="str">
        <f>IF(ROW(E2780)&lt;=Raw_hydro_bm!$J$2,Raw_hydro_bm!F2780,"")</f>
        <v/>
      </c>
      <c r="F2780" t="str">
        <f>IF(ROW(F2780)&lt;=Raw_hydro_bm!$J$2,Raw_hydro_bm!G2780,"")</f>
        <v/>
      </c>
      <c r="G2780" t="str">
        <f>IF(ROW(G2780)&lt;=Raw_hydro_bm!$J$2,Raw_hydro_bm!H2780,"")</f>
        <v/>
      </c>
      <c r="H2780" t="str">
        <f>IF(ROW(H2780)&lt;=Raw_hydro_bm!$J$2,Raw_hydro_bm!I2780,"")</f>
        <v/>
      </c>
      <c r="I2780" s="16" t="str">
        <f t="shared" si="43"/>
        <v/>
      </c>
    </row>
    <row r="2781" spans="1:9" x14ac:dyDescent="0.2">
      <c r="A2781" t="str">
        <f>IF(ROW(A2781)&lt;=Raw_hydro_bm!$J$2,Raw_hydro_bm!B2781,"")</f>
        <v/>
      </c>
      <c r="B2781" t="str">
        <f>IF(ROW(B2781)&lt;=Raw_hydro_bm!$J$2,Raw_hydro_bm!C2781,"")</f>
        <v/>
      </c>
      <c r="C2781" t="str">
        <f>IF(ROW(C2781)&lt;=Raw_hydro_bm!$J$2,Raw_hydro_bm!D2781,"")</f>
        <v/>
      </c>
      <c r="D2781" t="str">
        <f>IF(ROW(D2781)&lt;=Raw_hydro_bm!$J$2,Raw_hydro_bm!E2781,"")</f>
        <v/>
      </c>
      <c r="E2781" t="str">
        <f>IF(ROW(E2781)&lt;=Raw_hydro_bm!$J$2,Raw_hydro_bm!F2781,"")</f>
        <v/>
      </c>
      <c r="F2781" t="str">
        <f>IF(ROW(F2781)&lt;=Raw_hydro_bm!$J$2,Raw_hydro_bm!G2781,"")</f>
        <v/>
      </c>
      <c r="G2781" t="str">
        <f>IF(ROW(G2781)&lt;=Raw_hydro_bm!$J$2,Raw_hydro_bm!H2781,"")</f>
        <v/>
      </c>
      <c r="H2781" t="str">
        <f>IF(ROW(H2781)&lt;=Raw_hydro_bm!$J$2,Raw_hydro_bm!I2781,"")</f>
        <v/>
      </c>
      <c r="I2781" s="16" t="str">
        <f t="shared" si="43"/>
        <v/>
      </c>
    </row>
    <row r="2782" spans="1:9" x14ac:dyDescent="0.2">
      <c r="A2782" t="str">
        <f>IF(ROW(A2782)&lt;=Raw_hydro_bm!$J$2,Raw_hydro_bm!B2782,"")</f>
        <v/>
      </c>
      <c r="B2782" t="str">
        <f>IF(ROW(B2782)&lt;=Raw_hydro_bm!$J$2,Raw_hydro_bm!C2782,"")</f>
        <v/>
      </c>
      <c r="C2782" t="str">
        <f>IF(ROW(C2782)&lt;=Raw_hydro_bm!$J$2,Raw_hydro_bm!D2782,"")</f>
        <v/>
      </c>
      <c r="D2782" t="str">
        <f>IF(ROW(D2782)&lt;=Raw_hydro_bm!$J$2,Raw_hydro_bm!E2782,"")</f>
        <v/>
      </c>
      <c r="E2782" t="str">
        <f>IF(ROW(E2782)&lt;=Raw_hydro_bm!$J$2,Raw_hydro_bm!F2782,"")</f>
        <v/>
      </c>
      <c r="F2782" t="str">
        <f>IF(ROW(F2782)&lt;=Raw_hydro_bm!$J$2,Raw_hydro_bm!G2782,"")</f>
        <v/>
      </c>
      <c r="G2782" t="str">
        <f>IF(ROW(G2782)&lt;=Raw_hydro_bm!$J$2,Raw_hydro_bm!H2782,"")</f>
        <v/>
      </c>
      <c r="H2782" t="str">
        <f>IF(ROW(H2782)&lt;=Raw_hydro_bm!$J$2,Raw_hydro_bm!I2782,"")</f>
        <v/>
      </c>
      <c r="I2782" s="16" t="str">
        <f t="shared" si="43"/>
        <v/>
      </c>
    </row>
    <row r="2783" spans="1:9" x14ac:dyDescent="0.2">
      <c r="A2783" t="str">
        <f>IF(ROW(A2783)&lt;=Raw_hydro_bm!$J$2,Raw_hydro_bm!B2783,"")</f>
        <v/>
      </c>
      <c r="B2783" t="str">
        <f>IF(ROW(B2783)&lt;=Raw_hydro_bm!$J$2,Raw_hydro_bm!C2783,"")</f>
        <v/>
      </c>
      <c r="C2783" t="str">
        <f>IF(ROW(C2783)&lt;=Raw_hydro_bm!$J$2,Raw_hydro_bm!D2783,"")</f>
        <v/>
      </c>
      <c r="D2783" t="str">
        <f>IF(ROW(D2783)&lt;=Raw_hydro_bm!$J$2,Raw_hydro_bm!E2783,"")</f>
        <v/>
      </c>
      <c r="E2783" t="str">
        <f>IF(ROW(E2783)&lt;=Raw_hydro_bm!$J$2,Raw_hydro_bm!F2783,"")</f>
        <v/>
      </c>
      <c r="F2783" t="str">
        <f>IF(ROW(F2783)&lt;=Raw_hydro_bm!$J$2,Raw_hydro_bm!G2783,"")</f>
        <v/>
      </c>
      <c r="G2783" t="str">
        <f>IF(ROW(G2783)&lt;=Raw_hydro_bm!$J$2,Raw_hydro_bm!H2783,"")</f>
        <v/>
      </c>
      <c r="H2783" t="str">
        <f>IF(ROW(H2783)&lt;=Raw_hydro_bm!$J$2,Raw_hydro_bm!I2783,"")</f>
        <v/>
      </c>
      <c r="I2783" s="16" t="str">
        <f t="shared" si="43"/>
        <v/>
      </c>
    </row>
    <row r="2784" spans="1:9" x14ac:dyDescent="0.2">
      <c r="A2784" t="str">
        <f>IF(ROW(A2784)&lt;=Raw_hydro_bm!$J$2,Raw_hydro_bm!B2784,"")</f>
        <v/>
      </c>
      <c r="B2784" t="str">
        <f>IF(ROW(B2784)&lt;=Raw_hydro_bm!$J$2,Raw_hydro_bm!C2784,"")</f>
        <v/>
      </c>
      <c r="C2784" t="str">
        <f>IF(ROW(C2784)&lt;=Raw_hydro_bm!$J$2,Raw_hydro_bm!D2784,"")</f>
        <v/>
      </c>
      <c r="D2784" t="str">
        <f>IF(ROW(D2784)&lt;=Raw_hydro_bm!$J$2,Raw_hydro_bm!E2784,"")</f>
        <v/>
      </c>
      <c r="E2784" t="str">
        <f>IF(ROW(E2784)&lt;=Raw_hydro_bm!$J$2,Raw_hydro_bm!F2784,"")</f>
        <v/>
      </c>
      <c r="F2784" t="str">
        <f>IF(ROW(F2784)&lt;=Raw_hydro_bm!$J$2,Raw_hydro_bm!G2784,"")</f>
        <v/>
      </c>
      <c r="G2784" t="str">
        <f>IF(ROW(G2784)&lt;=Raw_hydro_bm!$J$2,Raw_hydro_bm!H2784,"")</f>
        <v/>
      </c>
      <c r="H2784" t="str">
        <f>IF(ROW(H2784)&lt;=Raw_hydro_bm!$J$2,Raw_hydro_bm!I2784,"")</f>
        <v/>
      </c>
      <c r="I2784" s="16" t="str">
        <f t="shared" si="43"/>
        <v/>
      </c>
    </row>
    <row r="2785" spans="1:9" x14ac:dyDescent="0.2">
      <c r="A2785" t="str">
        <f>IF(ROW(A2785)&lt;=Raw_hydro_bm!$J$2,Raw_hydro_bm!B2785,"")</f>
        <v/>
      </c>
      <c r="B2785" t="str">
        <f>IF(ROW(B2785)&lt;=Raw_hydro_bm!$J$2,Raw_hydro_bm!C2785,"")</f>
        <v/>
      </c>
      <c r="C2785" t="str">
        <f>IF(ROW(C2785)&lt;=Raw_hydro_bm!$J$2,Raw_hydro_bm!D2785,"")</f>
        <v/>
      </c>
      <c r="D2785" t="str">
        <f>IF(ROW(D2785)&lt;=Raw_hydro_bm!$J$2,Raw_hydro_bm!E2785,"")</f>
        <v/>
      </c>
      <c r="E2785" t="str">
        <f>IF(ROW(E2785)&lt;=Raw_hydro_bm!$J$2,Raw_hydro_bm!F2785,"")</f>
        <v/>
      </c>
      <c r="F2785" t="str">
        <f>IF(ROW(F2785)&lt;=Raw_hydro_bm!$J$2,Raw_hydro_bm!G2785,"")</f>
        <v/>
      </c>
      <c r="G2785" t="str">
        <f>IF(ROW(G2785)&lt;=Raw_hydro_bm!$J$2,Raw_hydro_bm!H2785,"")</f>
        <v/>
      </c>
      <c r="H2785" t="str">
        <f>IF(ROW(H2785)&lt;=Raw_hydro_bm!$J$2,Raw_hydro_bm!I2785,"")</f>
        <v/>
      </c>
      <c r="I2785" s="16" t="str">
        <f t="shared" si="43"/>
        <v/>
      </c>
    </row>
    <row r="2786" spans="1:9" x14ac:dyDescent="0.2">
      <c r="A2786" t="str">
        <f>IF(ROW(A2786)&lt;=Raw_hydro_bm!$J$2,Raw_hydro_bm!B2786,"")</f>
        <v/>
      </c>
      <c r="B2786" t="str">
        <f>IF(ROW(B2786)&lt;=Raw_hydro_bm!$J$2,Raw_hydro_bm!C2786,"")</f>
        <v/>
      </c>
      <c r="C2786" t="str">
        <f>IF(ROW(C2786)&lt;=Raw_hydro_bm!$J$2,Raw_hydro_bm!D2786,"")</f>
        <v/>
      </c>
      <c r="D2786" t="str">
        <f>IF(ROW(D2786)&lt;=Raw_hydro_bm!$J$2,Raw_hydro_bm!E2786,"")</f>
        <v/>
      </c>
      <c r="E2786" t="str">
        <f>IF(ROW(E2786)&lt;=Raw_hydro_bm!$J$2,Raw_hydro_bm!F2786,"")</f>
        <v/>
      </c>
      <c r="F2786" t="str">
        <f>IF(ROW(F2786)&lt;=Raw_hydro_bm!$J$2,Raw_hydro_bm!G2786,"")</f>
        <v/>
      </c>
      <c r="G2786" t="str">
        <f>IF(ROW(G2786)&lt;=Raw_hydro_bm!$J$2,Raw_hydro_bm!H2786,"")</f>
        <v/>
      </c>
      <c r="H2786" t="str">
        <f>IF(ROW(H2786)&lt;=Raw_hydro_bm!$J$2,Raw_hydro_bm!I2786,"")</f>
        <v/>
      </c>
      <c r="I2786" s="16" t="str">
        <f t="shared" si="43"/>
        <v/>
      </c>
    </row>
    <row r="2787" spans="1:9" x14ac:dyDescent="0.2">
      <c r="A2787" t="str">
        <f>IF(ROW(A2787)&lt;=Raw_hydro_bm!$J$2,Raw_hydro_bm!B2787,"")</f>
        <v/>
      </c>
      <c r="B2787" t="str">
        <f>IF(ROW(B2787)&lt;=Raw_hydro_bm!$J$2,Raw_hydro_bm!C2787,"")</f>
        <v/>
      </c>
      <c r="C2787" t="str">
        <f>IF(ROW(C2787)&lt;=Raw_hydro_bm!$J$2,Raw_hydro_bm!D2787,"")</f>
        <v/>
      </c>
      <c r="D2787" t="str">
        <f>IF(ROW(D2787)&lt;=Raw_hydro_bm!$J$2,Raw_hydro_bm!E2787,"")</f>
        <v/>
      </c>
      <c r="E2787" t="str">
        <f>IF(ROW(E2787)&lt;=Raw_hydro_bm!$J$2,Raw_hydro_bm!F2787,"")</f>
        <v/>
      </c>
      <c r="F2787" t="str">
        <f>IF(ROW(F2787)&lt;=Raw_hydro_bm!$J$2,Raw_hydro_bm!G2787,"")</f>
        <v/>
      </c>
      <c r="G2787" t="str">
        <f>IF(ROW(G2787)&lt;=Raw_hydro_bm!$J$2,Raw_hydro_bm!H2787,"")</f>
        <v/>
      </c>
      <c r="H2787" t="str">
        <f>IF(ROW(H2787)&lt;=Raw_hydro_bm!$J$2,Raw_hydro_bm!I2787,"")</f>
        <v/>
      </c>
      <c r="I2787" s="16" t="str">
        <f t="shared" si="43"/>
        <v/>
      </c>
    </row>
    <row r="2788" spans="1:9" x14ac:dyDescent="0.2">
      <c r="A2788" t="str">
        <f>IF(ROW(A2788)&lt;=Raw_hydro_bm!$J$2,Raw_hydro_bm!B2788,"")</f>
        <v/>
      </c>
      <c r="B2788" t="str">
        <f>IF(ROW(B2788)&lt;=Raw_hydro_bm!$J$2,Raw_hydro_bm!C2788,"")</f>
        <v/>
      </c>
      <c r="C2788" t="str">
        <f>IF(ROW(C2788)&lt;=Raw_hydro_bm!$J$2,Raw_hydro_bm!D2788,"")</f>
        <v/>
      </c>
      <c r="D2788" t="str">
        <f>IF(ROW(D2788)&lt;=Raw_hydro_bm!$J$2,Raw_hydro_bm!E2788,"")</f>
        <v/>
      </c>
      <c r="E2788" t="str">
        <f>IF(ROW(E2788)&lt;=Raw_hydro_bm!$J$2,Raw_hydro_bm!F2788,"")</f>
        <v/>
      </c>
      <c r="F2788" t="str">
        <f>IF(ROW(F2788)&lt;=Raw_hydro_bm!$J$2,Raw_hydro_bm!G2788,"")</f>
        <v/>
      </c>
      <c r="G2788" t="str">
        <f>IF(ROW(G2788)&lt;=Raw_hydro_bm!$J$2,Raw_hydro_bm!H2788,"")</f>
        <v/>
      </c>
      <c r="H2788" t="str">
        <f>IF(ROW(H2788)&lt;=Raw_hydro_bm!$J$2,Raw_hydro_bm!I2788,"")</f>
        <v/>
      </c>
      <c r="I2788" s="16" t="str">
        <f t="shared" si="43"/>
        <v/>
      </c>
    </row>
    <row r="2789" spans="1:9" x14ac:dyDescent="0.2">
      <c r="A2789" t="str">
        <f>IF(ROW(A2789)&lt;=Raw_hydro_bm!$J$2,Raw_hydro_bm!B2789,"")</f>
        <v/>
      </c>
      <c r="B2789" t="str">
        <f>IF(ROW(B2789)&lt;=Raw_hydro_bm!$J$2,Raw_hydro_bm!C2789,"")</f>
        <v/>
      </c>
      <c r="C2789" t="str">
        <f>IF(ROW(C2789)&lt;=Raw_hydro_bm!$J$2,Raw_hydro_bm!D2789,"")</f>
        <v/>
      </c>
      <c r="D2789" t="str">
        <f>IF(ROW(D2789)&lt;=Raw_hydro_bm!$J$2,Raw_hydro_bm!E2789,"")</f>
        <v/>
      </c>
      <c r="E2789" t="str">
        <f>IF(ROW(E2789)&lt;=Raw_hydro_bm!$J$2,Raw_hydro_bm!F2789,"")</f>
        <v/>
      </c>
      <c r="F2789" t="str">
        <f>IF(ROW(F2789)&lt;=Raw_hydro_bm!$J$2,Raw_hydro_bm!G2789,"")</f>
        <v/>
      </c>
      <c r="G2789" t="str">
        <f>IF(ROW(G2789)&lt;=Raw_hydro_bm!$J$2,Raw_hydro_bm!H2789,"")</f>
        <v/>
      </c>
      <c r="H2789" t="str">
        <f>IF(ROW(H2789)&lt;=Raw_hydro_bm!$J$2,Raw_hydro_bm!I2789,"")</f>
        <v/>
      </c>
      <c r="I2789" s="16" t="str">
        <f t="shared" si="43"/>
        <v/>
      </c>
    </row>
    <row r="2790" spans="1:9" x14ac:dyDescent="0.2">
      <c r="A2790" t="str">
        <f>IF(ROW(A2790)&lt;=Raw_hydro_bm!$J$2,Raw_hydro_bm!B2790,"")</f>
        <v/>
      </c>
      <c r="B2790" t="str">
        <f>IF(ROW(B2790)&lt;=Raw_hydro_bm!$J$2,Raw_hydro_bm!C2790,"")</f>
        <v/>
      </c>
      <c r="C2790" t="str">
        <f>IF(ROW(C2790)&lt;=Raw_hydro_bm!$J$2,Raw_hydro_bm!D2790,"")</f>
        <v/>
      </c>
      <c r="D2790" t="str">
        <f>IF(ROW(D2790)&lt;=Raw_hydro_bm!$J$2,Raw_hydro_bm!E2790,"")</f>
        <v/>
      </c>
      <c r="E2790" t="str">
        <f>IF(ROW(E2790)&lt;=Raw_hydro_bm!$J$2,Raw_hydro_bm!F2790,"")</f>
        <v/>
      </c>
      <c r="F2790" t="str">
        <f>IF(ROW(F2790)&lt;=Raw_hydro_bm!$J$2,Raw_hydro_bm!G2790,"")</f>
        <v/>
      </c>
      <c r="G2790" t="str">
        <f>IF(ROW(G2790)&lt;=Raw_hydro_bm!$J$2,Raw_hydro_bm!H2790,"")</f>
        <v/>
      </c>
      <c r="H2790" t="str">
        <f>IF(ROW(H2790)&lt;=Raw_hydro_bm!$J$2,Raw_hydro_bm!I2790,"")</f>
        <v/>
      </c>
      <c r="I2790" s="16" t="str">
        <f t="shared" si="43"/>
        <v/>
      </c>
    </row>
    <row r="2791" spans="1:9" x14ac:dyDescent="0.2">
      <c r="A2791" t="str">
        <f>IF(ROW(A2791)&lt;=Raw_hydro_bm!$J$2,Raw_hydro_bm!B2791,"")</f>
        <v/>
      </c>
      <c r="B2791" t="str">
        <f>IF(ROW(B2791)&lt;=Raw_hydro_bm!$J$2,Raw_hydro_bm!C2791,"")</f>
        <v/>
      </c>
      <c r="C2791" t="str">
        <f>IF(ROW(C2791)&lt;=Raw_hydro_bm!$J$2,Raw_hydro_bm!D2791,"")</f>
        <v/>
      </c>
      <c r="D2791" t="str">
        <f>IF(ROW(D2791)&lt;=Raw_hydro_bm!$J$2,Raw_hydro_bm!E2791,"")</f>
        <v/>
      </c>
      <c r="E2791" t="str">
        <f>IF(ROW(E2791)&lt;=Raw_hydro_bm!$J$2,Raw_hydro_bm!F2791,"")</f>
        <v/>
      </c>
      <c r="F2791" t="str">
        <f>IF(ROW(F2791)&lt;=Raw_hydro_bm!$J$2,Raw_hydro_bm!G2791,"")</f>
        <v/>
      </c>
      <c r="G2791" t="str">
        <f>IF(ROW(G2791)&lt;=Raw_hydro_bm!$J$2,Raw_hydro_bm!H2791,"")</f>
        <v/>
      </c>
      <c r="H2791" t="str">
        <f>IF(ROW(H2791)&lt;=Raw_hydro_bm!$J$2,Raw_hydro_bm!I2791,"")</f>
        <v/>
      </c>
      <c r="I2791" s="16" t="str">
        <f t="shared" si="43"/>
        <v/>
      </c>
    </row>
    <row r="2792" spans="1:9" x14ac:dyDescent="0.2">
      <c r="A2792" t="str">
        <f>IF(ROW(A2792)&lt;=Raw_hydro_bm!$J$2,Raw_hydro_bm!B2792,"")</f>
        <v/>
      </c>
      <c r="B2792" t="str">
        <f>IF(ROW(B2792)&lt;=Raw_hydro_bm!$J$2,Raw_hydro_bm!C2792,"")</f>
        <v/>
      </c>
      <c r="C2792" t="str">
        <f>IF(ROW(C2792)&lt;=Raw_hydro_bm!$J$2,Raw_hydro_bm!D2792,"")</f>
        <v/>
      </c>
      <c r="D2792" t="str">
        <f>IF(ROW(D2792)&lt;=Raw_hydro_bm!$J$2,Raw_hydro_bm!E2792,"")</f>
        <v/>
      </c>
      <c r="E2792" t="str">
        <f>IF(ROW(E2792)&lt;=Raw_hydro_bm!$J$2,Raw_hydro_bm!F2792,"")</f>
        <v/>
      </c>
      <c r="F2792" t="str">
        <f>IF(ROW(F2792)&lt;=Raw_hydro_bm!$J$2,Raw_hydro_bm!G2792,"")</f>
        <v/>
      </c>
      <c r="G2792" t="str">
        <f>IF(ROW(G2792)&lt;=Raw_hydro_bm!$J$2,Raw_hydro_bm!H2792,"")</f>
        <v/>
      </c>
      <c r="H2792" t="str">
        <f>IF(ROW(H2792)&lt;=Raw_hydro_bm!$J$2,Raw_hydro_bm!I2792,"")</f>
        <v/>
      </c>
      <c r="I2792" s="16" t="str">
        <f t="shared" si="43"/>
        <v/>
      </c>
    </row>
    <row r="2793" spans="1:9" x14ac:dyDescent="0.2">
      <c r="A2793" t="str">
        <f>IF(ROW(A2793)&lt;=Raw_hydro_bm!$J$2,Raw_hydro_bm!B2793,"")</f>
        <v/>
      </c>
      <c r="B2793" t="str">
        <f>IF(ROW(B2793)&lt;=Raw_hydro_bm!$J$2,Raw_hydro_bm!C2793,"")</f>
        <v/>
      </c>
      <c r="C2793" t="str">
        <f>IF(ROW(C2793)&lt;=Raw_hydro_bm!$J$2,Raw_hydro_bm!D2793,"")</f>
        <v/>
      </c>
      <c r="D2793" t="str">
        <f>IF(ROW(D2793)&lt;=Raw_hydro_bm!$J$2,Raw_hydro_bm!E2793,"")</f>
        <v/>
      </c>
      <c r="E2793" t="str">
        <f>IF(ROW(E2793)&lt;=Raw_hydro_bm!$J$2,Raw_hydro_bm!F2793,"")</f>
        <v/>
      </c>
      <c r="F2793" t="str">
        <f>IF(ROW(F2793)&lt;=Raw_hydro_bm!$J$2,Raw_hydro_bm!G2793,"")</f>
        <v/>
      </c>
      <c r="G2793" t="str">
        <f>IF(ROW(G2793)&lt;=Raw_hydro_bm!$J$2,Raw_hydro_bm!H2793,"")</f>
        <v/>
      </c>
      <c r="H2793" t="str">
        <f>IF(ROW(H2793)&lt;=Raw_hydro_bm!$J$2,Raw_hydro_bm!I2793,"")</f>
        <v/>
      </c>
      <c r="I2793" s="16" t="str">
        <f t="shared" si="43"/>
        <v/>
      </c>
    </row>
    <row r="2794" spans="1:9" x14ac:dyDescent="0.2">
      <c r="A2794" t="str">
        <f>IF(ROW(A2794)&lt;=Raw_hydro_bm!$J$2,Raw_hydro_bm!B2794,"")</f>
        <v/>
      </c>
      <c r="B2794" t="str">
        <f>IF(ROW(B2794)&lt;=Raw_hydro_bm!$J$2,Raw_hydro_bm!C2794,"")</f>
        <v/>
      </c>
      <c r="C2794" t="str">
        <f>IF(ROW(C2794)&lt;=Raw_hydro_bm!$J$2,Raw_hydro_bm!D2794,"")</f>
        <v/>
      </c>
      <c r="D2794" t="str">
        <f>IF(ROW(D2794)&lt;=Raw_hydro_bm!$J$2,Raw_hydro_bm!E2794,"")</f>
        <v/>
      </c>
      <c r="E2794" t="str">
        <f>IF(ROW(E2794)&lt;=Raw_hydro_bm!$J$2,Raw_hydro_bm!F2794,"")</f>
        <v/>
      </c>
      <c r="F2794" t="str">
        <f>IF(ROW(F2794)&lt;=Raw_hydro_bm!$J$2,Raw_hydro_bm!G2794,"")</f>
        <v/>
      </c>
      <c r="G2794" t="str">
        <f>IF(ROW(G2794)&lt;=Raw_hydro_bm!$J$2,Raw_hydro_bm!H2794,"")</f>
        <v/>
      </c>
      <c r="H2794" t="str">
        <f>IF(ROW(H2794)&lt;=Raw_hydro_bm!$J$2,Raw_hydro_bm!I2794,"")</f>
        <v/>
      </c>
      <c r="I2794" s="16" t="str">
        <f t="shared" si="43"/>
        <v/>
      </c>
    </row>
    <row r="2795" spans="1:9" x14ac:dyDescent="0.2">
      <c r="A2795" t="str">
        <f>IF(ROW(A2795)&lt;=Raw_hydro_bm!$J$2,Raw_hydro_bm!B2795,"")</f>
        <v/>
      </c>
      <c r="B2795" t="str">
        <f>IF(ROW(B2795)&lt;=Raw_hydro_bm!$J$2,Raw_hydro_bm!C2795,"")</f>
        <v/>
      </c>
      <c r="C2795" t="str">
        <f>IF(ROW(C2795)&lt;=Raw_hydro_bm!$J$2,Raw_hydro_bm!D2795,"")</f>
        <v/>
      </c>
      <c r="D2795" t="str">
        <f>IF(ROW(D2795)&lt;=Raw_hydro_bm!$J$2,Raw_hydro_bm!E2795,"")</f>
        <v/>
      </c>
      <c r="E2795" t="str">
        <f>IF(ROW(E2795)&lt;=Raw_hydro_bm!$J$2,Raw_hydro_bm!F2795,"")</f>
        <v/>
      </c>
      <c r="F2795" t="str">
        <f>IF(ROW(F2795)&lt;=Raw_hydro_bm!$J$2,Raw_hydro_bm!G2795,"")</f>
        <v/>
      </c>
      <c r="G2795" t="str">
        <f>IF(ROW(G2795)&lt;=Raw_hydro_bm!$J$2,Raw_hydro_bm!H2795,"")</f>
        <v/>
      </c>
      <c r="H2795" t="str">
        <f>IF(ROW(H2795)&lt;=Raw_hydro_bm!$J$2,Raw_hydro_bm!I2795,"")</f>
        <v/>
      </c>
      <c r="I2795" s="16" t="str">
        <f t="shared" si="43"/>
        <v/>
      </c>
    </row>
    <row r="2796" spans="1:9" x14ac:dyDescent="0.2">
      <c r="A2796" t="str">
        <f>IF(ROW(A2796)&lt;=Raw_hydro_bm!$J$2,Raw_hydro_bm!B2796,"")</f>
        <v/>
      </c>
      <c r="B2796" t="str">
        <f>IF(ROW(B2796)&lt;=Raw_hydro_bm!$J$2,Raw_hydro_bm!C2796,"")</f>
        <v/>
      </c>
      <c r="C2796" t="str">
        <f>IF(ROW(C2796)&lt;=Raw_hydro_bm!$J$2,Raw_hydro_bm!D2796,"")</f>
        <v/>
      </c>
      <c r="D2796" t="str">
        <f>IF(ROW(D2796)&lt;=Raw_hydro_bm!$J$2,Raw_hydro_bm!E2796,"")</f>
        <v/>
      </c>
      <c r="E2796" t="str">
        <f>IF(ROW(E2796)&lt;=Raw_hydro_bm!$J$2,Raw_hydro_bm!F2796,"")</f>
        <v/>
      </c>
      <c r="F2796" t="str">
        <f>IF(ROW(F2796)&lt;=Raw_hydro_bm!$J$2,Raw_hydro_bm!G2796,"")</f>
        <v/>
      </c>
      <c r="G2796" t="str">
        <f>IF(ROW(G2796)&lt;=Raw_hydro_bm!$J$2,Raw_hydro_bm!H2796,"")</f>
        <v/>
      </c>
      <c r="H2796" t="str">
        <f>IF(ROW(H2796)&lt;=Raw_hydro_bm!$J$2,Raw_hydro_bm!I2796,"")</f>
        <v/>
      </c>
      <c r="I2796" s="16" t="str">
        <f t="shared" si="43"/>
        <v/>
      </c>
    </row>
    <row r="2797" spans="1:9" x14ac:dyDescent="0.2">
      <c r="A2797" t="str">
        <f>IF(ROW(A2797)&lt;=Raw_hydro_bm!$J$2,Raw_hydro_bm!B2797,"")</f>
        <v/>
      </c>
      <c r="B2797" t="str">
        <f>IF(ROW(B2797)&lt;=Raw_hydro_bm!$J$2,Raw_hydro_bm!C2797,"")</f>
        <v/>
      </c>
      <c r="C2797" t="str">
        <f>IF(ROW(C2797)&lt;=Raw_hydro_bm!$J$2,Raw_hydro_bm!D2797,"")</f>
        <v/>
      </c>
      <c r="D2797" t="str">
        <f>IF(ROW(D2797)&lt;=Raw_hydro_bm!$J$2,Raw_hydro_bm!E2797,"")</f>
        <v/>
      </c>
      <c r="E2797" t="str">
        <f>IF(ROW(E2797)&lt;=Raw_hydro_bm!$J$2,Raw_hydro_bm!F2797,"")</f>
        <v/>
      </c>
      <c r="F2797" t="str">
        <f>IF(ROW(F2797)&lt;=Raw_hydro_bm!$J$2,Raw_hydro_bm!G2797,"")</f>
        <v/>
      </c>
      <c r="G2797" t="str">
        <f>IF(ROW(G2797)&lt;=Raw_hydro_bm!$J$2,Raw_hydro_bm!H2797,"")</f>
        <v/>
      </c>
      <c r="H2797" t="str">
        <f>IF(ROW(H2797)&lt;=Raw_hydro_bm!$J$2,Raw_hydro_bm!I2797,"")</f>
        <v/>
      </c>
      <c r="I2797" s="16" t="str">
        <f t="shared" si="43"/>
        <v/>
      </c>
    </row>
    <row r="2798" spans="1:9" x14ac:dyDescent="0.2">
      <c r="A2798" t="str">
        <f>IF(ROW(A2798)&lt;=Raw_hydro_bm!$J$2,Raw_hydro_bm!B2798,"")</f>
        <v/>
      </c>
      <c r="B2798" t="str">
        <f>IF(ROW(B2798)&lt;=Raw_hydro_bm!$J$2,Raw_hydro_bm!C2798,"")</f>
        <v/>
      </c>
      <c r="C2798" t="str">
        <f>IF(ROW(C2798)&lt;=Raw_hydro_bm!$J$2,Raw_hydro_bm!D2798,"")</f>
        <v/>
      </c>
      <c r="D2798" t="str">
        <f>IF(ROW(D2798)&lt;=Raw_hydro_bm!$J$2,Raw_hydro_bm!E2798,"")</f>
        <v/>
      </c>
      <c r="E2798" t="str">
        <f>IF(ROW(E2798)&lt;=Raw_hydro_bm!$J$2,Raw_hydro_bm!F2798,"")</f>
        <v/>
      </c>
      <c r="F2798" t="str">
        <f>IF(ROW(F2798)&lt;=Raw_hydro_bm!$J$2,Raw_hydro_bm!G2798,"")</f>
        <v/>
      </c>
      <c r="G2798" t="str">
        <f>IF(ROW(G2798)&lt;=Raw_hydro_bm!$J$2,Raw_hydro_bm!H2798,"")</f>
        <v/>
      </c>
      <c r="H2798" t="str">
        <f>IF(ROW(H2798)&lt;=Raw_hydro_bm!$J$2,Raw_hydro_bm!I2798,"")</f>
        <v/>
      </c>
      <c r="I2798" s="16" t="str">
        <f t="shared" si="43"/>
        <v/>
      </c>
    </row>
    <row r="2799" spans="1:9" x14ac:dyDescent="0.2">
      <c r="A2799" t="str">
        <f>IF(ROW(A2799)&lt;=Raw_hydro_bm!$J$2,Raw_hydro_bm!B2799,"")</f>
        <v/>
      </c>
      <c r="B2799" t="str">
        <f>IF(ROW(B2799)&lt;=Raw_hydro_bm!$J$2,Raw_hydro_bm!C2799,"")</f>
        <v/>
      </c>
      <c r="C2799" t="str">
        <f>IF(ROW(C2799)&lt;=Raw_hydro_bm!$J$2,Raw_hydro_bm!D2799,"")</f>
        <v/>
      </c>
      <c r="D2799" t="str">
        <f>IF(ROW(D2799)&lt;=Raw_hydro_bm!$J$2,Raw_hydro_bm!E2799,"")</f>
        <v/>
      </c>
      <c r="E2799" t="str">
        <f>IF(ROW(E2799)&lt;=Raw_hydro_bm!$J$2,Raw_hydro_bm!F2799,"")</f>
        <v/>
      </c>
      <c r="F2799" t="str">
        <f>IF(ROW(F2799)&lt;=Raw_hydro_bm!$J$2,Raw_hydro_bm!G2799,"")</f>
        <v/>
      </c>
      <c r="G2799" t="str">
        <f>IF(ROW(G2799)&lt;=Raw_hydro_bm!$J$2,Raw_hydro_bm!H2799,"")</f>
        <v/>
      </c>
      <c r="H2799" t="str">
        <f>IF(ROW(H2799)&lt;=Raw_hydro_bm!$J$2,Raw_hydro_bm!I2799,"")</f>
        <v/>
      </c>
      <c r="I2799" s="16" t="str">
        <f t="shared" si="43"/>
        <v/>
      </c>
    </row>
    <row r="2800" spans="1:9" x14ac:dyDescent="0.2">
      <c r="A2800" t="str">
        <f>IF(ROW(A2800)&lt;=Raw_hydro_bm!$J$2,Raw_hydro_bm!B2800,"")</f>
        <v/>
      </c>
      <c r="B2800" t="str">
        <f>IF(ROW(B2800)&lt;=Raw_hydro_bm!$J$2,Raw_hydro_bm!C2800,"")</f>
        <v/>
      </c>
      <c r="C2800" t="str">
        <f>IF(ROW(C2800)&lt;=Raw_hydro_bm!$J$2,Raw_hydro_bm!D2800,"")</f>
        <v/>
      </c>
      <c r="D2800" t="str">
        <f>IF(ROW(D2800)&lt;=Raw_hydro_bm!$J$2,Raw_hydro_bm!E2800,"")</f>
        <v/>
      </c>
      <c r="E2800" t="str">
        <f>IF(ROW(E2800)&lt;=Raw_hydro_bm!$J$2,Raw_hydro_bm!F2800,"")</f>
        <v/>
      </c>
      <c r="F2800" t="str">
        <f>IF(ROW(F2800)&lt;=Raw_hydro_bm!$J$2,Raw_hydro_bm!G2800,"")</f>
        <v/>
      </c>
      <c r="G2800" t="str">
        <f>IF(ROW(G2800)&lt;=Raw_hydro_bm!$J$2,Raw_hydro_bm!H2800,"")</f>
        <v/>
      </c>
      <c r="H2800" t="str">
        <f>IF(ROW(H2800)&lt;=Raw_hydro_bm!$J$2,Raw_hydro_bm!I2800,"")</f>
        <v/>
      </c>
      <c r="I2800" s="16" t="str">
        <f t="shared" si="43"/>
        <v/>
      </c>
    </row>
    <row r="2801" spans="1:9" x14ac:dyDescent="0.2">
      <c r="A2801" t="str">
        <f>IF(ROW(A2801)&lt;=Raw_hydro_bm!$J$2,Raw_hydro_bm!B2801,"")</f>
        <v/>
      </c>
      <c r="B2801" t="str">
        <f>IF(ROW(B2801)&lt;=Raw_hydro_bm!$J$2,Raw_hydro_bm!C2801,"")</f>
        <v/>
      </c>
      <c r="C2801" t="str">
        <f>IF(ROW(C2801)&lt;=Raw_hydro_bm!$J$2,Raw_hydro_bm!D2801,"")</f>
        <v/>
      </c>
      <c r="D2801" t="str">
        <f>IF(ROW(D2801)&lt;=Raw_hydro_bm!$J$2,Raw_hydro_bm!E2801,"")</f>
        <v/>
      </c>
      <c r="E2801" t="str">
        <f>IF(ROW(E2801)&lt;=Raw_hydro_bm!$J$2,Raw_hydro_bm!F2801,"")</f>
        <v/>
      </c>
      <c r="F2801" t="str">
        <f>IF(ROW(F2801)&lt;=Raw_hydro_bm!$J$2,Raw_hydro_bm!G2801,"")</f>
        <v/>
      </c>
      <c r="G2801" t="str">
        <f>IF(ROW(G2801)&lt;=Raw_hydro_bm!$J$2,Raw_hydro_bm!H2801,"")</f>
        <v/>
      </c>
      <c r="H2801" t="str">
        <f>IF(ROW(H2801)&lt;=Raw_hydro_bm!$J$2,Raw_hydro_bm!I2801,"")</f>
        <v/>
      </c>
      <c r="I2801" s="16" t="str">
        <f t="shared" si="43"/>
        <v/>
      </c>
    </row>
    <row r="2802" spans="1:9" x14ac:dyDescent="0.2">
      <c r="A2802" t="str">
        <f>IF(ROW(A2802)&lt;=Raw_hydro_bm!$J$2,Raw_hydro_bm!B2802,"")</f>
        <v/>
      </c>
      <c r="B2802" t="str">
        <f>IF(ROW(B2802)&lt;=Raw_hydro_bm!$J$2,Raw_hydro_bm!C2802,"")</f>
        <v/>
      </c>
      <c r="C2802" t="str">
        <f>IF(ROW(C2802)&lt;=Raw_hydro_bm!$J$2,Raw_hydro_bm!D2802,"")</f>
        <v/>
      </c>
      <c r="D2802" t="str">
        <f>IF(ROW(D2802)&lt;=Raw_hydro_bm!$J$2,Raw_hydro_bm!E2802,"")</f>
        <v/>
      </c>
      <c r="E2802" t="str">
        <f>IF(ROW(E2802)&lt;=Raw_hydro_bm!$J$2,Raw_hydro_bm!F2802,"")</f>
        <v/>
      </c>
      <c r="F2802" t="str">
        <f>IF(ROW(F2802)&lt;=Raw_hydro_bm!$J$2,Raw_hydro_bm!G2802,"")</f>
        <v/>
      </c>
      <c r="G2802" t="str">
        <f>IF(ROW(G2802)&lt;=Raw_hydro_bm!$J$2,Raw_hydro_bm!H2802,"")</f>
        <v/>
      </c>
      <c r="H2802" t="str">
        <f>IF(ROW(H2802)&lt;=Raw_hydro_bm!$J$2,Raw_hydro_bm!I2802,"")</f>
        <v/>
      </c>
      <c r="I2802" s="16" t="str">
        <f t="shared" si="43"/>
        <v/>
      </c>
    </row>
    <row r="2803" spans="1:9" x14ac:dyDescent="0.2">
      <c r="A2803" t="str">
        <f>IF(ROW(A2803)&lt;=Raw_hydro_bm!$J$2,Raw_hydro_bm!B2803,"")</f>
        <v/>
      </c>
      <c r="B2803" t="str">
        <f>IF(ROW(B2803)&lt;=Raw_hydro_bm!$J$2,Raw_hydro_bm!C2803,"")</f>
        <v/>
      </c>
      <c r="C2803" t="str">
        <f>IF(ROW(C2803)&lt;=Raw_hydro_bm!$J$2,Raw_hydro_bm!D2803,"")</f>
        <v/>
      </c>
      <c r="D2803" t="str">
        <f>IF(ROW(D2803)&lt;=Raw_hydro_bm!$J$2,Raw_hydro_bm!E2803,"")</f>
        <v/>
      </c>
      <c r="E2803" t="str">
        <f>IF(ROW(E2803)&lt;=Raw_hydro_bm!$J$2,Raw_hydro_bm!F2803,"")</f>
        <v/>
      </c>
      <c r="F2803" t="str">
        <f>IF(ROW(F2803)&lt;=Raw_hydro_bm!$J$2,Raw_hydro_bm!G2803,"")</f>
        <v/>
      </c>
      <c r="G2803" t="str">
        <f>IF(ROW(G2803)&lt;=Raw_hydro_bm!$J$2,Raw_hydro_bm!H2803,"")</f>
        <v/>
      </c>
      <c r="H2803" t="str">
        <f>IF(ROW(H2803)&lt;=Raw_hydro_bm!$J$2,Raw_hydro_bm!I2803,"")</f>
        <v/>
      </c>
      <c r="I2803" s="16" t="str">
        <f t="shared" si="43"/>
        <v/>
      </c>
    </row>
    <row r="2804" spans="1:9" x14ac:dyDescent="0.2">
      <c r="A2804" t="str">
        <f>IF(ROW(A2804)&lt;=Raw_hydro_bm!$J$2,Raw_hydro_bm!B2804,"")</f>
        <v/>
      </c>
      <c r="B2804" t="str">
        <f>IF(ROW(B2804)&lt;=Raw_hydro_bm!$J$2,Raw_hydro_bm!C2804,"")</f>
        <v/>
      </c>
      <c r="C2804" t="str">
        <f>IF(ROW(C2804)&lt;=Raw_hydro_bm!$J$2,Raw_hydro_bm!D2804,"")</f>
        <v/>
      </c>
      <c r="D2804" t="str">
        <f>IF(ROW(D2804)&lt;=Raw_hydro_bm!$J$2,Raw_hydro_bm!E2804,"")</f>
        <v/>
      </c>
      <c r="E2804" t="str">
        <f>IF(ROW(E2804)&lt;=Raw_hydro_bm!$J$2,Raw_hydro_bm!F2804,"")</f>
        <v/>
      </c>
      <c r="F2804" t="str">
        <f>IF(ROW(F2804)&lt;=Raw_hydro_bm!$J$2,Raw_hydro_bm!G2804,"")</f>
        <v/>
      </c>
      <c r="G2804" t="str">
        <f>IF(ROW(G2804)&lt;=Raw_hydro_bm!$J$2,Raw_hydro_bm!H2804,"")</f>
        <v/>
      </c>
      <c r="H2804" t="str">
        <f>IF(ROW(H2804)&lt;=Raw_hydro_bm!$J$2,Raw_hydro_bm!I2804,"")</f>
        <v/>
      </c>
      <c r="I2804" s="16" t="str">
        <f t="shared" si="43"/>
        <v/>
      </c>
    </row>
    <row r="2805" spans="1:9" x14ac:dyDescent="0.2">
      <c r="A2805" t="str">
        <f>IF(ROW(A2805)&lt;=Raw_hydro_bm!$J$2,Raw_hydro_bm!B2805,"")</f>
        <v/>
      </c>
      <c r="B2805" t="str">
        <f>IF(ROW(B2805)&lt;=Raw_hydro_bm!$J$2,Raw_hydro_bm!C2805,"")</f>
        <v/>
      </c>
      <c r="C2805" t="str">
        <f>IF(ROW(C2805)&lt;=Raw_hydro_bm!$J$2,Raw_hydro_bm!D2805,"")</f>
        <v/>
      </c>
      <c r="D2805" t="str">
        <f>IF(ROW(D2805)&lt;=Raw_hydro_bm!$J$2,Raw_hydro_bm!E2805,"")</f>
        <v/>
      </c>
      <c r="E2805" t="str">
        <f>IF(ROW(E2805)&lt;=Raw_hydro_bm!$J$2,Raw_hydro_bm!F2805,"")</f>
        <v/>
      </c>
      <c r="F2805" t="str">
        <f>IF(ROW(F2805)&lt;=Raw_hydro_bm!$J$2,Raw_hydro_bm!G2805,"")</f>
        <v/>
      </c>
      <c r="G2805" t="str">
        <f>IF(ROW(G2805)&lt;=Raw_hydro_bm!$J$2,Raw_hydro_bm!H2805,"")</f>
        <v/>
      </c>
      <c r="H2805" t="str">
        <f>IF(ROW(H2805)&lt;=Raw_hydro_bm!$J$2,Raw_hydro_bm!I2805,"")</f>
        <v/>
      </c>
      <c r="I2805" s="16" t="str">
        <f t="shared" si="43"/>
        <v/>
      </c>
    </row>
    <row r="2806" spans="1:9" x14ac:dyDescent="0.2">
      <c r="A2806" t="str">
        <f>IF(ROW(A2806)&lt;=Raw_hydro_bm!$J$2,Raw_hydro_bm!B2806,"")</f>
        <v/>
      </c>
      <c r="B2806" t="str">
        <f>IF(ROW(B2806)&lt;=Raw_hydro_bm!$J$2,Raw_hydro_bm!C2806,"")</f>
        <v/>
      </c>
      <c r="C2806" t="str">
        <f>IF(ROW(C2806)&lt;=Raw_hydro_bm!$J$2,Raw_hydro_bm!D2806,"")</f>
        <v/>
      </c>
      <c r="D2806" t="str">
        <f>IF(ROW(D2806)&lt;=Raw_hydro_bm!$J$2,Raw_hydro_bm!E2806,"")</f>
        <v/>
      </c>
      <c r="E2806" t="str">
        <f>IF(ROW(E2806)&lt;=Raw_hydro_bm!$J$2,Raw_hydro_bm!F2806,"")</f>
        <v/>
      </c>
      <c r="F2806" t="str">
        <f>IF(ROW(F2806)&lt;=Raw_hydro_bm!$J$2,Raw_hydro_bm!G2806,"")</f>
        <v/>
      </c>
      <c r="G2806" t="str">
        <f>IF(ROW(G2806)&lt;=Raw_hydro_bm!$J$2,Raw_hydro_bm!H2806,"")</f>
        <v/>
      </c>
      <c r="H2806" t="str">
        <f>IF(ROW(H2806)&lt;=Raw_hydro_bm!$J$2,Raw_hydro_bm!I2806,"")</f>
        <v/>
      </c>
      <c r="I2806" s="16" t="str">
        <f t="shared" si="43"/>
        <v/>
      </c>
    </row>
    <row r="2807" spans="1:9" x14ac:dyDescent="0.2">
      <c r="A2807" t="str">
        <f>IF(ROW(A2807)&lt;=Raw_hydro_bm!$J$2,Raw_hydro_bm!B2807,"")</f>
        <v/>
      </c>
      <c r="B2807" t="str">
        <f>IF(ROW(B2807)&lt;=Raw_hydro_bm!$J$2,Raw_hydro_bm!C2807,"")</f>
        <v/>
      </c>
      <c r="C2807" t="str">
        <f>IF(ROW(C2807)&lt;=Raw_hydro_bm!$J$2,Raw_hydro_bm!D2807,"")</f>
        <v/>
      </c>
      <c r="D2807" t="str">
        <f>IF(ROW(D2807)&lt;=Raw_hydro_bm!$J$2,Raw_hydro_bm!E2807,"")</f>
        <v/>
      </c>
      <c r="E2807" t="str">
        <f>IF(ROW(E2807)&lt;=Raw_hydro_bm!$J$2,Raw_hydro_bm!F2807,"")</f>
        <v/>
      </c>
      <c r="F2807" t="str">
        <f>IF(ROW(F2807)&lt;=Raw_hydro_bm!$J$2,Raw_hydro_bm!G2807,"")</f>
        <v/>
      </c>
      <c r="G2807" t="str">
        <f>IF(ROW(G2807)&lt;=Raw_hydro_bm!$J$2,Raw_hydro_bm!H2807,"")</f>
        <v/>
      </c>
      <c r="H2807" t="str">
        <f>IF(ROW(H2807)&lt;=Raw_hydro_bm!$J$2,Raw_hydro_bm!I2807,"")</f>
        <v/>
      </c>
      <c r="I2807" s="16" t="str">
        <f t="shared" si="43"/>
        <v/>
      </c>
    </row>
    <row r="2808" spans="1:9" x14ac:dyDescent="0.2">
      <c r="A2808" t="str">
        <f>IF(ROW(A2808)&lt;=Raw_hydro_bm!$J$2,Raw_hydro_bm!B2808,"")</f>
        <v/>
      </c>
      <c r="B2808" t="str">
        <f>IF(ROW(B2808)&lt;=Raw_hydro_bm!$J$2,Raw_hydro_bm!C2808,"")</f>
        <v/>
      </c>
      <c r="C2808" t="str">
        <f>IF(ROW(C2808)&lt;=Raw_hydro_bm!$J$2,Raw_hydro_bm!D2808,"")</f>
        <v/>
      </c>
      <c r="D2808" t="str">
        <f>IF(ROW(D2808)&lt;=Raw_hydro_bm!$J$2,Raw_hydro_bm!E2808,"")</f>
        <v/>
      </c>
      <c r="E2808" t="str">
        <f>IF(ROW(E2808)&lt;=Raw_hydro_bm!$J$2,Raw_hydro_bm!F2808,"")</f>
        <v/>
      </c>
      <c r="F2808" t="str">
        <f>IF(ROW(F2808)&lt;=Raw_hydro_bm!$J$2,Raw_hydro_bm!G2808,"")</f>
        <v/>
      </c>
      <c r="G2808" t="str">
        <f>IF(ROW(G2808)&lt;=Raw_hydro_bm!$J$2,Raw_hydro_bm!H2808,"")</f>
        <v/>
      </c>
      <c r="H2808" t="str">
        <f>IF(ROW(H2808)&lt;=Raw_hydro_bm!$J$2,Raw_hydro_bm!I2808,"")</f>
        <v/>
      </c>
      <c r="I2808" s="16" t="str">
        <f t="shared" si="43"/>
        <v/>
      </c>
    </row>
    <row r="2809" spans="1:9" x14ac:dyDescent="0.2">
      <c r="A2809" t="str">
        <f>IF(ROW(A2809)&lt;=Raw_hydro_bm!$J$2,Raw_hydro_bm!B2809,"")</f>
        <v/>
      </c>
      <c r="B2809" t="str">
        <f>IF(ROW(B2809)&lt;=Raw_hydro_bm!$J$2,Raw_hydro_bm!C2809,"")</f>
        <v/>
      </c>
      <c r="C2809" t="str">
        <f>IF(ROW(C2809)&lt;=Raw_hydro_bm!$J$2,Raw_hydro_bm!D2809,"")</f>
        <v/>
      </c>
      <c r="D2809" t="str">
        <f>IF(ROW(D2809)&lt;=Raw_hydro_bm!$J$2,Raw_hydro_bm!E2809,"")</f>
        <v/>
      </c>
      <c r="E2809" t="str">
        <f>IF(ROW(E2809)&lt;=Raw_hydro_bm!$J$2,Raw_hydro_bm!F2809,"")</f>
        <v/>
      </c>
      <c r="F2809" t="str">
        <f>IF(ROW(F2809)&lt;=Raw_hydro_bm!$J$2,Raw_hydro_bm!G2809,"")</f>
        <v/>
      </c>
      <c r="G2809" t="str">
        <f>IF(ROW(G2809)&lt;=Raw_hydro_bm!$J$2,Raw_hydro_bm!H2809,"")</f>
        <v/>
      </c>
      <c r="H2809" t="str">
        <f>IF(ROW(H2809)&lt;=Raw_hydro_bm!$J$2,Raw_hydro_bm!I2809,"")</f>
        <v/>
      </c>
      <c r="I2809" s="16" t="str">
        <f t="shared" si="43"/>
        <v/>
      </c>
    </row>
    <row r="2810" spans="1:9" x14ac:dyDescent="0.2">
      <c r="A2810" t="str">
        <f>IF(ROW(A2810)&lt;=Raw_hydro_bm!$J$2,Raw_hydro_bm!B2810,"")</f>
        <v/>
      </c>
      <c r="B2810" t="str">
        <f>IF(ROW(B2810)&lt;=Raw_hydro_bm!$J$2,Raw_hydro_bm!C2810,"")</f>
        <v/>
      </c>
      <c r="C2810" t="str">
        <f>IF(ROW(C2810)&lt;=Raw_hydro_bm!$J$2,Raw_hydro_bm!D2810,"")</f>
        <v/>
      </c>
      <c r="D2810" t="str">
        <f>IF(ROW(D2810)&lt;=Raw_hydro_bm!$J$2,Raw_hydro_bm!E2810,"")</f>
        <v/>
      </c>
      <c r="E2810" t="str">
        <f>IF(ROW(E2810)&lt;=Raw_hydro_bm!$J$2,Raw_hydro_bm!F2810,"")</f>
        <v/>
      </c>
      <c r="F2810" t="str">
        <f>IF(ROW(F2810)&lt;=Raw_hydro_bm!$J$2,Raw_hydro_bm!G2810,"")</f>
        <v/>
      </c>
      <c r="G2810" t="str">
        <f>IF(ROW(G2810)&lt;=Raw_hydro_bm!$J$2,Raw_hydro_bm!H2810,"")</f>
        <v/>
      </c>
      <c r="H2810" t="str">
        <f>IF(ROW(H2810)&lt;=Raw_hydro_bm!$J$2,Raw_hydro_bm!I2810,"")</f>
        <v/>
      </c>
      <c r="I2810" s="16" t="str">
        <f t="shared" si="43"/>
        <v/>
      </c>
    </row>
    <row r="2811" spans="1:9" x14ac:dyDescent="0.2">
      <c r="A2811" t="str">
        <f>IF(ROW(A2811)&lt;=Raw_hydro_bm!$J$2,Raw_hydro_bm!B2811,"")</f>
        <v/>
      </c>
      <c r="B2811" t="str">
        <f>IF(ROW(B2811)&lt;=Raw_hydro_bm!$J$2,Raw_hydro_bm!C2811,"")</f>
        <v/>
      </c>
      <c r="C2811" t="str">
        <f>IF(ROW(C2811)&lt;=Raw_hydro_bm!$J$2,Raw_hydro_bm!D2811,"")</f>
        <v/>
      </c>
      <c r="D2811" t="str">
        <f>IF(ROW(D2811)&lt;=Raw_hydro_bm!$J$2,Raw_hydro_bm!E2811,"")</f>
        <v/>
      </c>
      <c r="E2811" t="str">
        <f>IF(ROW(E2811)&lt;=Raw_hydro_bm!$J$2,Raw_hydro_bm!F2811,"")</f>
        <v/>
      </c>
      <c r="F2811" t="str">
        <f>IF(ROW(F2811)&lt;=Raw_hydro_bm!$J$2,Raw_hydro_bm!G2811,"")</f>
        <v/>
      </c>
      <c r="G2811" t="str">
        <f>IF(ROW(G2811)&lt;=Raw_hydro_bm!$J$2,Raw_hydro_bm!H2811,"")</f>
        <v/>
      </c>
      <c r="H2811" t="str">
        <f>IF(ROW(H2811)&lt;=Raw_hydro_bm!$J$2,Raw_hydro_bm!I2811,"")</f>
        <v/>
      </c>
      <c r="I2811" s="16" t="str">
        <f t="shared" si="43"/>
        <v/>
      </c>
    </row>
    <row r="2812" spans="1:9" x14ac:dyDescent="0.2">
      <c r="A2812" t="str">
        <f>IF(ROW(A2812)&lt;=Raw_hydro_bm!$J$2,Raw_hydro_bm!B2812,"")</f>
        <v/>
      </c>
      <c r="B2812" t="str">
        <f>IF(ROW(B2812)&lt;=Raw_hydro_bm!$J$2,Raw_hydro_bm!C2812,"")</f>
        <v/>
      </c>
      <c r="C2812" t="str">
        <f>IF(ROW(C2812)&lt;=Raw_hydro_bm!$J$2,Raw_hydro_bm!D2812,"")</f>
        <v/>
      </c>
      <c r="D2812" t="str">
        <f>IF(ROW(D2812)&lt;=Raw_hydro_bm!$J$2,Raw_hydro_bm!E2812,"")</f>
        <v/>
      </c>
      <c r="E2812" t="str">
        <f>IF(ROW(E2812)&lt;=Raw_hydro_bm!$J$2,Raw_hydro_bm!F2812,"")</f>
        <v/>
      </c>
      <c r="F2812" t="str">
        <f>IF(ROW(F2812)&lt;=Raw_hydro_bm!$J$2,Raw_hydro_bm!G2812,"")</f>
        <v/>
      </c>
      <c r="G2812" t="str">
        <f>IF(ROW(G2812)&lt;=Raw_hydro_bm!$J$2,Raw_hydro_bm!H2812,"")</f>
        <v/>
      </c>
      <c r="H2812" t="str">
        <f>IF(ROW(H2812)&lt;=Raw_hydro_bm!$J$2,Raw_hydro_bm!I2812,"")</f>
        <v/>
      </c>
      <c r="I2812" s="16" t="str">
        <f t="shared" si="43"/>
        <v/>
      </c>
    </row>
    <row r="2813" spans="1:9" x14ac:dyDescent="0.2">
      <c r="A2813" t="str">
        <f>IF(ROW(A2813)&lt;=Raw_hydro_bm!$J$2,Raw_hydro_bm!B2813,"")</f>
        <v/>
      </c>
      <c r="B2813" t="str">
        <f>IF(ROW(B2813)&lt;=Raw_hydro_bm!$J$2,Raw_hydro_bm!C2813,"")</f>
        <v/>
      </c>
      <c r="C2813" t="str">
        <f>IF(ROW(C2813)&lt;=Raw_hydro_bm!$J$2,Raw_hydro_bm!D2813,"")</f>
        <v/>
      </c>
      <c r="D2813" t="str">
        <f>IF(ROW(D2813)&lt;=Raw_hydro_bm!$J$2,Raw_hydro_bm!E2813,"")</f>
        <v/>
      </c>
      <c r="E2813" t="str">
        <f>IF(ROW(E2813)&lt;=Raw_hydro_bm!$J$2,Raw_hydro_bm!F2813,"")</f>
        <v/>
      </c>
      <c r="F2813" t="str">
        <f>IF(ROW(F2813)&lt;=Raw_hydro_bm!$J$2,Raw_hydro_bm!G2813,"")</f>
        <v/>
      </c>
      <c r="G2813" t="str">
        <f>IF(ROW(G2813)&lt;=Raw_hydro_bm!$J$2,Raw_hydro_bm!H2813,"")</f>
        <v/>
      </c>
      <c r="H2813" t="str">
        <f>IF(ROW(H2813)&lt;=Raw_hydro_bm!$J$2,Raw_hydro_bm!I2813,"")</f>
        <v/>
      </c>
      <c r="I2813" s="16" t="str">
        <f t="shared" si="43"/>
        <v/>
      </c>
    </row>
    <row r="2814" spans="1:9" x14ac:dyDescent="0.2">
      <c r="A2814" t="str">
        <f>IF(ROW(A2814)&lt;=Raw_hydro_bm!$J$2,Raw_hydro_bm!B2814,"")</f>
        <v/>
      </c>
      <c r="B2814" t="str">
        <f>IF(ROW(B2814)&lt;=Raw_hydro_bm!$J$2,Raw_hydro_bm!C2814,"")</f>
        <v/>
      </c>
      <c r="C2814" t="str">
        <f>IF(ROW(C2814)&lt;=Raw_hydro_bm!$J$2,Raw_hydro_bm!D2814,"")</f>
        <v/>
      </c>
      <c r="D2814" t="str">
        <f>IF(ROW(D2814)&lt;=Raw_hydro_bm!$J$2,Raw_hydro_bm!E2814,"")</f>
        <v/>
      </c>
      <c r="E2814" t="str">
        <f>IF(ROW(E2814)&lt;=Raw_hydro_bm!$J$2,Raw_hydro_bm!F2814,"")</f>
        <v/>
      </c>
      <c r="F2814" t="str">
        <f>IF(ROW(F2814)&lt;=Raw_hydro_bm!$J$2,Raw_hydro_bm!G2814,"")</f>
        <v/>
      </c>
      <c r="G2814" t="str">
        <f>IF(ROW(G2814)&lt;=Raw_hydro_bm!$J$2,Raw_hydro_bm!H2814,"")</f>
        <v/>
      </c>
      <c r="H2814" t="str">
        <f>IF(ROW(H2814)&lt;=Raw_hydro_bm!$J$2,Raw_hydro_bm!I2814,"")</f>
        <v/>
      </c>
      <c r="I2814" s="16" t="str">
        <f t="shared" si="43"/>
        <v/>
      </c>
    </row>
    <row r="2815" spans="1:9" x14ac:dyDescent="0.2">
      <c r="A2815" t="str">
        <f>IF(ROW(A2815)&lt;=Raw_hydro_bm!$J$2,Raw_hydro_bm!B2815,"")</f>
        <v/>
      </c>
      <c r="B2815" t="str">
        <f>IF(ROW(B2815)&lt;=Raw_hydro_bm!$J$2,Raw_hydro_bm!C2815,"")</f>
        <v/>
      </c>
      <c r="C2815" t="str">
        <f>IF(ROW(C2815)&lt;=Raw_hydro_bm!$J$2,Raw_hydro_bm!D2815,"")</f>
        <v/>
      </c>
      <c r="D2815" t="str">
        <f>IF(ROW(D2815)&lt;=Raw_hydro_bm!$J$2,Raw_hydro_bm!E2815,"")</f>
        <v/>
      </c>
      <c r="E2815" t="str">
        <f>IF(ROW(E2815)&lt;=Raw_hydro_bm!$J$2,Raw_hydro_bm!F2815,"")</f>
        <v/>
      </c>
      <c r="F2815" t="str">
        <f>IF(ROW(F2815)&lt;=Raw_hydro_bm!$J$2,Raw_hydro_bm!G2815,"")</f>
        <v/>
      </c>
      <c r="G2815" t="str">
        <f>IF(ROW(G2815)&lt;=Raw_hydro_bm!$J$2,Raw_hydro_bm!H2815,"")</f>
        <v/>
      </c>
      <c r="H2815" t="str">
        <f>IF(ROW(H2815)&lt;=Raw_hydro_bm!$J$2,Raw_hydro_bm!I2815,"")</f>
        <v/>
      </c>
      <c r="I2815" s="16" t="str">
        <f t="shared" si="43"/>
        <v/>
      </c>
    </row>
    <row r="2816" spans="1:9" x14ac:dyDescent="0.2">
      <c r="A2816" t="str">
        <f>IF(ROW(A2816)&lt;=Raw_hydro_bm!$J$2,Raw_hydro_bm!B2816,"")</f>
        <v/>
      </c>
      <c r="B2816" t="str">
        <f>IF(ROW(B2816)&lt;=Raw_hydro_bm!$J$2,Raw_hydro_bm!C2816,"")</f>
        <v/>
      </c>
      <c r="C2816" t="str">
        <f>IF(ROW(C2816)&lt;=Raw_hydro_bm!$J$2,Raw_hydro_bm!D2816,"")</f>
        <v/>
      </c>
      <c r="D2816" t="str">
        <f>IF(ROW(D2816)&lt;=Raw_hydro_bm!$J$2,Raw_hydro_bm!E2816,"")</f>
        <v/>
      </c>
      <c r="E2816" t="str">
        <f>IF(ROW(E2816)&lt;=Raw_hydro_bm!$J$2,Raw_hydro_bm!F2816,"")</f>
        <v/>
      </c>
      <c r="F2816" t="str">
        <f>IF(ROW(F2816)&lt;=Raw_hydro_bm!$J$2,Raw_hydro_bm!G2816,"")</f>
        <v/>
      </c>
      <c r="G2816" t="str">
        <f>IF(ROW(G2816)&lt;=Raw_hydro_bm!$J$2,Raw_hydro_bm!H2816,"")</f>
        <v/>
      </c>
      <c r="H2816" t="str">
        <f>IF(ROW(H2816)&lt;=Raw_hydro_bm!$J$2,Raw_hydro_bm!I2816,"")</f>
        <v/>
      </c>
      <c r="I2816" s="16" t="str">
        <f t="shared" si="43"/>
        <v/>
      </c>
    </row>
    <row r="2817" spans="1:9" x14ac:dyDescent="0.2">
      <c r="A2817" t="str">
        <f>IF(ROW(A2817)&lt;=Raw_hydro_bm!$J$2,Raw_hydro_bm!B2817,"")</f>
        <v/>
      </c>
      <c r="B2817" t="str">
        <f>IF(ROW(B2817)&lt;=Raw_hydro_bm!$J$2,Raw_hydro_bm!C2817,"")</f>
        <v/>
      </c>
      <c r="C2817" t="str">
        <f>IF(ROW(C2817)&lt;=Raw_hydro_bm!$J$2,Raw_hydro_bm!D2817,"")</f>
        <v/>
      </c>
      <c r="D2817" t="str">
        <f>IF(ROW(D2817)&lt;=Raw_hydro_bm!$J$2,Raw_hydro_bm!E2817,"")</f>
        <v/>
      </c>
      <c r="E2817" t="str">
        <f>IF(ROW(E2817)&lt;=Raw_hydro_bm!$J$2,Raw_hydro_bm!F2817,"")</f>
        <v/>
      </c>
      <c r="F2817" t="str">
        <f>IF(ROW(F2817)&lt;=Raw_hydro_bm!$J$2,Raw_hydro_bm!G2817,"")</f>
        <v/>
      </c>
      <c r="G2817" t="str">
        <f>IF(ROW(G2817)&lt;=Raw_hydro_bm!$J$2,Raw_hydro_bm!H2817,"")</f>
        <v/>
      </c>
      <c r="H2817" t="str">
        <f>IF(ROW(H2817)&lt;=Raw_hydro_bm!$J$2,Raw_hydro_bm!I2817,"")</f>
        <v/>
      </c>
      <c r="I2817" s="16" t="str">
        <f t="shared" si="43"/>
        <v/>
      </c>
    </row>
    <row r="2818" spans="1:9" x14ac:dyDescent="0.2">
      <c r="A2818" t="str">
        <f>IF(ROW(A2818)&lt;=Raw_hydro_bm!$J$2,Raw_hydro_bm!B2818,"")</f>
        <v/>
      </c>
      <c r="B2818" t="str">
        <f>IF(ROW(B2818)&lt;=Raw_hydro_bm!$J$2,Raw_hydro_bm!C2818,"")</f>
        <v/>
      </c>
      <c r="C2818" t="str">
        <f>IF(ROW(C2818)&lt;=Raw_hydro_bm!$J$2,Raw_hydro_bm!D2818,"")</f>
        <v/>
      </c>
      <c r="D2818" t="str">
        <f>IF(ROW(D2818)&lt;=Raw_hydro_bm!$J$2,Raw_hydro_bm!E2818,"")</f>
        <v/>
      </c>
      <c r="E2818" t="str">
        <f>IF(ROW(E2818)&lt;=Raw_hydro_bm!$J$2,Raw_hydro_bm!F2818,"")</f>
        <v/>
      </c>
      <c r="F2818" t="str">
        <f>IF(ROW(F2818)&lt;=Raw_hydro_bm!$J$2,Raw_hydro_bm!G2818,"")</f>
        <v/>
      </c>
      <c r="G2818" t="str">
        <f>IF(ROW(G2818)&lt;=Raw_hydro_bm!$J$2,Raw_hydro_bm!H2818,"")</f>
        <v/>
      </c>
      <c r="H2818" t="str">
        <f>IF(ROW(H2818)&lt;=Raw_hydro_bm!$J$2,Raw_hydro_bm!I2818,"")</f>
        <v/>
      </c>
      <c r="I2818" s="16" t="str">
        <f t="shared" ref="I2818:I2881" si="44">IF(IFERROR(FIND("e",H2818),-1)&lt;0,IFERROR(_xlfn.NUMBERVALUE(LEFT(H2818,FIND(".",H2818)-1))+_xlfn.NUMBERVALUE("0,"&amp;RIGHT(H2818,LEN(H2818)-FIND(".",H2818))),""),0)</f>
        <v/>
      </c>
    </row>
    <row r="2819" spans="1:9" x14ac:dyDescent="0.2">
      <c r="A2819" t="str">
        <f>IF(ROW(A2819)&lt;=Raw_hydro_bm!$J$2,Raw_hydro_bm!B2819,"")</f>
        <v/>
      </c>
      <c r="B2819" t="str">
        <f>IF(ROW(B2819)&lt;=Raw_hydro_bm!$J$2,Raw_hydro_bm!C2819,"")</f>
        <v/>
      </c>
      <c r="C2819" t="str">
        <f>IF(ROW(C2819)&lt;=Raw_hydro_bm!$J$2,Raw_hydro_bm!D2819,"")</f>
        <v/>
      </c>
      <c r="D2819" t="str">
        <f>IF(ROW(D2819)&lt;=Raw_hydro_bm!$J$2,Raw_hydro_bm!E2819,"")</f>
        <v/>
      </c>
      <c r="E2819" t="str">
        <f>IF(ROW(E2819)&lt;=Raw_hydro_bm!$J$2,Raw_hydro_bm!F2819,"")</f>
        <v/>
      </c>
      <c r="F2819" t="str">
        <f>IF(ROW(F2819)&lt;=Raw_hydro_bm!$J$2,Raw_hydro_bm!G2819,"")</f>
        <v/>
      </c>
      <c r="G2819" t="str">
        <f>IF(ROW(G2819)&lt;=Raw_hydro_bm!$J$2,Raw_hydro_bm!H2819,"")</f>
        <v/>
      </c>
      <c r="H2819" t="str">
        <f>IF(ROW(H2819)&lt;=Raw_hydro_bm!$J$2,Raw_hydro_bm!I2819,"")</f>
        <v/>
      </c>
      <c r="I2819" s="16" t="str">
        <f t="shared" si="44"/>
        <v/>
      </c>
    </row>
    <row r="2820" spans="1:9" x14ac:dyDescent="0.2">
      <c r="A2820" t="str">
        <f>IF(ROW(A2820)&lt;=Raw_hydro_bm!$J$2,Raw_hydro_bm!B2820,"")</f>
        <v/>
      </c>
      <c r="B2820" t="str">
        <f>IF(ROW(B2820)&lt;=Raw_hydro_bm!$J$2,Raw_hydro_bm!C2820,"")</f>
        <v/>
      </c>
      <c r="C2820" t="str">
        <f>IF(ROW(C2820)&lt;=Raw_hydro_bm!$J$2,Raw_hydro_bm!D2820,"")</f>
        <v/>
      </c>
      <c r="D2820" t="str">
        <f>IF(ROW(D2820)&lt;=Raw_hydro_bm!$J$2,Raw_hydro_bm!E2820,"")</f>
        <v/>
      </c>
      <c r="E2820" t="str">
        <f>IF(ROW(E2820)&lt;=Raw_hydro_bm!$J$2,Raw_hydro_bm!F2820,"")</f>
        <v/>
      </c>
      <c r="F2820" t="str">
        <f>IF(ROW(F2820)&lt;=Raw_hydro_bm!$J$2,Raw_hydro_bm!G2820,"")</f>
        <v/>
      </c>
      <c r="G2820" t="str">
        <f>IF(ROW(G2820)&lt;=Raw_hydro_bm!$J$2,Raw_hydro_bm!H2820,"")</f>
        <v/>
      </c>
      <c r="H2820" t="str">
        <f>IF(ROW(H2820)&lt;=Raw_hydro_bm!$J$2,Raw_hydro_bm!I2820,"")</f>
        <v/>
      </c>
      <c r="I2820" s="16" t="str">
        <f t="shared" si="44"/>
        <v/>
      </c>
    </row>
    <row r="2821" spans="1:9" x14ac:dyDescent="0.2">
      <c r="A2821" t="str">
        <f>IF(ROW(A2821)&lt;=Raw_hydro_bm!$J$2,Raw_hydro_bm!B2821,"")</f>
        <v/>
      </c>
      <c r="B2821" t="str">
        <f>IF(ROW(B2821)&lt;=Raw_hydro_bm!$J$2,Raw_hydro_bm!C2821,"")</f>
        <v/>
      </c>
      <c r="C2821" t="str">
        <f>IF(ROW(C2821)&lt;=Raw_hydro_bm!$J$2,Raw_hydro_bm!D2821,"")</f>
        <v/>
      </c>
      <c r="D2821" t="str">
        <f>IF(ROW(D2821)&lt;=Raw_hydro_bm!$J$2,Raw_hydro_bm!E2821,"")</f>
        <v/>
      </c>
      <c r="E2821" t="str">
        <f>IF(ROW(E2821)&lt;=Raw_hydro_bm!$J$2,Raw_hydro_bm!F2821,"")</f>
        <v/>
      </c>
      <c r="F2821" t="str">
        <f>IF(ROW(F2821)&lt;=Raw_hydro_bm!$J$2,Raw_hydro_bm!G2821,"")</f>
        <v/>
      </c>
      <c r="G2821" t="str">
        <f>IF(ROW(G2821)&lt;=Raw_hydro_bm!$J$2,Raw_hydro_bm!H2821,"")</f>
        <v/>
      </c>
      <c r="H2821" t="str">
        <f>IF(ROW(H2821)&lt;=Raw_hydro_bm!$J$2,Raw_hydro_bm!I2821,"")</f>
        <v/>
      </c>
      <c r="I2821" s="16" t="str">
        <f t="shared" si="44"/>
        <v/>
      </c>
    </row>
    <row r="2822" spans="1:9" x14ac:dyDescent="0.2">
      <c r="A2822" t="str">
        <f>IF(ROW(A2822)&lt;=Raw_hydro_bm!$J$2,Raw_hydro_bm!B2822,"")</f>
        <v/>
      </c>
      <c r="B2822" t="str">
        <f>IF(ROW(B2822)&lt;=Raw_hydro_bm!$J$2,Raw_hydro_bm!C2822,"")</f>
        <v/>
      </c>
      <c r="C2822" t="str">
        <f>IF(ROW(C2822)&lt;=Raw_hydro_bm!$J$2,Raw_hydro_bm!D2822,"")</f>
        <v/>
      </c>
      <c r="D2822" t="str">
        <f>IF(ROW(D2822)&lt;=Raw_hydro_bm!$J$2,Raw_hydro_bm!E2822,"")</f>
        <v/>
      </c>
      <c r="E2822" t="str">
        <f>IF(ROW(E2822)&lt;=Raw_hydro_bm!$J$2,Raw_hydro_bm!F2822,"")</f>
        <v/>
      </c>
      <c r="F2822" t="str">
        <f>IF(ROW(F2822)&lt;=Raw_hydro_bm!$J$2,Raw_hydro_bm!G2822,"")</f>
        <v/>
      </c>
      <c r="G2822" t="str">
        <f>IF(ROW(G2822)&lt;=Raw_hydro_bm!$J$2,Raw_hydro_bm!H2822,"")</f>
        <v/>
      </c>
      <c r="H2822" t="str">
        <f>IF(ROW(H2822)&lt;=Raw_hydro_bm!$J$2,Raw_hydro_bm!I2822,"")</f>
        <v/>
      </c>
      <c r="I2822" s="16" t="str">
        <f t="shared" si="44"/>
        <v/>
      </c>
    </row>
    <row r="2823" spans="1:9" x14ac:dyDescent="0.2">
      <c r="A2823" t="str">
        <f>IF(ROW(A2823)&lt;=Raw_hydro_bm!$J$2,Raw_hydro_bm!B2823,"")</f>
        <v/>
      </c>
      <c r="B2823" t="str">
        <f>IF(ROW(B2823)&lt;=Raw_hydro_bm!$J$2,Raw_hydro_bm!C2823,"")</f>
        <v/>
      </c>
      <c r="C2823" t="str">
        <f>IF(ROW(C2823)&lt;=Raw_hydro_bm!$J$2,Raw_hydro_bm!D2823,"")</f>
        <v/>
      </c>
      <c r="D2823" t="str">
        <f>IF(ROW(D2823)&lt;=Raw_hydro_bm!$J$2,Raw_hydro_bm!E2823,"")</f>
        <v/>
      </c>
      <c r="E2823" t="str">
        <f>IF(ROW(E2823)&lt;=Raw_hydro_bm!$J$2,Raw_hydro_bm!F2823,"")</f>
        <v/>
      </c>
      <c r="F2823" t="str">
        <f>IF(ROW(F2823)&lt;=Raw_hydro_bm!$J$2,Raw_hydro_bm!G2823,"")</f>
        <v/>
      </c>
      <c r="G2823" t="str">
        <f>IF(ROW(G2823)&lt;=Raw_hydro_bm!$J$2,Raw_hydro_bm!H2823,"")</f>
        <v/>
      </c>
      <c r="H2823" t="str">
        <f>IF(ROW(H2823)&lt;=Raw_hydro_bm!$J$2,Raw_hydro_bm!I2823,"")</f>
        <v/>
      </c>
      <c r="I2823" s="16" t="str">
        <f t="shared" si="44"/>
        <v/>
      </c>
    </row>
    <row r="2824" spans="1:9" x14ac:dyDescent="0.2">
      <c r="A2824" t="str">
        <f>IF(ROW(A2824)&lt;=Raw_hydro_bm!$J$2,Raw_hydro_bm!B2824,"")</f>
        <v/>
      </c>
      <c r="B2824" t="str">
        <f>IF(ROW(B2824)&lt;=Raw_hydro_bm!$J$2,Raw_hydro_bm!C2824,"")</f>
        <v/>
      </c>
      <c r="C2824" t="str">
        <f>IF(ROW(C2824)&lt;=Raw_hydro_bm!$J$2,Raw_hydro_bm!D2824,"")</f>
        <v/>
      </c>
      <c r="D2824" t="str">
        <f>IF(ROW(D2824)&lt;=Raw_hydro_bm!$J$2,Raw_hydro_bm!E2824,"")</f>
        <v/>
      </c>
      <c r="E2824" t="str">
        <f>IF(ROW(E2824)&lt;=Raw_hydro_bm!$J$2,Raw_hydro_bm!F2824,"")</f>
        <v/>
      </c>
      <c r="F2824" t="str">
        <f>IF(ROW(F2824)&lt;=Raw_hydro_bm!$J$2,Raw_hydro_bm!G2824,"")</f>
        <v/>
      </c>
      <c r="G2824" t="str">
        <f>IF(ROW(G2824)&lt;=Raw_hydro_bm!$J$2,Raw_hydro_bm!H2824,"")</f>
        <v/>
      </c>
      <c r="H2824" t="str">
        <f>IF(ROW(H2824)&lt;=Raw_hydro_bm!$J$2,Raw_hydro_bm!I2824,"")</f>
        <v/>
      </c>
      <c r="I2824" s="16" t="str">
        <f t="shared" si="44"/>
        <v/>
      </c>
    </row>
    <row r="2825" spans="1:9" x14ac:dyDescent="0.2">
      <c r="A2825" t="str">
        <f>IF(ROW(A2825)&lt;=Raw_hydro_bm!$J$2,Raw_hydro_bm!B2825,"")</f>
        <v/>
      </c>
      <c r="B2825" t="str">
        <f>IF(ROW(B2825)&lt;=Raw_hydro_bm!$J$2,Raw_hydro_bm!C2825,"")</f>
        <v/>
      </c>
      <c r="C2825" t="str">
        <f>IF(ROW(C2825)&lt;=Raw_hydro_bm!$J$2,Raw_hydro_bm!D2825,"")</f>
        <v/>
      </c>
      <c r="D2825" t="str">
        <f>IF(ROW(D2825)&lt;=Raw_hydro_bm!$J$2,Raw_hydro_bm!E2825,"")</f>
        <v/>
      </c>
      <c r="E2825" t="str">
        <f>IF(ROW(E2825)&lt;=Raw_hydro_bm!$J$2,Raw_hydro_bm!F2825,"")</f>
        <v/>
      </c>
      <c r="F2825" t="str">
        <f>IF(ROW(F2825)&lt;=Raw_hydro_bm!$J$2,Raw_hydro_bm!G2825,"")</f>
        <v/>
      </c>
      <c r="G2825" t="str">
        <f>IF(ROW(G2825)&lt;=Raw_hydro_bm!$J$2,Raw_hydro_bm!H2825,"")</f>
        <v/>
      </c>
      <c r="H2825" t="str">
        <f>IF(ROW(H2825)&lt;=Raw_hydro_bm!$J$2,Raw_hydro_bm!I2825,"")</f>
        <v/>
      </c>
      <c r="I2825" s="16" t="str">
        <f t="shared" si="44"/>
        <v/>
      </c>
    </row>
    <row r="2826" spans="1:9" x14ac:dyDescent="0.2">
      <c r="A2826" t="str">
        <f>IF(ROW(A2826)&lt;=Raw_hydro_bm!$J$2,Raw_hydro_bm!B2826,"")</f>
        <v/>
      </c>
      <c r="B2826" t="str">
        <f>IF(ROW(B2826)&lt;=Raw_hydro_bm!$J$2,Raw_hydro_bm!C2826,"")</f>
        <v/>
      </c>
      <c r="C2826" t="str">
        <f>IF(ROW(C2826)&lt;=Raw_hydro_bm!$J$2,Raw_hydro_bm!D2826,"")</f>
        <v/>
      </c>
      <c r="D2826" t="str">
        <f>IF(ROW(D2826)&lt;=Raw_hydro_bm!$J$2,Raw_hydro_bm!E2826,"")</f>
        <v/>
      </c>
      <c r="E2826" t="str">
        <f>IF(ROW(E2826)&lt;=Raw_hydro_bm!$J$2,Raw_hydro_bm!F2826,"")</f>
        <v/>
      </c>
      <c r="F2826" t="str">
        <f>IF(ROW(F2826)&lt;=Raw_hydro_bm!$J$2,Raw_hydro_bm!G2826,"")</f>
        <v/>
      </c>
      <c r="G2826" t="str">
        <f>IF(ROW(G2826)&lt;=Raw_hydro_bm!$J$2,Raw_hydro_bm!H2826,"")</f>
        <v/>
      </c>
      <c r="H2826" t="str">
        <f>IF(ROW(H2826)&lt;=Raw_hydro_bm!$J$2,Raw_hydro_bm!I2826,"")</f>
        <v/>
      </c>
      <c r="I2826" s="16" t="str">
        <f t="shared" si="44"/>
        <v/>
      </c>
    </row>
    <row r="2827" spans="1:9" x14ac:dyDescent="0.2">
      <c r="A2827" t="str">
        <f>IF(ROW(A2827)&lt;=Raw_hydro_bm!$J$2,Raw_hydro_bm!B2827,"")</f>
        <v/>
      </c>
      <c r="B2827" t="str">
        <f>IF(ROW(B2827)&lt;=Raw_hydro_bm!$J$2,Raw_hydro_bm!C2827,"")</f>
        <v/>
      </c>
      <c r="C2827" t="str">
        <f>IF(ROW(C2827)&lt;=Raw_hydro_bm!$J$2,Raw_hydro_bm!D2827,"")</f>
        <v/>
      </c>
      <c r="D2827" t="str">
        <f>IF(ROW(D2827)&lt;=Raw_hydro_bm!$J$2,Raw_hydro_bm!E2827,"")</f>
        <v/>
      </c>
      <c r="E2827" t="str">
        <f>IF(ROW(E2827)&lt;=Raw_hydro_bm!$J$2,Raw_hydro_bm!F2827,"")</f>
        <v/>
      </c>
      <c r="F2827" t="str">
        <f>IF(ROW(F2827)&lt;=Raw_hydro_bm!$J$2,Raw_hydro_bm!G2827,"")</f>
        <v/>
      </c>
      <c r="G2827" t="str">
        <f>IF(ROW(G2827)&lt;=Raw_hydro_bm!$J$2,Raw_hydro_bm!H2827,"")</f>
        <v/>
      </c>
      <c r="H2827" t="str">
        <f>IF(ROW(H2827)&lt;=Raw_hydro_bm!$J$2,Raw_hydro_bm!I2827,"")</f>
        <v/>
      </c>
      <c r="I2827" s="16" t="str">
        <f t="shared" si="44"/>
        <v/>
      </c>
    </row>
    <row r="2828" spans="1:9" x14ac:dyDescent="0.2">
      <c r="A2828" t="str">
        <f>IF(ROW(A2828)&lt;=Raw_hydro_bm!$J$2,Raw_hydro_bm!B2828,"")</f>
        <v/>
      </c>
      <c r="B2828" t="str">
        <f>IF(ROW(B2828)&lt;=Raw_hydro_bm!$J$2,Raw_hydro_bm!C2828,"")</f>
        <v/>
      </c>
      <c r="C2828" t="str">
        <f>IF(ROW(C2828)&lt;=Raw_hydro_bm!$J$2,Raw_hydro_bm!D2828,"")</f>
        <v/>
      </c>
      <c r="D2828" t="str">
        <f>IF(ROW(D2828)&lt;=Raw_hydro_bm!$J$2,Raw_hydro_bm!E2828,"")</f>
        <v/>
      </c>
      <c r="E2828" t="str">
        <f>IF(ROW(E2828)&lt;=Raw_hydro_bm!$J$2,Raw_hydro_bm!F2828,"")</f>
        <v/>
      </c>
      <c r="F2828" t="str">
        <f>IF(ROW(F2828)&lt;=Raw_hydro_bm!$J$2,Raw_hydro_bm!G2828,"")</f>
        <v/>
      </c>
      <c r="G2828" t="str">
        <f>IF(ROW(G2828)&lt;=Raw_hydro_bm!$J$2,Raw_hydro_bm!H2828,"")</f>
        <v/>
      </c>
      <c r="H2828" t="str">
        <f>IF(ROW(H2828)&lt;=Raw_hydro_bm!$J$2,Raw_hydro_bm!I2828,"")</f>
        <v/>
      </c>
      <c r="I2828" s="16" t="str">
        <f t="shared" si="44"/>
        <v/>
      </c>
    </row>
    <row r="2829" spans="1:9" x14ac:dyDescent="0.2">
      <c r="A2829" t="str">
        <f>IF(ROW(A2829)&lt;=Raw_hydro_bm!$J$2,Raw_hydro_bm!B2829,"")</f>
        <v/>
      </c>
      <c r="B2829" t="str">
        <f>IF(ROW(B2829)&lt;=Raw_hydro_bm!$J$2,Raw_hydro_bm!C2829,"")</f>
        <v/>
      </c>
      <c r="C2829" t="str">
        <f>IF(ROW(C2829)&lt;=Raw_hydro_bm!$J$2,Raw_hydro_bm!D2829,"")</f>
        <v/>
      </c>
      <c r="D2829" t="str">
        <f>IF(ROW(D2829)&lt;=Raw_hydro_bm!$J$2,Raw_hydro_bm!E2829,"")</f>
        <v/>
      </c>
      <c r="E2829" t="str">
        <f>IF(ROW(E2829)&lt;=Raw_hydro_bm!$J$2,Raw_hydro_bm!F2829,"")</f>
        <v/>
      </c>
      <c r="F2829" t="str">
        <f>IF(ROW(F2829)&lt;=Raw_hydro_bm!$J$2,Raw_hydro_bm!G2829,"")</f>
        <v/>
      </c>
      <c r="G2829" t="str">
        <f>IF(ROW(G2829)&lt;=Raw_hydro_bm!$J$2,Raw_hydro_bm!H2829,"")</f>
        <v/>
      </c>
      <c r="H2829" t="str">
        <f>IF(ROW(H2829)&lt;=Raw_hydro_bm!$J$2,Raw_hydro_bm!I2829,"")</f>
        <v/>
      </c>
      <c r="I2829" s="16" t="str">
        <f t="shared" si="44"/>
        <v/>
      </c>
    </row>
    <row r="2830" spans="1:9" x14ac:dyDescent="0.2">
      <c r="A2830" t="str">
        <f>IF(ROW(A2830)&lt;=Raw_hydro_bm!$J$2,Raw_hydro_bm!B2830,"")</f>
        <v/>
      </c>
      <c r="B2830" t="str">
        <f>IF(ROW(B2830)&lt;=Raw_hydro_bm!$J$2,Raw_hydro_bm!C2830,"")</f>
        <v/>
      </c>
      <c r="C2830" t="str">
        <f>IF(ROW(C2830)&lt;=Raw_hydro_bm!$J$2,Raw_hydro_bm!D2830,"")</f>
        <v/>
      </c>
      <c r="D2830" t="str">
        <f>IF(ROW(D2830)&lt;=Raw_hydro_bm!$J$2,Raw_hydro_bm!E2830,"")</f>
        <v/>
      </c>
      <c r="E2830" t="str">
        <f>IF(ROW(E2830)&lt;=Raw_hydro_bm!$J$2,Raw_hydro_bm!F2830,"")</f>
        <v/>
      </c>
      <c r="F2830" t="str">
        <f>IF(ROW(F2830)&lt;=Raw_hydro_bm!$J$2,Raw_hydro_bm!G2830,"")</f>
        <v/>
      </c>
      <c r="G2830" t="str">
        <f>IF(ROW(G2830)&lt;=Raw_hydro_bm!$J$2,Raw_hydro_bm!H2830,"")</f>
        <v/>
      </c>
      <c r="H2830" t="str">
        <f>IF(ROW(H2830)&lt;=Raw_hydro_bm!$J$2,Raw_hydro_bm!I2830,"")</f>
        <v/>
      </c>
      <c r="I2830" s="16" t="str">
        <f t="shared" si="44"/>
        <v/>
      </c>
    </row>
    <row r="2831" spans="1:9" x14ac:dyDescent="0.2">
      <c r="A2831" t="str">
        <f>IF(ROW(A2831)&lt;=Raw_hydro_bm!$J$2,Raw_hydro_bm!B2831,"")</f>
        <v/>
      </c>
      <c r="B2831" t="str">
        <f>IF(ROW(B2831)&lt;=Raw_hydro_bm!$J$2,Raw_hydro_bm!C2831,"")</f>
        <v/>
      </c>
      <c r="C2831" t="str">
        <f>IF(ROW(C2831)&lt;=Raw_hydro_bm!$J$2,Raw_hydro_bm!D2831,"")</f>
        <v/>
      </c>
      <c r="D2831" t="str">
        <f>IF(ROW(D2831)&lt;=Raw_hydro_bm!$J$2,Raw_hydro_bm!E2831,"")</f>
        <v/>
      </c>
      <c r="E2831" t="str">
        <f>IF(ROW(E2831)&lt;=Raw_hydro_bm!$J$2,Raw_hydro_bm!F2831,"")</f>
        <v/>
      </c>
      <c r="F2831" t="str">
        <f>IF(ROW(F2831)&lt;=Raw_hydro_bm!$J$2,Raw_hydro_bm!G2831,"")</f>
        <v/>
      </c>
      <c r="G2831" t="str">
        <f>IF(ROW(G2831)&lt;=Raw_hydro_bm!$J$2,Raw_hydro_bm!H2831,"")</f>
        <v/>
      </c>
      <c r="H2831" t="str">
        <f>IF(ROW(H2831)&lt;=Raw_hydro_bm!$J$2,Raw_hydro_bm!I2831,"")</f>
        <v/>
      </c>
      <c r="I2831" s="16" t="str">
        <f t="shared" si="44"/>
        <v/>
      </c>
    </row>
    <row r="2832" spans="1:9" x14ac:dyDescent="0.2">
      <c r="A2832" t="str">
        <f>IF(ROW(A2832)&lt;=Raw_hydro_bm!$J$2,Raw_hydro_bm!B2832,"")</f>
        <v/>
      </c>
      <c r="B2832" t="str">
        <f>IF(ROW(B2832)&lt;=Raw_hydro_bm!$J$2,Raw_hydro_bm!C2832,"")</f>
        <v/>
      </c>
      <c r="C2832" t="str">
        <f>IF(ROW(C2832)&lt;=Raw_hydro_bm!$J$2,Raw_hydro_bm!D2832,"")</f>
        <v/>
      </c>
      <c r="D2832" t="str">
        <f>IF(ROW(D2832)&lt;=Raw_hydro_bm!$J$2,Raw_hydro_bm!E2832,"")</f>
        <v/>
      </c>
      <c r="E2832" t="str">
        <f>IF(ROW(E2832)&lt;=Raw_hydro_bm!$J$2,Raw_hydro_bm!F2832,"")</f>
        <v/>
      </c>
      <c r="F2832" t="str">
        <f>IF(ROW(F2832)&lt;=Raw_hydro_bm!$J$2,Raw_hydro_bm!G2832,"")</f>
        <v/>
      </c>
      <c r="G2832" t="str">
        <f>IF(ROW(G2832)&lt;=Raw_hydro_bm!$J$2,Raw_hydro_bm!H2832,"")</f>
        <v/>
      </c>
      <c r="H2832" t="str">
        <f>IF(ROW(H2832)&lt;=Raw_hydro_bm!$J$2,Raw_hydro_bm!I2832,"")</f>
        <v/>
      </c>
      <c r="I2832" s="16" t="str">
        <f t="shared" si="44"/>
        <v/>
      </c>
    </row>
    <row r="2833" spans="1:9" x14ac:dyDescent="0.2">
      <c r="A2833" t="str">
        <f>IF(ROW(A2833)&lt;=Raw_hydro_bm!$J$2,Raw_hydro_bm!B2833,"")</f>
        <v/>
      </c>
      <c r="B2833" t="str">
        <f>IF(ROW(B2833)&lt;=Raw_hydro_bm!$J$2,Raw_hydro_bm!C2833,"")</f>
        <v/>
      </c>
      <c r="C2833" t="str">
        <f>IF(ROW(C2833)&lt;=Raw_hydro_bm!$J$2,Raw_hydro_bm!D2833,"")</f>
        <v/>
      </c>
      <c r="D2833" t="str">
        <f>IF(ROW(D2833)&lt;=Raw_hydro_bm!$J$2,Raw_hydro_bm!E2833,"")</f>
        <v/>
      </c>
      <c r="E2833" t="str">
        <f>IF(ROW(E2833)&lt;=Raw_hydro_bm!$J$2,Raw_hydro_bm!F2833,"")</f>
        <v/>
      </c>
      <c r="F2833" t="str">
        <f>IF(ROW(F2833)&lt;=Raw_hydro_bm!$J$2,Raw_hydro_bm!G2833,"")</f>
        <v/>
      </c>
      <c r="G2833" t="str">
        <f>IF(ROW(G2833)&lt;=Raw_hydro_bm!$J$2,Raw_hydro_bm!H2833,"")</f>
        <v/>
      </c>
      <c r="H2833" t="str">
        <f>IF(ROW(H2833)&lt;=Raw_hydro_bm!$J$2,Raw_hydro_bm!I2833,"")</f>
        <v/>
      </c>
      <c r="I2833" s="16" t="str">
        <f t="shared" si="44"/>
        <v/>
      </c>
    </row>
    <row r="2834" spans="1:9" x14ac:dyDescent="0.2">
      <c r="A2834" t="str">
        <f>IF(ROW(A2834)&lt;=Raw_hydro_bm!$J$2,Raw_hydro_bm!B2834,"")</f>
        <v/>
      </c>
      <c r="B2834" t="str">
        <f>IF(ROW(B2834)&lt;=Raw_hydro_bm!$J$2,Raw_hydro_bm!C2834,"")</f>
        <v/>
      </c>
      <c r="C2834" t="str">
        <f>IF(ROW(C2834)&lt;=Raw_hydro_bm!$J$2,Raw_hydro_bm!D2834,"")</f>
        <v/>
      </c>
      <c r="D2834" t="str">
        <f>IF(ROW(D2834)&lt;=Raw_hydro_bm!$J$2,Raw_hydro_bm!E2834,"")</f>
        <v/>
      </c>
      <c r="E2834" t="str">
        <f>IF(ROW(E2834)&lt;=Raw_hydro_bm!$J$2,Raw_hydro_bm!F2834,"")</f>
        <v/>
      </c>
      <c r="F2834" t="str">
        <f>IF(ROW(F2834)&lt;=Raw_hydro_bm!$J$2,Raw_hydro_bm!G2834,"")</f>
        <v/>
      </c>
      <c r="G2834" t="str">
        <f>IF(ROW(G2834)&lt;=Raw_hydro_bm!$J$2,Raw_hydro_bm!H2834,"")</f>
        <v/>
      </c>
      <c r="H2834" t="str">
        <f>IF(ROW(H2834)&lt;=Raw_hydro_bm!$J$2,Raw_hydro_bm!I2834,"")</f>
        <v/>
      </c>
      <c r="I2834" s="16" t="str">
        <f t="shared" si="44"/>
        <v/>
      </c>
    </row>
    <row r="2835" spans="1:9" x14ac:dyDescent="0.2">
      <c r="A2835" t="str">
        <f>IF(ROW(A2835)&lt;=Raw_hydro_bm!$J$2,Raw_hydro_bm!B2835,"")</f>
        <v/>
      </c>
      <c r="B2835" t="str">
        <f>IF(ROW(B2835)&lt;=Raw_hydro_bm!$J$2,Raw_hydro_bm!C2835,"")</f>
        <v/>
      </c>
      <c r="C2835" t="str">
        <f>IF(ROW(C2835)&lt;=Raw_hydro_bm!$J$2,Raw_hydro_bm!D2835,"")</f>
        <v/>
      </c>
      <c r="D2835" t="str">
        <f>IF(ROW(D2835)&lt;=Raw_hydro_bm!$J$2,Raw_hydro_bm!E2835,"")</f>
        <v/>
      </c>
      <c r="E2835" t="str">
        <f>IF(ROW(E2835)&lt;=Raw_hydro_bm!$J$2,Raw_hydro_bm!F2835,"")</f>
        <v/>
      </c>
      <c r="F2835" t="str">
        <f>IF(ROW(F2835)&lt;=Raw_hydro_bm!$J$2,Raw_hydro_bm!G2835,"")</f>
        <v/>
      </c>
      <c r="G2835" t="str">
        <f>IF(ROW(G2835)&lt;=Raw_hydro_bm!$J$2,Raw_hydro_bm!H2835,"")</f>
        <v/>
      </c>
      <c r="H2835" t="str">
        <f>IF(ROW(H2835)&lt;=Raw_hydro_bm!$J$2,Raw_hydro_bm!I2835,"")</f>
        <v/>
      </c>
      <c r="I2835" s="16" t="str">
        <f t="shared" si="44"/>
        <v/>
      </c>
    </row>
    <row r="2836" spans="1:9" x14ac:dyDescent="0.2">
      <c r="A2836" t="str">
        <f>IF(ROW(A2836)&lt;=Raw_hydro_bm!$J$2,Raw_hydro_bm!B2836,"")</f>
        <v/>
      </c>
      <c r="B2836" t="str">
        <f>IF(ROW(B2836)&lt;=Raw_hydro_bm!$J$2,Raw_hydro_bm!C2836,"")</f>
        <v/>
      </c>
      <c r="C2836" t="str">
        <f>IF(ROW(C2836)&lt;=Raw_hydro_bm!$J$2,Raw_hydro_bm!D2836,"")</f>
        <v/>
      </c>
      <c r="D2836" t="str">
        <f>IF(ROW(D2836)&lt;=Raw_hydro_bm!$J$2,Raw_hydro_bm!E2836,"")</f>
        <v/>
      </c>
      <c r="E2836" t="str">
        <f>IF(ROW(E2836)&lt;=Raw_hydro_bm!$J$2,Raw_hydro_bm!F2836,"")</f>
        <v/>
      </c>
      <c r="F2836" t="str">
        <f>IF(ROW(F2836)&lt;=Raw_hydro_bm!$J$2,Raw_hydro_bm!G2836,"")</f>
        <v/>
      </c>
      <c r="G2836" t="str">
        <f>IF(ROW(G2836)&lt;=Raw_hydro_bm!$J$2,Raw_hydro_bm!H2836,"")</f>
        <v/>
      </c>
      <c r="H2836" t="str">
        <f>IF(ROW(H2836)&lt;=Raw_hydro_bm!$J$2,Raw_hydro_bm!I2836,"")</f>
        <v/>
      </c>
      <c r="I2836" s="16" t="str">
        <f t="shared" si="44"/>
        <v/>
      </c>
    </row>
    <row r="2837" spans="1:9" x14ac:dyDescent="0.2">
      <c r="A2837" t="str">
        <f>IF(ROW(A2837)&lt;=Raw_hydro_bm!$J$2,Raw_hydro_bm!B2837,"")</f>
        <v/>
      </c>
      <c r="B2837" t="str">
        <f>IF(ROW(B2837)&lt;=Raw_hydro_bm!$J$2,Raw_hydro_bm!C2837,"")</f>
        <v/>
      </c>
      <c r="C2837" t="str">
        <f>IF(ROW(C2837)&lt;=Raw_hydro_bm!$J$2,Raw_hydro_bm!D2837,"")</f>
        <v/>
      </c>
      <c r="D2837" t="str">
        <f>IF(ROW(D2837)&lt;=Raw_hydro_bm!$J$2,Raw_hydro_bm!E2837,"")</f>
        <v/>
      </c>
      <c r="E2837" t="str">
        <f>IF(ROW(E2837)&lt;=Raw_hydro_bm!$J$2,Raw_hydro_bm!F2837,"")</f>
        <v/>
      </c>
      <c r="F2837" t="str">
        <f>IF(ROW(F2837)&lt;=Raw_hydro_bm!$J$2,Raw_hydro_bm!G2837,"")</f>
        <v/>
      </c>
      <c r="G2837" t="str">
        <f>IF(ROW(G2837)&lt;=Raw_hydro_bm!$J$2,Raw_hydro_bm!H2837,"")</f>
        <v/>
      </c>
      <c r="H2837" t="str">
        <f>IF(ROW(H2837)&lt;=Raw_hydro_bm!$J$2,Raw_hydro_bm!I2837,"")</f>
        <v/>
      </c>
      <c r="I2837" s="16" t="str">
        <f t="shared" si="44"/>
        <v/>
      </c>
    </row>
    <row r="2838" spans="1:9" x14ac:dyDescent="0.2">
      <c r="A2838" t="str">
        <f>IF(ROW(A2838)&lt;=Raw_hydro_bm!$J$2,Raw_hydro_bm!B2838,"")</f>
        <v/>
      </c>
      <c r="B2838" t="str">
        <f>IF(ROW(B2838)&lt;=Raw_hydro_bm!$J$2,Raw_hydro_bm!C2838,"")</f>
        <v/>
      </c>
      <c r="C2838" t="str">
        <f>IF(ROW(C2838)&lt;=Raw_hydro_bm!$J$2,Raw_hydro_bm!D2838,"")</f>
        <v/>
      </c>
      <c r="D2838" t="str">
        <f>IF(ROW(D2838)&lt;=Raw_hydro_bm!$J$2,Raw_hydro_bm!E2838,"")</f>
        <v/>
      </c>
      <c r="E2838" t="str">
        <f>IF(ROW(E2838)&lt;=Raw_hydro_bm!$J$2,Raw_hydro_bm!F2838,"")</f>
        <v/>
      </c>
      <c r="F2838" t="str">
        <f>IF(ROW(F2838)&lt;=Raw_hydro_bm!$J$2,Raw_hydro_bm!G2838,"")</f>
        <v/>
      </c>
      <c r="G2838" t="str">
        <f>IF(ROW(G2838)&lt;=Raw_hydro_bm!$J$2,Raw_hydro_bm!H2838,"")</f>
        <v/>
      </c>
      <c r="H2838" t="str">
        <f>IF(ROW(H2838)&lt;=Raw_hydro_bm!$J$2,Raw_hydro_bm!I2838,"")</f>
        <v/>
      </c>
      <c r="I2838" s="16" t="str">
        <f t="shared" si="44"/>
        <v/>
      </c>
    </row>
    <row r="2839" spans="1:9" x14ac:dyDescent="0.2">
      <c r="A2839" t="str">
        <f>IF(ROW(A2839)&lt;=Raw_hydro_bm!$J$2,Raw_hydro_bm!B2839,"")</f>
        <v/>
      </c>
      <c r="B2839" t="str">
        <f>IF(ROW(B2839)&lt;=Raw_hydro_bm!$J$2,Raw_hydro_bm!C2839,"")</f>
        <v/>
      </c>
      <c r="C2839" t="str">
        <f>IF(ROW(C2839)&lt;=Raw_hydro_bm!$J$2,Raw_hydro_bm!D2839,"")</f>
        <v/>
      </c>
      <c r="D2839" t="str">
        <f>IF(ROW(D2839)&lt;=Raw_hydro_bm!$J$2,Raw_hydro_bm!E2839,"")</f>
        <v/>
      </c>
      <c r="E2839" t="str">
        <f>IF(ROW(E2839)&lt;=Raw_hydro_bm!$J$2,Raw_hydro_bm!F2839,"")</f>
        <v/>
      </c>
      <c r="F2839" t="str">
        <f>IF(ROW(F2839)&lt;=Raw_hydro_bm!$J$2,Raw_hydro_bm!G2839,"")</f>
        <v/>
      </c>
      <c r="G2839" t="str">
        <f>IF(ROW(G2839)&lt;=Raw_hydro_bm!$J$2,Raw_hydro_bm!H2839,"")</f>
        <v/>
      </c>
      <c r="H2839" t="str">
        <f>IF(ROW(H2839)&lt;=Raw_hydro_bm!$J$2,Raw_hydro_bm!I2839,"")</f>
        <v/>
      </c>
      <c r="I2839" s="16" t="str">
        <f t="shared" si="44"/>
        <v/>
      </c>
    </row>
    <row r="2840" spans="1:9" x14ac:dyDescent="0.2">
      <c r="A2840" t="str">
        <f>IF(ROW(A2840)&lt;=Raw_hydro_bm!$J$2,Raw_hydro_bm!B2840,"")</f>
        <v/>
      </c>
      <c r="B2840" t="str">
        <f>IF(ROW(B2840)&lt;=Raw_hydro_bm!$J$2,Raw_hydro_bm!C2840,"")</f>
        <v/>
      </c>
      <c r="C2840" t="str">
        <f>IF(ROW(C2840)&lt;=Raw_hydro_bm!$J$2,Raw_hydro_bm!D2840,"")</f>
        <v/>
      </c>
      <c r="D2840" t="str">
        <f>IF(ROW(D2840)&lt;=Raw_hydro_bm!$J$2,Raw_hydro_bm!E2840,"")</f>
        <v/>
      </c>
      <c r="E2840" t="str">
        <f>IF(ROW(E2840)&lt;=Raw_hydro_bm!$J$2,Raw_hydro_bm!F2840,"")</f>
        <v/>
      </c>
      <c r="F2840" t="str">
        <f>IF(ROW(F2840)&lt;=Raw_hydro_bm!$J$2,Raw_hydro_bm!G2840,"")</f>
        <v/>
      </c>
      <c r="G2840" t="str">
        <f>IF(ROW(G2840)&lt;=Raw_hydro_bm!$J$2,Raw_hydro_bm!H2840,"")</f>
        <v/>
      </c>
      <c r="H2840" t="str">
        <f>IF(ROW(H2840)&lt;=Raw_hydro_bm!$J$2,Raw_hydro_bm!I2840,"")</f>
        <v/>
      </c>
      <c r="I2840" s="16" t="str">
        <f t="shared" si="44"/>
        <v/>
      </c>
    </row>
    <row r="2841" spans="1:9" x14ac:dyDescent="0.2">
      <c r="A2841" t="str">
        <f>IF(ROW(A2841)&lt;=Raw_hydro_bm!$J$2,Raw_hydro_bm!B2841,"")</f>
        <v/>
      </c>
      <c r="B2841" t="str">
        <f>IF(ROW(B2841)&lt;=Raw_hydro_bm!$J$2,Raw_hydro_bm!C2841,"")</f>
        <v/>
      </c>
      <c r="C2841" t="str">
        <f>IF(ROW(C2841)&lt;=Raw_hydro_bm!$J$2,Raw_hydro_bm!D2841,"")</f>
        <v/>
      </c>
      <c r="D2841" t="str">
        <f>IF(ROW(D2841)&lt;=Raw_hydro_bm!$J$2,Raw_hydro_bm!E2841,"")</f>
        <v/>
      </c>
      <c r="E2841" t="str">
        <f>IF(ROW(E2841)&lt;=Raw_hydro_bm!$J$2,Raw_hydro_bm!F2841,"")</f>
        <v/>
      </c>
      <c r="F2841" t="str">
        <f>IF(ROW(F2841)&lt;=Raw_hydro_bm!$J$2,Raw_hydro_bm!G2841,"")</f>
        <v/>
      </c>
      <c r="G2841" t="str">
        <f>IF(ROW(G2841)&lt;=Raw_hydro_bm!$J$2,Raw_hydro_bm!H2841,"")</f>
        <v/>
      </c>
      <c r="H2841" t="str">
        <f>IF(ROW(H2841)&lt;=Raw_hydro_bm!$J$2,Raw_hydro_bm!I2841,"")</f>
        <v/>
      </c>
      <c r="I2841" s="16" t="str">
        <f t="shared" si="44"/>
        <v/>
      </c>
    </row>
    <row r="2842" spans="1:9" x14ac:dyDescent="0.2">
      <c r="A2842" t="str">
        <f>IF(ROW(A2842)&lt;=Raw_hydro_bm!$J$2,Raw_hydro_bm!B2842,"")</f>
        <v/>
      </c>
      <c r="B2842" t="str">
        <f>IF(ROW(B2842)&lt;=Raw_hydro_bm!$J$2,Raw_hydro_bm!C2842,"")</f>
        <v/>
      </c>
      <c r="C2842" t="str">
        <f>IF(ROW(C2842)&lt;=Raw_hydro_bm!$J$2,Raw_hydro_bm!D2842,"")</f>
        <v/>
      </c>
      <c r="D2842" t="str">
        <f>IF(ROW(D2842)&lt;=Raw_hydro_bm!$J$2,Raw_hydro_bm!E2842,"")</f>
        <v/>
      </c>
      <c r="E2842" t="str">
        <f>IF(ROW(E2842)&lt;=Raw_hydro_bm!$J$2,Raw_hydro_bm!F2842,"")</f>
        <v/>
      </c>
      <c r="F2842" t="str">
        <f>IF(ROW(F2842)&lt;=Raw_hydro_bm!$J$2,Raw_hydro_bm!G2842,"")</f>
        <v/>
      </c>
      <c r="G2842" t="str">
        <f>IF(ROW(G2842)&lt;=Raw_hydro_bm!$J$2,Raw_hydro_bm!H2842,"")</f>
        <v/>
      </c>
      <c r="H2842" t="str">
        <f>IF(ROW(H2842)&lt;=Raw_hydro_bm!$J$2,Raw_hydro_bm!I2842,"")</f>
        <v/>
      </c>
      <c r="I2842" s="16" t="str">
        <f t="shared" si="44"/>
        <v/>
      </c>
    </row>
    <row r="2843" spans="1:9" x14ac:dyDescent="0.2">
      <c r="A2843" t="str">
        <f>IF(ROW(A2843)&lt;=Raw_hydro_bm!$J$2,Raw_hydro_bm!B2843,"")</f>
        <v/>
      </c>
      <c r="B2843" t="str">
        <f>IF(ROW(B2843)&lt;=Raw_hydro_bm!$J$2,Raw_hydro_bm!C2843,"")</f>
        <v/>
      </c>
      <c r="C2843" t="str">
        <f>IF(ROW(C2843)&lt;=Raw_hydro_bm!$J$2,Raw_hydro_bm!D2843,"")</f>
        <v/>
      </c>
      <c r="D2843" t="str">
        <f>IF(ROW(D2843)&lt;=Raw_hydro_bm!$J$2,Raw_hydro_bm!E2843,"")</f>
        <v/>
      </c>
      <c r="E2843" t="str">
        <f>IF(ROW(E2843)&lt;=Raw_hydro_bm!$J$2,Raw_hydro_bm!F2843,"")</f>
        <v/>
      </c>
      <c r="F2843" t="str">
        <f>IF(ROW(F2843)&lt;=Raw_hydro_bm!$J$2,Raw_hydro_bm!G2843,"")</f>
        <v/>
      </c>
      <c r="G2843" t="str">
        <f>IF(ROW(G2843)&lt;=Raw_hydro_bm!$J$2,Raw_hydro_bm!H2843,"")</f>
        <v/>
      </c>
      <c r="H2843" t="str">
        <f>IF(ROW(H2843)&lt;=Raw_hydro_bm!$J$2,Raw_hydro_bm!I2843,"")</f>
        <v/>
      </c>
      <c r="I2843" s="16" t="str">
        <f t="shared" si="44"/>
        <v/>
      </c>
    </row>
    <row r="2844" spans="1:9" x14ac:dyDescent="0.2">
      <c r="A2844" t="str">
        <f>IF(ROW(A2844)&lt;=Raw_hydro_bm!$J$2,Raw_hydro_bm!B2844,"")</f>
        <v/>
      </c>
      <c r="B2844" t="str">
        <f>IF(ROW(B2844)&lt;=Raw_hydro_bm!$J$2,Raw_hydro_bm!C2844,"")</f>
        <v/>
      </c>
      <c r="C2844" t="str">
        <f>IF(ROW(C2844)&lt;=Raw_hydro_bm!$J$2,Raw_hydro_bm!D2844,"")</f>
        <v/>
      </c>
      <c r="D2844" t="str">
        <f>IF(ROW(D2844)&lt;=Raw_hydro_bm!$J$2,Raw_hydro_bm!E2844,"")</f>
        <v/>
      </c>
      <c r="E2844" t="str">
        <f>IF(ROW(E2844)&lt;=Raw_hydro_bm!$J$2,Raw_hydro_bm!F2844,"")</f>
        <v/>
      </c>
      <c r="F2844" t="str">
        <f>IF(ROW(F2844)&lt;=Raw_hydro_bm!$J$2,Raw_hydro_bm!G2844,"")</f>
        <v/>
      </c>
      <c r="G2844" t="str">
        <f>IF(ROW(G2844)&lt;=Raw_hydro_bm!$J$2,Raw_hydro_bm!H2844,"")</f>
        <v/>
      </c>
      <c r="H2844" t="str">
        <f>IF(ROW(H2844)&lt;=Raw_hydro_bm!$J$2,Raw_hydro_bm!I2844,"")</f>
        <v/>
      </c>
      <c r="I2844" s="16" t="str">
        <f t="shared" si="44"/>
        <v/>
      </c>
    </row>
    <row r="2845" spans="1:9" x14ac:dyDescent="0.2">
      <c r="A2845" t="str">
        <f>IF(ROW(A2845)&lt;=Raw_hydro_bm!$J$2,Raw_hydro_bm!B2845,"")</f>
        <v/>
      </c>
      <c r="B2845" t="str">
        <f>IF(ROW(B2845)&lt;=Raw_hydro_bm!$J$2,Raw_hydro_bm!C2845,"")</f>
        <v/>
      </c>
      <c r="C2845" t="str">
        <f>IF(ROW(C2845)&lt;=Raw_hydro_bm!$J$2,Raw_hydro_bm!D2845,"")</f>
        <v/>
      </c>
      <c r="D2845" t="str">
        <f>IF(ROW(D2845)&lt;=Raw_hydro_bm!$J$2,Raw_hydro_bm!E2845,"")</f>
        <v/>
      </c>
      <c r="E2845" t="str">
        <f>IF(ROW(E2845)&lt;=Raw_hydro_bm!$J$2,Raw_hydro_bm!F2845,"")</f>
        <v/>
      </c>
      <c r="F2845" t="str">
        <f>IF(ROW(F2845)&lt;=Raw_hydro_bm!$J$2,Raw_hydro_bm!G2845,"")</f>
        <v/>
      </c>
      <c r="G2845" t="str">
        <f>IF(ROW(G2845)&lt;=Raw_hydro_bm!$J$2,Raw_hydro_bm!H2845,"")</f>
        <v/>
      </c>
      <c r="H2845" t="str">
        <f>IF(ROW(H2845)&lt;=Raw_hydro_bm!$J$2,Raw_hydro_bm!I2845,"")</f>
        <v/>
      </c>
      <c r="I2845" s="16" t="str">
        <f t="shared" si="44"/>
        <v/>
      </c>
    </row>
    <row r="2846" spans="1:9" x14ac:dyDescent="0.2">
      <c r="A2846" t="str">
        <f>IF(ROW(A2846)&lt;=Raw_hydro_bm!$J$2,Raw_hydro_bm!B2846,"")</f>
        <v/>
      </c>
      <c r="B2846" t="str">
        <f>IF(ROW(B2846)&lt;=Raw_hydro_bm!$J$2,Raw_hydro_bm!C2846,"")</f>
        <v/>
      </c>
      <c r="C2846" t="str">
        <f>IF(ROW(C2846)&lt;=Raw_hydro_bm!$J$2,Raw_hydro_bm!D2846,"")</f>
        <v/>
      </c>
      <c r="D2846" t="str">
        <f>IF(ROW(D2846)&lt;=Raw_hydro_bm!$J$2,Raw_hydro_bm!E2846,"")</f>
        <v/>
      </c>
      <c r="E2846" t="str">
        <f>IF(ROW(E2846)&lt;=Raw_hydro_bm!$J$2,Raw_hydro_bm!F2846,"")</f>
        <v/>
      </c>
      <c r="F2846" t="str">
        <f>IF(ROW(F2846)&lt;=Raw_hydro_bm!$J$2,Raw_hydro_bm!G2846,"")</f>
        <v/>
      </c>
      <c r="G2846" t="str">
        <f>IF(ROW(G2846)&lt;=Raw_hydro_bm!$J$2,Raw_hydro_bm!H2846,"")</f>
        <v/>
      </c>
      <c r="H2846" t="str">
        <f>IF(ROW(H2846)&lt;=Raw_hydro_bm!$J$2,Raw_hydro_bm!I2846,"")</f>
        <v/>
      </c>
      <c r="I2846" s="16" t="str">
        <f t="shared" si="44"/>
        <v/>
      </c>
    </row>
    <row r="2847" spans="1:9" x14ac:dyDescent="0.2">
      <c r="A2847" t="str">
        <f>IF(ROW(A2847)&lt;=Raw_hydro_bm!$J$2,Raw_hydro_bm!B2847,"")</f>
        <v/>
      </c>
      <c r="B2847" t="str">
        <f>IF(ROW(B2847)&lt;=Raw_hydro_bm!$J$2,Raw_hydro_bm!C2847,"")</f>
        <v/>
      </c>
      <c r="C2847" t="str">
        <f>IF(ROW(C2847)&lt;=Raw_hydro_bm!$J$2,Raw_hydro_bm!D2847,"")</f>
        <v/>
      </c>
      <c r="D2847" t="str">
        <f>IF(ROW(D2847)&lt;=Raw_hydro_bm!$J$2,Raw_hydro_bm!E2847,"")</f>
        <v/>
      </c>
      <c r="E2847" t="str">
        <f>IF(ROW(E2847)&lt;=Raw_hydro_bm!$J$2,Raw_hydro_bm!F2847,"")</f>
        <v/>
      </c>
      <c r="F2847" t="str">
        <f>IF(ROW(F2847)&lt;=Raw_hydro_bm!$J$2,Raw_hydro_bm!G2847,"")</f>
        <v/>
      </c>
      <c r="G2847" t="str">
        <f>IF(ROW(G2847)&lt;=Raw_hydro_bm!$J$2,Raw_hydro_bm!H2847,"")</f>
        <v/>
      </c>
      <c r="H2847" t="str">
        <f>IF(ROW(H2847)&lt;=Raw_hydro_bm!$J$2,Raw_hydro_bm!I2847,"")</f>
        <v/>
      </c>
      <c r="I2847" s="16" t="str">
        <f t="shared" si="44"/>
        <v/>
      </c>
    </row>
    <row r="2848" spans="1:9" x14ac:dyDescent="0.2">
      <c r="A2848" t="str">
        <f>IF(ROW(A2848)&lt;=Raw_hydro_bm!$J$2,Raw_hydro_bm!B2848,"")</f>
        <v/>
      </c>
      <c r="B2848" t="str">
        <f>IF(ROW(B2848)&lt;=Raw_hydro_bm!$J$2,Raw_hydro_bm!C2848,"")</f>
        <v/>
      </c>
      <c r="C2848" t="str">
        <f>IF(ROW(C2848)&lt;=Raw_hydro_bm!$J$2,Raw_hydro_bm!D2848,"")</f>
        <v/>
      </c>
      <c r="D2848" t="str">
        <f>IF(ROW(D2848)&lt;=Raw_hydro_bm!$J$2,Raw_hydro_bm!E2848,"")</f>
        <v/>
      </c>
      <c r="E2848" t="str">
        <f>IF(ROW(E2848)&lt;=Raw_hydro_bm!$J$2,Raw_hydro_bm!F2848,"")</f>
        <v/>
      </c>
      <c r="F2848" t="str">
        <f>IF(ROW(F2848)&lt;=Raw_hydro_bm!$J$2,Raw_hydro_bm!G2848,"")</f>
        <v/>
      </c>
      <c r="G2848" t="str">
        <f>IF(ROW(G2848)&lt;=Raw_hydro_bm!$J$2,Raw_hydro_bm!H2848,"")</f>
        <v/>
      </c>
      <c r="H2848" t="str">
        <f>IF(ROW(H2848)&lt;=Raw_hydro_bm!$J$2,Raw_hydro_bm!I2848,"")</f>
        <v/>
      </c>
      <c r="I2848" s="16" t="str">
        <f t="shared" si="44"/>
        <v/>
      </c>
    </row>
    <row r="2849" spans="1:9" x14ac:dyDescent="0.2">
      <c r="A2849" t="str">
        <f>IF(ROW(A2849)&lt;=Raw_hydro_bm!$J$2,Raw_hydro_bm!B2849,"")</f>
        <v/>
      </c>
      <c r="B2849" t="str">
        <f>IF(ROW(B2849)&lt;=Raw_hydro_bm!$J$2,Raw_hydro_bm!C2849,"")</f>
        <v/>
      </c>
      <c r="C2849" t="str">
        <f>IF(ROW(C2849)&lt;=Raw_hydro_bm!$J$2,Raw_hydro_bm!D2849,"")</f>
        <v/>
      </c>
      <c r="D2849" t="str">
        <f>IF(ROW(D2849)&lt;=Raw_hydro_bm!$J$2,Raw_hydro_bm!E2849,"")</f>
        <v/>
      </c>
      <c r="E2849" t="str">
        <f>IF(ROW(E2849)&lt;=Raw_hydro_bm!$J$2,Raw_hydro_bm!F2849,"")</f>
        <v/>
      </c>
      <c r="F2849" t="str">
        <f>IF(ROW(F2849)&lt;=Raw_hydro_bm!$J$2,Raw_hydro_bm!G2849,"")</f>
        <v/>
      </c>
      <c r="G2849" t="str">
        <f>IF(ROW(G2849)&lt;=Raw_hydro_bm!$J$2,Raw_hydro_bm!H2849,"")</f>
        <v/>
      </c>
      <c r="H2849" t="str">
        <f>IF(ROW(H2849)&lt;=Raw_hydro_bm!$J$2,Raw_hydro_bm!I2849,"")</f>
        <v/>
      </c>
      <c r="I2849" s="16" t="str">
        <f t="shared" si="44"/>
        <v/>
      </c>
    </row>
    <row r="2850" spans="1:9" x14ac:dyDescent="0.2">
      <c r="A2850" t="str">
        <f>IF(ROW(A2850)&lt;=Raw_hydro_bm!$J$2,Raw_hydro_bm!B2850,"")</f>
        <v/>
      </c>
      <c r="B2850" t="str">
        <f>IF(ROW(B2850)&lt;=Raw_hydro_bm!$J$2,Raw_hydro_bm!C2850,"")</f>
        <v/>
      </c>
      <c r="C2850" t="str">
        <f>IF(ROW(C2850)&lt;=Raw_hydro_bm!$J$2,Raw_hydro_bm!D2850,"")</f>
        <v/>
      </c>
      <c r="D2850" t="str">
        <f>IF(ROW(D2850)&lt;=Raw_hydro_bm!$J$2,Raw_hydro_bm!E2850,"")</f>
        <v/>
      </c>
      <c r="E2850" t="str">
        <f>IF(ROW(E2850)&lt;=Raw_hydro_bm!$J$2,Raw_hydro_bm!F2850,"")</f>
        <v/>
      </c>
      <c r="F2850" t="str">
        <f>IF(ROW(F2850)&lt;=Raw_hydro_bm!$J$2,Raw_hydro_bm!G2850,"")</f>
        <v/>
      </c>
      <c r="G2850" t="str">
        <f>IF(ROW(G2850)&lt;=Raw_hydro_bm!$J$2,Raw_hydro_bm!H2850,"")</f>
        <v/>
      </c>
      <c r="H2850" t="str">
        <f>IF(ROW(H2850)&lt;=Raw_hydro_bm!$J$2,Raw_hydro_bm!I2850,"")</f>
        <v/>
      </c>
      <c r="I2850" s="16" t="str">
        <f t="shared" si="44"/>
        <v/>
      </c>
    </row>
    <row r="2851" spans="1:9" x14ac:dyDescent="0.2">
      <c r="A2851" t="str">
        <f>IF(ROW(A2851)&lt;=Raw_hydro_bm!$J$2,Raw_hydro_bm!B2851,"")</f>
        <v/>
      </c>
      <c r="B2851" t="str">
        <f>IF(ROW(B2851)&lt;=Raw_hydro_bm!$J$2,Raw_hydro_bm!C2851,"")</f>
        <v/>
      </c>
      <c r="C2851" t="str">
        <f>IF(ROW(C2851)&lt;=Raw_hydro_bm!$J$2,Raw_hydro_bm!D2851,"")</f>
        <v/>
      </c>
      <c r="D2851" t="str">
        <f>IF(ROW(D2851)&lt;=Raw_hydro_bm!$J$2,Raw_hydro_bm!E2851,"")</f>
        <v/>
      </c>
      <c r="E2851" t="str">
        <f>IF(ROW(E2851)&lt;=Raw_hydro_bm!$J$2,Raw_hydro_bm!F2851,"")</f>
        <v/>
      </c>
      <c r="F2851" t="str">
        <f>IF(ROW(F2851)&lt;=Raw_hydro_bm!$J$2,Raw_hydro_bm!G2851,"")</f>
        <v/>
      </c>
      <c r="G2851" t="str">
        <f>IF(ROW(G2851)&lt;=Raw_hydro_bm!$J$2,Raw_hydro_bm!H2851,"")</f>
        <v/>
      </c>
      <c r="H2851" t="str">
        <f>IF(ROW(H2851)&lt;=Raw_hydro_bm!$J$2,Raw_hydro_bm!I2851,"")</f>
        <v/>
      </c>
      <c r="I2851" s="16" t="str">
        <f t="shared" si="44"/>
        <v/>
      </c>
    </row>
    <row r="2852" spans="1:9" x14ac:dyDescent="0.2">
      <c r="A2852" t="str">
        <f>IF(ROW(A2852)&lt;=Raw_hydro_bm!$J$2,Raw_hydro_bm!B2852,"")</f>
        <v/>
      </c>
      <c r="B2852" t="str">
        <f>IF(ROW(B2852)&lt;=Raw_hydro_bm!$J$2,Raw_hydro_bm!C2852,"")</f>
        <v/>
      </c>
      <c r="C2852" t="str">
        <f>IF(ROW(C2852)&lt;=Raw_hydro_bm!$J$2,Raw_hydro_bm!D2852,"")</f>
        <v/>
      </c>
      <c r="D2852" t="str">
        <f>IF(ROW(D2852)&lt;=Raw_hydro_bm!$J$2,Raw_hydro_bm!E2852,"")</f>
        <v/>
      </c>
      <c r="E2852" t="str">
        <f>IF(ROW(E2852)&lt;=Raw_hydro_bm!$J$2,Raw_hydro_bm!F2852,"")</f>
        <v/>
      </c>
      <c r="F2852" t="str">
        <f>IF(ROW(F2852)&lt;=Raw_hydro_bm!$J$2,Raw_hydro_bm!G2852,"")</f>
        <v/>
      </c>
      <c r="G2852" t="str">
        <f>IF(ROW(G2852)&lt;=Raw_hydro_bm!$J$2,Raw_hydro_bm!H2852,"")</f>
        <v/>
      </c>
      <c r="H2852" t="str">
        <f>IF(ROW(H2852)&lt;=Raw_hydro_bm!$J$2,Raw_hydro_bm!I2852,"")</f>
        <v/>
      </c>
      <c r="I2852" s="16" t="str">
        <f t="shared" si="44"/>
        <v/>
      </c>
    </row>
    <row r="2853" spans="1:9" x14ac:dyDescent="0.2">
      <c r="A2853" t="str">
        <f>IF(ROW(A2853)&lt;=Raw_hydro_bm!$J$2,Raw_hydro_bm!B2853,"")</f>
        <v/>
      </c>
      <c r="B2853" t="str">
        <f>IF(ROW(B2853)&lt;=Raw_hydro_bm!$J$2,Raw_hydro_bm!C2853,"")</f>
        <v/>
      </c>
      <c r="C2853" t="str">
        <f>IF(ROW(C2853)&lt;=Raw_hydro_bm!$J$2,Raw_hydro_bm!D2853,"")</f>
        <v/>
      </c>
      <c r="D2853" t="str">
        <f>IF(ROW(D2853)&lt;=Raw_hydro_bm!$J$2,Raw_hydro_bm!E2853,"")</f>
        <v/>
      </c>
      <c r="E2853" t="str">
        <f>IF(ROW(E2853)&lt;=Raw_hydro_bm!$J$2,Raw_hydro_bm!F2853,"")</f>
        <v/>
      </c>
      <c r="F2853" t="str">
        <f>IF(ROW(F2853)&lt;=Raw_hydro_bm!$J$2,Raw_hydro_bm!G2853,"")</f>
        <v/>
      </c>
      <c r="G2853" t="str">
        <f>IF(ROW(G2853)&lt;=Raw_hydro_bm!$J$2,Raw_hydro_bm!H2853,"")</f>
        <v/>
      </c>
      <c r="H2853" t="str">
        <f>IF(ROW(H2853)&lt;=Raw_hydro_bm!$J$2,Raw_hydro_bm!I2853,"")</f>
        <v/>
      </c>
      <c r="I2853" s="16" t="str">
        <f t="shared" si="44"/>
        <v/>
      </c>
    </row>
    <row r="2854" spans="1:9" x14ac:dyDescent="0.2">
      <c r="A2854" t="str">
        <f>IF(ROW(A2854)&lt;=Raw_hydro_bm!$J$2,Raw_hydro_bm!B2854,"")</f>
        <v/>
      </c>
      <c r="B2854" t="str">
        <f>IF(ROW(B2854)&lt;=Raw_hydro_bm!$J$2,Raw_hydro_bm!C2854,"")</f>
        <v/>
      </c>
      <c r="C2854" t="str">
        <f>IF(ROW(C2854)&lt;=Raw_hydro_bm!$J$2,Raw_hydro_bm!D2854,"")</f>
        <v/>
      </c>
      <c r="D2854" t="str">
        <f>IF(ROW(D2854)&lt;=Raw_hydro_bm!$J$2,Raw_hydro_bm!E2854,"")</f>
        <v/>
      </c>
      <c r="E2854" t="str">
        <f>IF(ROW(E2854)&lt;=Raw_hydro_bm!$J$2,Raw_hydro_bm!F2854,"")</f>
        <v/>
      </c>
      <c r="F2854" t="str">
        <f>IF(ROW(F2854)&lt;=Raw_hydro_bm!$J$2,Raw_hydro_bm!G2854,"")</f>
        <v/>
      </c>
      <c r="G2854" t="str">
        <f>IF(ROW(G2854)&lt;=Raw_hydro_bm!$J$2,Raw_hydro_bm!H2854,"")</f>
        <v/>
      </c>
      <c r="H2854" t="str">
        <f>IF(ROW(H2854)&lt;=Raw_hydro_bm!$J$2,Raw_hydro_bm!I2854,"")</f>
        <v/>
      </c>
      <c r="I2854" s="16" t="str">
        <f t="shared" si="44"/>
        <v/>
      </c>
    </row>
    <row r="2855" spans="1:9" x14ac:dyDescent="0.2">
      <c r="A2855" t="str">
        <f>IF(ROW(A2855)&lt;=Raw_hydro_bm!$J$2,Raw_hydro_bm!B2855,"")</f>
        <v/>
      </c>
      <c r="B2855" t="str">
        <f>IF(ROW(B2855)&lt;=Raw_hydro_bm!$J$2,Raw_hydro_bm!C2855,"")</f>
        <v/>
      </c>
      <c r="C2855" t="str">
        <f>IF(ROW(C2855)&lt;=Raw_hydro_bm!$J$2,Raw_hydro_bm!D2855,"")</f>
        <v/>
      </c>
      <c r="D2855" t="str">
        <f>IF(ROW(D2855)&lt;=Raw_hydro_bm!$J$2,Raw_hydro_bm!E2855,"")</f>
        <v/>
      </c>
      <c r="E2855" t="str">
        <f>IF(ROW(E2855)&lt;=Raw_hydro_bm!$J$2,Raw_hydro_bm!F2855,"")</f>
        <v/>
      </c>
      <c r="F2855" t="str">
        <f>IF(ROW(F2855)&lt;=Raw_hydro_bm!$J$2,Raw_hydro_bm!G2855,"")</f>
        <v/>
      </c>
      <c r="G2855" t="str">
        <f>IF(ROW(G2855)&lt;=Raw_hydro_bm!$J$2,Raw_hydro_bm!H2855,"")</f>
        <v/>
      </c>
      <c r="H2855" t="str">
        <f>IF(ROW(H2855)&lt;=Raw_hydro_bm!$J$2,Raw_hydro_bm!I2855,"")</f>
        <v/>
      </c>
      <c r="I2855" s="16" t="str">
        <f t="shared" si="44"/>
        <v/>
      </c>
    </row>
    <row r="2856" spans="1:9" x14ac:dyDescent="0.2">
      <c r="A2856" t="str">
        <f>IF(ROW(A2856)&lt;=Raw_hydro_bm!$J$2,Raw_hydro_bm!B2856,"")</f>
        <v/>
      </c>
      <c r="B2856" t="str">
        <f>IF(ROW(B2856)&lt;=Raw_hydro_bm!$J$2,Raw_hydro_bm!C2856,"")</f>
        <v/>
      </c>
      <c r="C2856" t="str">
        <f>IF(ROW(C2856)&lt;=Raw_hydro_bm!$J$2,Raw_hydro_bm!D2856,"")</f>
        <v/>
      </c>
      <c r="D2856" t="str">
        <f>IF(ROW(D2856)&lt;=Raw_hydro_bm!$J$2,Raw_hydro_bm!E2856,"")</f>
        <v/>
      </c>
      <c r="E2856" t="str">
        <f>IF(ROW(E2856)&lt;=Raw_hydro_bm!$J$2,Raw_hydro_bm!F2856,"")</f>
        <v/>
      </c>
      <c r="F2856" t="str">
        <f>IF(ROW(F2856)&lt;=Raw_hydro_bm!$J$2,Raw_hydro_bm!G2856,"")</f>
        <v/>
      </c>
      <c r="G2856" t="str">
        <f>IF(ROW(G2856)&lt;=Raw_hydro_bm!$J$2,Raw_hydro_bm!H2856,"")</f>
        <v/>
      </c>
      <c r="H2856" t="str">
        <f>IF(ROW(H2856)&lt;=Raw_hydro_bm!$J$2,Raw_hydro_bm!I2856,"")</f>
        <v/>
      </c>
      <c r="I2856" s="16" t="str">
        <f t="shared" si="44"/>
        <v/>
      </c>
    </row>
    <row r="2857" spans="1:9" x14ac:dyDescent="0.2">
      <c r="A2857" t="str">
        <f>IF(ROW(A2857)&lt;=Raw_hydro_bm!$J$2,Raw_hydro_bm!B2857,"")</f>
        <v/>
      </c>
      <c r="B2857" t="str">
        <f>IF(ROW(B2857)&lt;=Raw_hydro_bm!$J$2,Raw_hydro_bm!C2857,"")</f>
        <v/>
      </c>
      <c r="C2857" t="str">
        <f>IF(ROW(C2857)&lt;=Raw_hydro_bm!$J$2,Raw_hydro_bm!D2857,"")</f>
        <v/>
      </c>
      <c r="D2857" t="str">
        <f>IF(ROW(D2857)&lt;=Raw_hydro_bm!$J$2,Raw_hydro_bm!E2857,"")</f>
        <v/>
      </c>
      <c r="E2857" t="str">
        <f>IF(ROW(E2857)&lt;=Raw_hydro_bm!$J$2,Raw_hydro_bm!F2857,"")</f>
        <v/>
      </c>
      <c r="F2857" t="str">
        <f>IF(ROW(F2857)&lt;=Raw_hydro_bm!$J$2,Raw_hydro_bm!G2857,"")</f>
        <v/>
      </c>
      <c r="G2857" t="str">
        <f>IF(ROW(G2857)&lt;=Raw_hydro_bm!$J$2,Raw_hydro_bm!H2857,"")</f>
        <v/>
      </c>
      <c r="H2857" t="str">
        <f>IF(ROW(H2857)&lt;=Raw_hydro_bm!$J$2,Raw_hydro_bm!I2857,"")</f>
        <v/>
      </c>
      <c r="I2857" s="16" t="str">
        <f t="shared" si="44"/>
        <v/>
      </c>
    </row>
    <row r="2858" spans="1:9" x14ac:dyDescent="0.2">
      <c r="A2858" t="str">
        <f>IF(ROW(A2858)&lt;=Raw_hydro_bm!$J$2,Raw_hydro_bm!B2858,"")</f>
        <v/>
      </c>
      <c r="B2858" t="str">
        <f>IF(ROW(B2858)&lt;=Raw_hydro_bm!$J$2,Raw_hydro_bm!C2858,"")</f>
        <v/>
      </c>
      <c r="C2858" t="str">
        <f>IF(ROW(C2858)&lt;=Raw_hydro_bm!$J$2,Raw_hydro_bm!D2858,"")</f>
        <v/>
      </c>
      <c r="D2858" t="str">
        <f>IF(ROW(D2858)&lt;=Raw_hydro_bm!$J$2,Raw_hydro_bm!E2858,"")</f>
        <v/>
      </c>
      <c r="E2858" t="str">
        <f>IF(ROW(E2858)&lt;=Raw_hydro_bm!$J$2,Raw_hydro_bm!F2858,"")</f>
        <v/>
      </c>
      <c r="F2858" t="str">
        <f>IF(ROW(F2858)&lt;=Raw_hydro_bm!$J$2,Raw_hydro_bm!G2858,"")</f>
        <v/>
      </c>
      <c r="G2858" t="str">
        <f>IF(ROW(G2858)&lt;=Raw_hydro_bm!$J$2,Raw_hydro_bm!H2858,"")</f>
        <v/>
      </c>
      <c r="H2858" t="str">
        <f>IF(ROW(H2858)&lt;=Raw_hydro_bm!$J$2,Raw_hydro_bm!I2858,"")</f>
        <v/>
      </c>
      <c r="I2858" s="16" t="str">
        <f t="shared" si="44"/>
        <v/>
      </c>
    </row>
    <row r="2859" spans="1:9" x14ac:dyDescent="0.2">
      <c r="A2859" t="str">
        <f>IF(ROW(A2859)&lt;=Raw_hydro_bm!$J$2,Raw_hydro_bm!B2859,"")</f>
        <v/>
      </c>
      <c r="B2859" t="str">
        <f>IF(ROW(B2859)&lt;=Raw_hydro_bm!$J$2,Raw_hydro_bm!C2859,"")</f>
        <v/>
      </c>
      <c r="C2859" t="str">
        <f>IF(ROW(C2859)&lt;=Raw_hydro_bm!$J$2,Raw_hydro_bm!D2859,"")</f>
        <v/>
      </c>
      <c r="D2859" t="str">
        <f>IF(ROW(D2859)&lt;=Raw_hydro_bm!$J$2,Raw_hydro_bm!E2859,"")</f>
        <v/>
      </c>
      <c r="E2859" t="str">
        <f>IF(ROW(E2859)&lt;=Raw_hydro_bm!$J$2,Raw_hydro_bm!F2859,"")</f>
        <v/>
      </c>
      <c r="F2859" t="str">
        <f>IF(ROW(F2859)&lt;=Raw_hydro_bm!$J$2,Raw_hydro_bm!G2859,"")</f>
        <v/>
      </c>
      <c r="G2859" t="str">
        <f>IF(ROW(G2859)&lt;=Raw_hydro_bm!$J$2,Raw_hydro_bm!H2859,"")</f>
        <v/>
      </c>
      <c r="H2859" t="str">
        <f>IF(ROW(H2859)&lt;=Raw_hydro_bm!$J$2,Raw_hydro_bm!I2859,"")</f>
        <v/>
      </c>
      <c r="I2859" s="16" t="str">
        <f t="shared" si="44"/>
        <v/>
      </c>
    </row>
    <row r="2860" spans="1:9" x14ac:dyDescent="0.2">
      <c r="A2860" t="str">
        <f>IF(ROW(A2860)&lt;=Raw_hydro_bm!$J$2,Raw_hydro_bm!B2860,"")</f>
        <v/>
      </c>
      <c r="B2860" t="str">
        <f>IF(ROW(B2860)&lt;=Raw_hydro_bm!$J$2,Raw_hydro_bm!C2860,"")</f>
        <v/>
      </c>
      <c r="C2860" t="str">
        <f>IF(ROW(C2860)&lt;=Raw_hydro_bm!$J$2,Raw_hydro_bm!D2860,"")</f>
        <v/>
      </c>
      <c r="D2860" t="str">
        <f>IF(ROW(D2860)&lt;=Raw_hydro_bm!$J$2,Raw_hydro_bm!E2860,"")</f>
        <v/>
      </c>
      <c r="E2860" t="str">
        <f>IF(ROW(E2860)&lt;=Raw_hydro_bm!$J$2,Raw_hydro_bm!F2860,"")</f>
        <v/>
      </c>
      <c r="F2860" t="str">
        <f>IF(ROW(F2860)&lt;=Raw_hydro_bm!$J$2,Raw_hydro_bm!G2860,"")</f>
        <v/>
      </c>
      <c r="G2860" t="str">
        <f>IF(ROW(G2860)&lt;=Raw_hydro_bm!$J$2,Raw_hydro_bm!H2860,"")</f>
        <v/>
      </c>
      <c r="H2860" t="str">
        <f>IF(ROW(H2860)&lt;=Raw_hydro_bm!$J$2,Raw_hydro_bm!I2860,"")</f>
        <v/>
      </c>
      <c r="I2860" s="16" t="str">
        <f t="shared" si="44"/>
        <v/>
      </c>
    </row>
    <row r="2861" spans="1:9" x14ac:dyDescent="0.2">
      <c r="A2861" t="str">
        <f>IF(ROW(A2861)&lt;=Raw_hydro_bm!$J$2,Raw_hydro_bm!B2861,"")</f>
        <v/>
      </c>
      <c r="B2861" t="str">
        <f>IF(ROW(B2861)&lt;=Raw_hydro_bm!$J$2,Raw_hydro_bm!C2861,"")</f>
        <v/>
      </c>
      <c r="C2861" t="str">
        <f>IF(ROW(C2861)&lt;=Raw_hydro_bm!$J$2,Raw_hydro_bm!D2861,"")</f>
        <v/>
      </c>
      <c r="D2861" t="str">
        <f>IF(ROW(D2861)&lt;=Raw_hydro_bm!$J$2,Raw_hydro_bm!E2861,"")</f>
        <v/>
      </c>
      <c r="E2861" t="str">
        <f>IF(ROW(E2861)&lt;=Raw_hydro_bm!$J$2,Raw_hydro_bm!F2861,"")</f>
        <v/>
      </c>
      <c r="F2861" t="str">
        <f>IF(ROW(F2861)&lt;=Raw_hydro_bm!$J$2,Raw_hydro_bm!G2861,"")</f>
        <v/>
      </c>
      <c r="G2861" t="str">
        <f>IF(ROW(G2861)&lt;=Raw_hydro_bm!$J$2,Raw_hydro_bm!H2861,"")</f>
        <v/>
      </c>
      <c r="H2861" t="str">
        <f>IF(ROW(H2861)&lt;=Raw_hydro_bm!$J$2,Raw_hydro_bm!I2861,"")</f>
        <v/>
      </c>
      <c r="I2861" s="16" t="str">
        <f t="shared" si="44"/>
        <v/>
      </c>
    </row>
    <row r="2862" spans="1:9" x14ac:dyDescent="0.2">
      <c r="A2862" t="str">
        <f>IF(ROW(A2862)&lt;=Raw_hydro_bm!$J$2,Raw_hydro_bm!B2862,"")</f>
        <v/>
      </c>
      <c r="B2862" t="str">
        <f>IF(ROW(B2862)&lt;=Raw_hydro_bm!$J$2,Raw_hydro_bm!C2862,"")</f>
        <v/>
      </c>
      <c r="C2862" t="str">
        <f>IF(ROW(C2862)&lt;=Raw_hydro_bm!$J$2,Raw_hydro_bm!D2862,"")</f>
        <v/>
      </c>
      <c r="D2862" t="str">
        <f>IF(ROW(D2862)&lt;=Raw_hydro_bm!$J$2,Raw_hydro_bm!E2862,"")</f>
        <v/>
      </c>
      <c r="E2862" t="str">
        <f>IF(ROW(E2862)&lt;=Raw_hydro_bm!$J$2,Raw_hydro_bm!F2862,"")</f>
        <v/>
      </c>
      <c r="F2862" t="str">
        <f>IF(ROW(F2862)&lt;=Raw_hydro_bm!$J$2,Raw_hydro_bm!G2862,"")</f>
        <v/>
      </c>
      <c r="G2862" t="str">
        <f>IF(ROW(G2862)&lt;=Raw_hydro_bm!$J$2,Raw_hydro_bm!H2862,"")</f>
        <v/>
      </c>
      <c r="H2862" t="str">
        <f>IF(ROW(H2862)&lt;=Raw_hydro_bm!$J$2,Raw_hydro_bm!I2862,"")</f>
        <v/>
      </c>
      <c r="I2862" s="16" t="str">
        <f t="shared" si="44"/>
        <v/>
      </c>
    </row>
    <row r="2863" spans="1:9" x14ac:dyDescent="0.2">
      <c r="A2863" t="str">
        <f>IF(ROW(A2863)&lt;=Raw_hydro_bm!$J$2,Raw_hydro_bm!B2863,"")</f>
        <v/>
      </c>
      <c r="B2863" t="str">
        <f>IF(ROW(B2863)&lt;=Raw_hydro_bm!$J$2,Raw_hydro_bm!C2863,"")</f>
        <v/>
      </c>
      <c r="C2863" t="str">
        <f>IF(ROW(C2863)&lt;=Raw_hydro_bm!$J$2,Raw_hydro_bm!D2863,"")</f>
        <v/>
      </c>
      <c r="D2863" t="str">
        <f>IF(ROW(D2863)&lt;=Raw_hydro_bm!$J$2,Raw_hydro_bm!E2863,"")</f>
        <v/>
      </c>
      <c r="E2863" t="str">
        <f>IF(ROW(E2863)&lt;=Raw_hydro_bm!$J$2,Raw_hydro_bm!F2863,"")</f>
        <v/>
      </c>
      <c r="F2863" t="str">
        <f>IF(ROW(F2863)&lt;=Raw_hydro_bm!$J$2,Raw_hydro_bm!G2863,"")</f>
        <v/>
      </c>
      <c r="G2863" t="str">
        <f>IF(ROW(G2863)&lt;=Raw_hydro_bm!$J$2,Raw_hydro_bm!H2863,"")</f>
        <v/>
      </c>
      <c r="H2863" t="str">
        <f>IF(ROW(H2863)&lt;=Raw_hydro_bm!$J$2,Raw_hydro_bm!I2863,"")</f>
        <v/>
      </c>
      <c r="I2863" s="16" t="str">
        <f t="shared" si="44"/>
        <v/>
      </c>
    </row>
    <row r="2864" spans="1:9" x14ac:dyDescent="0.2">
      <c r="A2864" t="str">
        <f>IF(ROW(A2864)&lt;=Raw_hydro_bm!$J$2,Raw_hydro_bm!B2864,"")</f>
        <v/>
      </c>
      <c r="B2864" t="str">
        <f>IF(ROW(B2864)&lt;=Raw_hydro_bm!$J$2,Raw_hydro_bm!C2864,"")</f>
        <v/>
      </c>
      <c r="C2864" t="str">
        <f>IF(ROW(C2864)&lt;=Raw_hydro_bm!$J$2,Raw_hydro_bm!D2864,"")</f>
        <v/>
      </c>
      <c r="D2864" t="str">
        <f>IF(ROW(D2864)&lt;=Raw_hydro_bm!$J$2,Raw_hydro_bm!E2864,"")</f>
        <v/>
      </c>
      <c r="E2864" t="str">
        <f>IF(ROW(E2864)&lt;=Raw_hydro_bm!$J$2,Raw_hydro_bm!F2864,"")</f>
        <v/>
      </c>
      <c r="F2864" t="str">
        <f>IF(ROW(F2864)&lt;=Raw_hydro_bm!$J$2,Raw_hydro_bm!G2864,"")</f>
        <v/>
      </c>
      <c r="G2864" t="str">
        <f>IF(ROW(G2864)&lt;=Raw_hydro_bm!$J$2,Raw_hydro_bm!H2864,"")</f>
        <v/>
      </c>
      <c r="H2864" t="str">
        <f>IF(ROW(H2864)&lt;=Raw_hydro_bm!$J$2,Raw_hydro_bm!I2864,"")</f>
        <v/>
      </c>
      <c r="I2864" s="16" t="str">
        <f t="shared" si="44"/>
        <v/>
      </c>
    </row>
    <row r="2865" spans="1:9" x14ac:dyDescent="0.2">
      <c r="A2865" t="str">
        <f>IF(ROW(A2865)&lt;=Raw_hydro_bm!$J$2,Raw_hydro_bm!B2865,"")</f>
        <v/>
      </c>
      <c r="B2865" t="str">
        <f>IF(ROW(B2865)&lt;=Raw_hydro_bm!$J$2,Raw_hydro_bm!C2865,"")</f>
        <v/>
      </c>
      <c r="C2865" t="str">
        <f>IF(ROW(C2865)&lt;=Raw_hydro_bm!$J$2,Raw_hydro_bm!D2865,"")</f>
        <v/>
      </c>
      <c r="D2865" t="str">
        <f>IF(ROW(D2865)&lt;=Raw_hydro_bm!$J$2,Raw_hydro_bm!E2865,"")</f>
        <v/>
      </c>
      <c r="E2865" t="str">
        <f>IF(ROW(E2865)&lt;=Raw_hydro_bm!$J$2,Raw_hydro_bm!F2865,"")</f>
        <v/>
      </c>
      <c r="F2865" t="str">
        <f>IF(ROW(F2865)&lt;=Raw_hydro_bm!$J$2,Raw_hydro_bm!G2865,"")</f>
        <v/>
      </c>
      <c r="G2865" t="str">
        <f>IF(ROW(G2865)&lt;=Raw_hydro_bm!$J$2,Raw_hydro_bm!H2865,"")</f>
        <v/>
      </c>
      <c r="H2865" t="str">
        <f>IF(ROW(H2865)&lt;=Raw_hydro_bm!$J$2,Raw_hydro_bm!I2865,"")</f>
        <v/>
      </c>
      <c r="I2865" s="16" t="str">
        <f t="shared" si="44"/>
        <v/>
      </c>
    </row>
    <row r="2866" spans="1:9" x14ac:dyDescent="0.2">
      <c r="A2866" t="str">
        <f>IF(ROW(A2866)&lt;=Raw_hydro_bm!$J$2,Raw_hydro_bm!B2866,"")</f>
        <v/>
      </c>
      <c r="B2866" t="str">
        <f>IF(ROW(B2866)&lt;=Raw_hydro_bm!$J$2,Raw_hydro_bm!C2866,"")</f>
        <v/>
      </c>
      <c r="C2866" t="str">
        <f>IF(ROW(C2866)&lt;=Raw_hydro_bm!$J$2,Raw_hydro_bm!D2866,"")</f>
        <v/>
      </c>
      <c r="D2866" t="str">
        <f>IF(ROW(D2866)&lt;=Raw_hydro_bm!$J$2,Raw_hydro_bm!E2866,"")</f>
        <v/>
      </c>
      <c r="E2866" t="str">
        <f>IF(ROW(E2866)&lt;=Raw_hydro_bm!$J$2,Raw_hydro_bm!F2866,"")</f>
        <v/>
      </c>
      <c r="F2866" t="str">
        <f>IF(ROW(F2866)&lt;=Raw_hydro_bm!$J$2,Raw_hydro_bm!G2866,"")</f>
        <v/>
      </c>
      <c r="G2866" t="str">
        <f>IF(ROW(G2866)&lt;=Raw_hydro_bm!$J$2,Raw_hydro_bm!H2866,"")</f>
        <v/>
      </c>
      <c r="H2866" t="str">
        <f>IF(ROW(H2866)&lt;=Raw_hydro_bm!$J$2,Raw_hydro_bm!I2866,"")</f>
        <v/>
      </c>
      <c r="I2866" s="16" t="str">
        <f t="shared" si="44"/>
        <v/>
      </c>
    </row>
    <row r="2867" spans="1:9" x14ac:dyDescent="0.2">
      <c r="A2867" t="str">
        <f>IF(ROW(A2867)&lt;=Raw_hydro_bm!$J$2,Raw_hydro_bm!B2867,"")</f>
        <v/>
      </c>
      <c r="B2867" t="str">
        <f>IF(ROW(B2867)&lt;=Raw_hydro_bm!$J$2,Raw_hydro_bm!C2867,"")</f>
        <v/>
      </c>
      <c r="C2867" t="str">
        <f>IF(ROW(C2867)&lt;=Raw_hydro_bm!$J$2,Raw_hydro_bm!D2867,"")</f>
        <v/>
      </c>
      <c r="D2867" t="str">
        <f>IF(ROW(D2867)&lt;=Raw_hydro_bm!$J$2,Raw_hydro_bm!E2867,"")</f>
        <v/>
      </c>
      <c r="E2867" t="str">
        <f>IF(ROW(E2867)&lt;=Raw_hydro_bm!$J$2,Raw_hydro_bm!F2867,"")</f>
        <v/>
      </c>
      <c r="F2867" t="str">
        <f>IF(ROW(F2867)&lt;=Raw_hydro_bm!$J$2,Raw_hydro_bm!G2867,"")</f>
        <v/>
      </c>
      <c r="G2867" t="str">
        <f>IF(ROW(G2867)&lt;=Raw_hydro_bm!$J$2,Raw_hydro_bm!H2867,"")</f>
        <v/>
      </c>
      <c r="H2867" t="str">
        <f>IF(ROW(H2867)&lt;=Raw_hydro_bm!$J$2,Raw_hydro_bm!I2867,"")</f>
        <v/>
      </c>
      <c r="I2867" s="16" t="str">
        <f t="shared" si="44"/>
        <v/>
      </c>
    </row>
    <row r="2868" spans="1:9" x14ac:dyDescent="0.2">
      <c r="A2868" t="str">
        <f>IF(ROW(A2868)&lt;=Raw_hydro_bm!$J$2,Raw_hydro_bm!B2868,"")</f>
        <v/>
      </c>
      <c r="B2868" t="str">
        <f>IF(ROW(B2868)&lt;=Raw_hydro_bm!$J$2,Raw_hydro_bm!C2868,"")</f>
        <v/>
      </c>
      <c r="C2868" t="str">
        <f>IF(ROW(C2868)&lt;=Raw_hydro_bm!$J$2,Raw_hydro_bm!D2868,"")</f>
        <v/>
      </c>
      <c r="D2868" t="str">
        <f>IF(ROW(D2868)&lt;=Raw_hydro_bm!$J$2,Raw_hydro_bm!E2868,"")</f>
        <v/>
      </c>
      <c r="E2868" t="str">
        <f>IF(ROW(E2868)&lt;=Raw_hydro_bm!$J$2,Raw_hydro_bm!F2868,"")</f>
        <v/>
      </c>
      <c r="F2868" t="str">
        <f>IF(ROW(F2868)&lt;=Raw_hydro_bm!$J$2,Raw_hydro_bm!G2868,"")</f>
        <v/>
      </c>
      <c r="G2868" t="str">
        <f>IF(ROW(G2868)&lt;=Raw_hydro_bm!$J$2,Raw_hydro_bm!H2868,"")</f>
        <v/>
      </c>
      <c r="H2868" t="str">
        <f>IF(ROW(H2868)&lt;=Raw_hydro_bm!$J$2,Raw_hydro_bm!I2868,"")</f>
        <v/>
      </c>
      <c r="I2868" s="16" t="str">
        <f t="shared" si="44"/>
        <v/>
      </c>
    </row>
    <row r="2869" spans="1:9" x14ac:dyDescent="0.2">
      <c r="A2869" t="str">
        <f>IF(ROW(A2869)&lt;=Raw_hydro_bm!$J$2,Raw_hydro_bm!B2869,"")</f>
        <v/>
      </c>
      <c r="B2869" t="str">
        <f>IF(ROW(B2869)&lt;=Raw_hydro_bm!$J$2,Raw_hydro_bm!C2869,"")</f>
        <v/>
      </c>
      <c r="C2869" t="str">
        <f>IF(ROW(C2869)&lt;=Raw_hydro_bm!$J$2,Raw_hydro_bm!D2869,"")</f>
        <v/>
      </c>
      <c r="D2869" t="str">
        <f>IF(ROW(D2869)&lt;=Raw_hydro_bm!$J$2,Raw_hydro_bm!E2869,"")</f>
        <v/>
      </c>
      <c r="E2869" t="str">
        <f>IF(ROW(E2869)&lt;=Raw_hydro_bm!$J$2,Raw_hydro_bm!F2869,"")</f>
        <v/>
      </c>
      <c r="F2869" t="str">
        <f>IF(ROW(F2869)&lt;=Raw_hydro_bm!$J$2,Raw_hydro_bm!G2869,"")</f>
        <v/>
      </c>
      <c r="G2869" t="str">
        <f>IF(ROW(G2869)&lt;=Raw_hydro_bm!$J$2,Raw_hydro_bm!H2869,"")</f>
        <v/>
      </c>
      <c r="H2869" t="str">
        <f>IF(ROW(H2869)&lt;=Raw_hydro_bm!$J$2,Raw_hydro_bm!I2869,"")</f>
        <v/>
      </c>
      <c r="I2869" s="16" t="str">
        <f t="shared" si="44"/>
        <v/>
      </c>
    </row>
    <row r="2870" spans="1:9" x14ac:dyDescent="0.2">
      <c r="A2870" t="str">
        <f>IF(ROW(A2870)&lt;=Raw_hydro_bm!$J$2,Raw_hydro_bm!B2870,"")</f>
        <v/>
      </c>
      <c r="B2870" t="str">
        <f>IF(ROW(B2870)&lt;=Raw_hydro_bm!$J$2,Raw_hydro_bm!C2870,"")</f>
        <v/>
      </c>
      <c r="C2870" t="str">
        <f>IF(ROW(C2870)&lt;=Raw_hydro_bm!$J$2,Raw_hydro_bm!D2870,"")</f>
        <v/>
      </c>
      <c r="D2870" t="str">
        <f>IF(ROW(D2870)&lt;=Raw_hydro_bm!$J$2,Raw_hydro_bm!E2870,"")</f>
        <v/>
      </c>
      <c r="E2870" t="str">
        <f>IF(ROW(E2870)&lt;=Raw_hydro_bm!$J$2,Raw_hydro_bm!F2870,"")</f>
        <v/>
      </c>
      <c r="F2870" t="str">
        <f>IF(ROW(F2870)&lt;=Raw_hydro_bm!$J$2,Raw_hydro_bm!G2870,"")</f>
        <v/>
      </c>
      <c r="G2870" t="str">
        <f>IF(ROW(G2870)&lt;=Raw_hydro_bm!$J$2,Raw_hydro_bm!H2870,"")</f>
        <v/>
      </c>
      <c r="H2870" t="str">
        <f>IF(ROW(H2870)&lt;=Raw_hydro_bm!$J$2,Raw_hydro_bm!I2870,"")</f>
        <v/>
      </c>
      <c r="I2870" s="16" t="str">
        <f t="shared" si="44"/>
        <v/>
      </c>
    </row>
    <row r="2871" spans="1:9" x14ac:dyDescent="0.2">
      <c r="A2871" t="str">
        <f>IF(ROW(A2871)&lt;=Raw_hydro_bm!$J$2,Raw_hydro_bm!B2871,"")</f>
        <v/>
      </c>
      <c r="B2871" t="str">
        <f>IF(ROW(B2871)&lt;=Raw_hydro_bm!$J$2,Raw_hydro_bm!C2871,"")</f>
        <v/>
      </c>
      <c r="C2871" t="str">
        <f>IF(ROW(C2871)&lt;=Raw_hydro_bm!$J$2,Raw_hydro_bm!D2871,"")</f>
        <v/>
      </c>
      <c r="D2871" t="str">
        <f>IF(ROW(D2871)&lt;=Raw_hydro_bm!$J$2,Raw_hydro_bm!E2871,"")</f>
        <v/>
      </c>
      <c r="E2871" t="str">
        <f>IF(ROW(E2871)&lt;=Raw_hydro_bm!$J$2,Raw_hydro_bm!F2871,"")</f>
        <v/>
      </c>
      <c r="F2871" t="str">
        <f>IF(ROW(F2871)&lt;=Raw_hydro_bm!$J$2,Raw_hydro_bm!G2871,"")</f>
        <v/>
      </c>
      <c r="G2871" t="str">
        <f>IF(ROW(G2871)&lt;=Raw_hydro_bm!$J$2,Raw_hydro_bm!H2871,"")</f>
        <v/>
      </c>
      <c r="H2871" t="str">
        <f>IF(ROW(H2871)&lt;=Raw_hydro_bm!$J$2,Raw_hydro_bm!I2871,"")</f>
        <v/>
      </c>
      <c r="I2871" s="16" t="str">
        <f t="shared" si="44"/>
        <v/>
      </c>
    </row>
    <row r="2872" spans="1:9" x14ac:dyDescent="0.2">
      <c r="A2872" t="str">
        <f>IF(ROW(A2872)&lt;=Raw_hydro_bm!$J$2,Raw_hydro_bm!B2872,"")</f>
        <v/>
      </c>
      <c r="B2872" t="str">
        <f>IF(ROW(B2872)&lt;=Raw_hydro_bm!$J$2,Raw_hydro_bm!C2872,"")</f>
        <v/>
      </c>
      <c r="C2872" t="str">
        <f>IF(ROW(C2872)&lt;=Raw_hydro_bm!$J$2,Raw_hydro_bm!D2872,"")</f>
        <v/>
      </c>
      <c r="D2872" t="str">
        <f>IF(ROW(D2872)&lt;=Raw_hydro_bm!$J$2,Raw_hydro_bm!E2872,"")</f>
        <v/>
      </c>
      <c r="E2872" t="str">
        <f>IF(ROW(E2872)&lt;=Raw_hydro_bm!$J$2,Raw_hydro_bm!F2872,"")</f>
        <v/>
      </c>
      <c r="F2872" t="str">
        <f>IF(ROW(F2872)&lt;=Raw_hydro_bm!$J$2,Raw_hydro_bm!G2872,"")</f>
        <v/>
      </c>
      <c r="G2872" t="str">
        <f>IF(ROW(G2872)&lt;=Raw_hydro_bm!$J$2,Raw_hydro_bm!H2872,"")</f>
        <v/>
      </c>
      <c r="H2872" t="str">
        <f>IF(ROW(H2872)&lt;=Raw_hydro_bm!$J$2,Raw_hydro_bm!I2872,"")</f>
        <v/>
      </c>
      <c r="I2872" s="16" t="str">
        <f t="shared" si="44"/>
        <v/>
      </c>
    </row>
    <row r="2873" spans="1:9" x14ac:dyDescent="0.2">
      <c r="A2873" t="str">
        <f>IF(ROW(A2873)&lt;=Raw_hydro_bm!$J$2,Raw_hydro_bm!B2873,"")</f>
        <v/>
      </c>
      <c r="B2873" t="str">
        <f>IF(ROW(B2873)&lt;=Raw_hydro_bm!$J$2,Raw_hydro_bm!C2873,"")</f>
        <v/>
      </c>
      <c r="C2873" t="str">
        <f>IF(ROW(C2873)&lt;=Raw_hydro_bm!$J$2,Raw_hydro_bm!D2873,"")</f>
        <v/>
      </c>
      <c r="D2873" t="str">
        <f>IF(ROW(D2873)&lt;=Raw_hydro_bm!$J$2,Raw_hydro_bm!E2873,"")</f>
        <v/>
      </c>
      <c r="E2873" t="str">
        <f>IF(ROW(E2873)&lt;=Raw_hydro_bm!$J$2,Raw_hydro_bm!F2873,"")</f>
        <v/>
      </c>
      <c r="F2873" t="str">
        <f>IF(ROW(F2873)&lt;=Raw_hydro_bm!$J$2,Raw_hydro_bm!G2873,"")</f>
        <v/>
      </c>
      <c r="G2873" t="str">
        <f>IF(ROW(G2873)&lt;=Raw_hydro_bm!$J$2,Raw_hydro_bm!H2873,"")</f>
        <v/>
      </c>
      <c r="H2873" t="str">
        <f>IF(ROW(H2873)&lt;=Raw_hydro_bm!$J$2,Raw_hydro_bm!I2873,"")</f>
        <v/>
      </c>
      <c r="I2873" s="16" t="str">
        <f t="shared" si="44"/>
        <v/>
      </c>
    </row>
    <row r="2874" spans="1:9" x14ac:dyDescent="0.2">
      <c r="A2874" t="str">
        <f>IF(ROW(A2874)&lt;=Raw_hydro_bm!$J$2,Raw_hydro_bm!B2874,"")</f>
        <v/>
      </c>
      <c r="B2874" t="str">
        <f>IF(ROW(B2874)&lt;=Raw_hydro_bm!$J$2,Raw_hydro_bm!C2874,"")</f>
        <v/>
      </c>
      <c r="C2874" t="str">
        <f>IF(ROW(C2874)&lt;=Raw_hydro_bm!$J$2,Raw_hydro_bm!D2874,"")</f>
        <v/>
      </c>
      <c r="D2874" t="str">
        <f>IF(ROW(D2874)&lt;=Raw_hydro_bm!$J$2,Raw_hydro_bm!E2874,"")</f>
        <v/>
      </c>
      <c r="E2874" t="str">
        <f>IF(ROW(E2874)&lt;=Raw_hydro_bm!$J$2,Raw_hydro_bm!F2874,"")</f>
        <v/>
      </c>
      <c r="F2874" t="str">
        <f>IF(ROW(F2874)&lt;=Raw_hydro_bm!$J$2,Raw_hydro_bm!G2874,"")</f>
        <v/>
      </c>
      <c r="G2874" t="str">
        <f>IF(ROW(G2874)&lt;=Raw_hydro_bm!$J$2,Raw_hydro_bm!H2874,"")</f>
        <v/>
      </c>
      <c r="H2874" t="str">
        <f>IF(ROW(H2874)&lt;=Raw_hydro_bm!$J$2,Raw_hydro_bm!I2874,"")</f>
        <v/>
      </c>
      <c r="I2874" s="16" t="str">
        <f t="shared" si="44"/>
        <v/>
      </c>
    </row>
    <row r="2875" spans="1:9" x14ac:dyDescent="0.2">
      <c r="A2875" t="str">
        <f>IF(ROW(A2875)&lt;=Raw_hydro_bm!$J$2,Raw_hydro_bm!B2875,"")</f>
        <v/>
      </c>
      <c r="B2875" t="str">
        <f>IF(ROW(B2875)&lt;=Raw_hydro_bm!$J$2,Raw_hydro_bm!C2875,"")</f>
        <v/>
      </c>
      <c r="C2875" t="str">
        <f>IF(ROW(C2875)&lt;=Raw_hydro_bm!$J$2,Raw_hydro_bm!D2875,"")</f>
        <v/>
      </c>
      <c r="D2875" t="str">
        <f>IF(ROW(D2875)&lt;=Raw_hydro_bm!$J$2,Raw_hydro_bm!E2875,"")</f>
        <v/>
      </c>
      <c r="E2875" t="str">
        <f>IF(ROW(E2875)&lt;=Raw_hydro_bm!$J$2,Raw_hydro_bm!F2875,"")</f>
        <v/>
      </c>
      <c r="F2875" t="str">
        <f>IF(ROW(F2875)&lt;=Raw_hydro_bm!$J$2,Raw_hydro_bm!G2875,"")</f>
        <v/>
      </c>
      <c r="G2875" t="str">
        <f>IF(ROW(G2875)&lt;=Raw_hydro_bm!$J$2,Raw_hydro_bm!H2875,"")</f>
        <v/>
      </c>
      <c r="H2875" t="str">
        <f>IF(ROW(H2875)&lt;=Raw_hydro_bm!$J$2,Raw_hydro_bm!I2875,"")</f>
        <v/>
      </c>
      <c r="I2875" s="16" t="str">
        <f t="shared" si="44"/>
        <v/>
      </c>
    </row>
    <row r="2876" spans="1:9" x14ac:dyDescent="0.2">
      <c r="A2876" t="str">
        <f>IF(ROW(A2876)&lt;=Raw_hydro_bm!$J$2,Raw_hydro_bm!B2876,"")</f>
        <v/>
      </c>
      <c r="B2876" t="str">
        <f>IF(ROW(B2876)&lt;=Raw_hydro_bm!$J$2,Raw_hydro_bm!C2876,"")</f>
        <v/>
      </c>
      <c r="C2876" t="str">
        <f>IF(ROW(C2876)&lt;=Raw_hydro_bm!$J$2,Raw_hydro_bm!D2876,"")</f>
        <v/>
      </c>
      <c r="D2876" t="str">
        <f>IF(ROW(D2876)&lt;=Raw_hydro_bm!$J$2,Raw_hydro_bm!E2876,"")</f>
        <v/>
      </c>
      <c r="E2876" t="str">
        <f>IF(ROW(E2876)&lt;=Raw_hydro_bm!$J$2,Raw_hydro_bm!F2876,"")</f>
        <v/>
      </c>
      <c r="F2876" t="str">
        <f>IF(ROW(F2876)&lt;=Raw_hydro_bm!$J$2,Raw_hydro_bm!G2876,"")</f>
        <v/>
      </c>
      <c r="G2876" t="str">
        <f>IF(ROW(G2876)&lt;=Raw_hydro_bm!$J$2,Raw_hydro_bm!H2876,"")</f>
        <v/>
      </c>
      <c r="H2876" t="str">
        <f>IF(ROW(H2876)&lt;=Raw_hydro_bm!$J$2,Raw_hydro_bm!I2876,"")</f>
        <v/>
      </c>
      <c r="I2876" s="16" t="str">
        <f t="shared" si="44"/>
        <v/>
      </c>
    </row>
    <row r="2877" spans="1:9" x14ac:dyDescent="0.2">
      <c r="A2877" t="str">
        <f>IF(ROW(A2877)&lt;=Raw_hydro_bm!$J$2,Raw_hydro_bm!B2877,"")</f>
        <v/>
      </c>
      <c r="B2877" t="str">
        <f>IF(ROW(B2877)&lt;=Raw_hydro_bm!$J$2,Raw_hydro_bm!C2877,"")</f>
        <v/>
      </c>
      <c r="C2877" t="str">
        <f>IF(ROW(C2877)&lt;=Raw_hydro_bm!$J$2,Raw_hydro_bm!D2877,"")</f>
        <v/>
      </c>
      <c r="D2877" t="str">
        <f>IF(ROW(D2877)&lt;=Raw_hydro_bm!$J$2,Raw_hydro_bm!E2877,"")</f>
        <v/>
      </c>
      <c r="E2877" t="str">
        <f>IF(ROW(E2877)&lt;=Raw_hydro_bm!$J$2,Raw_hydro_bm!F2877,"")</f>
        <v/>
      </c>
      <c r="F2877" t="str">
        <f>IF(ROW(F2877)&lt;=Raw_hydro_bm!$J$2,Raw_hydro_bm!G2877,"")</f>
        <v/>
      </c>
      <c r="G2877" t="str">
        <f>IF(ROW(G2877)&lt;=Raw_hydro_bm!$J$2,Raw_hydro_bm!H2877,"")</f>
        <v/>
      </c>
      <c r="H2877" t="str">
        <f>IF(ROW(H2877)&lt;=Raw_hydro_bm!$J$2,Raw_hydro_bm!I2877,"")</f>
        <v/>
      </c>
      <c r="I2877" s="16" t="str">
        <f t="shared" si="44"/>
        <v/>
      </c>
    </row>
    <row r="2878" spans="1:9" x14ac:dyDescent="0.2">
      <c r="A2878" t="str">
        <f>IF(ROW(A2878)&lt;=Raw_hydro_bm!$J$2,Raw_hydro_bm!B2878,"")</f>
        <v/>
      </c>
      <c r="B2878" t="str">
        <f>IF(ROW(B2878)&lt;=Raw_hydro_bm!$J$2,Raw_hydro_bm!C2878,"")</f>
        <v/>
      </c>
      <c r="C2878" t="str">
        <f>IF(ROW(C2878)&lt;=Raw_hydro_bm!$J$2,Raw_hydro_bm!D2878,"")</f>
        <v/>
      </c>
      <c r="D2878" t="str">
        <f>IF(ROW(D2878)&lt;=Raw_hydro_bm!$J$2,Raw_hydro_bm!E2878,"")</f>
        <v/>
      </c>
      <c r="E2878" t="str">
        <f>IF(ROW(E2878)&lt;=Raw_hydro_bm!$J$2,Raw_hydro_bm!F2878,"")</f>
        <v/>
      </c>
      <c r="F2878" t="str">
        <f>IF(ROW(F2878)&lt;=Raw_hydro_bm!$J$2,Raw_hydro_bm!G2878,"")</f>
        <v/>
      </c>
      <c r="G2878" t="str">
        <f>IF(ROW(G2878)&lt;=Raw_hydro_bm!$J$2,Raw_hydro_bm!H2878,"")</f>
        <v/>
      </c>
      <c r="H2878" t="str">
        <f>IF(ROW(H2878)&lt;=Raw_hydro_bm!$J$2,Raw_hydro_bm!I2878,"")</f>
        <v/>
      </c>
      <c r="I2878" s="16" t="str">
        <f t="shared" si="44"/>
        <v/>
      </c>
    </row>
    <row r="2879" spans="1:9" x14ac:dyDescent="0.2">
      <c r="A2879" t="str">
        <f>IF(ROW(A2879)&lt;=Raw_hydro_bm!$J$2,Raw_hydro_bm!B2879,"")</f>
        <v/>
      </c>
      <c r="B2879" t="str">
        <f>IF(ROW(B2879)&lt;=Raw_hydro_bm!$J$2,Raw_hydro_bm!C2879,"")</f>
        <v/>
      </c>
      <c r="C2879" t="str">
        <f>IF(ROW(C2879)&lt;=Raw_hydro_bm!$J$2,Raw_hydro_bm!D2879,"")</f>
        <v/>
      </c>
      <c r="D2879" t="str">
        <f>IF(ROW(D2879)&lt;=Raw_hydro_bm!$J$2,Raw_hydro_bm!E2879,"")</f>
        <v/>
      </c>
      <c r="E2879" t="str">
        <f>IF(ROW(E2879)&lt;=Raw_hydro_bm!$J$2,Raw_hydro_bm!F2879,"")</f>
        <v/>
      </c>
      <c r="F2879" t="str">
        <f>IF(ROW(F2879)&lt;=Raw_hydro_bm!$J$2,Raw_hydro_bm!G2879,"")</f>
        <v/>
      </c>
      <c r="G2879" t="str">
        <f>IF(ROW(G2879)&lt;=Raw_hydro_bm!$J$2,Raw_hydro_bm!H2879,"")</f>
        <v/>
      </c>
      <c r="H2879" t="str">
        <f>IF(ROW(H2879)&lt;=Raw_hydro_bm!$J$2,Raw_hydro_bm!I2879,"")</f>
        <v/>
      </c>
      <c r="I2879" s="16" t="str">
        <f t="shared" si="44"/>
        <v/>
      </c>
    </row>
    <row r="2880" spans="1:9" x14ac:dyDescent="0.2">
      <c r="A2880" t="str">
        <f>IF(ROW(A2880)&lt;=Raw_hydro_bm!$J$2,Raw_hydro_bm!B2880,"")</f>
        <v/>
      </c>
      <c r="B2880" t="str">
        <f>IF(ROW(B2880)&lt;=Raw_hydro_bm!$J$2,Raw_hydro_bm!C2880,"")</f>
        <v/>
      </c>
      <c r="C2880" t="str">
        <f>IF(ROW(C2880)&lt;=Raw_hydro_bm!$J$2,Raw_hydro_bm!D2880,"")</f>
        <v/>
      </c>
      <c r="D2880" t="str">
        <f>IF(ROW(D2880)&lt;=Raw_hydro_bm!$J$2,Raw_hydro_bm!E2880,"")</f>
        <v/>
      </c>
      <c r="E2880" t="str">
        <f>IF(ROW(E2880)&lt;=Raw_hydro_bm!$J$2,Raw_hydro_bm!F2880,"")</f>
        <v/>
      </c>
      <c r="F2880" t="str">
        <f>IF(ROW(F2880)&lt;=Raw_hydro_bm!$J$2,Raw_hydro_bm!G2880,"")</f>
        <v/>
      </c>
      <c r="G2880" t="str">
        <f>IF(ROW(G2880)&lt;=Raw_hydro_bm!$J$2,Raw_hydro_bm!H2880,"")</f>
        <v/>
      </c>
      <c r="H2880" t="str">
        <f>IF(ROW(H2880)&lt;=Raw_hydro_bm!$J$2,Raw_hydro_bm!I2880,"")</f>
        <v/>
      </c>
      <c r="I2880" s="16" t="str">
        <f t="shared" si="44"/>
        <v/>
      </c>
    </row>
    <row r="2881" spans="1:9" x14ac:dyDescent="0.2">
      <c r="A2881" t="str">
        <f>IF(ROW(A2881)&lt;=Raw_hydro_bm!$J$2,Raw_hydro_bm!B2881,"")</f>
        <v/>
      </c>
      <c r="B2881" t="str">
        <f>IF(ROW(B2881)&lt;=Raw_hydro_bm!$J$2,Raw_hydro_bm!C2881,"")</f>
        <v/>
      </c>
      <c r="C2881" t="str">
        <f>IF(ROW(C2881)&lt;=Raw_hydro_bm!$J$2,Raw_hydro_bm!D2881,"")</f>
        <v/>
      </c>
      <c r="D2881" t="str">
        <f>IF(ROW(D2881)&lt;=Raw_hydro_bm!$J$2,Raw_hydro_bm!E2881,"")</f>
        <v/>
      </c>
      <c r="E2881" t="str">
        <f>IF(ROW(E2881)&lt;=Raw_hydro_bm!$J$2,Raw_hydro_bm!F2881,"")</f>
        <v/>
      </c>
      <c r="F2881" t="str">
        <f>IF(ROW(F2881)&lt;=Raw_hydro_bm!$J$2,Raw_hydro_bm!G2881,"")</f>
        <v/>
      </c>
      <c r="G2881" t="str">
        <f>IF(ROW(G2881)&lt;=Raw_hydro_bm!$J$2,Raw_hydro_bm!H2881,"")</f>
        <v/>
      </c>
      <c r="H2881" t="str">
        <f>IF(ROW(H2881)&lt;=Raw_hydro_bm!$J$2,Raw_hydro_bm!I2881,"")</f>
        <v/>
      </c>
      <c r="I2881" s="16" t="str">
        <f t="shared" si="44"/>
        <v/>
      </c>
    </row>
    <row r="2882" spans="1:9" x14ac:dyDescent="0.2">
      <c r="A2882" t="str">
        <f>IF(ROW(A2882)&lt;=Raw_hydro_bm!$J$2,Raw_hydro_bm!B2882,"")</f>
        <v/>
      </c>
      <c r="B2882" t="str">
        <f>IF(ROW(B2882)&lt;=Raw_hydro_bm!$J$2,Raw_hydro_bm!C2882,"")</f>
        <v/>
      </c>
      <c r="C2882" t="str">
        <f>IF(ROW(C2882)&lt;=Raw_hydro_bm!$J$2,Raw_hydro_bm!D2882,"")</f>
        <v/>
      </c>
      <c r="D2882" t="str">
        <f>IF(ROW(D2882)&lt;=Raw_hydro_bm!$J$2,Raw_hydro_bm!E2882,"")</f>
        <v/>
      </c>
      <c r="E2882" t="str">
        <f>IF(ROW(E2882)&lt;=Raw_hydro_bm!$J$2,Raw_hydro_bm!F2882,"")</f>
        <v/>
      </c>
      <c r="F2882" t="str">
        <f>IF(ROW(F2882)&lt;=Raw_hydro_bm!$J$2,Raw_hydro_bm!G2882,"")</f>
        <v/>
      </c>
      <c r="G2882" t="str">
        <f>IF(ROW(G2882)&lt;=Raw_hydro_bm!$J$2,Raw_hydro_bm!H2882,"")</f>
        <v/>
      </c>
      <c r="H2882" t="str">
        <f>IF(ROW(H2882)&lt;=Raw_hydro_bm!$J$2,Raw_hydro_bm!I2882,"")</f>
        <v/>
      </c>
      <c r="I2882" s="16" t="str">
        <f t="shared" ref="I2882:I2945" si="45">IF(IFERROR(FIND("e",H2882),-1)&lt;0,IFERROR(_xlfn.NUMBERVALUE(LEFT(H2882,FIND(".",H2882)-1))+_xlfn.NUMBERVALUE("0,"&amp;RIGHT(H2882,LEN(H2882)-FIND(".",H2882))),""),0)</f>
        <v/>
      </c>
    </row>
    <row r="2883" spans="1:9" x14ac:dyDescent="0.2">
      <c r="A2883" t="str">
        <f>IF(ROW(A2883)&lt;=Raw_hydro_bm!$J$2,Raw_hydro_bm!B2883,"")</f>
        <v/>
      </c>
      <c r="B2883" t="str">
        <f>IF(ROW(B2883)&lt;=Raw_hydro_bm!$J$2,Raw_hydro_bm!C2883,"")</f>
        <v/>
      </c>
      <c r="C2883" t="str">
        <f>IF(ROW(C2883)&lt;=Raw_hydro_bm!$J$2,Raw_hydro_bm!D2883,"")</f>
        <v/>
      </c>
      <c r="D2883" t="str">
        <f>IF(ROW(D2883)&lt;=Raw_hydro_bm!$J$2,Raw_hydro_bm!E2883,"")</f>
        <v/>
      </c>
      <c r="E2883" t="str">
        <f>IF(ROW(E2883)&lt;=Raw_hydro_bm!$J$2,Raw_hydro_bm!F2883,"")</f>
        <v/>
      </c>
      <c r="F2883" t="str">
        <f>IF(ROW(F2883)&lt;=Raw_hydro_bm!$J$2,Raw_hydro_bm!G2883,"")</f>
        <v/>
      </c>
      <c r="G2883" t="str">
        <f>IF(ROW(G2883)&lt;=Raw_hydro_bm!$J$2,Raw_hydro_bm!H2883,"")</f>
        <v/>
      </c>
      <c r="H2883" t="str">
        <f>IF(ROW(H2883)&lt;=Raw_hydro_bm!$J$2,Raw_hydro_bm!I2883,"")</f>
        <v/>
      </c>
      <c r="I2883" s="16" t="str">
        <f t="shared" si="45"/>
        <v/>
      </c>
    </row>
    <row r="2884" spans="1:9" x14ac:dyDescent="0.2">
      <c r="A2884" t="str">
        <f>IF(ROW(A2884)&lt;=Raw_hydro_bm!$J$2,Raw_hydro_bm!B2884,"")</f>
        <v/>
      </c>
      <c r="B2884" t="str">
        <f>IF(ROW(B2884)&lt;=Raw_hydro_bm!$J$2,Raw_hydro_bm!C2884,"")</f>
        <v/>
      </c>
      <c r="C2884" t="str">
        <f>IF(ROW(C2884)&lt;=Raw_hydro_bm!$J$2,Raw_hydro_bm!D2884,"")</f>
        <v/>
      </c>
      <c r="D2884" t="str">
        <f>IF(ROW(D2884)&lt;=Raw_hydro_bm!$J$2,Raw_hydro_bm!E2884,"")</f>
        <v/>
      </c>
      <c r="E2884" t="str">
        <f>IF(ROW(E2884)&lt;=Raw_hydro_bm!$J$2,Raw_hydro_bm!F2884,"")</f>
        <v/>
      </c>
      <c r="F2884" t="str">
        <f>IF(ROW(F2884)&lt;=Raw_hydro_bm!$J$2,Raw_hydro_bm!G2884,"")</f>
        <v/>
      </c>
      <c r="G2884" t="str">
        <f>IF(ROW(G2884)&lt;=Raw_hydro_bm!$J$2,Raw_hydro_bm!H2884,"")</f>
        <v/>
      </c>
      <c r="H2884" t="str">
        <f>IF(ROW(H2884)&lt;=Raw_hydro_bm!$J$2,Raw_hydro_bm!I2884,"")</f>
        <v/>
      </c>
      <c r="I2884" s="16" t="str">
        <f t="shared" si="45"/>
        <v/>
      </c>
    </row>
    <row r="2885" spans="1:9" x14ac:dyDescent="0.2">
      <c r="A2885" t="str">
        <f>IF(ROW(A2885)&lt;=Raw_hydro_bm!$J$2,Raw_hydro_bm!B2885,"")</f>
        <v/>
      </c>
      <c r="B2885" t="str">
        <f>IF(ROW(B2885)&lt;=Raw_hydro_bm!$J$2,Raw_hydro_bm!C2885,"")</f>
        <v/>
      </c>
      <c r="C2885" t="str">
        <f>IF(ROW(C2885)&lt;=Raw_hydro_bm!$J$2,Raw_hydro_bm!D2885,"")</f>
        <v/>
      </c>
      <c r="D2885" t="str">
        <f>IF(ROW(D2885)&lt;=Raw_hydro_bm!$J$2,Raw_hydro_bm!E2885,"")</f>
        <v/>
      </c>
      <c r="E2885" t="str">
        <f>IF(ROW(E2885)&lt;=Raw_hydro_bm!$J$2,Raw_hydro_bm!F2885,"")</f>
        <v/>
      </c>
      <c r="F2885" t="str">
        <f>IF(ROW(F2885)&lt;=Raw_hydro_bm!$J$2,Raw_hydro_bm!G2885,"")</f>
        <v/>
      </c>
      <c r="G2885" t="str">
        <f>IF(ROW(G2885)&lt;=Raw_hydro_bm!$J$2,Raw_hydro_bm!H2885,"")</f>
        <v/>
      </c>
      <c r="H2885" t="str">
        <f>IF(ROW(H2885)&lt;=Raw_hydro_bm!$J$2,Raw_hydro_bm!I2885,"")</f>
        <v/>
      </c>
      <c r="I2885" s="16" t="str">
        <f t="shared" si="45"/>
        <v/>
      </c>
    </row>
    <row r="2886" spans="1:9" x14ac:dyDescent="0.2">
      <c r="A2886" t="str">
        <f>IF(ROW(A2886)&lt;=Raw_hydro_bm!$J$2,Raw_hydro_bm!B2886,"")</f>
        <v/>
      </c>
      <c r="B2886" t="str">
        <f>IF(ROW(B2886)&lt;=Raw_hydro_bm!$J$2,Raw_hydro_bm!C2886,"")</f>
        <v/>
      </c>
      <c r="C2886" t="str">
        <f>IF(ROW(C2886)&lt;=Raw_hydro_bm!$J$2,Raw_hydro_bm!D2886,"")</f>
        <v/>
      </c>
      <c r="D2886" t="str">
        <f>IF(ROW(D2886)&lt;=Raw_hydro_bm!$J$2,Raw_hydro_bm!E2886,"")</f>
        <v/>
      </c>
      <c r="E2886" t="str">
        <f>IF(ROW(E2886)&lt;=Raw_hydro_bm!$J$2,Raw_hydro_bm!F2886,"")</f>
        <v/>
      </c>
      <c r="F2886" t="str">
        <f>IF(ROW(F2886)&lt;=Raw_hydro_bm!$J$2,Raw_hydro_bm!G2886,"")</f>
        <v/>
      </c>
      <c r="G2886" t="str">
        <f>IF(ROW(G2886)&lt;=Raw_hydro_bm!$J$2,Raw_hydro_bm!H2886,"")</f>
        <v/>
      </c>
      <c r="H2886" t="str">
        <f>IF(ROW(H2886)&lt;=Raw_hydro_bm!$J$2,Raw_hydro_bm!I2886,"")</f>
        <v/>
      </c>
      <c r="I2886" s="16" t="str">
        <f t="shared" si="45"/>
        <v/>
      </c>
    </row>
    <row r="2887" spans="1:9" x14ac:dyDescent="0.2">
      <c r="A2887" t="str">
        <f>IF(ROW(A2887)&lt;=Raw_hydro_bm!$J$2,Raw_hydro_bm!B2887,"")</f>
        <v/>
      </c>
      <c r="B2887" t="str">
        <f>IF(ROW(B2887)&lt;=Raw_hydro_bm!$J$2,Raw_hydro_bm!C2887,"")</f>
        <v/>
      </c>
      <c r="C2887" t="str">
        <f>IF(ROW(C2887)&lt;=Raw_hydro_bm!$J$2,Raw_hydro_bm!D2887,"")</f>
        <v/>
      </c>
      <c r="D2887" t="str">
        <f>IF(ROW(D2887)&lt;=Raw_hydro_bm!$J$2,Raw_hydro_bm!E2887,"")</f>
        <v/>
      </c>
      <c r="E2887" t="str">
        <f>IF(ROW(E2887)&lt;=Raw_hydro_bm!$J$2,Raw_hydro_bm!F2887,"")</f>
        <v/>
      </c>
      <c r="F2887" t="str">
        <f>IF(ROW(F2887)&lt;=Raw_hydro_bm!$J$2,Raw_hydro_bm!G2887,"")</f>
        <v/>
      </c>
      <c r="G2887" t="str">
        <f>IF(ROW(G2887)&lt;=Raw_hydro_bm!$J$2,Raw_hydro_bm!H2887,"")</f>
        <v/>
      </c>
      <c r="H2887" t="str">
        <f>IF(ROW(H2887)&lt;=Raw_hydro_bm!$J$2,Raw_hydro_bm!I2887,"")</f>
        <v/>
      </c>
      <c r="I2887" s="16" t="str">
        <f t="shared" si="45"/>
        <v/>
      </c>
    </row>
    <row r="2888" spans="1:9" x14ac:dyDescent="0.2">
      <c r="A2888" t="str">
        <f>IF(ROW(A2888)&lt;=Raw_hydro_bm!$J$2,Raw_hydro_bm!B2888,"")</f>
        <v/>
      </c>
      <c r="B2888" t="str">
        <f>IF(ROW(B2888)&lt;=Raw_hydro_bm!$J$2,Raw_hydro_bm!C2888,"")</f>
        <v/>
      </c>
      <c r="C2888" t="str">
        <f>IF(ROW(C2888)&lt;=Raw_hydro_bm!$J$2,Raw_hydro_bm!D2888,"")</f>
        <v/>
      </c>
      <c r="D2888" t="str">
        <f>IF(ROW(D2888)&lt;=Raw_hydro_bm!$J$2,Raw_hydro_bm!E2888,"")</f>
        <v/>
      </c>
      <c r="E2888" t="str">
        <f>IF(ROW(E2888)&lt;=Raw_hydro_bm!$J$2,Raw_hydro_bm!F2888,"")</f>
        <v/>
      </c>
      <c r="F2888" t="str">
        <f>IF(ROW(F2888)&lt;=Raw_hydro_bm!$J$2,Raw_hydro_bm!G2888,"")</f>
        <v/>
      </c>
      <c r="G2888" t="str">
        <f>IF(ROW(G2888)&lt;=Raw_hydro_bm!$J$2,Raw_hydro_bm!H2888,"")</f>
        <v/>
      </c>
      <c r="H2888" t="str">
        <f>IF(ROW(H2888)&lt;=Raw_hydro_bm!$J$2,Raw_hydro_bm!I2888,"")</f>
        <v/>
      </c>
      <c r="I2888" s="16" t="str">
        <f t="shared" si="45"/>
        <v/>
      </c>
    </row>
    <row r="2889" spans="1:9" x14ac:dyDescent="0.2">
      <c r="A2889" t="str">
        <f>IF(ROW(A2889)&lt;=Raw_hydro_bm!$J$2,Raw_hydro_bm!B2889,"")</f>
        <v/>
      </c>
      <c r="B2889" t="str">
        <f>IF(ROW(B2889)&lt;=Raw_hydro_bm!$J$2,Raw_hydro_bm!C2889,"")</f>
        <v/>
      </c>
      <c r="C2889" t="str">
        <f>IF(ROW(C2889)&lt;=Raw_hydro_bm!$J$2,Raw_hydro_bm!D2889,"")</f>
        <v/>
      </c>
      <c r="D2889" t="str">
        <f>IF(ROW(D2889)&lt;=Raw_hydro_bm!$J$2,Raw_hydro_bm!E2889,"")</f>
        <v/>
      </c>
      <c r="E2889" t="str">
        <f>IF(ROW(E2889)&lt;=Raw_hydro_bm!$J$2,Raw_hydro_bm!F2889,"")</f>
        <v/>
      </c>
      <c r="F2889" t="str">
        <f>IF(ROW(F2889)&lt;=Raw_hydro_bm!$J$2,Raw_hydro_bm!G2889,"")</f>
        <v/>
      </c>
      <c r="G2889" t="str">
        <f>IF(ROW(G2889)&lt;=Raw_hydro_bm!$J$2,Raw_hydro_bm!H2889,"")</f>
        <v/>
      </c>
      <c r="H2889" t="str">
        <f>IF(ROW(H2889)&lt;=Raw_hydro_bm!$J$2,Raw_hydro_bm!I2889,"")</f>
        <v/>
      </c>
      <c r="I2889" s="16" t="str">
        <f t="shared" si="45"/>
        <v/>
      </c>
    </row>
    <row r="2890" spans="1:9" x14ac:dyDescent="0.2">
      <c r="A2890" t="str">
        <f>IF(ROW(A2890)&lt;=Raw_hydro_bm!$J$2,Raw_hydro_bm!B2890,"")</f>
        <v/>
      </c>
      <c r="B2890" t="str">
        <f>IF(ROW(B2890)&lt;=Raw_hydro_bm!$J$2,Raw_hydro_bm!C2890,"")</f>
        <v/>
      </c>
      <c r="C2890" t="str">
        <f>IF(ROW(C2890)&lt;=Raw_hydro_bm!$J$2,Raw_hydro_bm!D2890,"")</f>
        <v/>
      </c>
      <c r="D2890" t="str">
        <f>IF(ROW(D2890)&lt;=Raw_hydro_bm!$J$2,Raw_hydro_bm!E2890,"")</f>
        <v/>
      </c>
      <c r="E2890" t="str">
        <f>IF(ROW(E2890)&lt;=Raw_hydro_bm!$J$2,Raw_hydro_bm!F2890,"")</f>
        <v/>
      </c>
      <c r="F2890" t="str">
        <f>IF(ROW(F2890)&lt;=Raw_hydro_bm!$J$2,Raw_hydro_bm!G2890,"")</f>
        <v/>
      </c>
      <c r="G2890" t="str">
        <f>IF(ROW(G2890)&lt;=Raw_hydro_bm!$J$2,Raw_hydro_bm!H2890,"")</f>
        <v/>
      </c>
      <c r="H2890" t="str">
        <f>IF(ROW(H2890)&lt;=Raw_hydro_bm!$J$2,Raw_hydro_bm!I2890,"")</f>
        <v/>
      </c>
      <c r="I2890" s="16" t="str">
        <f t="shared" si="45"/>
        <v/>
      </c>
    </row>
    <row r="2891" spans="1:9" x14ac:dyDescent="0.2">
      <c r="A2891" t="str">
        <f>IF(ROW(A2891)&lt;=Raw_hydro_bm!$J$2,Raw_hydro_bm!B2891,"")</f>
        <v/>
      </c>
      <c r="B2891" t="str">
        <f>IF(ROW(B2891)&lt;=Raw_hydro_bm!$J$2,Raw_hydro_bm!C2891,"")</f>
        <v/>
      </c>
      <c r="C2891" t="str">
        <f>IF(ROW(C2891)&lt;=Raw_hydro_bm!$J$2,Raw_hydro_bm!D2891,"")</f>
        <v/>
      </c>
      <c r="D2891" t="str">
        <f>IF(ROW(D2891)&lt;=Raw_hydro_bm!$J$2,Raw_hydro_bm!E2891,"")</f>
        <v/>
      </c>
      <c r="E2891" t="str">
        <f>IF(ROW(E2891)&lt;=Raw_hydro_bm!$J$2,Raw_hydro_bm!F2891,"")</f>
        <v/>
      </c>
      <c r="F2891" t="str">
        <f>IF(ROW(F2891)&lt;=Raw_hydro_bm!$J$2,Raw_hydro_bm!G2891,"")</f>
        <v/>
      </c>
      <c r="G2891" t="str">
        <f>IF(ROW(G2891)&lt;=Raw_hydro_bm!$J$2,Raw_hydro_bm!H2891,"")</f>
        <v/>
      </c>
      <c r="H2891" t="str">
        <f>IF(ROW(H2891)&lt;=Raw_hydro_bm!$J$2,Raw_hydro_bm!I2891,"")</f>
        <v/>
      </c>
      <c r="I2891" s="16" t="str">
        <f t="shared" si="45"/>
        <v/>
      </c>
    </row>
    <row r="2892" spans="1:9" x14ac:dyDescent="0.2">
      <c r="A2892" t="str">
        <f>IF(ROW(A2892)&lt;=Raw_hydro_bm!$J$2,Raw_hydro_bm!B2892,"")</f>
        <v/>
      </c>
      <c r="B2892" t="str">
        <f>IF(ROW(B2892)&lt;=Raw_hydro_bm!$J$2,Raw_hydro_bm!C2892,"")</f>
        <v/>
      </c>
      <c r="C2892" t="str">
        <f>IF(ROW(C2892)&lt;=Raw_hydro_bm!$J$2,Raw_hydro_bm!D2892,"")</f>
        <v/>
      </c>
      <c r="D2892" t="str">
        <f>IF(ROW(D2892)&lt;=Raw_hydro_bm!$J$2,Raw_hydro_bm!E2892,"")</f>
        <v/>
      </c>
      <c r="E2892" t="str">
        <f>IF(ROW(E2892)&lt;=Raw_hydro_bm!$J$2,Raw_hydro_bm!F2892,"")</f>
        <v/>
      </c>
      <c r="F2892" t="str">
        <f>IF(ROW(F2892)&lt;=Raw_hydro_bm!$J$2,Raw_hydro_bm!G2892,"")</f>
        <v/>
      </c>
      <c r="G2892" t="str">
        <f>IF(ROW(G2892)&lt;=Raw_hydro_bm!$J$2,Raw_hydro_bm!H2892,"")</f>
        <v/>
      </c>
      <c r="H2892" t="str">
        <f>IF(ROW(H2892)&lt;=Raw_hydro_bm!$J$2,Raw_hydro_bm!I2892,"")</f>
        <v/>
      </c>
      <c r="I2892" s="16" t="str">
        <f t="shared" si="45"/>
        <v/>
      </c>
    </row>
    <row r="2893" spans="1:9" x14ac:dyDescent="0.2">
      <c r="A2893" t="str">
        <f>IF(ROW(A2893)&lt;=Raw_hydro_bm!$J$2,Raw_hydro_bm!B2893,"")</f>
        <v/>
      </c>
      <c r="B2893" t="str">
        <f>IF(ROW(B2893)&lt;=Raw_hydro_bm!$J$2,Raw_hydro_bm!C2893,"")</f>
        <v/>
      </c>
      <c r="C2893" t="str">
        <f>IF(ROW(C2893)&lt;=Raw_hydro_bm!$J$2,Raw_hydro_bm!D2893,"")</f>
        <v/>
      </c>
      <c r="D2893" t="str">
        <f>IF(ROW(D2893)&lt;=Raw_hydro_bm!$J$2,Raw_hydro_bm!E2893,"")</f>
        <v/>
      </c>
      <c r="E2893" t="str">
        <f>IF(ROW(E2893)&lt;=Raw_hydro_bm!$J$2,Raw_hydro_bm!F2893,"")</f>
        <v/>
      </c>
      <c r="F2893" t="str">
        <f>IF(ROW(F2893)&lt;=Raw_hydro_bm!$J$2,Raw_hydro_bm!G2893,"")</f>
        <v/>
      </c>
      <c r="G2893" t="str">
        <f>IF(ROW(G2893)&lt;=Raw_hydro_bm!$J$2,Raw_hydro_bm!H2893,"")</f>
        <v/>
      </c>
      <c r="H2893" t="str">
        <f>IF(ROW(H2893)&lt;=Raw_hydro_bm!$J$2,Raw_hydro_bm!I2893,"")</f>
        <v/>
      </c>
      <c r="I2893" s="16" t="str">
        <f t="shared" si="45"/>
        <v/>
      </c>
    </row>
    <row r="2894" spans="1:9" x14ac:dyDescent="0.2">
      <c r="A2894" t="str">
        <f>IF(ROW(A2894)&lt;=Raw_hydro_bm!$J$2,Raw_hydro_bm!B2894,"")</f>
        <v/>
      </c>
      <c r="B2894" t="str">
        <f>IF(ROW(B2894)&lt;=Raw_hydro_bm!$J$2,Raw_hydro_bm!C2894,"")</f>
        <v/>
      </c>
      <c r="C2894" t="str">
        <f>IF(ROW(C2894)&lt;=Raw_hydro_bm!$J$2,Raw_hydro_bm!D2894,"")</f>
        <v/>
      </c>
      <c r="D2894" t="str">
        <f>IF(ROW(D2894)&lt;=Raw_hydro_bm!$J$2,Raw_hydro_bm!E2894,"")</f>
        <v/>
      </c>
      <c r="E2894" t="str">
        <f>IF(ROW(E2894)&lt;=Raw_hydro_bm!$J$2,Raw_hydro_bm!F2894,"")</f>
        <v/>
      </c>
      <c r="F2894" t="str">
        <f>IF(ROW(F2894)&lt;=Raw_hydro_bm!$J$2,Raw_hydro_bm!G2894,"")</f>
        <v/>
      </c>
      <c r="G2894" t="str">
        <f>IF(ROW(G2894)&lt;=Raw_hydro_bm!$J$2,Raw_hydro_bm!H2894,"")</f>
        <v/>
      </c>
      <c r="H2894" t="str">
        <f>IF(ROW(H2894)&lt;=Raw_hydro_bm!$J$2,Raw_hydro_bm!I2894,"")</f>
        <v/>
      </c>
      <c r="I2894" s="16" t="str">
        <f t="shared" si="45"/>
        <v/>
      </c>
    </row>
    <row r="2895" spans="1:9" x14ac:dyDescent="0.2">
      <c r="A2895" t="str">
        <f>IF(ROW(A2895)&lt;=Raw_hydro_bm!$J$2,Raw_hydro_bm!B2895,"")</f>
        <v/>
      </c>
      <c r="B2895" t="str">
        <f>IF(ROW(B2895)&lt;=Raw_hydro_bm!$J$2,Raw_hydro_bm!C2895,"")</f>
        <v/>
      </c>
      <c r="C2895" t="str">
        <f>IF(ROW(C2895)&lt;=Raw_hydro_bm!$J$2,Raw_hydro_bm!D2895,"")</f>
        <v/>
      </c>
      <c r="D2895" t="str">
        <f>IF(ROW(D2895)&lt;=Raw_hydro_bm!$J$2,Raw_hydro_bm!E2895,"")</f>
        <v/>
      </c>
      <c r="E2895" t="str">
        <f>IF(ROW(E2895)&lt;=Raw_hydro_bm!$J$2,Raw_hydro_bm!F2895,"")</f>
        <v/>
      </c>
      <c r="F2895" t="str">
        <f>IF(ROW(F2895)&lt;=Raw_hydro_bm!$J$2,Raw_hydro_bm!G2895,"")</f>
        <v/>
      </c>
      <c r="G2895" t="str">
        <f>IF(ROW(G2895)&lt;=Raw_hydro_bm!$J$2,Raw_hydro_bm!H2895,"")</f>
        <v/>
      </c>
      <c r="H2895" t="str">
        <f>IF(ROW(H2895)&lt;=Raw_hydro_bm!$J$2,Raw_hydro_bm!I2895,"")</f>
        <v/>
      </c>
      <c r="I2895" s="16" t="str">
        <f t="shared" si="45"/>
        <v/>
      </c>
    </row>
    <row r="2896" spans="1:9" x14ac:dyDescent="0.2">
      <c r="A2896" t="str">
        <f>IF(ROW(A2896)&lt;=Raw_hydro_bm!$J$2,Raw_hydro_bm!B2896,"")</f>
        <v/>
      </c>
      <c r="B2896" t="str">
        <f>IF(ROW(B2896)&lt;=Raw_hydro_bm!$J$2,Raw_hydro_bm!C2896,"")</f>
        <v/>
      </c>
      <c r="C2896" t="str">
        <f>IF(ROW(C2896)&lt;=Raw_hydro_bm!$J$2,Raw_hydro_bm!D2896,"")</f>
        <v/>
      </c>
      <c r="D2896" t="str">
        <f>IF(ROW(D2896)&lt;=Raw_hydro_bm!$J$2,Raw_hydro_bm!E2896,"")</f>
        <v/>
      </c>
      <c r="E2896" t="str">
        <f>IF(ROW(E2896)&lt;=Raw_hydro_bm!$J$2,Raw_hydro_bm!F2896,"")</f>
        <v/>
      </c>
      <c r="F2896" t="str">
        <f>IF(ROW(F2896)&lt;=Raw_hydro_bm!$J$2,Raw_hydro_bm!G2896,"")</f>
        <v/>
      </c>
      <c r="G2896" t="str">
        <f>IF(ROW(G2896)&lt;=Raw_hydro_bm!$J$2,Raw_hydro_bm!H2896,"")</f>
        <v/>
      </c>
      <c r="H2896" t="str">
        <f>IF(ROW(H2896)&lt;=Raw_hydro_bm!$J$2,Raw_hydro_bm!I2896,"")</f>
        <v/>
      </c>
      <c r="I2896" s="16" t="str">
        <f t="shared" si="45"/>
        <v/>
      </c>
    </row>
    <row r="2897" spans="1:9" x14ac:dyDescent="0.2">
      <c r="A2897" t="str">
        <f>IF(ROW(A2897)&lt;=Raw_hydro_bm!$J$2,Raw_hydro_bm!B2897,"")</f>
        <v/>
      </c>
      <c r="B2897" t="str">
        <f>IF(ROW(B2897)&lt;=Raw_hydro_bm!$J$2,Raw_hydro_bm!C2897,"")</f>
        <v/>
      </c>
      <c r="C2897" t="str">
        <f>IF(ROW(C2897)&lt;=Raw_hydro_bm!$J$2,Raw_hydro_bm!D2897,"")</f>
        <v/>
      </c>
      <c r="D2897" t="str">
        <f>IF(ROW(D2897)&lt;=Raw_hydro_bm!$J$2,Raw_hydro_bm!E2897,"")</f>
        <v/>
      </c>
      <c r="E2897" t="str">
        <f>IF(ROW(E2897)&lt;=Raw_hydro_bm!$J$2,Raw_hydro_bm!F2897,"")</f>
        <v/>
      </c>
      <c r="F2897" t="str">
        <f>IF(ROW(F2897)&lt;=Raw_hydro_bm!$J$2,Raw_hydro_bm!G2897,"")</f>
        <v/>
      </c>
      <c r="G2897" t="str">
        <f>IF(ROW(G2897)&lt;=Raw_hydro_bm!$J$2,Raw_hydro_bm!H2897,"")</f>
        <v/>
      </c>
      <c r="H2897" t="str">
        <f>IF(ROW(H2897)&lt;=Raw_hydro_bm!$J$2,Raw_hydro_bm!I2897,"")</f>
        <v/>
      </c>
      <c r="I2897" s="16" t="str">
        <f t="shared" si="45"/>
        <v/>
      </c>
    </row>
    <row r="2898" spans="1:9" x14ac:dyDescent="0.2">
      <c r="A2898" t="str">
        <f>IF(ROW(A2898)&lt;=Raw_hydro_bm!$J$2,Raw_hydro_bm!B2898,"")</f>
        <v/>
      </c>
      <c r="B2898" t="str">
        <f>IF(ROW(B2898)&lt;=Raw_hydro_bm!$J$2,Raw_hydro_bm!C2898,"")</f>
        <v/>
      </c>
      <c r="C2898" t="str">
        <f>IF(ROW(C2898)&lt;=Raw_hydro_bm!$J$2,Raw_hydro_bm!D2898,"")</f>
        <v/>
      </c>
      <c r="D2898" t="str">
        <f>IF(ROW(D2898)&lt;=Raw_hydro_bm!$J$2,Raw_hydro_bm!E2898,"")</f>
        <v/>
      </c>
      <c r="E2898" t="str">
        <f>IF(ROW(E2898)&lt;=Raw_hydro_bm!$J$2,Raw_hydro_bm!F2898,"")</f>
        <v/>
      </c>
      <c r="F2898" t="str">
        <f>IF(ROW(F2898)&lt;=Raw_hydro_bm!$J$2,Raw_hydro_bm!G2898,"")</f>
        <v/>
      </c>
      <c r="G2898" t="str">
        <f>IF(ROW(G2898)&lt;=Raw_hydro_bm!$J$2,Raw_hydro_bm!H2898,"")</f>
        <v/>
      </c>
      <c r="H2898" t="str">
        <f>IF(ROW(H2898)&lt;=Raw_hydro_bm!$J$2,Raw_hydro_bm!I2898,"")</f>
        <v/>
      </c>
      <c r="I2898" s="16" t="str">
        <f t="shared" si="45"/>
        <v/>
      </c>
    </row>
    <row r="2899" spans="1:9" x14ac:dyDescent="0.2">
      <c r="A2899" t="str">
        <f>IF(ROW(A2899)&lt;=Raw_hydro_bm!$J$2,Raw_hydro_bm!B2899,"")</f>
        <v/>
      </c>
      <c r="B2899" t="str">
        <f>IF(ROW(B2899)&lt;=Raw_hydro_bm!$J$2,Raw_hydro_bm!C2899,"")</f>
        <v/>
      </c>
      <c r="C2899" t="str">
        <f>IF(ROW(C2899)&lt;=Raw_hydro_bm!$J$2,Raw_hydro_bm!D2899,"")</f>
        <v/>
      </c>
      <c r="D2899" t="str">
        <f>IF(ROW(D2899)&lt;=Raw_hydro_bm!$J$2,Raw_hydro_bm!E2899,"")</f>
        <v/>
      </c>
      <c r="E2899" t="str">
        <f>IF(ROW(E2899)&lt;=Raw_hydro_bm!$J$2,Raw_hydro_bm!F2899,"")</f>
        <v/>
      </c>
      <c r="F2899" t="str">
        <f>IF(ROW(F2899)&lt;=Raw_hydro_bm!$J$2,Raw_hydro_bm!G2899,"")</f>
        <v/>
      </c>
      <c r="G2899" t="str">
        <f>IF(ROW(G2899)&lt;=Raw_hydro_bm!$J$2,Raw_hydro_bm!H2899,"")</f>
        <v/>
      </c>
      <c r="H2899" t="str">
        <f>IF(ROW(H2899)&lt;=Raw_hydro_bm!$J$2,Raw_hydro_bm!I2899,"")</f>
        <v/>
      </c>
      <c r="I2899" s="16" t="str">
        <f t="shared" si="45"/>
        <v/>
      </c>
    </row>
    <row r="2900" spans="1:9" x14ac:dyDescent="0.2">
      <c r="A2900" t="str">
        <f>IF(ROW(A2900)&lt;=Raw_hydro_bm!$J$2,Raw_hydro_bm!B2900,"")</f>
        <v/>
      </c>
      <c r="B2900" t="str">
        <f>IF(ROW(B2900)&lt;=Raw_hydro_bm!$J$2,Raw_hydro_bm!C2900,"")</f>
        <v/>
      </c>
      <c r="C2900" t="str">
        <f>IF(ROW(C2900)&lt;=Raw_hydro_bm!$J$2,Raw_hydro_bm!D2900,"")</f>
        <v/>
      </c>
      <c r="D2900" t="str">
        <f>IF(ROW(D2900)&lt;=Raw_hydro_bm!$J$2,Raw_hydro_bm!E2900,"")</f>
        <v/>
      </c>
      <c r="E2900" t="str">
        <f>IF(ROW(E2900)&lt;=Raw_hydro_bm!$J$2,Raw_hydro_bm!F2900,"")</f>
        <v/>
      </c>
      <c r="F2900" t="str">
        <f>IF(ROW(F2900)&lt;=Raw_hydro_bm!$J$2,Raw_hydro_bm!G2900,"")</f>
        <v/>
      </c>
      <c r="G2900" t="str">
        <f>IF(ROW(G2900)&lt;=Raw_hydro_bm!$J$2,Raw_hydro_bm!H2900,"")</f>
        <v/>
      </c>
      <c r="H2900" t="str">
        <f>IF(ROW(H2900)&lt;=Raw_hydro_bm!$J$2,Raw_hydro_bm!I2900,"")</f>
        <v/>
      </c>
      <c r="I2900" s="16" t="str">
        <f t="shared" si="45"/>
        <v/>
      </c>
    </row>
    <row r="2901" spans="1:9" x14ac:dyDescent="0.2">
      <c r="A2901" t="str">
        <f>IF(ROW(A2901)&lt;=Raw_hydro_bm!$J$2,Raw_hydro_bm!B2901,"")</f>
        <v/>
      </c>
      <c r="B2901" t="str">
        <f>IF(ROW(B2901)&lt;=Raw_hydro_bm!$J$2,Raw_hydro_bm!C2901,"")</f>
        <v/>
      </c>
      <c r="C2901" t="str">
        <f>IF(ROW(C2901)&lt;=Raw_hydro_bm!$J$2,Raw_hydro_bm!D2901,"")</f>
        <v/>
      </c>
      <c r="D2901" t="str">
        <f>IF(ROW(D2901)&lt;=Raw_hydro_bm!$J$2,Raw_hydro_bm!E2901,"")</f>
        <v/>
      </c>
      <c r="E2901" t="str">
        <f>IF(ROW(E2901)&lt;=Raw_hydro_bm!$J$2,Raw_hydro_bm!F2901,"")</f>
        <v/>
      </c>
      <c r="F2901" t="str">
        <f>IF(ROW(F2901)&lt;=Raw_hydro_bm!$J$2,Raw_hydro_bm!G2901,"")</f>
        <v/>
      </c>
      <c r="G2901" t="str">
        <f>IF(ROW(G2901)&lt;=Raw_hydro_bm!$J$2,Raw_hydro_bm!H2901,"")</f>
        <v/>
      </c>
      <c r="H2901" t="str">
        <f>IF(ROW(H2901)&lt;=Raw_hydro_bm!$J$2,Raw_hydro_bm!I2901,"")</f>
        <v/>
      </c>
      <c r="I2901" s="16" t="str">
        <f t="shared" si="45"/>
        <v/>
      </c>
    </row>
    <row r="2902" spans="1:9" x14ac:dyDescent="0.2">
      <c r="A2902" t="str">
        <f>IF(ROW(A2902)&lt;=Raw_hydro_bm!$J$2,Raw_hydro_bm!B2902,"")</f>
        <v/>
      </c>
      <c r="B2902" t="str">
        <f>IF(ROW(B2902)&lt;=Raw_hydro_bm!$J$2,Raw_hydro_bm!C2902,"")</f>
        <v/>
      </c>
      <c r="C2902" t="str">
        <f>IF(ROW(C2902)&lt;=Raw_hydro_bm!$J$2,Raw_hydro_bm!D2902,"")</f>
        <v/>
      </c>
      <c r="D2902" t="str">
        <f>IF(ROW(D2902)&lt;=Raw_hydro_bm!$J$2,Raw_hydro_bm!E2902,"")</f>
        <v/>
      </c>
      <c r="E2902" t="str">
        <f>IF(ROW(E2902)&lt;=Raw_hydro_bm!$J$2,Raw_hydro_bm!F2902,"")</f>
        <v/>
      </c>
      <c r="F2902" t="str">
        <f>IF(ROW(F2902)&lt;=Raw_hydro_bm!$J$2,Raw_hydro_bm!G2902,"")</f>
        <v/>
      </c>
      <c r="G2902" t="str">
        <f>IF(ROW(G2902)&lt;=Raw_hydro_bm!$J$2,Raw_hydro_bm!H2902,"")</f>
        <v/>
      </c>
      <c r="H2902" t="str">
        <f>IF(ROW(H2902)&lt;=Raw_hydro_bm!$J$2,Raw_hydro_bm!I2902,"")</f>
        <v/>
      </c>
      <c r="I2902" s="16" t="str">
        <f t="shared" si="45"/>
        <v/>
      </c>
    </row>
    <row r="2903" spans="1:9" x14ac:dyDescent="0.2">
      <c r="A2903" t="str">
        <f>IF(ROW(A2903)&lt;=Raw_hydro_bm!$J$2,Raw_hydro_bm!B2903,"")</f>
        <v/>
      </c>
      <c r="B2903" t="str">
        <f>IF(ROW(B2903)&lt;=Raw_hydro_bm!$J$2,Raw_hydro_bm!C2903,"")</f>
        <v/>
      </c>
      <c r="C2903" t="str">
        <f>IF(ROW(C2903)&lt;=Raw_hydro_bm!$J$2,Raw_hydro_bm!D2903,"")</f>
        <v/>
      </c>
      <c r="D2903" t="str">
        <f>IF(ROW(D2903)&lt;=Raw_hydro_bm!$J$2,Raw_hydro_bm!E2903,"")</f>
        <v/>
      </c>
      <c r="E2903" t="str">
        <f>IF(ROW(E2903)&lt;=Raw_hydro_bm!$J$2,Raw_hydro_bm!F2903,"")</f>
        <v/>
      </c>
      <c r="F2903" t="str">
        <f>IF(ROW(F2903)&lt;=Raw_hydro_bm!$J$2,Raw_hydro_bm!G2903,"")</f>
        <v/>
      </c>
      <c r="G2903" t="str">
        <f>IF(ROW(G2903)&lt;=Raw_hydro_bm!$J$2,Raw_hydro_bm!H2903,"")</f>
        <v/>
      </c>
      <c r="H2903" t="str">
        <f>IF(ROW(H2903)&lt;=Raw_hydro_bm!$J$2,Raw_hydro_bm!I2903,"")</f>
        <v/>
      </c>
      <c r="I2903" s="16" t="str">
        <f t="shared" si="45"/>
        <v/>
      </c>
    </row>
    <row r="2904" spans="1:9" x14ac:dyDescent="0.2">
      <c r="A2904" t="str">
        <f>IF(ROW(A2904)&lt;=Raw_hydro_bm!$J$2,Raw_hydro_bm!B2904,"")</f>
        <v/>
      </c>
      <c r="B2904" t="str">
        <f>IF(ROW(B2904)&lt;=Raw_hydro_bm!$J$2,Raw_hydro_bm!C2904,"")</f>
        <v/>
      </c>
      <c r="C2904" t="str">
        <f>IF(ROW(C2904)&lt;=Raw_hydro_bm!$J$2,Raw_hydro_bm!D2904,"")</f>
        <v/>
      </c>
      <c r="D2904" t="str">
        <f>IF(ROW(D2904)&lt;=Raw_hydro_bm!$J$2,Raw_hydro_bm!E2904,"")</f>
        <v/>
      </c>
      <c r="E2904" t="str">
        <f>IF(ROW(E2904)&lt;=Raw_hydro_bm!$J$2,Raw_hydro_bm!F2904,"")</f>
        <v/>
      </c>
      <c r="F2904" t="str">
        <f>IF(ROW(F2904)&lt;=Raw_hydro_bm!$J$2,Raw_hydro_bm!G2904,"")</f>
        <v/>
      </c>
      <c r="G2904" t="str">
        <f>IF(ROW(G2904)&lt;=Raw_hydro_bm!$J$2,Raw_hydro_bm!H2904,"")</f>
        <v/>
      </c>
      <c r="H2904" t="str">
        <f>IF(ROW(H2904)&lt;=Raw_hydro_bm!$J$2,Raw_hydro_bm!I2904,"")</f>
        <v/>
      </c>
      <c r="I2904" s="16" t="str">
        <f t="shared" si="45"/>
        <v/>
      </c>
    </row>
    <row r="2905" spans="1:9" x14ac:dyDescent="0.2">
      <c r="A2905" t="str">
        <f>IF(ROW(A2905)&lt;=Raw_hydro_bm!$J$2,Raw_hydro_bm!B2905,"")</f>
        <v/>
      </c>
      <c r="B2905" t="str">
        <f>IF(ROW(B2905)&lt;=Raw_hydro_bm!$J$2,Raw_hydro_bm!C2905,"")</f>
        <v/>
      </c>
      <c r="C2905" t="str">
        <f>IF(ROW(C2905)&lt;=Raw_hydro_bm!$J$2,Raw_hydro_bm!D2905,"")</f>
        <v/>
      </c>
      <c r="D2905" t="str">
        <f>IF(ROW(D2905)&lt;=Raw_hydro_bm!$J$2,Raw_hydro_bm!E2905,"")</f>
        <v/>
      </c>
      <c r="E2905" t="str">
        <f>IF(ROW(E2905)&lt;=Raw_hydro_bm!$J$2,Raw_hydro_bm!F2905,"")</f>
        <v/>
      </c>
      <c r="F2905" t="str">
        <f>IF(ROW(F2905)&lt;=Raw_hydro_bm!$J$2,Raw_hydro_bm!G2905,"")</f>
        <v/>
      </c>
      <c r="G2905" t="str">
        <f>IF(ROW(G2905)&lt;=Raw_hydro_bm!$J$2,Raw_hydro_bm!H2905,"")</f>
        <v/>
      </c>
      <c r="H2905" t="str">
        <f>IF(ROW(H2905)&lt;=Raw_hydro_bm!$J$2,Raw_hydro_bm!I2905,"")</f>
        <v/>
      </c>
      <c r="I2905" s="16" t="str">
        <f t="shared" si="45"/>
        <v/>
      </c>
    </row>
    <row r="2906" spans="1:9" x14ac:dyDescent="0.2">
      <c r="A2906" t="str">
        <f>IF(ROW(A2906)&lt;=Raw_hydro_bm!$J$2,Raw_hydro_bm!B2906,"")</f>
        <v/>
      </c>
      <c r="B2906" t="str">
        <f>IF(ROW(B2906)&lt;=Raw_hydro_bm!$J$2,Raw_hydro_bm!C2906,"")</f>
        <v/>
      </c>
      <c r="C2906" t="str">
        <f>IF(ROW(C2906)&lt;=Raw_hydro_bm!$J$2,Raw_hydro_bm!D2906,"")</f>
        <v/>
      </c>
      <c r="D2906" t="str">
        <f>IF(ROW(D2906)&lt;=Raw_hydro_bm!$J$2,Raw_hydro_bm!E2906,"")</f>
        <v/>
      </c>
      <c r="E2906" t="str">
        <f>IF(ROW(E2906)&lt;=Raw_hydro_bm!$J$2,Raw_hydro_bm!F2906,"")</f>
        <v/>
      </c>
      <c r="F2906" t="str">
        <f>IF(ROW(F2906)&lt;=Raw_hydro_bm!$J$2,Raw_hydro_bm!G2906,"")</f>
        <v/>
      </c>
      <c r="G2906" t="str">
        <f>IF(ROW(G2906)&lt;=Raw_hydro_bm!$J$2,Raw_hydro_bm!H2906,"")</f>
        <v/>
      </c>
      <c r="H2906" t="str">
        <f>IF(ROW(H2906)&lt;=Raw_hydro_bm!$J$2,Raw_hydro_bm!I2906,"")</f>
        <v/>
      </c>
      <c r="I2906" s="16" t="str">
        <f t="shared" si="45"/>
        <v/>
      </c>
    </row>
    <row r="2907" spans="1:9" x14ac:dyDescent="0.2">
      <c r="A2907" t="str">
        <f>IF(ROW(A2907)&lt;=Raw_hydro_bm!$J$2,Raw_hydro_bm!B2907,"")</f>
        <v/>
      </c>
      <c r="B2907" t="str">
        <f>IF(ROW(B2907)&lt;=Raw_hydro_bm!$J$2,Raw_hydro_bm!C2907,"")</f>
        <v/>
      </c>
      <c r="C2907" t="str">
        <f>IF(ROW(C2907)&lt;=Raw_hydro_bm!$J$2,Raw_hydro_bm!D2907,"")</f>
        <v/>
      </c>
      <c r="D2907" t="str">
        <f>IF(ROW(D2907)&lt;=Raw_hydro_bm!$J$2,Raw_hydro_bm!E2907,"")</f>
        <v/>
      </c>
      <c r="E2907" t="str">
        <f>IF(ROW(E2907)&lt;=Raw_hydro_bm!$J$2,Raw_hydro_bm!F2907,"")</f>
        <v/>
      </c>
      <c r="F2907" t="str">
        <f>IF(ROW(F2907)&lt;=Raw_hydro_bm!$J$2,Raw_hydro_bm!G2907,"")</f>
        <v/>
      </c>
      <c r="G2907" t="str">
        <f>IF(ROW(G2907)&lt;=Raw_hydro_bm!$J$2,Raw_hydro_bm!H2907,"")</f>
        <v/>
      </c>
      <c r="H2907" t="str">
        <f>IF(ROW(H2907)&lt;=Raw_hydro_bm!$J$2,Raw_hydro_bm!I2907,"")</f>
        <v/>
      </c>
      <c r="I2907" s="16" t="str">
        <f t="shared" si="45"/>
        <v/>
      </c>
    </row>
    <row r="2908" spans="1:9" x14ac:dyDescent="0.2">
      <c r="A2908" t="str">
        <f>IF(ROW(A2908)&lt;=Raw_hydro_bm!$J$2,Raw_hydro_bm!B2908,"")</f>
        <v/>
      </c>
      <c r="B2908" t="str">
        <f>IF(ROW(B2908)&lt;=Raw_hydro_bm!$J$2,Raw_hydro_bm!C2908,"")</f>
        <v/>
      </c>
      <c r="C2908" t="str">
        <f>IF(ROW(C2908)&lt;=Raw_hydro_bm!$J$2,Raw_hydro_bm!D2908,"")</f>
        <v/>
      </c>
      <c r="D2908" t="str">
        <f>IF(ROW(D2908)&lt;=Raw_hydro_bm!$J$2,Raw_hydro_bm!E2908,"")</f>
        <v/>
      </c>
      <c r="E2908" t="str">
        <f>IF(ROW(E2908)&lt;=Raw_hydro_bm!$J$2,Raw_hydro_bm!F2908,"")</f>
        <v/>
      </c>
      <c r="F2908" t="str">
        <f>IF(ROW(F2908)&lt;=Raw_hydro_bm!$J$2,Raw_hydro_bm!G2908,"")</f>
        <v/>
      </c>
      <c r="G2908" t="str">
        <f>IF(ROW(G2908)&lt;=Raw_hydro_bm!$J$2,Raw_hydro_bm!H2908,"")</f>
        <v/>
      </c>
      <c r="H2908" t="str">
        <f>IF(ROW(H2908)&lt;=Raw_hydro_bm!$J$2,Raw_hydro_bm!I2908,"")</f>
        <v/>
      </c>
      <c r="I2908" s="16" t="str">
        <f t="shared" si="45"/>
        <v/>
      </c>
    </row>
    <row r="2909" spans="1:9" x14ac:dyDescent="0.2">
      <c r="A2909" t="str">
        <f>IF(ROW(A2909)&lt;=Raw_hydro_bm!$J$2,Raw_hydro_bm!B2909,"")</f>
        <v/>
      </c>
      <c r="B2909" t="str">
        <f>IF(ROW(B2909)&lt;=Raw_hydro_bm!$J$2,Raw_hydro_bm!C2909,"")</f>
        <v/>
      </c>
      <c r="C2909" t="str">
        <f>IF(ROW(C2909)&lt;=Raw_hydro_bm!$J$2,Raw_hydro_bm!D2909,"")</f>
        <v/>
      </c>
      <c r="D2909" t="str">
        <f>IF(ROW(D2909)&lt;=Raw_hydro_bm!$J$2,Raw_hydro_bm!E2909,"")</f>
        <v/>
      </c>
      <c r="E2909" t="str">
        <f>IF(ROW(E2909)&lt;=Raw_hydro_bm!$J$2,Raw_hydro_bm!F2909,"")</f>
        <v/>
      </c>
      <c r="F2909" t="str">
        <f>IF(ROW(F2909)&lt;=Raw_hydro_bm!$J$2,Raw_hydro_bm!G2909,"")</f>
        <v/>
      </c>
      <c r="G2909" t="str">
        <f>IF(ROW(G2909)&lt;=Raw_hydro_bm!$J$2,Raw_hydro_bm!H2909,"")</f>
        <v/>
      </c>
      <c r="H2909" t="str">
        <f>IF(ROW(H2909)&lt;=Raw_hydro_bm!$J$2,Raw_hydro_bm!I2909,"")</f>
        <v/>
      </c>
      <c r="I2909" s="16" t="str">
        <f t="shared" si="45"/>
        <v/>
      </c>
    </row>
    <row r="2910" spans="1:9" x14ac:dyDescent="0.2">
      <c r="A2910" t="str">
        <f>IF(ROW(A2910)&lt;=Raw_hydro_bm!$J$2,Raw_hydro_bm!B2910,"")</f>
        <v/>
      </c>
      <c r="B2910" t="str">
        <f>IF(ROW(B2910)&lt;=Raw_hydro_bm!$J$2,Raw_hydro_bm!C2910,"")</f>
        <v/>
      </c>
      <c r="C2910" t="str">
        <f>IF(ROW(C2910)&lt;=Raw_hydro_bm!$J$2,Raw_hydro_bm!D2910,"")</f>
        <v/>
      </c>
      <c r="D2910" t="str">
        <f>IF(ROW(D2910)&lt;=Raw_hydro_bm!$J$2,Raw_hydro_bm!E2910,"")</f>
        <v/>
      </c>
      <c r="E2910" t="str">
        <f>IF(ROW(E2910)&lt;=Raw_hydro_bm!$J$2,Raw_hydro_bm!F2910,"")</f>
        <v/>
      </c>
      <c r="F2910" t="str">
        <f>IF(ROW(F2910)&lt;=Raw_hydro_bm!$J$2,Raw_hydro_bm!G2910,"")</f>
        <v/>
      </c>
      <c r="G2910" t="str">
        <f>IF(ROW(G2910)&lt;=Raw_hydro_bm!$J$2,Raw_hydro_bm!H2910,"")</f>
        <v/>
      </c>
      <c r="H2910" t="str">
        <f>IF(ROW(H2910)&lt;=Raw_hydro_bm!$J$2,Raw_hydro_bm!I2910,"")</f>
        <v/>
      </c>
      <c r="I2910" s="16" t="str">
        <f t="shared" si="45"/>
        <v/>
      </c>
    </row>
    <row r="2911" spans="1:9" x14ac:dyDescent="0.2">
      <c r="A2911" t="str">
        <f>IF(ROW(A2911)&lt;=Raw_hydro_bm!$J$2,Raw_hydro_bm!B2911,"")</f>
        <v/>
      </c>
      <c r="B2911" t="str">
        <f>IF(ROW(B2911)&lt;=Raw_hydro_bm!$J$2,Raw_hydro_bm!C2911,"")</f>
        <v/>
      </c>
      <c r="C2911" t="str">
        <f>IF(ROW(C2911)&lt;=Raw_hydro_bm!$J$2,Raw_hydro_bm!D2911,"")</f>
        <v/>
      </c>
      <c r="D2911" t="str">
        <f>IF(ROW(D2911)&lt;=Raw_hydro_bm!$J$2,Raw_hydro_bm!E2911,"")</f>
        <v/>
      </c>
      <c r="E2911" t="str">
        <f>IF(ROW(E2911)&lt;=Raw_hydro_bm!$J$2,Raw_hydro_bm!F2911,"")</f>
        <v/>
      </c>
      <c r="F2911" t="str">
        <f>IF(ROW(F2911)&lt;=Raw_hydro_bm!$J$2,Raw_hydro_bm!G2911,"")</f>
        <v/>
      </c>
      <c r="G2911" t="str">
        <f>IF(ROW(G2911)&lt;=Raw_hydro_bm!$J$2,Raw_hydro_bm!H2911,"")</f>
        <v/>
      </c>
      <c r="H2911" t="str">
        <f>IF(ROW(H2911)&lt;=Raw_hydro_bm!$J$2,Raw_hydro_bm!I2911,"")</f>
        <v/>
      </c>
      <c r="I2911" s="16" t="str">
        <f t="shared" si="45"/>
        <v/>
      </c>
    </row>
    <row r="2912" spans="1:9" x14ac:dyDescent="0.2">
      <c r="A2912" t="str">
        <f>IF(ROW(A2912)&lt;=Raw_hydro_bm!$J$2,Raw_hydro_bm!B2912,"")</f>
        <v/>
      </c>
      <c r="B2912" t="str">
        <f>IF(ROW(B2912)&lt;=Raw_hydro_bm!$J$2,Raw_hydro_bm!C2912,"")</f>
        <v/>
      </c>
      <c r="C2912" t="str">
        <f>IF(ROW(C2912)&lt;=Raw_hydro_bm!$J$2,Raw_hydro_bm!D2912,"")</f>
        <v/>
      </c>
      <c r="D2912" t="str">
        <f>IF(ROW(D2912)&lt;=Raw_hydro_bm!$J$2,Raw_hydro_bm!E2912,"")</f>
        <v/>
      </c>
      <c r="E2912" t="str">
        <f>IF(ROW(E2912)&lt;=Raw_hydro_bm!$J$2,Raw_hydro_bm!F2912,"")</f>
        <v/>
      </c>
      <c r="F2912" t="str">
        <f>IF(ROW(F2912)&lt;=Raw_hydro_bm!$J$2,Raw_hydro_bm!G2912,"")</f>
        <v/>
      </c>
      <c r="G2912" t="str">
        <f>IF(ROW(G2912)&lt;=Raw_hydro_bm!$J$2,Raw_hydro_bm!H2912,"")</f>
        <v/>
      </c>
      <c r="H2912" t="str">
        <f>IF(ROW(H2912)&lt;=Raw_hydro_bm!$J$2,Raw_hydro_bm!I2912,"")</f>
        <v/>
      </c>
      <c r="I2912" s="16" t="str">
        <f t="shared" si="45"/>
        <v/>
      </c>
    </row>
    <row r="2913" spans="1:9" x14ac:dyDescent="0.2">
      <c r="A2913" t="str">
        <f>IF(ROW(A2913)&lt;=Raw_hydro_bm!$J$2,Raw_hydro_bm!B2913,"")</f>
        <v/>
      </c>
      <c r="B2913" t="str">
        <f>IF(ROW(B2913)&lt;=Raw_hydro_bm!$J$2,Raw_hydro_bm!C2913,"")</f>
        <v/>
      </c>
      <c r="C2913" t="str">
        <f>IF(ROW(C2913)&lt;=Raw_hydro_bm!$J$2,Raw_hydro_bm!D2913,"")</f>
        <v/>
      </c>
      <c r="D2913" t="str">
        <f>IF(ROW(D2913)&lt;=Raw_hydro_bm!$J$2,Raw_hydro_bm!E2913,"")</f>
        <v/>
      </c>
      <c r="E2913" t="str">
        <f>IF(ROW(E2913)&lt;=Raw_hydro_bm!$J$2,Raw_hydro_bm!F2913,"")</f>
        <v/>
      </c>
      <c r="F2913" t="str">
        <f>IF(ROW(F2913)&lt;=Raw_hydro_bm!$J$2,Raw_hydro_bm!G2913,"")</f>
        <v/>
      </c>
      <c r="G2913" t="str">
        <f>IF(ROW(G2913)&lt;=Raw_hydro_bm!$J$2,Raw_hydro_bm!H2913,"")</f>
        <v/>
      </c>
      <c r="H2913" t="str">
        <f>IF(ROW(H2913)&lt;=Raw_hydro_bm!$J$2,Raw_hydro_bm!I2913,"")</f>
        <v/>
      </c>
      <c r="I2913" s="16" t="str">
        <f t="shared" si="45"/>
        <v/>
      </c>
    </row>
    <row r="2914" spans="1:9" x14ac:dyDescent="0.2">
      <c r="A2914" t="str">
        <f>IF(ROW(A2914)&lt;=Raw_hydro_bm!$J$2,Raw_hydro_bm!B2914,"")</f>
        <v/>
      </c>
      <c r="B2914" t="str">
        <f>IF(ROW(B2914)&lt;=Raw_hydro_bm!$J$2,Raw_hydro_bm!C2914,"")</f>
        <v/>
      </c>
      <c r="C2914" t="str">
        <f>IF(ROW(C2914)&lt;=Raw_hydro_bm!$J$2,Raw_hydro_bm!D2914,"")</f>
        <v/>
      </c>
      <c r="D2914" t="str">
        <f>IF(ROW(D2914)&lt;=Raw_hydro_bm!$J$2,Raw_hydro_bm!E2914,"")</f>
        <v/>
      </c>
      <c r="E2914" t="str">
        <f>IF(ROW(E2914)&lt;=Raw_hydro_bm!$J$2,Raw_hydro_bm!F2914,"")</f>
        <v/>
      </c>
      <c r="F2914" t="str">
        <f>IF(ROW(F2914)&lt;=Raw_hydro_bm!$J$2,Raw_hydro_bm!G2914,"")</f>
        <v/>
      </c>
      <c r="G2914" t="str">
        <f>IF(ROW(G2914)&lt;=Raw_hydro_bm!$J$2,Raw_hydro_bm!H2914,"")</f>
        <v/>
      </c>
      <c r="H2914" t="str">
        <f>IF(ROW(H2914)&lt;=Raw_hydro_bm!$J$2,Raw_hydro_bm!I2914,"")</f>
        <v/>
      </c>
      <c r="I2914" s="16" t="str">
        <f t="shared" si="45"/>
        <v/>
      </c>
    </row>
    <row r="2915" spans="1:9" x14ac:dyDescent="0.2">
      <c r="A2915" t="str">
        <f>IF(ROW(A2915)&lt;=Raw_hydro_bm!$J$2,Raw_hydro_bm!B2915,"")</f>
        <v/>
      </c>
      <c r="B2915" t="str">
        <f>IF(ROW(B2915)&lt;=Raw_hydro_bm!$J$2,Raw_hydro_bm!C2915,"")</f>
        <v/>
      </c>
      <c r="C2915" t="str">
        <f>IF(ROW(C2915)&lt;=Raw_hydro_bm!$J$2,Raw_hydro_bm!D2915,"")</f>
        <v/>
      </c>
      <c r="D2915" t="str">
        <f>IF(ROW(D2915)&lt;=Raw_hydro_bm!$J$2,Raw_hydro_bm!E2915,"")</f>
        <v/>
      </c>
      <c r="E2915" t="str">
        <f>IF(ROW(E2915)&lt;=Raw_hydro_bm!$J$2,Raw_hydro_bm!F2915,"")</f>
        <v/>
      </c>
      <c r="F2915" t="str">
        <f>IF(ROW(F2915)&lt;=Raw_hydro_bm!$J$2,Raw_hydro_bm!G2915,"")</f>
        <v/>
      </c>
      <c r="G2915" t="str">
        <f>IF(ROW(G2915)&lt;=Raw_hydro_bm!$J$2,Raw_hydro_bm!H2915,"")</f>
        <v/>
      </c>
      <c r="H2915" t="str">
        <f>IF(ROW(H2915)&lt;=Raw_hydro_bm!$J$2,Raw_hydro_bm!I2915,"")</f>
        <v/>
      </c>
      <c r="I2915" s="16" t="str">
        <f t="shared" si="45"/>
        <v/>
      </c>
    </row>
    <row r="2916" spans="1:9" x14ac:dyDescent="0.2">
      <c r="A2916" t="str">
        <f>IF(ROW(A2916)&lt;=Raw_hydro_bm!$J$2,Raw_hydro_bm!B2916,"")</f>
        <v/>
      </c>
      <c r="B2916" t="str">
        <f>IF(ROW(B2916)&lt;=Raw_hydro_bm!$J$2,Raw_hydro_bm!C2916,"")</f>
        <v/>
      </c>
      <c r="C2916" t="str">
        <f>IF(ROW(C2916)&lt;=Raw_hydro_bm!$J$2,Raw_hydro_bm!D2916,"")</f>
        <v/>
      </c>
      <c r="D2916" t="str">
        <f>IF(ROW(D2916)&lt;=Raw_hydro_bm!$J$2,Raw_hydro_bm!E2916,"")</f>
        <v/>
      </c>
      <c r="E2916" t="str">
        <f>IF(ROW(E2916)&lt;=Raw_hydro_bm!$J$2,Raw_hydro_bm!F2916,"")</f>
        <v/>
      </c>
      <c r="F2916" t="str">
        <f>IF(ROW(F2916)&lt;=Raw_hydro_bm!$J$2,Raw_hydro_bm!G2916,"")</f>
        <v/>
      </c>
      <c r="G2916" t="str">
        <f>IF(ROW(G2916)&lt;=Raw_hydro_bm!$J$2,Raw_hydro_bm!H2916,"")</f>
        <v/>
      </c>
      <c r="H2916" t="str">
        <f>IF(ROW(H2916)&lt;=Raw_hydro_bm!$J$2,Raw_hydro_bm!I2916,"")</f>
        <v/>
      </c>
      <c r="I2916" s="16" t="str">
        <f t="shared" si="45"/>
        <v/>
      </c>
    </row>
    <row r="2917" spans="1:9" x14ac:dyDescent="0.2">
      <c r="A2917" t="str">
        <f>IF(ROW(A2917)&lt;=Raw_hydro_bm!$J$2,Raw_hydro_bm!B2917,"")</f>
        <v/>
      </c>
      <c r="B2917" t="str">
        <f>IF(ROW(B2917)&lt;=Raw_hydro_bm!$J$2,Raw_hydro_bm!C2917,"")</f>
        <v/>
      </c>
      <c r="C2917" t="str">
        <f>IF(ROW(C2917)&lt;=Raw_hydro_bm!$J$2,Raw_hydro_bm!D2917,"")</f>
        <v/>
      </c>
      <c r="D2917" t="str">
        <f>IF(ROW(D2917)&lt;=Raw_hydro_bm!$J$2,Raw_hydro_bm!E2917,"")</f>
        <v/>
      </c>
      <c r="E2917" t="str">
        <f>IF(ROW(E2917)&lt;=Raw_hydro_bm!$J$2,Raw_hydro_bm!F2917,"")</f>
        <v/>
      </c>
      <c r="F2917" t="str">
        <f>IF(ROW(F2917)&lt;=Raw_hydro_bm!$J$2,Raw_hydro_bm!G2917,"")</f>
        <v/>
      </c>
      <c r="G2917" t="str">
        <f>IF(ROW(G2917)&lt;=Raw_hydro_bm!$J$2,Raw_hydro_bm!H2917,"")</f>
        <v/>
      </c>
      <c r="H2917" t="str">
        <f>IF(ROW(H2917)&lt;=Raw_hydro_bm!$J$2,Raw_hydro_bm!I2917,"")</f>
        <v/>
      </c>
      <c r="I2917" s="16" t="str">
        <f t="shared" si="45"/>
        <v/>
      </c>
    </row>
    <row r="2918" spans="1:9" x14ac:dyDescent="0.2">
      <c r="A2918" t="str">
        <f>IF(ROW(A2918)&lt;=Raw_hydro_bm!$J$2,Raw_hydro_bm!B2918,"")</f>
        <v/>
      </c>
      <c r="B2918" t="str">
        <f>IF(ROW(B2918)&lt;=Raw_hydro_bm!$J$2,Raw_hydro_bm!C2918,"")</f>
        <v/>
      </c>
      <c r="C2918" t="str">
        <f>IF(ROW(C2918)&lt;=Raw_hydro_bm!$J$2,Raw_hydro_bm!D2918,"")</f>
        <v/>
      </c>
      <c r="D2918" t="str">
        <f>IF(ROW(D2918)&lt;=Raw_hydro_bm!$J$2,Raw_hydro_bm!E2918,"")</f>
        <v/>
      </c>
      <c r="E2918" t="str">
        <f>IF(ROW(E2918)&lt;=Raw_hydro_bm!$J$2,Raw_hydro_bm!F2918,"")</f>
        <v/>
      </c>
      <c r="F2918" t="str">
        <f>IF(ROW(F2918)&lt;=Raw_hydro_bm!$J$2,Raw_hydro_bm!G2918,"")</f>
        <v/>
      </c>
      <c r="G2918" t="str">
        <f>IF(ROW(G2918)&lt;=Raw_hydro_bm!$J$2,Raw_hydro_bm!H2918,"")</f>
        <v/>
      </c>
      <c r="H2918" t="str">
        <f>IF(ROW(H2918)&lt;=Raw_hydro_bm!$J$2,Raw_hydro_bm!I2918,"")</f>
        <v/>
      </c>
      <c r="I2918" s="16" t="str">
        <f t="shared" si="45"/>
        <v/>
      </c>
    </row>
    <row r="2919" spans="1:9" x14ac:dyDescent="0.2">
      <c r="A2919" t="str">
        <f>IF(ROW(A2919)&lt;=Raw_hydro_bm!$J$2,Raw_hydro_bm!B2919,"")</f>
        <v/>
      </c>
      <c r="B2919" t="str">
        <f>IF(ROW(B2919)&lt;=Raw_hydro_bm!$J$2,Raw_hydro_bm!C2919,"")</f>
        <v/>
      </c>
      <c r="C2919" t="str">
        <f>IF(ROW(C2919)&lt;=Raw_hydro_bm!$J$2,Raw_hydro_bm!D2919,"")</f>
        <v/>
      </c>
      <c r="D2919" t="str">
        <f>IF(ROW(D2919)&lt;=Raw_hydro_bm!$J$2,Raw_hydro_bm!E2919,"")</f>
        <v/>
      </c>
      <c r="E2919" t="str">
        <f>IF(ROW(E2919)&lt;=Raw_hydro_bm!$J$2,Raw_hydro_bm!F2919,"")</f>
        <v/>
      </c>
      <c r="F2919" t="str">
        <f>IF(ROW(F2919)&lt;=Raw_hydro_bm!$J$2,Raw_hydro_bm!G2919,"")</f>
        <v/>
      </c>
      <c r="G2919" t="str">
        <f>IF(ROW(G2919)&lt;=Raw_hydro_bm!$J$2,Raw_hydro_bm!H2919,"")</f>
        <v/>
      </c>
      <c r="H2919" t="str">
        <f>IF(ROW(H2919)&lt;=Raw_hydro_bm!$J$2,Raw_hydro_bm!I2919,"")</f>
        <v/>
      </c>
      <c r="I2919" s="16" t="str">
        <f t="shared" si="45"/>
        <v/>
      </c>
    </row>
    <row r="2920" spans="1:9" x14ac:dyDescent="0.2">
      <c r="A2920" t="str">
        <f>IF(ROW(A2920)&lt;=Raw_hydro_bm!$J$2,Raw_hydro_bm!B2920,"")</f>
        <v/>
      </c>
      <c r="B2920" t="str">
        <f>IF(ROW(B2920)&lt;=Raw_hydro_bm!$J$2,Raw_hydro_bm!C2920,"")</f>
        <v/>
      </c>
      <c r="C2920" t="str">
        <f>IF(ROW(C2920)&lt;=Raw_hydro_bm!$J$2,Raw_hydro_bm!D2920,"")</f>
        <v/>
      </c>
      <c r="D2920" t="str">
        <f>IF(ROW(D2920)&lt;=Raw_hydro_bm!$J$2,Raw_hydro_bm!E2920,"")</f>
        <v/>
      </c>
      <c r="E2920" t="str">
        <f>IF(ROW(E2920)&lt;=Raw_hydro_bm!$J$2,Raw_hydro_bm!F2920,"")</f>
        <v/>
      </c>
      <c r="F2920" t="str">
        <f>IF(ROW(F2920)&lt;=Raw_hydro_bm!$J$2,Raw_hydro_bm!G2920,"")</f>
        <v/>
      </c>
      <c r="G2920" t="str">
        <f>IF(ROW(G2920)&lt;=Raw_hydro_bm!$J$2,Raw_hydro_bm!H2920,"")</f>
        <v/>
      </c>
      <c r="H2920" t="str">
        <f>IF(ROW(H2920)&lt;=Raw_hydro_bm!$J$2,Raw_hydro_bm!I2920,"")</f>
        <v/>
      </c>
      <c r="I2920" s="16" t="str">
        <f t="shared" si="45"/>
        <v/>
      </c>
    </row>
    <row r="2921" spans="1:9" x14ac:dyDescent="0.2">
      <c r="A2921" t="str">
        <f>IF(ROW(A2921)&lt;=Raw_hydro_bm!$J$2,Raw_hydro_bm!B2921,"")</f>
        <v/>
      </c>
      <c r="B2921" t="str">
        <f>IF(ROW(B2921)&lt;=Raw_hydro_bm!$J$2,Raw_hydro_bm!C2921,"")</f>
        <v/>
      </c>
      <c r="C2921" t="str">
        <f>IF(ROW(C2921)&lt;=Raw_hydro_bm!$J$2,Raw_hydro_bm!D2921,"")</f>
        <v/>
      </c>
      <c r="D2921" t="str">
        <f>IF(ROW(D2921)&lt;=Raw_hydro_bm!$J$2,Raw_hydro_bm!E2921,"")</f>
        <v/>
      </c>
      <c r="E2921" t="str">
        <f>IF(ROW(E2921)&lt;=Raw_hydro_bm!$J$2,Raw_hydro_bm!F2921,"")</f>
        <v/>
      </c>
      <c r="F2921" t="str">
        <f>IF(ROW(F2921)&lt;=Raw_hydro_bm!$J$2,Raw_hydro_bm!G2921,"")</f>
        <v/>
      </c>
      <c r="G2921" t="str">
        <f>IF(ROW(G2921)&lt;=Raw_hydro_bm!$J$2,Raw_hydro_bm!H2921,"")</f>
        <v/>
      </c>
      <c r="H2921" t="str">
        <f>IF(ROW(H2921)&lt;=Raw_hydro_bm!$J$2,Raw_hydro_bm!I2921,"")</f>
        <v/>
      </c>
      <c r="I2921" s="16" t="str">
        <f t="shared" si="45"/>
        <v/>
      </c>
    </row>
    <row r="2922" spans="1:9" x14ac:dyDescent="0.2">
      <c r="A2922" t="str">
        <f>IF(ROW(A2922)&lt;=Raw_hydro_bm!$J$2,Raw_hydro_bm!B2922,"")</f>
        <v/>
      </c>
      <c r="B2922" t="str">
        <f>IF(ROW(B2922)&lt;=Raw_hydro_bm!$J$2,Raw_hydro_bm!C2922,"")</f>
        <v/>
      </c>
      <c r="C2922" t="str">
        <f>IF(ROW(C2922)&lt;=Raw_hydro_bm!$J$2,Raw_hydro_bm!D2922,"")</f>
        <v/>
      </c>
      <c r="D2922" t="str">
        <f>IF(ROW(D2922)&lt;=Raw_hydro_bm!$J$2,Raw_hydro_bm!E2922,"")</f>
        <v/>
      </c>
      <c r="E2922" t="str">
        <f>IF(ROW(E2922)&lt;=Raw_hydro_bm!$J$2,Raw_hydro_bm!F2922,"")</f>
        <v/>
      </c>
      <c r="F2922" t="str">
        <f>IF(ROW(F2922)&lt;=Raw_hydro_bm!$J$2,Raw_hydro_bm!G2922,"")</f>
        <v/>
      </c>
      <c r="G2922" t="str">
        <f>IF(ROW(G2922)&lt;=Raw_hydro_bm!$J$2,Raw_hydro_bm!H2922,"")</f>
        <v/>
      </c>
      <c r="H2922" t="str">
        <f>IF(ROW(H2922)&lt;=Raw_hydro_bm!$J$2,Raw_hydro_bm!I2922,"")</f>
        <v/>
      </c>
      <c r="I2922" s="16" t="str">
        <f t="shared" si="45"/>
        <v/>
      </c>
    </row>
    <row r="2923" spans="1:9" x14ac:dyDescent="0.2">
      <c r="A2923" t="str">
        <f>IF(ROW(A2923)&lt;=Raw_hydro_bm!$J$2,Raw_hydro_bm!B2923,"")</f>
        <v/>
      </c>
      <c r="B2923" t="str">
        <f>IF(ROW(B2923)&lt;=Raw_hydro_bm!$J$2,Raw_hydro_bm!C2923,"")</f>
        <v/>
      </c>
      <c r="C2923" t="str">
        <f>IF(ROW(C2923)&lt;=Raw_hydro_bm!$J$2,Raw_hydro_bm!D2923,"")</f>
        <v/>
      </c>
      <c r="D2923" t="str">
        <f>IF(ROW(D2923)&lt;=Raw_hydro_bm!$J$2,Raw_hydro_bm!E2923,"")</f>
        <v/>
      </c>
      <c r="E2923" t="str">
        <f>IF(ROW(E2923)&lt;=Raw_hydro_bm!$J$2,Raw_hydro_bm!F2923,"")</f>
        <v/>
      </c>
      <c r="F2923" t="str">
        <f>IF(ROW(F2923)&lt;=Raw_hydro_bm!$J$2,Raw_hydro_bm!G2923,"")</f>
        <v/>
      </c>
      <c r="G2923" t="str">
        <f>IF(ROW(G2923)&lt;=Raw_hydro_bm!$J$2,Raw_hydro_bm!H2923,"")</f>
        <v/>
      </c>
      <c r="H2923" t="str">
        <f>IF(ROW(H2923)&lt;=Raw_hydro_bm!$J$2,Raw_hydro_bm!I2923,"")</f>
        <v/>
      </c>
      <c r="I2923" s="16" t="str">
        <f t="shared" si="45"/>
        <v/>
      </c>
    </row>
    <row r="2924" spans="1:9" x14ac:dyDescent="0.2">
      <c r="A2924" t="str">
        <f>IF(ROW(A2924)&lt;=Raw_hydro_bm!$J$2,Raw_hydro_bm!B2924,"")</f>
        <v/>
      </c>
      <c r="B2924" t="str">
        <f>IF(ROW(B2924)&lt;=Raw_hydro_bm!$J$2,Raw_hydro_bm!C2924,"")</f>
        <v/>
      </c>
      <c r="C2924" t="str">
        <f>IF(ROW(C2924)&lt;=Raw_hydro_bm!$J$2,Raw_hydro_bm!D2924,"")</f>
        <v/>
      </c>
      <c r="D2924" t="str">
        <f>IF(ROW(D2924)&lt;=Raw_hydro_bm!$J$2,Raw_hydro_bm!E2924,"")</f>
        <v/>
      </c>
      <c r="E2924" t="str">
        <f>IF(ROW(E2924)&lt;=Raw_hydro_bm!$J$2,Raw_hydro_bm!F2924,"")</f>
        <v/>
      </c>
      <c r="F2924" t="str">
        <f>IF(ROW(F2924)&lt;=Raw_hydro_bm!$J$2,Raw_hydro_bm!G2924,"")</f>
        <v/>
      </c>
      <c r="G2924" t="str">
        <f>IF(ROW(G2924)&lt;=Raw_hydro_bm!$J$2,Raw_hydro_bm!H2924,"")</f>
        <v/>
      </c>
      <c r="H2924" t="str">
        <f>IF(ROW(H2924)&lt;=Raw_hydro_bm!$J$2,Raw_hydro_bm!I2924,"")</f>
        <v/>
      </c>
      <c r="I2924" s="16" t="str">
        <f t="shared" si="45"/>
        <v/>
      </c>
    </row>
    <row r="2925" spans="1:9" x14ac:dyDescent="0.2">
      <c r="A2925" t="str">
        <f>IF(ROW(A2925)&lt;=Raw_hydro_bm!$J$2,Raw_hydro_bm!B2925,"")</f>
        <v/>
      </c>
      <c r="B2925" t="str">
        <f>IF(ROW(B2925)&lt;=Raw_hydro_bm!$J$2,Raw_hydro_bm!C2925,"")</f>
        <v/>
      </c>
      <c r="C2925" t="str">
        <f>IF(ROW(C2925)&lt;=Raw_hydro_bm!$J$2,Raw_hydro_bm!D2925,"")</f>
        <v/>
      </c>
      <c r="D2925" t="str">
        <f>IF(ROW(D2925)&lt;=Raw_hydro_bm!$J$2,Raw_hydro_bm!E2925,"")</f>
        <v/>
      </c>
      <c r="E2925" t="str">
        <f>IF(ROW(E2925)&lt;=Raw_hydro_bm!$J$2,Raw_hydro_bm!F2925,"")</f>
        <v/>
      </c>
      <c r="F2925" t="str">
        <f>IF(ROW(F2925)&lt;=Raw_hydro_bm!$J$2,Raw_hydro_bm!G2925,"")</f>
        <v/>
      </c>
      <c r="G2925" t="str">
        <f>IF(ROW(G2925)&lt;=Raw_hydro_bm!$J$2,Raw_hydro_bm!H2925,"")</f>
        <v/>
      </c>
      <c r="H2925" t="str">
        <f>IF(ROW(H2925)&lt;=Raw_hydro_bm!$J$2,Raw_hydro_bm!I2925,"")</f>
        <v/>
      </c>
      <c r="I2925" s="16" t="str">
        <f t="shared" si="45"/>
        <v/>
      </c>
    </row>
    <row r="2926" spans="1:9" x14ac:dyDescent="0.2">
      <c r="A2926" t="str">
        <f>IF(ROW(A2926)&lt;=Raw_hydro_bm!$J$2,Raw_hydro_bm!B2926,"")</f>
        <v/>
      </c>
      <c r="B2926" t="str">
        <f>IF(ROW(B2926)&lt;=Raw_hydro_bm!$J$2,Raw_hydro_bm!C2926,"")</f>
        <v/>
      </c>
      <c r="C2926" t="str">
        <f>IF(ROW(C2926)&lt;=Raw_hydro_bm!$J$2,Raw_hydro_bm!D2926,"")</f>
        <v/>
      </c>
      <c r="D2926" t="str">
        <f>IF(ROW(D2926)&lt;=Raw_hydro_bm!$J$2,Raw_hydro_bm!E2926,"")</f>
        <v/>
      </c>
      <c r="E2926" t="str">
        <f>IF(ROW(E2926)&lt;=Raw_hydro_bm!$J$2,Raw_hydro_bm!F2926,"")</f>
        <v/>
      </c>
      <c r="F2926" t="str">
        <f>IF(ROW(F2926)&lt;=Raw_hydro_bm!$J$2,Raw_hydro_bm!G2926,"")</f>
        <v/>
      </c>
      <c r="G2926" t="str">
        <f>IF(ROW(G2926)&lt;=Raw_hydro_bm!$J$2,Raw_hydro_bm!H2926,"")</f>
        <v/>
      </c>
      <c r="H2926" t="str">
        <f>IF(ROW(H2926)&lt;=Raw_hydro_bm!$J$2,Raw_hydro_bm!I2926,"")</f>
        <v/>
      </c>
      <c r="I2926" s="16" t="str">
        <f t="shared" si="45"/>
        <v/>
      </c>
    </row>
    <row r="2927" spans="1:9" x14ac:dyDescent="0.2">
      <c r="A2927" t="str">
        <f>IF(ROW(A2927)&lt;=Raw_hydro_bm!$J$2,Raw_hydro_bm!B2927,"")</f>
        <v/>
      </c>
      <c r="B2927" t="str">
        <f>IF(ROW(B2927)&lt;=Raw_hydro_bm!$J$2,Raw_hydro_bm!C2927,"")</f>
        <v/>
      </c>
      <c r="C2927" t="str">
        <f>IF(ROW(C2927)&lt;=Raw_hydro_bm!$J$2,Raw_hydro_bm!D2927,"")</f>
        <v/>
      </c>
      <c r="D2927" t="str">
        <f>IF(ROW(D2927)&lt;=Raw_hydro_bm!$J$2,Raw_hydro_bm!E2927,"")</f>
        <v/>
      </c>
      <c r="E2927" t="str">
        <f>IF(ROW(E2927)&lt;=Raw_hydro_bm!$J$2,Raw_hydro_bm!F2927,"")</f>
        <v/>
      </c>
      <c r="F2927" t="str">
        <f>IF(ROW(F2927)&lt;=Raw_hydro_bm!$J$2,Raw_hydro_bm!G2927,"")</f>
        <v/>
      </c>
      <c r="G2927" t="str">
        <f>IF(ROW(G2927)&lt;=Raw_hydro_bm!$J$2,Raw_hydro_bm!H2927,"")</f>
        <v/>
      </c>
      <c r="H2927" t="str">
        <f>IF(ROW(H2927)&lt;=Raw_hydro_bm!$J$2,Raw_hydro_bm!I2927,"")</f>
        <v/>
      </c>
      <c r="I2927" s="16" t="str">
        <f t="shared" si="45"/>
        <v/>
      </c>
    </row>
    <row r="2928" spans="1:9" x14ac:dyDescent="0.2">
      <c r="A2928" t="str">
        <f>IF(ROW(A2928)&lt;=Raw_hydro_bm!$J$2,Raw_hydro_bm!B2928,"")</f>
        <v/>
      </c>
      <c r="B2928" t="str">
        <f>IF(ROW(B2928)&lt;=Raw_hydro_bm!$J$2,Raw_hydro_bm!C2928,"")</f>
        <v/>
      </c>
      <c r="C2928" t="str">
        <f>IF(ROW(C2928)&lt;=Raw_hydro_bm!$J$2,Raw_hydro_bm!D2928,"")</f>
        <v/>
      </c>
      <c r="D2928" t="str">
        <f>IF(ROW(D2928)&lt;=Raw_hydro_bm!$J$2,Raw_hydro_bm!E2928,"")</f>
        <v/>
      </c>
      <c r="E2928" t="str">
        <f>IF(ROW(E2928)&lt;=Raw_hydro_bm!$J$2,Raw_hydro_bm!F2928,"")</f>
        <v/>
      </c>
      <c r="F2928" t="str">
        <f>IF(ROW(F2928)&lt;=Raw_hydro_bm!$J$2,Raw_hydro_bm!G2928,"")</f>
        <v/>
      </c>
      <c r="G2928" t="str">
        <f>IF(ROW(G2928)&lt;=Raw_hydro_bm!$J$2,Raw_hydro_bm!H2928,"")</f>
        <v/>
      </c>
      <c r="H2928" t="str">
        <f>IF(ROW(H2928)&lt;=Raw_hydro_bm!$J$2,Raw_hydro_bm!I2928,"")</f>
        <v/>
      </c>
      <c r="I2928" s="16" t="str">
        <f t="shared" si="45"/>
        <v/>
      </c>
    </row>
    <row r="2929" spans="1:9" x14ac:dyDescent="0.2">
      <c r="A2929" t="str">
        <f>IF(ROW(A2929)&lt;=Raw_hydro_bm!$J$2,Raw_hydro_bm!B2929,"")</f>
        <v/>
      </c>
      <c r="B2929" t="str">
        <f>IF(ROW(B2929)&lt;=Raw_hydro_bm!$J$2,Raw_hydro_bm!C2929,"")</f>
        <v/>
      </c>
      <c r="C2929" t="str">
        <f>IF(ROW(C2929)&lt;=Raw_hydro_bm!$J$2,Raw_hydro_bm!D2929,"")</f>
        <v/>
      </c>
      <c r="D2929" t="str">
        <f>IF(ROW(D2929)&lt;=Raw_hydro_bm!$J$2,Raw_hydro_bm!E2929,"")</f>
        <v/>
      </c>
      <c r="E2929" t="str">
        <f>IF(ROW(E2929)&lt;=Raw_hydro_bm!$J$2,Raw_hydro_bm!F2929,"")</f>
        <v/>
      </c>
      <c r="F2929" t="str">
        <f>IF(ROW(F2929)&lt;=Raw_hydro_bm!$J$2,Raw_hydro_bm!G2929,"")</f>
        <v/>
      </c>
      <c r="G2929" t="str">
        <f>IF(ROW(G2929)&lt;=Raw_hydro_bm!$J$2,Raw_hydro_bm!H2929,"")</f>
        <v/>
      </c>
      <c r="H2929" t="str">
        <f>IF(ROW(H2929)&lt;=Raw_hydro_bm!$J$2,Raw_hydro_bm!I2929,"")</f>
        <v/>
      </c>
      <c r="I2929" s="16" t="str">
        <f t="shared" si="45"/>
        <v/>
      </c>
    </row>
    <row r="2930" spans="1:9" x14ac:dyDescent="0.2">
      <c r="A2930" t="str">
        <f>IF(ROW(A2930)&lt;=Raw_hydro_bm!$J$2,Raw_hydro_bm!B2930,"")</f>
        <v/>
      </c>
      <c r="B2930" t="str">
        <f>IF(ROW(B2930)&lt;=Raw_hydro_bm!$J$2,Raw_hydro_bm!C2930,"")</f>
        <v/>
      </c>
      <c r="C2930" t="str">
        <f>IF(ROW(C2930)&lt;=Raw_hydro_bm!$J$2,Raw_hydro_bm!D2930,"")</f>
        <v/>
      </c>
      <c r="D2930" t="str">
        <f>IF(ROW(D2930)&lt;=Raw_hydro_bm!$J$2,Raw_hydro_bm!E2930,"")</f>
        <v/>
      </c>
      <c r="E2930" t="str">
        <f>IF(ROW(E2930)&lt;=Raw_hydro_bm!$J$2,Raw_hydro_bm!F2930,"")</f>
        <v/>
      </c>
      <c r="F2930" t="str">
        <f>IF(ROW(F2930)&lt;=Raw_hydro_bm!$J$2,Raw_hydro_bm!G2930,"")</f>
        <v/>
      </c>
      <c r="G2930" t="str">
        <f>IF(ROW(G2930)&lt;=Raw_hydro_bm!$J$2,Raw_hydro_bm!H2930,"")</f>
        <v/>
      </c>
      <c r="H2930" t="str">
        <f>IF(ROW(H2930)&lt;=Raw_hydro_bm!$J$2,Raw_hydro_bm!I2930,"")</f>
        <v/>
      </c>
      <c r="I2930" s="16" t="str">
        <f t="shared" si="45"/>
        <v/>
      </c>
    </row>
    <row r="2931" spans="1:9" x14ac:dyDescent="0.2">
      <c r="A2931" t="str">
        <f>IF(ROW(A2931)&lt;=Raw_hydro_bm!$J$2,Raw_hydro_bm!B2931,"")</f>
        <v/>
      </c>
      <c r="B2931" t="str">
        <f>IF(ROW(B2931)&lt;=Raw_hydro_bm!$J$2,Raw_hydro_bm!C2931,"")</f>
        <v/>
      </c>
      <c r="C2931" t="str">
        <f>IF(ROW(C2931)&lt;=Raw_hydro_bm!$J$2,Raw_hydro_bm!D2931,"")</f>
        <v/>
      </c>
      <c r="D2931" t="str">
        <f>IF(ROW(D2931)&lt;=Raw_hydro_bm!$J$2,Raw_hydro_bm!E2931,"")</f>
        <v/>
      </c>
      <c r="E2931" t="str">
        <f>IF(ROW(E2931)&lt;=Raw_hydro_bm!$J$2,Raw_hydro_bm!F2931,"")</f>
        <v/>
      </c>
      <c r="F2931" t="str">
        <f>IF(ROW(F2931)&lt;=Raw_hydro_bm!$J$2,Raw_hydro_bm!G2931,"")</f>
        <v/>
      </c>
      <c r="G2931" t="str">
        <f>IF(ROW(G2931)&lt;=Raw_hydro_bm!$J$2,Raw_hydro_bm!H2931,"")</f>
        <v/>
      </c>
      <c r="H2931" t="str">
        <f>IF(ROW(H2931)&lt;=Raw_hydro_bm!$J$2,Raw_hydro_bm!I2931,"")</f>
        <v/>
      </c>
      <c r="I2931" s="16" t="str">
        <f t="shared" si="45"/>
        <v/>
      </c>
    </row>
    <row r="2932" spans="1:9" x14ac:dyDescent="0.2">
      <c r="A2932" t="str">
        <f>IF(ROW(A2932)&lt;=Raw_hydro_bm!$J$2,Raw_hydro_bm!B2932,"")</f>
        <v/>
      </c>
      <c r="B2932" t="str">
        <f>IF(ROW(B2932)&lt;=Raw_hydro_bm!$J$2,Raw_hydro_bm!C2932,"")</f>
        <v/>
      </c>
      <c r="C2932" t="str">
        <f>IF(ROW(C2932)&lt;=Raw_hydro_bm!$J$2,Raw_hydro_bm!D2932,"")</f>
        <v/>
      </c>
      <c r="D2932" t="str">
        <f>IF(ROW(D2932)&lt;=Raw_hydro_bm!$J$2,Raw_hydro_bm!E2932,"")</f>
        <v/>
      </c>
      <c r="E2932" t="str">
        <f>IF(ROW(E2932)&lt;=Raw_hydro_bm!$J$2,Raw_hydro_bm!F2932,"")</f>
        <v/>
      </c>
      <c r="F2932" t="str">
        <f>IF(ROW(F2932)&lt;=Raw_hydro_bm!$J$2,Raw_hydro_bm!G2932,"")</f>
        <v/>
      </c>
      <c r="G2932" t="str">
        <f>IF(ROW(G2932)&lt;=Raw_hydro_bm!$J$2,Raw_hydro_bm!H2932,"")</f>
        <v/>
      </c>
      <c r="H2932" t="str">
        <f>IF(ROW(H2932)&lt;=Raw_hydro_bm!$J$2,Raw_hydro_bm!I2932,"")</f>
        <v/>
      </c>
      <c r="I2932" s="16" t="str">
        <f t="shared" si="45"/>
        <v/>
      </c>
    </row>
    <row r="2933" spans="1:9" x14ac:dyDescent="0.2">
      <c r="A2933" t="str">
        <f>IF(ROW(A2933)&lt;=Raw_hydro_bm!$J$2,Raw_hydro_bm!B2933,"")</f>
        <v/>
      </c>
      <c r="B2933" t="str">
        <f>IF(ROW(B2933)&lt;=Raw_hydro_bm!$J$2,Raw_hydro_bm!C2933,"")</f>
        <v/>
      </c>
      <c r="C2933" t="str">
        <f>IF(ROW(C2933)&lt;=Raw_hydro_bm!$J$2,Raw_hydro_bm!D2933,"")</f>
        <v/>
      </c>
      <c r="D2933" t="str">
        <f>IF(ROW(D2933)&lt;=Raw_hydro_bm!$J$2,Raw_hydro_bm!E2933,"")</f>
        <v/>
      </c>
      <c r="E2933" t="str">
        <f>IF(ROW(E2933)&lt;=Raw_hydro_bm!$J$2,Raw_hydro_bm!F2933,"")</f>
        <v/>
      </c>
      <c r="F2933" t="str">
        <f>IF(ROW(F2933)&lt;=Raw_hydro_bm!$J$2,Raw_hydro_bm!G2933,"")</f>
        <v/>
      </c>
      <c r="G2933" t="str">
        <f>IF(ROW(G2933)&lt;=Raw_hydro_bm!$J$2,Raw_hydro_bm!H2933,"")</f>
        <v/>
      </c>
      <c r="H2933" t="str">
        <f>IF(ROW(H2933)&lt;=Raw_hydro_bm!$J$2,Raw_hydro_bm!I2933,"")</f>
        <v/>
      </c>
      <c r="I2933" s="16" t="str">
        <f t="shared" si="45"/>
        <v/>
      </c>
    </row>
    <row r="2934" spans="1:9" x14ac:dyDescent="0.2">
      <c r="A2934" t="str">
        <f>IF(ROW(A2934)&lt;=Raw_hydro_bm!$J$2,Raw_hydro_bm!B2934,"")</f>
        <v/>
      </c>
      <c r="B2934" t="str">
        <f>IF(ROW(B2934)&lt;=Raw_hydro_bm!$J$2,Raw_hydro_bm!C2934,"")</f>
        <v/>
      </c>
      <c r="C2934" t="str">
        <f>IF(ROW(C2934)&lt;=Raw_hydro_bm!$J$2,Raw_hydro_bm!D2934,"")</f>
        <v/>
      </c>
      <c r="D2934" t="str">
        <f>IF(ROW(D2934)&lt;=Raw_hydro_bm!$J$2,Raw_hydro_bm!E2934,"")</f>
        <v/>
      </c>
      <c r="E2934" t="str">
        <f>IF(ROW(E2934)&lt;=Raw_hydro_bm!$J$2,Raw_hydro_bm!F2934,"")</f>
        <v/>
      </c>
      <c r="F2934" t="str">
        <f>IF(ROW(F2934)&lt;=Raw_hydro_bm!$J$2,Raw_hydro_bm!G2934,"")</f>
        <v/>
      </c>
      <c r="G2934" t="str">
        <f>IF(ROW(G2934)&lt;=Raw_hydro_bm!$J$2,Raw_hydro_bm!H2934,"")</f>
        <v/>
      </c>
      <c r="H2934" t="str">
        <f>IF(ROW(H2934)&lt;=Raw_hydro_bm!$J$2,Raw_hydro_bm!I2934,"")</f>
        <v/>
      </c>
      <c r="I2934" s="16" t="str">
        <f t="shared" si="45"/>
        <v/>
      </c>
    </row>
    <row r="2935" spans="1:9" x14ac:dyDescent="0.2">
      <c r="A2935" t="str">
        <f>IF(ROW(A2935)&lt;=Raw_hydro_bm!$J$2,Raw_hydro_bm!B2935,"")</f>
        <v/>
      </c>
      <c r="B2935" t="str">
        <f>IF(ROW(B2935)&lt;=Raw_hydro_bm!$J$2,Raw_hydro_bm!C2935,"")</f>
        <v/>
      </c>
      <c r="C2935" t="str">
        <f>IF(ROW(C2935)&lt;=Raw_hydro_bm!$J$2,Raw_hydro_bm!D2935,"")</f>
        <v/>
      </c>
      <c r="D2935" t="str">
        <f>IF(ROW(D2935)&lt;=Raw_hydro_bm!$J$2,Raw_hydro_bm!E2935,"")</f>
        <v/>
      </c>
      <c r="E2935" t="str">
        <f>IF(ROW(E2935)&lt;=Raw_hydro_bm!$J$2,Raw_hydro_bm!F2935,"")</f>
        <v/>
      </c>
      <c r="F2935" t="str">
        <f>IF(ROW(F2935)&lt;=Raw_hydro_bm!$J$2,Raw_hydro_bm!G2935,"")</f>
        <v/>
      </c>
      <c r="G2935" t="str">
        <f>IF(ROW(G2935)&lt;=Raw_hydro_bm!$J$2,Raw_hydro_bm!H2935,"")</f>
        <v/>
      </c>
      <c r="H2935" t="str">
        <f>IF(ROW(H2935)&lt;=Raw_hydro_bm!$J$2,Raw_hydro_bm!I2935,"")</f>
        <v/>
      </c>
      <c r="I2935" s="16" t="str">
        <f t="shared" si="45"/>
        <v/>
      </c>
    </row>
    <row r="2936" spans="1:9" x14ac:dyDescent="0.2">
      <c r="A2936" t="str">
        <f>IF(ROW(A2936)&lt;=Raw_hydro_bm!$J$2,Raw_hydro_bm!B2936,"")</f>
        <v/>
      </c>
      <c r="B2936" t="str">
        <f>IF(ROW(B2936)&lt;=Raw_hydro_bm!$J$2,Raw_hydro_bm!C2936,"")</f>
        <v/>
      </c>
      <c r="C2936" t="str">
        <f>IF(ROW(C2936)&lt;=Raw_hydro_bm!$J$2,Raw_hydro_bm!D2936,"")</f>
        <v/>
      </c>
      <c r="D2936" t="str">
        <f>IF(ROW(D2936)&lt;=Raw_hydro_bm!$J$2,Raw_hydro_bm!E2936,"")</f>
        <v/>
      </c>
      <c r="E2936" t="str">
        <f>IF(ROW(E2936)&lt;=Raw_hydro_bm!$J$2,Raw_hydro_bm!F2936,"")</f>
        <v/>
      </c>
      <c r="F2936" t="str">
        <f>IF(ROW(F2936)&lt;=Raw_hydro_bm!$J$2,Raw_hydro_bm!G2936,"")</f>
        <v/>
      </c>
      <c r="G2936" t="str">
        <f>IF(ROW(G2936)&lt;=Raw_hydro_bm!$J$2,Raw_hydro_bm!H2936,"")</f>
        <v/>
      </c>
      <c r="H2936" t="str">
        <f>IF(ROW(H2936)&lt;=Raw_hydro_bm!$J$2,Raw_hydro_bm!I2936,"")</f>
        <v/>
      </c>
      <c r="I2936" s="16" t="str">
        <f t="shared" si="45"/>
        <v/>
      </c>
    </row>
    <row r="2937" spans="1:9" x14ac:dyDescent="0.2">
      <c r="A2937" t="str">
        <f>IF(ROW(A2937)&lt;=Raw_hydro_bm!$J$2,Raw_hydro_bm!B2937,"")</f>
        <v/>
      </c>
      <c r="B2937" t="str">
        <f>IF(ROW(B2937)&lt;=Raw_hydro_bm!$J$2,Raw_hydro_bm!C2937,"")</f>
        <v/>
      </c>
      <c r="C2937" t="str">
        <f>IF(ROW(C2937)&lt;=Raw_hydro_bm!$J$2,Raw_hydro_bm!D2937,"")</f>
        <v/>
      </c>
      <c r="D2937" t="str">
        <f>IF(ROW(D2937)&lt;=Raw_hydro_bm!$J$2,Raw_hydro_bm!E2937,"")</f>
        <v/>
      </c>
      <c r="E2937" t="str">
        <f>IF(ROW(E2937)&lt;=Raw_hydro_bm!$J$2,Raw_hydro_bm!F2937,"")</f>
        <v/>
      </c>
      <c r="F2937" t="str">
        <f>IF(ROW(F2937)&lt;=Raw_hydro_bm!$J$2,Raw_hydro_bm!G2937,"")</f>
        <v/>
      </c>
      <c r="G2937" t="str">
        <f>IF(ROW(G2937)&lt;=Raw_hydro_bm!$J$2,Raw_hydro_bm!H2937,"")</f>
        <v/>
      </c>
      <c r="H2937" t="str">
        <f>IF(ROW(H2937)&lt;=Raw_hydro_bm!$J$2,Raw_hydro_bm!I2937,"")</f>
        <v/>
      </c>
      <c r="I2937" s="16" t="str">
        <f t="shared" si="45"/>
        <v/>
      </c>
    </row>
    <row r="2938" spans="1:9" x14ac:dyDescent="0.2">
      <c r="A2938" t="str">
        <f>IF(ROW(A2938)&lt;=Raw_hydro_bm!$J$2,Raw_hydro_bm!B2938,"")</f>
        <v/>
      </c>
      <c r="B2938" t="str">
        <f>IF(ROW(B2938)&lt;=Raw_hydro_bm!$J$2,Raw_hydro_bm!C2938,"")</f>
        <v/>
      </c>
      <c r="C2938" t="str">
        <f>IF(ROW(C2938)&lt;=Raw_hydro_bm!$J$2,Raw_hydro_bm!D2938,"")</f>
        <v/>
      </c>
      <c r="D2938" t="str">
        <f>IF(ROW(D2938)&lt;=Raw_hydro_bm!$J$2,Raw_hydro_bm!E2938,"")</f>
        <v/>
      </c>
      <c r="E2938" t="str">
        <f>IF(ROW(E2938)&lt;=Raw_hydro_bm!$J$2,Raw_hydro_bm!F2938,"")</f>
        <v/>
      </c>
      <c r="F2938" t="str">
        <f>IF(ROW(F2938)&lt;=Raw_hydro_bm!$J$2,Raw_hydro_bm!G2938,"")</f>
        <v/>
      </c>
      <c r="G2938" t="str">
        <f>IF(ROW(G2938)&lt;=Raw_hydro_bm!$J$2,Raw_hydro_bm!H2938,"")</f>
        <v/>
      </c>
      <c r="H2938" t="str">
        <f>IF(ROW(H2938)&lt;=Raw_hydro_bm!$J$2,Raw_hydro_bm!I2938,"")</f>
        <v/>
      </c>
      <c r="I2938" s="16" t="str">
        <f t="shared" si="45"/>
        <v/>
      </c>
    </row>
    <row r="2939" spans="1:9" x14ac:dyDescent="0.2">
      <c r="A2939" t="str">
        <f>IF(ROW(A2939)&lt;=Raw_hydro_bm!$J$2,Raw_hydro_bm!B2939,"")</f>
        <v/>
      </c>
      <c r="B2939" t="str">
        <f>IF(ROW(B2939)&lt;=Raw_hydro_bm!$J$2,Raw_hydro_bm!C2939,"")</f>
        <v/>
      </c>
      <c r="C2939" t="str">
        <f>IF(ROW(C2939)&lt;=Raw_hydro_bm!$J$2,Raw_hydro_bm!D2939,"")</f>
        <v/>
      </c>
      <c r="D2939" t="str">
        <f>IF(ROW(D2939)&lt;=Raw_hydro_bm!$J$2,Raw_hydro_bm!E2939,"")</f>
        <v/>
      </c>
      <c r="E2939" t="str">
        <f>IF(ROW(E2939)&lt;=Raw_hydro_bm!$J$2,Raw_hydro_bm!F2939,"")</f>
        <v/>
      </c>
      <c r="F2939" t="str">
        <f>IF(ROW(F2939)&lt;=Raw_hydro_bm!$J$2,Raw_hydro_bm!G2939,"")</f>
        <v/>
      </c>
      <c r="G2939" t="str">
        <f>IF(ROW(G2939)&lt;=Raw_hydro_bm!$J$2,Raw_hydro_bm!H2939,"")</f>
        <v/>
      </c>
      <c r="H2939" t="str">
        <f>IF(ROW(H2939)&lt;=Raw_hydro_bm!$J$2,Raw_hydro_bm!I2939,"")</f>
        <v/>
      </c>
      <c r="I2939" s="16" t="str">
        <f t="shared" si="45"/>
        <v/>
      </c>
    </row>
    <row r="2940" spans="1:9" x14ac:dyDescent="0.2">
      <c r="A2940" t="str">
        <f>IF(ROW(A2940)&lt;=Raw_hydro_bm!$J$2,Raw_hydro_bm!B2940,"")</f>
        <v/>
      </c>
      <c r="B2940" t="str">
        <f>IF(ROW(B2940)&lt;=Raw_hydro_bm!$J$2,Raw_hydro_bm!C2940,"")</f>
        <v/>
      </c>
      <c r="C2940" t="str">
        <f>IF(ROW(C2940)&lt;=Raw_hydro_bm!$J$2,Raw_hydro_bm!D2940,"")</f>
        <v/>
      </c>
      <c r="D2940" t="str">
        <f>IF(ROW(D2940)&lt;=Raw_hydro_bm!$J$2,Raw_hydro_bm!E2940,"")</f>
        <v/>
      </c>
      <c r="E2940" t="str">
        <f>IF(ROW(E2940)&lt;=Raw_hydro_bm!$J$2,Raw_hydro_bm!F2940,"")</f>
        <v/>
      </c>
      <c r="F2940" t="str">
        <f>IF(ROW(F2940)&lt;=Raw_hydro_bm!$J$2,Raw_hydro_bm!G2940,"")</f>
        <v/>
      </c>
      <c r="G2940" t="str">
        <f>IF(ROW(G2940)&lt;=Raw_hydro_bm!$J$2,Raw_hydro_bm!H2940,"")</f>
        <v/>
      </c>
      <c r="H2940" t="str">
        <f>IF(ROW(H2940)&lt;=Raw_hydro_bm!$J$2,Raw_hydro_bm!I2940,"")</f>
        <v/>
      </c>
      <c r="I2940" s="16" t="str">
        <f t="shared" si="45"/>
        <v/>
      </c>
    </row>
    <row r="2941" spans="1:9" x14ac:dyDescent="0.2">
      <c r="A2941" t="str">
        <f>IF(ROW(A2941)&lt;=Raw_hydro_bm!$J$2,Raw_hydro_bm!B2941,"")</f>
        <v/>
      </c>
      <c r="B2941" t="str">
        <f>IF(ROW(B2941)&lt;=Raw_hydro_bm!$J$2,Raw_hydro_bm!C2941,"")</f>
        <v/>
      </c>
      <c r="C2941" t="str">
        <f>IF(ROW(C2941)&lt;=Raw_hydro_bm!$J$2,Raw_hydro_bm!D2941,"")</f>
        <v/>
      </c>
      <c r="D2941" t="str">
        <f>IF(ROW(D2941)&lt;=Raw_hydro_bm!$J$2,Raw_hydro_bm!E2941,"")</f>
        <v/>
      </c>
      <c r="E2941" t="str">
        <f>IF(ROW(E2941)&lt;=Raw_hydro_bm!$J$2,Raw_hydro_bm!F2941,"")</f>
        <v/>
      </c>
      <c r="F2941" t="str">
        <f>IF(ROW(F2941)&lt;=Raw_hydro_bm!$J$2,Raw_hydro_bm!G2941,"")</f>
        <v/>
      </c>
      <c r="G2941" t="str">
        <f>IF(ROW(G2941)&lt;=Raw_hydro_bm!$J$2,Raw_hydro_bm!H2941,"")</f>
        <v/>
      </c>
      <c r="H2941" t="str">
        <f>IF(ROW(H2941)&lt;=Raw_hydro_bm!$J$2,Raw_hydro_bm!I2941,"")</f>
        <v/>
      </c>
      <c r="I2941" s="16" t="str">
        <f t="shared" si="45"/>
        <v/>
      </c>
    </row>
    <row r="2942" spans="1:9" x14ac:dyDescent="0.2">
      <c r="A2942" t="str">
        <f>IF(ROW(A2942)&lt;=Raw_hydro_bm!$J$2,Raw_hydro_bm!B2942,"")</f>
        <v/>
      </c>
      <c r="B2942" t="str">
        <f>IF(ROW(B2942)&lt;=Raw_hydro_bm!$J$2,Raw_hydro_bm!C2942,"")</f>
        <v/>
      </c>
      <c r="C2942" t="str">
        <f>IF(ROW(C2942)&lt;=Raw_hydro_bm!$J$2,Raw_hydro_bm!D2942,"")</f>
        <v/>
      </c>
      <c r="D2942" t="str">
        <f>IF(ROW(D2942)&lt;=Raw_hydro_bm!$J$2,Raw_hydro_bm!E2942,"")</f>
        <v/>
      </c>
      <c r="E2942" t="str">
        <f>IF(ROW(E2942)&lt;=Raw_hydro_bm!$J$2,Raw_hydro_bm!F2942,"")</f>
        <v/>
      </c>
      <c r="F2942" t="str">
        <f>IF(ROW(F2942)&lt;=Raw_hydro_bm!$J$2,Raw_hydro_bm!G2942,"")</f>
        <v/>
      </c>
      <c r="G2942" t="str">
        <f>IF(ROW(G2942)&lt;=Raw_hydro_bm!$J$2,Raw_hydro_bm!H2942,"")</f>
        <v/>
      </c>
      <c r="H2942" t="str">
        <f>IF(ROW(H2942)&lt;=Raw_hydro_bm!$J$2,Raw_hydro_bm!I2942,"")</f>
        <v/>
      </c>
      <c r="I2942" s="16" t="str">
        <f t="shared" si="45"/>
        <v/>
      </c>
    </row>
    <row r="2943" spans="1:9" x14ac:dyDescent="0.2">
      <c r="A2943" t="str">
        <f>IF(ROW(A2943)&lt;=Raw_hydro_bm!$J$2,Raw_hydro_bm!B2943,"")</f>
        <v/>
      </c>
      <c r="B2943" t="str">
        <f>IF(ROW(B2943)&lt;=Raw_hydro_bm!$J$2,Raw_hydro_bm!C2943,"")</f>
        <v/>
      </c>
      <c r="C2943" t="str">
        <f>IF(ROW(C2943)&lt;=Raw_hydro_bm!$J$2,Raw_hydro_bm!D2943,"")</f>
        <v/>
      </c>
      <c r="D2943" t="str">
        <f>IF(ROW(D2943)&lt;=Raw_hydro_bm!$J$2,Raw_hydro_bm!E2943,"")</f>
        <v/>
      </c>
      <c r="E2943" t="str">
        <f>IF(ROW(E2943)&lt;=Raw_hydro_bm!$J$2,Raw_hydro_bm!F2943,"")</f>
        <v/>
      </c>
      <c r="F2943" t="str">
        <f>IF(ROW(F2943)&lt;=Raw_hydro_bm!$J$2,Raw_hydro_bm!G2943,"")</f>
        <v/>
      </c>
      <c r="G2943" t="str">
        <f>IF(ROW(G2943)&lt;=Raw_hydro_bm!$J$2,Raw_hydro_bm!H2943,"")</f>
        <v/>
      </c>
      <c r="H2943" t="str">
        <f>IF(ROW(H2943)&lt;=Raw_hydro_bm!$J$2,Raw_hydro_bm!I2943,"")</f>
        <v/>
      </c>
      <c r="I2943" s="16" t="str">
        <f t="shared" si="45"/>
        <v/>
      </c>
    </row>
    <row r="2944" spans="1:9" x14ac:dyDescent="0.2">
      <c r="A2944" t="str">
        <f>IF(ROW(A2944)&lt;=Raw_hydro_bm!$J$2,Raw_hydro_bm!B2944,"")</f>
        <v/>
      </c>
      <c r="B2944" t="str">
        <f>IF(ROW(B2944)&lt;=Raw_hydro_bm!$J$2,Raw_hydro_bm!C2944,"")</f>
        <v/>
      </c>
      <c r="C2944" t="str">
        <f>IF(ROW(C2944)&lt;=Raw_hydro_bm!$J$2,Raw_hydro_bm!D2944,"")</f>
        <v/>
      </c>
      <c r="D2944" t="str">
        <f>IF(ROW(D2944)&lt;=Raw_hydro_bm!$J$2,Raw_hydro_bm!E2944,"")</f>
        <v/>
      </c>
      <c r="E2944" t="str">
        <f>IF(ROW(E2944)&lt;=Raw_hydro_bm!$J$2,Raw_hydro_bm!F2944,"")</f>
        <v/>
      </c>
      <c r="F2944" t="str">
        <f>IF(ROW(F2944)&lt;=Raw_hydro_bm!$J$2,Raw_hydro_bm!G2944,"")</f>
        <v/>
      </c>
      <c r="G2944" t="str">
        <f>IF(ROW(G2944)&lt;=Raw_hydro_bm!$J$2,Raw_hydro_bm!H2944,"")</f>
        <v/>
      </c>
      <c r="H2944" t="str">
        <f>IF(ROW(H2944)&lt;=Raw_hydro_bm!$J$2,Raw_hydro_bm!I2944,"")</f>
        <v/>
      </c>
      <c r="I2944" s="16" t="str">
        <f t="shared" si="45"/>
        <v/>
      </c>
    </row>
    <row r="2945" spans="1:9" x14ac:dyDescent="0.2">
      <c r="A2945" t="str">
        <f>IF(ROW(A2945)&lt;=Raw_hydro_bm!$J$2,Raw_hydro_bm!B2945,"")</f>
        <v/>
      </c>
      <c r="B2945" t="str">
        <f>IF(ROW(B2945)&lt;=Raw_hydro_bm!$J$2,Raw_hydro_bm!C2945,"")</f>
        <v/>
      </c>
      <c r="C2945" t="str">
        <f>IF(ROW(C2945)&lt;=Raw_hydro_bm!$J$2,Raw_hydro_bm!D2945,"")</f>
        <v/>
      </c>
      <c r="D2945" t="str">
        <f>IF(ROW(D2945)&lt;=Raw_hydro_bm!$J$2,Raw_hydro_bm!E2945,"")</f>
        <v/>
      </c>
      <c r="E2945" t="str">
        <f>IF(ROW(E2945)&lt;=Raw_hydro_bm!$J$2,Raw_hydro_bm!F2945,"")</f>
        <v/>
      </c>
      <c r="F2945" t="str">
        <f>IF(ROW(F2945)&lt;=Raw_hydro_bm!$J$2,Raw_hydro_bm!G2945,"")</f>
        <v/>
      </c>
      <c r="G2945" t="str">
        <f>IF(ROW(G2945)&lt;=Raw_hydro_bm!$J$2,Raw_hydro_bm!H2945,"")</f>
        <v/>
      </c>
      <c r="H2945" t="str">
        <f>IF(ROW(H2945)&lt;=Raw_hydro_bm!$J$2,Raw_hydro_bm!I2945,"")</f>
        <v/>
      </c>
      <c r="I2945" s="16" t="str">
        <f t="shared" si="45"/>
        <v/>
      </c>
    </row>
    <row r="2946" spans="1:9" x14ac:dyDescent="0.2">
      <c r="A2946" t="str">
        <f>IF(ROW(A2946)&lt;=Raw_hydro_bm!$J$2,Raw_hydro_bm!B2946,"")</f>
        <v/>
      </c>
      <c r="B2946" t="str">
        <f>IF(ROW(B2946)&lt;=Raw_hydro_bm!$J$2,Raw_hydro_bm!C2946,"")</f>
        <v/>
      </c>
      <c r="C2946" t="str">
        <f>IF(ROW(C2946)&lt;=Raw_hydro_bm!$J$2,Raw_hydro_bm!D2946,"")</f>
        <v/>
      </c>
      <c r="D2946" t="str">
        <f>IF(ROW(D2946)&lt;=Raw_hydro_bm!$J$2,Raw_hydro_bm!E2946,"")</f>
        <v/>
      </c>
      <c r="E2946" t="str">
        <f>IF(ROW(E2946)&lt;=Raw_hydro_bm!$J$2,Raw_hydro_bm!F2946,"")</f>
        <v/>
      </c>
      <c r="F2946" t="str">
        <f>IF(ROW(F2946)&lt;=Raw_hydro_bm!$J$2,Raw_hydro_bm!G2946,"")</f>
        <v/>
      </c>
      <c r="G2946" t="str">
        <f>IF(ROW(G2946)&lt;=Raw_hydro_bm!$J$2,Raw_hydro_bm!H2946,"")</f>
        <v/>
      </c>
      <c r="H2946" t="str">
        <f>IF(ROW(H2946)&lt;=Raw_hydro_bm!$J$2,Raw_hydro_bm!I2946,"")</f>
        <v/>
      </c>
      <c r="I2946" s="16" t="str">
        <f t="shared" ref="I2946:I2973" si="46">IF(IFERROR(FIND("e",H2946),-1)&lt;0,IFERROR(_xlfn.NUMBERVALUE(LEFT(H2946,FIND(".",H2946)-1))+_xlfn.NUMBERVALUE("0,"&amp;RIGHT(H2946,LEN(H2946)-FIND(".",H2946))),""),0)</f>
        <v/>
      </c>
    </row>
    <row r="2947" spans="1:9" x14ac:dyDescent="0.2">
      <c r="A2947" t="str">
        <f>IF(ROW(A2947)&lt;=Raw_hydro_bm!$J$2,Raw_hydro_bm!B2947,"")</f>
        <v/>
      </c>
      <c r="B2947" t="str">
        <f>IF(ROW(B2947)&lt;=Raw_hydro_bm!$J$2,Raw_hydro_bm!C2947,"")</f>
        <v/>
      </c>
      <c r="C2947" t="str">
        <f>IF(ROW(C2947)&lt;=Raw_hydro_bm!$J$2,Raw_hydro_bm!D2947,"")</f>
        <v/>
      </c>
      <c r="D2947" t="str">
        <f>IF(ROW(D2947)&lt;=Raw_hydro_bm!$J$2,Raw_hydro_bm!E2947,"")</f>
        <v/>
      </c>
      <c r="E2947" t="str">
        <f>IF(ROW(E2947)&lt;=Raw_hydro_bm!$J$2,Raw_hydro_bm!F2947,"")</f>
        <v/>
      </c>
      <c r="F2947" t="str">
        <f>IF(ROW(F2947)&lt;=Raw_hydro_bm!$J$2,Raw_hydro_bm!G2947,"")</f>
        <v/>
      </c>
      <c r="G2947" t="str">
        <f>IF(ROW(G2947)&lt;=Raw_hydro_bm!$J$2,Raw_hydro_bm!H2947,"")</f>
        <v/>
      </c>
      <c r="H2947" t="str">
        <f>IF(ROW(H2947)&lt;=Raw_hydro_bm!$J$2,Raw_hydro_bm!I2947,"")</f>
        <v/>
      </c>
      <c r="I2947" s="16" t="str">
        <f t="shared" si="46"/>
        <v/>
      </c>
    </row>
    <row r="2948" spans="1:9" x14ac:dyDescent="0.2">
      <c r="A2948" t="str">
        <f>IF(ROW(A2948)&lt;=Raw_hydro_bm!$J$2,Raw_hydro_bm!B2948,"")</f>
        <v/>
      </c>
      <c r="B2948" t="str">
        <f>IF(ROW(B2948)&lt;=Raw_hydro_bm!$J$2,Raw_hydro_bm!C2948,"")</f>
        <v/>
      </c>
      <c r="C2948" t="str">
        <f>IF(ROW(C2948)&lt;=Raw_hydro_bm!$J$2,Raw_hydro_bm!D2948,"")</f>
        <v/>
      </c>
      <c r="D2948" t="str">
        <f>IF(ROW(D2948)&lt;=Raw_hydro_bm!$J$2,Raw_hydro_bm!E2948,"")</f>
        <v/>
      </c>
      <c r="E2948" t="str">
        <f>IF(ROW(E2948)&lt;=Raw_hydro_bm!$J$2,Raw_hydro_bm!F2948,"")</f>
        <v/>
      </c>
      <c r="F2948" t="str">
        <f>IF(ROW(F2948)&lt;=Raw_hydro_bm!$J$2,Raw_hydro_bm!G2948,"")</f>
        <v/>
      </c>
      <c r="G2948" t="str">
        <f>IF(ROW(G2948)&lt;=Raw_hydro_bm!$J$2,Raw_hydro_bm!H2948,"")</f>
        <v/>
      </c>
      <c r="H2948" t="str">
        <f>IF(ROW(H2948)&lt;=Raw_hydro_bm!$J$2,Raw_hydro_bm!I2948,"")</f>
        <v/>
      </c>
      <c r="I2948" s="16" t="str">
        <f t="shared" si="46"/>
        <v/>
      </c>
    </row>
    <row r="2949" spans="1:9" x14ac:dyDescent="0.2">
      <c r="A2949" t="str">
        <f>IF(ROW(A2949)&lt;=Raw_hydro_bm!$J$2,Raw_hydro_bm!B2949,"")</f>
        <v/>
      </c>
      <c r="B2949" t="str">
        <f>IF(ROW(B2949)&lt;=Raw_hydro_bm!$J$2,Raw_hydro_bm!C2949,"")</f>
        <v/>
      </c>
      <c r="C2949" t="str">
        <f>IF(ROW(C2949)&lt;=Raw_hydro_bm!$J$2,Raw_hydro_bm!D2949,"")</f>
        <v/>
      </c>
      <c r="D2949" t="str">
        <f>IF(ROW(D2949)&lt;=Raw_hydro_bm!$J$2,Raw_hydro_bm!E2949,"")</f>
        <v/>
      </c>
      <c r="E2949" t="str">
        <f>IF(ROW(E2949)&lt;=Raw_hydro_bm!$J$2,Raw_hydro_bm!F2949,"")</f>
        <v/>
      </c>
      <c r="F2949" t="str">
        <f>IF(ROW(F2949)&lt;=Raw_hydro_bm!$J$2,Raw_hydro_bm!G2949,"")</f>
        <v/>
      </c>
      <c r="G2949" t="str">
        <f>IF(ROW(G2949)&lt;=Raw_hydro_bm!$J$2,Raw_hydro_bm!H2949,"")</f>
        <v/>
      </c>
      <c r="H2949" t="str">
        <f>IF(ROW(H2949)&lt;=Raw_hydro_bm!$J$2,Raw_hydro_bm!I2949,"")</f>
        <v/>
      </c>
      <c r="I2949" s="16" t="str">
        <f t="shared" si="46"/>
        <v/>
      </c>
    </row>
    <row r="2950" spans="1:9" x14ac:dyDescent="0.2">
      <c r="A2950" t="str">
        <f>IF(ROW(A2950)&lt;=Raw_hydro_bm!$J$2,Raw_hydro_bm!B2950,"")</f>
        <v/>
      </c>
      <c r="B2950" t="str">
        <f>IF(ROW(B2950)&lt;=Raw_hydro_bm!$J$2,Raw_hydro_bm!C2950,"")</f>
        <v/>
      </c>
      <c r="C2950" t="str">
        <f>IF(ROW(C2950)&lt;=Raw_hydro_bm!$J$2,Raw_hydro_bm!D2950,"")</f>
        <v/>
      </c>
      <c r="D2950" t="str">
        <f>IF(ROW(D2950)&lt;=Raw_hydro_bm!$J$2,Raw_hydro_bm!E2950,"")</f>
        <v/>
      </c>
      <c r="E2950" t="str">
        <f>IF(ROW(E2950)&lt;=Raw_hydro_bm!$J$2,Raw_hydro_bm!F2950,"")</f>
        <v/>
      </c>
      <c r="F2950" t="str">
        <f>IF(ROW(F2950)&lt;=Raw_hydro_bm!$J$2,Raw_hydro_bm!G2950,"")</f>
        <v/>
      </c>
      <c r="G2950" t="str">
        <f>IF(ROW(G2950)&lt;=Raw_hydro_bm!$J$2,Raw_hydro_bm!H2950,"")</f>
        <v/>
      </c>
      <c r="H2950" t="str">
        <f>IF(ROW(H2950)&lt;=Raw_hydro_bm!$J$2,Raw_hydro_bm!I2950,"")</f>
        <v/>
      </c>
      <c r="I2950" s="16" t="str">
        <f t="shared" si="46"/>
        <v/>
      </c>
    </row>
    <row r="2951" spans="1:9" x14ac:dyDescent="0.2">
      <c r="A2951" t="str">
        <f>IF(ROW(A2951)&lt;=Raw_hydro_bm!$J$2,Raw_hydro_bm!B2951,"")</f>
        <v/>
      </c>
      <c r="B2951" t="str">
        <f>IF(ROW(B2951)&lt;=Raw_hydro_bm!$J$2,Raw_hydro_bm!C2951,"")</f>
        <v/>
      </c>
      <c r="C2951" t="str">
        <f>IF(ROW(C2951)&lt;=Raw_hydro_bm!$J$2,Raw_hydro_bm!D2951,"")</f>
        <v/>
      </c>
      <c r="D2951" t="str">
        <f>IF(ROW(D2951)&lt;=Raw_hydro_bm!$J$2,Raw_hydro_bm!E2951,"")</f>
        <v/>
      </c>
      <c r="E2951" t="str">
        <f>IF(ROW(E2951)&lt;=Raw_hydro_bm!$J$2,Raw_hydro_bm!F2951,"")</f>
        <v/>
      </c>
      <c r="F2951" t="str">
        <f>IF(ROW(F2951)&lt;=Raw_hydro_bm!$J$2,Raw_hydro_bm!G2951,"")</f>
        <v/>
      </c>
      <c r="G2951" t="str">
        <f>IF(ROW(G2951)&lt;=Raw_hydro_bm!$J$2,Raw_hydro_bm!H2951,"")</f>
        <v/>
      </c>
      <c r="H2951" t="str">
        <f>IF(ROW(H2951)&lt;=Raw_hydro_bm!$J$2,Raw_hydro_bm!I2951,"")</f>
        <v/>
      </c>
      <c r="I2951" s="16" t="str">
        <f t="shared" si="46"/>
        <v/>
      </c>
    </row>
    <row r="2952" spans="1:9" x14ac:dyDescent="0.2">
      <c r="A2952" t="str">
        <f>IF(ROW(A2952)&lt;=Raw_hydro_bm!$J$2,Raw_hydro_bm!B2952,"")</f>
        <v/>
      </c>
      <c r="B2952" t="str">
        <f>IF(ROW(B2952)&lt;=Raw_hydro_bm!$J$2,Raw_hydro_bm!C2952,"")</f>
        <v/>
      </c>
      <c r="C2952" t="str">
        <f>IF(ROW(C2952)&lt;=Raw_hydro_bm!$J$2,Raw_hydro_bm!D2952,"")</f>
        <v/>
      </c>
      <c r="D2952" t="str">
        <f>IF(ROW(D2952)&lt;=Raw_hydro_bm!$J$2,Raw_hydro_bm!E2952,"")</f>
        <v/>
      </c>
      <c r="E2952" t="str">
        <f>IF(ROW(E2952)&lt;=Raw_hydro_bm!$J$2,Raw_hydro_bm!F2952,"")</f>
        <v/>
      </c>
      <c r="F2952" t="str">
        <f>IF(ROW(F2952)&lt;=Raw_hydro_bm!$J$2,Raw_hydro_bm!G2952,"")</f>
        <v/>
      </c>
      <c r="G2952" t="str">
        <f>IF(ROW(G2952)&lt;=Raw_hydro_bm!$J$2,Raw_hydro_bm!H2952,"")</f>
        <v/>
      </c>
      <c r="H2952" t="str">
        <f>IF(ROW(H2952)&lt;=Raw_hydro_bm!$J$2,Raw_hydro_bm!I2952,"")</f>
        <v/>
      </c>
      <c r="I2952" s="16" t="str">
        <f t="shared" si="46"/>
        <v/>
      </c>
    </row>
    <row r="2953" spans="1:9" x14ac:dyDescent="0.2">
      <c r="A2953" t="str">
        <f>IF(ROW(A2953)&lt;=Raw_hydro_bm!$J$2,Raw_hydro_bm!B2953,"")</f>
        <v/>
      </c>
      <c r="B2953" t="str">
        <f>IF(ROW(B2953)&lt;=Raw_hydro_bm!$J$2,Raw_hydro_bm!C2953,"")</f>
        <v/>
      </c>
      <c r="C2953" t="str">
        <f>IF(ROW(C2953)&lt;=Raw_hydro_bm!$J$2,Raw_hydro_bm!D2953,"")</f>
        <v/>
      </c>
      <c r="D2953" t="str">
        <f>IF(ROW(D2953)&lt;=Raw_hydro_bm!$J$2,Raw_hydro_bm!E2953,"")</f>
        <v/>
      </c>
      <c r="E2953" t="str">
        <f>IF(ROW(E2953)&lt;=Raw_hydro_bm!$J$2,Raw_hydro_bm!F2953,"")</f>
        <v/>
      </c>
      <c r="F2953" t="str">
        <f>IF(ROW(F2953)&lt;=Raw_hydro_bm!$J$2,Raw_hydro_bm!G2953,"")</f>
        <v/>
      </c>
      <c r="G2953" t="str">
        <f>IF(ROW(G2953)&lt;=Raw_hydro_bm!$J$2,Raw_hydro_bm!H2953,"")</f>
        <v/>
      </c>
      <c r="H2953" t="str">
        <f>IF(ROW(H2953)&lt;=Raw_hydro_bm!$J$2,Raw_hydro_bm!I2953,"")</f>
        <v/>
      </c>
      <c r="I2953" s="16" t="str">
        <f t="shared" si="46"/>
        <v/>
      </c>
    </row>
    <row r="2954" spans="1:9" x14ac:dyDescent="0.2">
      <c r="A2954" t="str">
        <f>IF(ROW(A2954)&lt;=Raw_hydro_bm!$J$2,Raw_hydro_bm!B2954,"")</f>
        <v/>
      </c>
      <c r="B2954" t="str">
        <f>IF(ROW(B2954)&lt;=Raw_hydro_bm!$J$2,Raw_hydro_bm!C2954,"")</f>
        <v/>
      </c>
      <c r="C2954" t="str">
        <f>IF(ROW(C2954)&lt;=Raw_hydro_bm!$J$2,Raw_hydro_bm!D2954,"")</f>
        <v/>
      </c>
      <c r="D2954" t="str">
        <f>IF(ROW(D2954)&lt;=Raw_hydro_bm!$J$2,Raw_hydro_bm!E2954,"")</f>
        <v/>
      </c>
      <c r="E2954" t="str">
        <f>IF(ROW(E2954)&lt;=Raw_hydro_bm!$J$2,Raw_hydro_bm!F2954,"")</f>
        <v/>
      </c>
      <c r="F2954" t="str">
        <f>IF(ROW(F2954)&lt;=Raw_hydro_bm!$J$2,Raw_hydro_bm!G2954,"")</f>
        <v/>
      </c>
      <c r="G2954" t="str">
        <f>IF(ROW(G2954)&lt;=Raw_hydro_bm!$J$2,Raw_hydro_bm!H2954,"")</f>
        <v/>
      </c>
      <c r="H2954" t="str">
        <f>IF(ROW(H2954)&lt;=Raw_hydro_bm!$J$2,Raw_hydro_bm!I2954,"")</f>
        <v/>
      </c>
      <c r="I2954" s="16" t="str">
        <f t="shared" si="46"/>
        <v/>
      </c>
    </row>
    <row r="2955" spans="1:9" x14ac:dyDescent="0.2">
      <c r="A2955" t="str">
        <f>IF(ROW(A2955)&lt;=Raw_hydro_bm!$J$2,Raw_hydro_bm!B2955,"")</f>
        <v/>
      </c>
      <c r="B2955" t="str">
        <f>IF(ROW(B2955)&lt;=Raw_hydro_bm!$J$2,Raw_hydro_bm!C2955,"")</f>
        <v/>
      </c>
      <c r="C2955" t="str">
        <f>IF(ROW(C2955)&lt;=Raw_hydro_bm!$J$2,Raw_hydro_bm!D2955,"")</f>
        <v/>
      </c>
      <c r="D2955" t="str">
        <f>IF(ROW(D2955)&lt;=Raw_hydro_bm!$J$2,Raw_hydro_bm!E2955,"")</f>
        <v/>
      </c>
      <c r="E2955" t="str">
        <f>IF(ROW(E2955)&lt;=Raw_hydro_bm!$J$2,Raw_hydro_bm!F2955,"")</f>
        <v/>
      </c>
      <c r="F2955" t="str">
        <f>IF(ROW(F2955)&lt;=Raw_hydro_bm!$J$2,Raw_hydro_bm!G2955,"")</f>
        <v/>
      </c>
      <c r="G2955" t="str">
        <f>IF(ROW(G2955)&lt;=Raw_hydro_bm!$J$2,Raw_hydro_bm!H2955,"")</f>
        <v/>
      </c>
      <c r="H2955" t="str">
        <f>IF(ROW(H2955)&lt;=Raw_hydro_bm!$J$2,Raw_hydro_bm!I2955,"")</f>
        <v/>
      </c>
      <c r="I2955" s="16" t="str">
        <f t="shared" si="46"/>
        <v/>
      </c>
    </row>
    <row r="2956" spans="1:9" x14ac:dyDescent="0.2">
      <c r="A2956" t="str">
        <f>IF(ROW(A2956)&lt;=Raw_hydro_bm!$J$2,Raw_hydro_bm!B2956,"")</f>
        <v/>
      </c>
      <c r="B2956" t="str">
        <f>IF(ROW(B2956)&lt;=Raw_hydro_bm!$J$2,Raw_hydro_bm!C2956,"")</f>
        <v/>
      </c>
      <c r="C2956" t="str">
        <f>IF(ROW(C2956)&lt;=Raw_hydro_bm!$J$2,Raw_hydro_bm!D2956,"")</f>
        <v/>
      </c>
      <c r="D2956" t="str">
        <f>IF(ROW(D2956)&lt;=Raw_hydro_bm!$J$2,Raw_hydro_bm!E2956,"")</f>
        <v/>
      </c>
      <c r="E2956" t="str">
        <f>IF(ROW(E2956)&lt;=Raw_hydro_bm!$J$2,Raw_hydro_bm!F2956,"")</f>
        <v/>
      </c>
      <c r="F2956" t="str">
        <f>IF(ROW(F2956)&lt;=Raw_hydro_bm!$J$2,Raw_hydro_bm!G2956,"")</f>
        <v/>
      </c>
      <c r="G2956" t="str">
        <f>IF(ROW(G2956)&lt;=Raw_hydro_bm!$J$2,Raw_hydro_bm!H2956,"")</f>
        <v/>
      </c>
      <c r="H2956" t="str">
        <f>IF(ROW(H2956)&lt;=Raw_hydro_bm!$J$2,Raw_hydro_bm!I2956,"")</f>
        <v/>
      </c>
      <c r="I2956" s="16" t="str">
        <f t="shared" si="46"/>
        <v/>
      </c>
    </row>
    <row r="2957" spans="1:9" x14ac:dyDescent="0.2">
      <c r="A2957" t="str">
        <f>IF(ROW(A2957)&lt;=Raw_hydro_bm!$J$2,Raw_hydro_bm!B2957,"")</f>
        <v/>
      </c>
      <c r="B2957" t="str">
        <f>IF(ROW(B2957)&lt;=Raw_hydro_bm!$J$2,Raw_hydro_bm!C2957,"")</f>
        <v/>
      </c>
      <c r="C2957" t="str">
        <f>IF(ROW(C2957)&lt;=Raw_hydro_bm!$J$2,Raw_hydro_bm!D2957,"")</f>
        <v/>
      </c>
      <c r="D2957" t="str">
        <f>IF(ROW(D2957)&lt;=Raw_hydro_bm!$J$2,Raw_hydro_bm!E2957,"")</f>
        <v/>
      </c>
      <c r="E2957" t="str">
        <f>IF(ROW(E2957)&lt;=Raw_hydro_bm!$J$2,Raw_hydro_bm!F2957,"")</f>
        <v/>
      </c>
      <c r="F2957" t="str">
        <f>IF(ROW(F2957)&lt;=Raw_hydro_bm!$J$2,Raw_hydro_bm!G2957,"")</f>
        <v/>
      </c>
      <c r="G2957" t="str">
        <f>IF(ROW(G2957)&lt;=Raw_hydro_bm!$J$2,Raw_hydro_bm!H2957,"")</f>
        <v/>
      </c>
      <c r="H2957" t="str">
        <f>IF(ROW(H2957)&lt;=Raw_hydro_bm!$J$2,Raw_hydro_bm!I2957,"")</f>
        <v/>
      </c>
      <c r="I2957" s="16" t="str">
        <f t="shared" si="46"/>
        <v/>
      </c>
    </row>
    <row r="2958" spans="1:9" x14ac:dyDescent="0.2">
      <c r="A2958" t="str">
        <f>IF(ROW(A2958)&lt;=Raw_hydro_bm!$J$2,Raw_hydro_bm!B2958,"")</f>
        <v/>
      </c>
      <c r="B2958" t="str">
        <f>IF(ROW(B2958)&lt;=Raw_hydro_bm!$J$2,Raw_hydro_bm!C2958,"")</f>
        <v/>
      </c>
      <c r="C2958" t="str">
        <f>IF(ROW(C2958)&lt;=Raw_hydro_bm!$J$2,Raw_hydro_bm!D2958,"")</f>
        <v/>
      </c>
      <c r="D2958" t="str">
        <f>IF(ROW(D2958)&lt;=Raw_hydro_bm!$J$2,Raw_hydro_bm!E2958,"")</f>
        <v/>
      </c>
      <c r="E2958" t="str">
        <f>IF(ROW(E2958)&lt;=Raw_hydro_bm!$J$2,Raw_hydro_bm!F2958,"")</f>
        <v/>
      </c>
      <c r="F2958" t="str">
        <f>IF(ROW(F2958)&lt;=Raw_hydro_bm!$J$2,Raw_hydro_bm!G2958,"")</f>
        <v/>
      </c>
      <c r="G2958" t="str">
        <f>IF(ROW(G2958)&lt;=Raw_hydro_bm!$J$2,Raw_hydro_bm!H2958,"")</f>
        <v/>
      </c>
      <c r="H2958" t="str">
        <f>IF(ROW(H2958)&lt;=Raw_hydro_bm!$J$2,Raw_hydro_bm!I2958,"")</f>
        <v/>
      </c>
      <c r="I2958" s="16" t="str">
        <f t="shared" si="46"/>
        <v/>
      </c>
    </row>
    <row r="2959" spans="1:9" x14ac:dyDescent="0.2">
      <c r="A2959" t="str">
        <f>IF(ROW(A2959)&lt;=Raw_hydro_bm!$J$2,Raw_hydro_bm!B2959,"")</f>
        <v/>
      </c>
      <c r="B2959" t="str">
        <f>IF(ROW(B2959)&lt;=Raw_hydro_bm!$J$2,Raw_hydro_bm!C2959,"")</f>
        <v/>
      </c>
      <c r="C2959" t="str">
        <f>IF(ROW(C2959)&lt;=Raw_hydro_bm!$J$2,Raw_hydro_bm!D2959,"")</f>
        <v/>
      </c>
      <c r="D2959" t="str">
        <f>IF(ROW(D2959)&lt;=Raw_hydro_bm!$J$2,Raw_hydro_bm!E2959,"")</f>
        <v/>
      </c>
      <c r="E2959" t="str">
        <f>IF(ROW(E2959)&lt;=Raw_hydro_bm!$J$2,Raw_hydro_bm!F2959,"")</f>
        <v/>
      </c>
      <c r="F2959" t="str">
        <f>IF(ROW(F2959)&lt;=Raw_hydro_bm!$J$2,Raw_hydro_bm!G2959,"")</f>
        <v/>
      </c>
      <c r="G2959" t="str">
        <f>IF(ROW(G2959)&lt;=Raw_hydro_bm!$J$2,Raw_hydro_bm!H2959,"")</f>
        <v/>
      </c>
      <c r="H2959" t="str">
        <f>IF(ROW(H2959)&lt;=Raw_hydro_bm!$J$2,Raw_hydro_bm!I2959,"")</f>
        <v/>
      </c>
      <c r="I2959" s="16" t="str">
        <f t="shared" si="46"/>
        <v/>
      </c>
    </row>
    <row r="2960" spans="1:9" x14ac:dyDescent="0.2">
      <c r="A2960" t="str">
        <f>IF(ROW(A2960)&lt;=Raw_hydro_bm!$J$2,Raw_hydro_bm!B2960,"")</f>
        <v/>
      </c>
      <c r="B2960" t="str">
        <f>IF(ROW(B2960)&lt;=Raw_hydro_bm!$J$2,Raw_hydro_bm!C2960,"")</f>
        <v/>
      </c>
      <c r="C2960" t="str">
        <f>IF(ROW(C2960)&lt;=Raw_hydro_bm!$J$2,Raw_hydro_bm!D2960,"")</f>
        <v/>
      </c>
      <c r="D2960" t="str">
        <f>IF(ROW(D2960)&lt;=Raw_hydro_bm!$J$2,Raw_hydro_bm!E2960,"")</f>
        <v/>
      </c>
      <c r="E2960" t="str">
        <f>IF(ROW(E2960)&lt;=Raw_hydro_bm!$J$2,Raw_hydro_bm!F2960,"")</f>
        <v/>
      </c>
      <c r="F2960" t="str">
        <f>IF(ROW(F2960)&lt;=Raw_hydro_bm!$J$2,Raw_hydro_bm!G2960,"")</f>
        <v/>
      </c>
      <c r="G2960" t="str">
        <f>IF(ROW(G2960)&lt;=Raw_hydro_bm!$J$2,Raw_hydro_bm!H2960,"")</f>
        <v/>
      </c>
      <c r="H2960" t="str">
        <f>IF(ROW(H2960)&lt;=Raw_hydro_bm!$J$2,Raw_hydro_bm!I2960,"")</f>
        <v/>
      </c>
      <c r="I2960" s="16" t="str">
        <f t="shared" si="46"/>
        <v/>
      </c>
    </row>
    <row r="2961" spans="1:9" x14ac:dyDescent="0.2">
      <c r="A2961" t="str">
        <f>IF(ROW(A2961)&lt;=Raw_hydro_bm!$J$2,Raw_hydro_bm!B2961,"")</f>
        <v/>
      </c>
      <c r="B2961" t="str">
        <f>IF(ROW(B2961)&lt;=Raw_hydro_bm!$J$2,Raw_hydro_bm!C2961,"")</f>
        <v/>
      </c>
      <c r="C2961" t="str">
        <f>IF(ROW(C2961)&lt;=Raw_hydro_bm!$J$2,Raw_hydro_bm!D2961,"")</f>
        <v/>
      </c>
      <c r="D2961" t="str">
        <f>IF(ROW(D2961)&lt;=Raw_hydro_bm!$J$2,Raw_hydro_bm!E2961,"")</f>
        <v/>
      </c>
      <c r="E2961" t="str">
        <f>IF(ROW(E2961)&lt;=Raw_hydro_bm!$J$2,Raw_hydro_bm!F2961,"")</f>
        <v/>
      </c>
      <c r="F2961" t="str">
        <f>IF(ROW(F2961)&lt;=Raw_hydro_bm!$J$2,Raw_hydro_bm!G2961,"")</f>
        <v/>
      </c>
      <c r="G2961" t="str">
        <f>IF(ROW(G2961)&lt;=Raw_hydro_bm!$J$2,Raw_hydro_bm!H2961,"")</f>
        <v/>
      </c>
      <c r="H2961" t="str">
        <f>IF(ROW(H2961)&lt;=Raw_hydro_bm!$J$2,Raw_hydro_bm!I2961,"")</f>
        <v/>
      </c>
      <c r="I2961" s="16" t="str">
        <f t="shared" si="46"/>
        <v/>
      </c>
    </row>
    <row r="2962" spans="1:9" x14ac:dyDescent="0.2">
      <c r="A2962" t="str">
        <f>IF(ROW(A2962)&lt;=Raw_hydro_bm!$J$2,Raw_hydro_bm!B2962,"")</f>
        <v/>
      </c>
      <c r="B2962" t="str">
        <f>IF(ROW(B2962)&lt;=Raw_hydro_bm!$J$2,Raw_hydro_bm!C2962,"")</f>
        <v/>
      </c>
      <c r="C2962" t="str">
        <f>IF(ROW(C2962)&lt;=Raw_hydro_bm!$J$2,Raw_hydro_bm!D2962,"")</f>
        <v/>
      </c>
      <c r="D2962" t="str">
        <f>IF(ROW(D2962)&lt;=Raw_hydro_bm!$J$2,Raw_hydro_bm!E2962,"")</f>
        <v/>
      </c>
      <c r="E2962" t="str">
        <f>IF(ROW(E2962)&lt;=Raw_hydro_bm!$J$2,Raw_hydro_bm!F2962,"")</f>
        <v/>
      </c>
      <c r="F2962" t="str">
        <f>IF(ROW(F2962)&lt;=Raw_hydro_bm!$J$2,Raw_hydro_bm!G2962,"")</f>
        <v/>
      </c>
      <c r="G2962" t="str">
        <f>IF(ROW(G2962)&lt;=Raw_hydro_bm!$J$2,Raw_hydro_bm!H2962,"")</f>
        <v/>
      </c>
      <c r="H2962" t="str">
        <f>IF(ROW(H2962)&lt;=Raw_hydro_bm!$J$2,Raw_hydro_bm!I2962,"")</f>
        <v/>
      </c>
      <c r="I2962" s="16" t="str">
        <f t="shared" si="46"/>
        <v/>
      </c>
    </row>
    <row r="2963" spans="1:9" x14ac:dyDescent="0.2">
      <c r="A2963" t="str">
        <f>IF(ROW(A2963)&lt;=Raw_hydro_bm!$J$2,Raw_hydro_bm!B2963,"")</f>
        <v/>
      </c>
      <c r="B2963" t="str">
        <f>IF(ROW(B2963)&lt;=Raw_hydro_bm!$J$2,Raw_hydro_bm!C2963,"")</f>
        <v/>
      </c>
      <c r="C2963" t="str">
        <f>IF(ROW(C2963)&lt;=Raw_hydro_bm!$J$2,Raw_hydro_bm!D2963,"")</f>
        <v/>
      </c>
      <c r="D2963" t="str">
        <f>IF(ROW(D2963)&lt;=Raw_hydro_bm!$J$2,Raw_hydro_bm!E2963,"")</f>
        <v/>
      </c>
      <c r="E2963" t="str">
        <f>IF(ROW(E2963)&lt;=Raw_hydro_bm!$J$2,Raw_hydro_bm!F2963,"")</f>
        <v/>
      </c>
      <c r="F2963" t="str">
        <f>IF(ROW(F2963)&lt;=Raw_hydro_bm!$J$2,Raw_hydro_bm!G2963,"")</f>
        <v/>
      </c>
      <c r="G2963" t="str">
        <f>IF(ROW(G2963)&lt;=Raw_hydro_bm!$J$2,Raw_hydro_bm!H2963,"")</f>
        <v/>
      </c>
      <c r="H2963" t="str">
        <f>IF(ROW(H2963)&lt;=Raw_hydro_bm!$J$2,Raw_hydro_bm!I2963,"")</f>
        <v/>
      </c>
      <c r="I2963" s="16" t="str">
        <f t="shared" si="46"/>
        <v/>
      </c>
    </row>
    <row r="2964" spans="1:9" x14ac:dyDescent="0.2">
      <c r="A2964" t="str">
        <f>IF(ROW(A2964)&lt;=Raw_hydro_bm!$J$2,Raw_hydro_bm!B2964,"")</f>
        <v/>
      </c>
      <c r="B2964" t="str">
        <f>IF(ROW(B2964)&lt;=Raw_hydro_bm!$J$2,Raw_hydro_bm!C2964,"")</f>
        <v/>
      </c>
      <c r="C2964" t="str">
        <f>IF(ROW(C2964)&lt;=Raw_hydro_bm!$J$2,Raw_hydro_bm!D2964,"")</f>
        <v/>
      </c>
      <c r="D2964" t="str">
        <f>IF(ROW(D2964)&lt;=Raw_hydro_bm!$J$2,Raw_hydro_bm!E2964,"")</f>
        <v/>
      </c>
      <c r="E2964" t="str">
        <f>IF(ROW(E2964)&lt;=Raw_hydro_bm!$J$2,Raw_hydro_bm!F2964,"")</f>
        <v/>
      </c>
      <c r="F2964" t="str">
        <f>IF(ROW(F2964)&lt;=Raw_hydro_bm!$J$2,Raw_hydro_bm!G2964,"")</f>
        <v/>
      </c>
      <c r="G2964" t="str">
        <f>IF(ROW(G2964)&lt;=Raw_hydro_bm!$J$2,Raw_hydro_bm!H2964,"")</f>
        <v/>
      </c>
      <c r="H2964" t="str">
        <f>IF(ROW(H2964)&lt;=Raw_hydro_bm!$J$2,Raw_hydro_bm!I2964,"")</f>
        <v/>
      </c>
      <c r="I2964" s="16" t="str">
        <f t="shared" si="46"/>
        <v/>
      </c>
    </row>
    <row r="2965" spans="1:9" x14ac:dyDescent="0.2">
      <c r="A2965" t="str">
        <f>IF(ROW(A2965)&lt;=Raw_hydro_bm!$J$2,Raw_hydro_bm!B2965,"")</f>
        <v/>
      </c>
      <c r="B2965" t="str">
        <f>IF(ROW(B2965)&lt;=Raw_hydro_bm!$J$2,Raw_hydro_bm!C2965,"")</f>
        <v/>
      </c>
      <c r="C2965" t="str">
        <f>IF(ROW(C2965)&lt;=Raw_hydro_bm!$J$2,Raw_hydro_bm!D2965,"")</f>
        <v/>
      </c>
      <c r="D2965" t="str">
        <f>IF(ROW(D2965)&lt;=Raw_hydro_bm!$J$2,Raw_hydro_bm!E2965,"")</f>
        <v/>
      </c>
      <c r="E2965" t="str">
        <f>IF(ROW(E2965)&lt;=Raw_hydro_bm!$J$2,Raw_hydro_bm!F2965,"")</f>
        <v/>
      </c>
      <c r="F2965" t="str">
        <f>IF(ROW(F2965)&lt;=Raw_hydro_bm!$J$2,Raw_hydro_bm!G2965,"")</f>
        <v/>
      </c>
      <c r="G2965" t="str">
        <f>IF(ROW(G2965)&lt;=Raw_hydro_bm!$J$2,Raw_hydro_bm!H2965,"")</f>
        <v/>
      </c>
      <c r="H2965" t="str">
        <f>IF(ROW(H2965)&lt;=Raw_hydro_bm!$J$2,Raw_hydro_bm!I2965,"")</f>
        <v/>
      </c>
      <c r="I2965" s="16" t="str">
        <f t="shared" si="46"/>
        <v/>
      </c>
    </row>
    <row r="2966" spans="1:9" x14ac:dyDescent="0.2">
      <c r="A2966" t="str">
        <f>IF(ROW(A2966)&lt;=Raw_hydro_bm!$J$2,Raw_hydro_bm!B2966,"")</f>
        <v/>
      </c>
      <c r="B2966" t="str">
        <f>IF(ROW(B2966)&lt;=Raw_hydro_bm!$J$2,Raw_hydro_bm!C2966,"")</f>
        <v/>
      </c>
      <c r="C2966" t="str">
        <f>IF(ROW(C2966)&lt;=Raw_hydro_bm!$J$2,Raw_hydro_bm!D2966,"")</f>
        <v/>
      </c>
      <c r="D2966" t="str">
        <f>IF(ROW(D2966)&lt;=Raw_hydro_bm!$J$2,Raw_hydro_bm!E2966,"")</f>
        <v/>
      </c>
      <c r="E2966" t="str">
        <f>IF(ROW(E2966)&lt;=Raw_hydro_bm!$J$2,Raw_hydro_bm!F2966,"")</f>
        <v/>
      </c>
      <c r="F2966" t="str">
        <f>IF(ROW(F2966)&lt;=Raw_hydro_bm!$J$2,Raw_hydro_bm!G2966,"")</f>
        <v/>
      </c>
      <c r="G2966" t="str">
        <f>IF(ROW(G2966)&lt;=Raw_hydro_bm!$J$2,Raw_hydro_bm!H2966,"")</f>
        <v/>
      </c>
      <c r="H2966" t="str">
        <f>IF(ROW(H2966)&lt;=Raw_hydro_bm!$J$2,Raw_hydro_bm!I2966,"")</f>
        <v/>
      </c>
      <c r="I2966" s="16" t="str">
        <f t="shared" si="46"/>
        <v/>
      </c>
    </row>
    <row r="2967" spans="1:9" x14ac:dyDescent="0.2">
      <c r="A2967" t="str">
        <f>IF(ROW(A2967)&lt;=Raw_hydro_bm!$J$2,Raw_hydro_bm!B2967,"")</f>
        <v/>
      </c>
      <c r="B2967" t="str">
        <f>IF(ROW(B2967)&lt;=Raw_hydro_bm!$J$2,Raw_hydro_bm!C2967,"")</f>
        <v/>
      </c>
      <c r="C2967" t="str">
        <f>IF(ROW(C2967)&lt;=Raw_hydro_bm!$J$2,Raw_hydro_bm!D2967,"")</f>
        <v/>
      </c>
      <c r="D2967" t="str">
        <f>IF(ROW(D2967)&lt;=Raw_hydro_bm!$J$2,Raw_hydro_bm!E2967,"")</f>
        <v/>
      </c>
      <c r="E2967" t="str">
        <f>IF(ROW(E2967)&lt;=Raw_hydro_bm!$J$2,Raw_hydro_bm!F2967,"")</f>
        <v/>
      </c>
      <c r="F2967" t="str">
        <f>IF(ROW(F2967)&lt;=Raw_hydro_bm!$J$2,Raw_hydro_bm!G2967,"")</f>
        <v/>
      </c>
      <c r="G2967" t="str">
        <f>IF(ROW(G2967)&lt;=Raw_hydro_bm!$J$2,Raw_hydro_bm!H2967,"")</f>
        <v/>
      </c>
      <c r="H2967" t="str">
        <f>IF(ROW(H2967)&lt;=Raw_hydro_bm!$J$2,Raw_hydro_bm!I2967,"")</f>
        <v/>
      </c>
      <c r="I2967" s="16" t="str">
        <f t="shared" si="46"/>
        <v/>
      </c>
    </row>
    <row r="2968" spans="1:9" x14ac:dyDescent="0.2">
      <c r="A2968" t="str">
        <f>IF(ROW(A2968)&lt;=Raw_hydro_bm!$J$2,Raw_hydro_bm!B2968,"")</f>
        <v/>
      </c>
      <c r="B2968" t="str">
        <f>IF(ROW(B2968)&lt;=Raw_hydro_bm!$J$2,Raw_hydro_bm!C2968,"")</f>
        <v/>
      </c>
      <c r="C2968" t="str">
        <f>IF(ROW(C2968)&lt;=Raw_hydro_bm!$J$2,Raw_hydro_bm!D2968,"")</f>
        <v/>
      </c>
      <c r="D2968" t="str">
        <f>IF(ROW(D2968)&lt;=Raw_hydro_bm!$J$2,Raw_hydro_bm!E2968,"")</f>
        <v/>
      </c>
      <c r="E2968" t="str">
        <f>IF(ROW(E2968)&lt;=Raw_hydro_bm!$J$2,Raw_hydro_bm!F2968,"")</f>
        <v/>
      </c>
      <c r="F2968" t="str">
        <f>IF(ROW(F2968)&lt;=Raw_hydro_bm!$J$2,Raw_hydro_bm!G2968,"")</f>
        <v/>
      </c>
      <c r="G2968" t="str">
        <f>IF(ROW(G2968)&lt;=Raw_hydro_bm!$J$2,Raw_hydro_bm!H2968,"")</f>
        <v/>
      </c>
      <c r="H2968" t="str">
        <f>IF(ROW(H2968)&lt;=Raw_hydro_bm!$J$2,Raw_hydro_bm!I2968,"")</f>
        <v/>
      </c>
      <c r="I2968" s="16" t="str">
        <f t="shared" si="46"/>
        <v/>
      </c>
    </row>
    <row r="2969" spans="1:9" x14ac:dyDescent="0.2">
      <c r="A2969" t="str">
        <f>IF(ROW(A2969)&lt;=Raw_hydro_bm!$J$2,Raw_hydro_bm!B2969,"")</f>
        <v/>
      </c>
      <c r="B2969" t="str">
        <f>IF(ROW(B2969)&lt;=Raw_hydro_bm!$J$2,Raw_hydro_bm!C2969,"")</f>
        <v/>
      </c>
      <c r="C2969" t="str">
        <f>IF(ROW(C2969)&lt;=Raw_hydro_bm!$J$2,Raw_hydro_bm!D2969,"")</f>
        <v/>
      </c>
      <c r="D2969" t="str">
        <f>IF(ROW(D2969)&lt;=Raw_hydro_bm!$J$2,Raw_hydro_bm!E2969,"")</f>
        <v/>
      </c>
      <c r="E2969" t="str">
        <f>IF(ROW(E2969)&lt;=Raw_hydro_bm!$J$2,Raw_hydro_bm!F2969,"")</f>
        <v/>
      </c>
      <c r="F2969" t="str">
        <f>IF(ROW(F2969)&lt;=Raw_hydro_bm!$J$2,Raw_hydro_bm!G2969,"")</f>
        <v/>
      </c>
      <c r="G2969" t="str">
        <f>IF(ROW(G2969)&lt;=Raw_hydro_bm!$J$2,Raw_hydro_bm!H2969,"")</f>
        <v/>
      </c>
      <c r="H2969" t="str">
        <f>IF(ROW(H2969)&lt;=Raw_hydro_bm!$J$2,Raw_hydro_bm!I2969,"")</f>
        <v/>
      </c>
      <c r="I2969" s="16" t="str">
        <f t="shared" si="46"/>
        <v/>
      </c>
    </row>
    <row r="2970" spans="1:9" x14ac:dyDescent="0.2">
      <c r="A2970" t="str">
        <f>IF(ROW(A2970)&lt;=Raw_hydro_bm!$J$2,Raw_hydro_bm!B2970,"")</f>
        <v/>
      </c>
      <c r="B2970" t="str">
        <f>IF(ROW(B2970)&lt;=Raw_hydro_bm!$J$2,Raw_hydro_bm!C2970,"")</f>
        <v/>
      </c>
      <c r="C2970" t="str">
        <f>IF(ROW(C2970)&lt;=Raw_hydro_bm!$J$2,Raw_hydro_bm!D2970,"")</f>
        <v/>
      </c>
      <c r="D2970" t="str">
        <f>IF(ROW(D2970)&lt;=Raw_hydro_bm!$J$2,Raw_hydro_bm!E2970,"")</f>
        <v/>
      </c>
      <c r="E2970" t="str">
        <f>IF(ROW(E2970)&lt;=Raw_hydro_bm!$J$2,Raw_hydro_bm!F2970,"")</f>
        <v/>
      </c>
      <c r="F2970" t="str">
        <f>IF(ROW(F2970)&lt;=Raw_hydro_bm!$J$2,Raw_hydro_bm!G2970,"")</f>
        <v/>
      </c>
      <c r="G2970" t="str">
        <f>IF(ROW(G2970)&lt;=Raw_hydro_bm!$J$2,Raw_hydro_bm!H2970,"")</f>
        <v/>
      </c>
      <c r="H2970" t="str">
        <f>IF(ROW(H2970)&lt;=Raw_hydro_bm!$J$2,Raw_hydro_bm!I2970,"")</f>
        <v/>
      </c>
      <c r="I2970" s="16" t="str">
        <f t="shared" si="46"/>
        <v/>
      </c>
    </row>
    <row r="2971" spans="1:9" x14ac:dyDescent="0.2">
      <c r="A2971" t="str">
        <f>IF(ROW(A2971)&lt;=Raw_hydro_bm!$J$2,Raw_hydro_bm!B2971,"")</f>
        <v/>
      </c>
      <c r="B2971" t="str">
        <f>IF(ROW(B2971)&lt;=Raw_hydro_bm!$J$2,Raw_hydro_bm!C2971,"")</f>
        <v/>
      </c>
      <c r="C2971" t="str">
        <f>IF(ROW(C2971)&lt;=Raw_hydro_bm!$J$2,Raw_hydro_bm!D2971,"")</f>
        <v/>
      </c>
      <c r="D2971" t="str">
        <f>IF(ROW(D2971)&lt;=Raw_hydro_bm!$J$2,Raw_hydro_bm!E2971,"")</f>
        <v/>
      </c>
      <c r="E2971" t="str">
        <f>IF(ROW(E2971)&lt;=Raw_hydro_bm!$J$2,Raw_hydro_bm!F2971,"")</f>
        <v/>
      </c>
      <c r="F2971" t="str">
        <f>IF(ROW(F2971)&lt;=Raw_hydro_bm!$J$2,Raw_hydro_bm!G2971,"")</f>
        <v/>
      </c>
      <c r="G2971" t="str">
        <f>IF(ROW(G2971)&lt;=Raw_hydro_bm!$J$2,Raw_hydro_bm!H2971,"")</f>
        <v/>
      </c>
      <c r="H2971" t="str">
        <f>IF(ROW(H2971)&lt;=Raw_hydro_bm!$J$2,Raw_hydro_bm!I2971,"")</f>
        <v/>
      </c>
      <c r="I2971" s="16" t="str">
        <f t="shared" si="46"/>
        <v/>
      </c>
    </row>
    <row r="2972" spans="1:9" x14ac:dyDescent="0.2">
      <c r="A2972" t="str">
        <f>IF(ROW(A2972)&lt;=Raw_hydro_bm!$J$2,Raw_hydro_bm!B2972,"")</f>
        <v/>
      </c>
      <c r="B2972" t="str">
        <f>IF(ROW(B2972)&lt;=Raw_hydro_bm!$J$2,Raw_hydro_bm!C2972,"")</f>
        <v/>
      </c>
      <c r="C2972" t="str">
        <f>IF(ROW(C2972)&lt;=Raw_hydro_bm!$J$2,Raw_hydro_bm!D2972,"")</f>
        <v/>
      </c>
      <c r="D2972" t="str">
        <f>IF(ROW(D2972)&lt;=Raw_hydro_bm!$J$2,Raw_hydro_bm!E2972,"")</f>
        <v/>
      </c>
      <c r="E2972" t="str">
        <f>IF(ROW(E2972)&lt;=Raw_hydro_bm!$J$2,Raw_hydro_bm!F2972,"")</f>
        <v/>
      </c>
      <c r="F2972" t="str">
        <f>IF(ROW(F2972)&lt;=Raw_hydro_bm!$J$2,Raw_hydro_bm!G2972,"")</f>
        <v/>
      </c>
      <c r="G2972" t="str">
        <f>IF(ROW(G2972)&lt;=Raw_hydro_bm!$J$2,Raw_hydro_bm!H2972,"")</f>
        <v/>
      </c>
      <c r="H2972" t="str">
        <f>IF(ROW(H2972)&lt;=Raw_hydro_bm!$J$2,Raw_hydro_bm!I2972,"")</f>
        <v/>
      </c>
      <c r="I2972" s="16" t="str">
        <f t="shared" si="46"/>
        <v/>
      </c>
    </row>
    <row r="2973" spans="1:9" x14ac:dyDescent="0.2">
      <c r="A2973" t="str">
        <f>IF(ROW(A2973)&lt;=Raw_hydro_bm!$J$2,Raw_hydro_bm!B2973,"")</f>
        <v/>
      </c>
      <c r="B2973" t="str">
        <f>IF(ROW(B2973)&lt;=Raw_hydro_bm!$J$2,Raw_hydro_bm!C2973,"")</f>
        <v/>
      </c>
      <c r="C2973" t="str">
        <f>IF(ROW(C2973)&lt;=Raw_hydro_bm!$J$2,Raw_hydro_bm!D2973,"")</f>
        <v/>
      </c>
      <c r="D2973" t="str">
        <f>IF(ROW(D2973)&lt;=Raw_hydro_bm!$J$2,Raw_hydro_bm!E2973,"")</f>
        <v/>
      </c>
      <c r="E2973" t="str">
        <f>IF(ROW(E2973)&lt;=Raw_hydro_bm!$J$2,Raw_hydro_bm!F2973,"")</f>
        <v/>
      </c>
      <c r="F2973" t="str">
        <f>IF(ROW(F2973)&lt;=Raw_hydro_bm!$J$2,Raw_hydro_bm!G2973,"")</f>
        <v/>
      </c>
      <c r="G2973" t="str">
        <f>IF(ROW(G2973)&lt;=Raw_hydro_bm!$J$2,Raw_hydro_bm!H2973,"")</f>
        <v/>
      </c>
      <c r="H2973" t="str">
        <f>IF(ROW(H2973)&lt;=Raw_hydro_bm!$J$2,Raw_hydro_bm!I2973,"")</f>
        <v/>
      </c>
      <c r="I2973" s="16" t="str">
        <f t="shared" si="46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20"/>
  <sheetViews>
    <sheetView workbookViewId="0">
      <selection activeCell="I6" sqref="I6"/>
    </sheetView>
  </sheetViews>
  <sheetFormatPr baseColWidth="10" defaultColWidth="11.1640625" defaultRowHeight="16" x14ac:dyDescent="0.2"/>
  <sheetData>
    <row r="1" spans="1:16" x14ac:dyDescent="0.3">
      <c r="A1" t="s">
        <v>23</v>
      </c>
      <c r="F1" t="s">
        <v>24</v>
      </c>
      <c r="L1">
        <v>1</v>
      </c>
      <c r="M1" t="s">
        <v>31</v>
      </c>
      <c r="O1" t="s">
        <v>106</v>
      </c>
    </row>
    <row r="2" spans="1:16" x14ac:dyDescent="0.3">
      <c r="A2">
        <v>0</v>
      </c>
      <c r="B2" t="s">
        <v>17</v>
      </c>
      <c r="F2" t="s">
        <v>18</v>
      </c>
      <c r="G2" t="s">
        <v>6</v>
      </c>
      <c r="H2" t="s">
        <v>7</v>
      </c>
      <c r="I2">
        <v>4</v>
      </c>
      <c r="L2">
        <v>2</v>
      </c>
      <c r="M2" t="s">
        <v>32</v>
      </c>
      <c r="O2" t="s">
        <v>107</v>
      </c>
      <c r="P2" t="s">
        <v>111</v>
      </c>
    </row>
    <row r="3" spans="1:16" x14ac:dyDescent="0.3">
      <c r="A3">
        <f>IF(ISBLANK(B3),"",A2+1)</f>
        <v>1</v>
      </c>
      <c r="B3" t="s">
        <v>18</v>
      </c>
      <c r="F3" t="s">
        <v>19</v>
      </c>
      <c r="G3" t="s">
        <v>7</v>
      </c>
      <c r="H3" t="s">
        <v>9</v>
      </c>
      <c r="I3">
        <v>3</v>
      </c>
      <c r="L3">
        <v>3</v>
      </c>
      <c r="M3" t="s">
        <v>33</v>
      </c>
      <c r="O3" t="s">
        <v>108</v>
      </c>
      <c r="P3" t="s">
        <v>1037</v>
      </c>
    </row>
    <row r="4" spans="1:16" x14ac:dyDescent="0.3">
      <c r="A4">
        <f>IF(ISBLANK(B4),"",A3+1)</f>
        <v>2</v>
      </c>
      <c r="B4" t="s">
        <v>19</v>
      </c>
      <c r="F4" t="s">
        <v>25</v>
      </c>
      <c r="G4" t="s">
        <v>2</v>
      </c>
      <c r="H4" t="s">
        <v>3</v>
      </c>
      <c r="I4">
        <v>5</v>
      </c>
      <c r="L4">
        <v>4</v>
      </c>
      <c r="M4" t="s">
        <v>34</v>
      </c>
      <c r="O4" t="s">
        <v>1035</v>
      </c>
      <c r="P4" t="s">
        <v>1038</v>
      </c>
    </row>
    <row r="5" spans="1:16" x14ac:dyDescent="0.3">
      <c r="A5">
        <f>IF(ISBLANK(B5),"",A4+1)</f>
        <v>3</v>
      </c>
      <c r="B5" t="s">
        <v>103</v>
      </c>
      <c r="F5" t="s">
        <v>11</v>
      </c>
      <c r="G5" t="s">
        <v>11</v>
      </c>
      <c r="H5" t="s">
        <v>12</v>
      </c>
      <c r="I5">
        <v>6</v>
      </c>
      <c r="L5">
        <v>5</v>
      </c>
      <c r="M5" t="s">
        <v>37</v>
      </c>
    </row>
    <row r="6" spans="1:16" x14ac:dyDescent="0.3">
      <c r="A6">
        <f>IF(ISBLANK(B6),"",A5+1)</f>
        <v>4</v>
      </c>
      <c r="B6" t="s">
        <v>25</v>
      </c>
      <c r="F6" t="s">
        <v>53</v>
      </c>
      <c r="G6" t="s">
        <v>4</v>
      </c>
      <c r="H6" t="s">
        <v>5</v>
      </c>
      <c r="I6">
        <v>6</v>
      </c>
      <c r="L6">
        <v>6</v>
      </c>
      <c r="M6" t="s">
        <v>35</v>
      </c>
    </row>
    <row r="7" spans="1:16" x14ac:dyDescent="0.3">
      <c r="A7" t="str">
        <f>IF(ISBLANK(B7),"",A6+1)</f>
        <v/>
      </c>
      <c r="F7" t="s">
        <v>103</v>
      </c>
      <c r="G7" t="s">
        <v>102</v>
      </c>
      <c r="H7" t="s">
        <v>5</v>
      </c>
      <c r="I7">
        <v>6</v>
      </c>
      <c r="L7">
        <v>7</v>
      </c>
      <c r="M7" t="s">
        <v>36</v>
      </c>
    </row>
    <row r="8" spans="1:16" x14ac:dyDescent="0.3">
      <c r="L8">
        <v>8</v>
      </c>
      <c r="M8" t="s">
        <v>30</v>
      </c>
    </row>
    <row r="9" spans="1:16" x14ac:dyDescent="0.3">
      <c r="L9">
        <v>9</v>
      </c>
      <c r="M9" t="s">
        <v>38</v>
      </c>
    </row>
    <row r="10" spans="1:16" x14ac:dyDescent="0.3">
      <c r="L10">
        <v>10</v>
      </c>
      <c r="M10" t="s">
        <v>39</v>
      </c>
    </row>
    <row r="11" spans="1:16" x14ac:dyDescent="0.3">
      <c r="L11">
        <v>11</v>
      </c>
      <c r="M11" t="s">
        <v>40</v>
      </c>
    </row>
    <row r="12" spans="1:16" x14ac:dyDescent="0.3">
      <c r="L12">
        <v>12</v>
      </c>
      <c r="M12" t="s">
        <v>41</v>
      </c>
    </row>
    <row r="13" spans="1:16" x14ac:dyDescent="0.3">
      <c r="L13">
        <v>13</v>
      </c>
      <c r="M13" t="s">
        <v>42</v>
      </c>
    </row>
    <row r="14" spans="1:16" x14ac:dyDescent="0.3">
      <c r="L14">
        <v>14</v>
      </c>
      <c r="M14" t="s">
        <v>43</v>
      </c>
    </row>
    <row r="15" spans="1:16" x14ac:dyDescent="0.3">
      <c r="L15">
        <v>15</v>
      </c>
      <c r="M15" t="s">
        <v>44</v>
      </c>
    </row>
    <row r="16" spans="1:16" x14ac:dyDescent="0.3">
      <c r="L16">
        <v>16</v>
      </c>
      <c r="M16" t="s">
        <v>45</v>
      </c>
    </row>
    <row r="17" spans="12:13" x14ac:dyDescent="0.3">
      <c r="L17">
        <v>17</v>
      </c>
      <c r="M17" t="s">
        <v>46</v>
      </c>
    </row>
    <row r="18" spans="12:13" x14ac:dyDescent="0.3">
      <c r="L18">
        <v>18</v>
      </c>
      <c r="M18" t="s">
        <v>47</v>
      </c>
    </row>
    <row r="19" spans="12:13" x14ac:dyDescent="0.3">
      <c r="L19">
        <v>19</v>
      </c>
      <c r="M19" t="s">
        <v>48</v>
      </c>
    </row>
    <row r="20" spans="12:13" x14ac:dyDescent="0.3">
      <c r="L20">
        <v>20</v>
      </c>
      <c r="M20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146"/>
  <sheetViews>
    <sheetView showGridLines="0" zoomScale="106" workbookViewId="0">
      <selection activeCell="L11" sqref="L11"/>
    </sheetView>
  </sheetViews>
  <sheetFormatPr baseColWidth="10" defaultColWidth="11.1640625" defaultRowHeight="16" x14ac:dyDescent="0.2"/>
  <cols>
    <col min="1" max="1" width="4.6640625" customWidth="1"/>
    <col min="2" max="3" width="18" customWidth="1"/>
    <col min="4" max="4" width="25.33203125" customWidth="1"/>
    <col min="5" max="5" width="8.1640625" bestFit="1" customWidth="1"/>
    <col min="6" max="6" width="8.1640625" customWidth="1"/>
    <col min="7" max="7" width="12" bestFit="1" customWidth="1"/>
  </cols>
  <sheetData>
    <row r="1" spans="1:18" x14ac:dyDescent="0.2">
      <c r="G1">
        <f ca="1">SUMIFS(INDIRECT("Input!$H$1:$H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</f>
        <v>0</v>
      </c>
      <c r="H1" t="str">
        <f ca="1">VLOOKUP(Bidding!$B20,Lookup!$F$2:$I$15,3,FALSE)</f>
        <v>quantity</v>
      </c>
    </row>
    <row r="3" spans="1:18" ht="17" thickBot="1" x14ac:dyDescent="0.25">
      <c r="B3" s="19" t="s">
        <v>13</v>
      </c>
      <c r="C3" s="19"/>
      <c r="D3" s="19">
        <f ca="1">INDIRECT(D4&amp;"!H8")</f>
        <v>0</v>
      </c>
      <c r="G3" s="19" t="s">
        <v>55</v>
      </c>
      <c r="H3" s="19"/>
      <c r="I3" s="19"/>
      <c r="K3" s="19" t="s">
        <v>64</v>
      </c>
      <c r="L3" s="19"/>
      <c r="M3" s="19"/>
      <c r="N3" s="19"/>
      <c r="O3" s="19"/>
    </row>
    <row r="4" spans="1:18" x14ac:dyDescent="0.2">
      <c r="B4" s="14" t="s">
        <v>109</v>
      </c>
      <c r="C4" s="10"/>
      <c r="D4" s="15" t="s">
        <v>108</v>
      </c>
      <c r="G4" s="14"/>
      <c r="H4" s="10"/>
      <c r="I4" s="10"/>
      <c r="K4" s="10" t="s">
        <v>65</v>
      </c>
      <c r="L4" s="10"/>
      <c r="M4" s="10"/>
      <c r="N4" s="10"/>
      <c r="O4" s="10" t="str">
        <f ca="1">IF(COUNTIF($D$16:$D$133,"=Error1")&gt;0,COUNTIF($D$16:$D$133,"=Error1"),"OK")</f>
        <v>OK</v>
      </c>
    </row>
    <row r="5" spans="1:18" x14ac:dyDescent="0.2">
      <c r="B5" s="14" t="s">
        <v>1036</v>
      </c>
      <c r="C5" s="10"/>
      <c r="D5" s="15" t="str">
        <f>VLOOKUP(D4,Lookup!O1:P20,2,FALSE)</f>
        <v>Raw_hydro_bm</v>
      </c>
      <c r="G5" s="10" t="s">
        <v>51</v>
      </c>
      <c r="H5" s="10"/>
      <c r="I5" s="10">
        <f ca="1">INDIRECT(D4&amp;"!I6")</f>
        <v>200</v>
      </c>
      <c r="K5" s="10" t="s">
        <v>66</v>
      </c>
      <c r="L5" s="10"/>
      <c r="M5" s="10"/>
      <c r="N5" s="10"/>
      <c r="O5" s="10" t="str">
        <f ca="1">IF(COUNTIF($D$16:$D$133,"=Error2")&gt;0,COUNTIF($D$16:$D$133,"=Error2"),"OK")</f>
        <v>OK</v>
      </c>
      <c r="Q5">
        <f ca="1">SUMIFS(INDIRECT("Input!$H$1:$H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</f>
        <v>0</v>
      </c>
      <c r="R5">
        <f ca="1">SUMIFS(INDIRECT("Input!$H$1:$H$"&amp;$D$11),INDIRECT("Input!$A$1:$A$"&amp;Bidding!$D$11),"="&amp;VLOOKUP(Bidding!$B17,Lookup!$F$2:$I$15,2,FALSE))</f>
        <v>0</v>
      </c>
    </row>
    <row r="6" spans="1:18" x14ac:dyDescent="0.2">
      <c r="B6" s="10" t="s">
        <v>14</v>
      </c>
      <c r="C6" s="10"/>
      <c r="D6" s="10">
        <f ca="1">INDIRECT(D4&amp;"!H7")</f>
        <v>3</v>
      </c>
      <c r="G6" s="10" t="s">
        <v>52</v>
      </c>
      <c r="H6" s="10"/>
      <c r="I6" s="10">
        <f ca="1">INDIRECT(D4&amp;"!H33")</f>
        <v>250</v>
      </c>
      <c r="K6" s="10" t="s">
        <v>67</v>
      </c>
      <c r="L6" s="10"/>
      <c r="M6" s="10"/>
      <c r="N6" s="10"/>
      <c r="O6" s="10">
        <f ca="1">IF(COUNTIF(Physical!K12:K200,"=Error3")&gt;0,COUNTIF(Physical!K12:K200,"=Error3"),"OK")</f>
        <v>30</v>
      </c>
    </row>
    <row r="7" spans="1:18" x14ac:dyDescent="0.2">
      <c r="B7" s="10" t="s">
        <v>15</v>
      </c>
      <c r="C7" s="10"/>
      <c r="D7" s="10">
        <f ca="1">INDIRECT(D4&amp;"!J7")</f>
        <v>10</v>
      </c>
      <c r="G7" s="10" t="s">
        <v>56</v>
      </c>
      <c r="H7" s="10"/>
      <c r="I7" s="10">
        <f ca="1">INDIRECT(D4&amp;"!H34")</f>
        <v>0</v>
      </c>
      <c r="K7" s="10"/>
      <c r="L7" s="10"/>
      <c r="M7" s="10"/>
      <c r="N7" s="10"/>
      <c r="O7" s="10"/>
    </row>
    <row r="8" spans="1:18" x14ac:dyDescent="0.2">
      <c r="B8" s="10" t="s">
        <v>16</v>
      </c>
      <c r="C8" s="10"/>
      <c r="D8" s="10">
        <v>2</v>
      </c>
      <c r="G8" s="10" t="s">
        <v>57</v>
      </c>
      <c r="H8" s="10"/>
      <c r="I8" s="10">
        <f ca="1">INDIRECT(D4&amp;"!I34")</f>
        <v>250</v>
      </c>
      <c r="K8" s="10"/>
      <c r="L8" s="10"/>
      <c r="M8" s="10"/>
      <c r="N8" s="10"/>
      <c r="O8" s="10"/>
    </row>
    <row r="9" spans="1:18" x14ac:dyDescent="0.2">
      <c r="B9" s="10" t="s">
        <v>20</v>
      </c>
      <c r="C9" s="10"/>
      <c r="D9" s="10">
        <f>10-COUNTBLANK(Lookup!A2:A11)</f>
        <v>5</v>
      </c>
      <c r="G9" s="10"/>
      <c r="H9" s="10"/>
      <c r="I9" s="10"/>
      <c r="K9" s="10"/>
      <c r="L9" s="10"/>
      <c r="M9" s="10"/>
      <c r="N9" s="10"/>
      <c r="O9" s="10"/>
    </row>
    <row r="10" spans="1:18" x14ac:dyDescent="0.2">
      <c r="B10" s="10" t="s">
        <v>29</v>
      </c>
      <c r="C10" s="10"/>
      <c r="D10" s="10">
        <v>8</v>
      </c>
      <c r="G10" s="10"/>
      <c r="H10" s="10"/>
      <c r="I10" s="10"/>
      <c r="K10" s="10"/>
      <c r="L10" s="10"/>
      <c r="M10" s="10"/>
      <c r="N10" s="10"/>
      <c r="O10" s="10"/>
    </row>
    <row r="11" spans="1:18" x14ac:dyDescent="0.2">
      <c r="B11" s="10" t="s">
        <v>59</v>
      </c>
      <c r="C11" s="10"/>
      <c r="D11" s="10">
        <f>1999-COUNTBLANK(Raw_hydro_bm!A1:A1999)</f>
        <v>618</v>
      </c>
      <c r="L11" t="str">
        <f ca="1">VLOOKUP(Bidding!$B19,Lookup!$F$2:$I$15,3,FALSE)</f>
        <v>volume</v>
      </c>
    </row>
    <row r="12" spans="1:18" x14ac:dyDescent="0.2">
      <c r="B12" s="10"/>
      <c r="C12" s="10"/>
      <c r="D12" s="10"/>
    </row>
    <row r="13" spans="1:18" x14ac:dyDescent="0.2">
      <c r="B13" s="6"/>
      <c r="C13" s="6"/>
      <c r="D13" s="6"/>
      <c r="G13" s="6"/>
      <c r="H13" s="6" t="s">
        <v>63</v>
      </c>
      <c r="I13" s="6"/>
      <c r="K13" s="6"/>
      <c r="L13" s="6"/>
      <c r="M13" s="6"/>
      <c r="N13" s="6"/>
      <c r="O13" s="6"/>
    </row>
    <row r="14" spans="1:18" x14ac:dyDescent="0.2">
      <c r="H14" s="4">
        <v>0</v>
      </c>
      <c r="I14" s="4">
        <f t="shared" ref="I14:P14" si="0">H14+1</f>
        <v>1</v>
      </c>
      <c r="J14" s="4">
        <f t="shared" si="0"/>
        <v>2</v>
      </c>
      <c r="K14" s="4">
        <f t="shared" si="0"/>
        <v>3</v>
      </c>
      <c r="L14" s="4">
        <f t="shared" si="0"/>
        <v>4</v>
      </c>
      <c r="M14" s="4">
        <f t="shared" si="0"/>
        <v>5</v>
      </c>
      <c r="N14" s="4">
        <f t="shared" si="0"/>
        <v>6</v>
      </c>
      <c r="O14" s="4">
        <f t="shared" si="0"/>
        <v>7</v>
      </c>
      <c r="P14" s="4">
        <f t="shared" si="0"/>
        <v>8</v>
      </c>
    </row>
    <row r="15" spans="1:18" s="3" customFormat="1" x14ac:dyDescent="0.2">
      <c r="B15" s="2" t="s">
        <v>21</v>
      </c>
      <c r="C15" s="2" t="s">
        <v>50</v>
      </c>
      <c r="D15" s="2" t="s">
        <v>27</v>
      </c>
      <c r="E15" s="2" t="s">
        <v>28</v>
      </c>
      <c r="F15" s="2" t="s">
        <v>26</v>
      </c>
      <c r="G15" s="2" t="s">
        <v>22</v>
      </c>
      <c r="H15" s="2">
        <f t="shared" ref="H15:P15" ca="1" si="1">IF(H14&lt;$D$6,H14,"")</f>
        <v>0</v>
      </c>
      <c r="I15" s="2">
        <f t="shared" ca="1" si="1"/>
        <v>1</v>
      </c>
      <c r="J15" s="2">
        <f t="shared" ca="1" si="1"/>
        <v>2</v>
      </c>
      <c r="K15" s="2" t="str">
        <f t="shared" ca="1" si="1"/>
        <v/>
      </c>
      <c r="L15" s="2" t="str">
        <f t="shared" ca="1" si="1"/>
        <v/>
      </c>
      <c r="M15" s="2" t="str">
        <f t="shared" ca="1" si="1"/>
        <v/>
      </c>
      <c r="N15" s="2" t="str">
        <f t="shared" ca="1" si="1"/>
        <v/>
      </c>
      <c r="O15" s="2" t="str">
        <f t="shared" ca="1" si="1"/>
        <v/>
      </c>
      <c r="P15" s="2" t="str">
        <f t="shared" ca="1" si="1"/>
        <v/>
      </c>
    </row>
    <row r="16" spans="1:18" x14ac:dyDescent="0.2">
      <c r="A16" s="4">
        <v>0</v>
      </c>
      <c r="B16" t="str">
        <f t="shared" ref="B16:B47" ca="1" si="2">IFERROR(IF(NOT(ISBLANK(A16)),VLOOKUP(MOD(A16,$D$9),INDIRECT("Lookup!$A$2:$B$"&amp;$D$9+1),2,FALSE),""),"B")</f>
        <v>Delivery product</v>
      </c>
      <c r="E16" t="str">
        <f ca="1">IFERROR(IF(B16="Delivery product","",IF(NOT(ISBLANK(A16)),MOD(ROUNDDOWN(A16/$D$9,0),3),"")),"")</f>
        <v/>
      </c>
      <c r="F16" t="str">
        <f t="shared" ref="F16:F47" ca="1" si="3">IFERROR(IF(B16="Delivery product","",IF(NOT(ISBLANK(A16)),MOD(ROUNDDOWN(A16/$D$9/$D$6,0),$D$7),"")),"")</f>
        <v/>
      </c>
      <c r="G16" t="str">
        <f ca="1">IFERROR(IF(B16="Delivery product","",IF(NOT(ISBLANK(A16)),SUM(#REF!),"")),"")</f>
        <v/>
      </c>
    </row>
    <row r="17" spans="1:13" x14ac:dyDescent="0.2">
      <c r="A17" s="4">
        <f t="shared" ref="A17:A48" ca="1" si="4">IFERROR(IF((A16+1)/$D$9&lt;$D$7*$D$6,A16+1,""),"")</f>
        <v>1</v>
      </c>
      <c r="B17" t="str">
        <f t="shared" ca="1" si="2"/>
        <v>Bid volume</v>
      </c>
      <c r="D17" t="str">
        <f t="shared" ref="D17:D19" ca="1" si="5">IFERROR(IF(B17="Bid volume","",IF(B17="Transaction volume",IF(OR(H17-0.01&gt;H16,I17-0.01&gt;I16,J17-0.01&gt;J16),"Error1",""),IF($B17="Production quantity",IF(ABS(G17-G16-G15)&gt;0.05,"Error2",""),""))),"")</f>
        <v/>
      </c>
      <c r="E17">
        <f t="shared" ref="E17:E48" ca="1" si="6">IFERROR(IF(B17="Delivery product","",IF(NOT(ISBLANK(A17)),MOD(ROUNDDOWN(A17/$D$9,0),$D$6),"")),"")</f>
        <v>0</v>
      </c>
      <c r="F17">
        <f t="shared" ca="1" si="3"/>
        <v>0</v>
      </c>
      <c r="G17" s="13">
        <f t="shared" ref="G17:G48" ca="1" si="7">IF(SUM(H17:J17)&gt;0,SUM(H17:J17),"")</f>
        <v>100</v>
      </c>
      <c r="H17" s="13">
        <f ca="1">IFERROR(IF(AND($B17="Imbalance",H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),"")</f>
        <v>40</v>
      </c>
      <c r="I17" s="13">
        <f ca="1">IFERROR(IF(AND($B17="Imbalance",I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I$15)),"")</f>
        <v>60</v>
      </c>
      <c r="J17" s="13">
        <f ca="1">IFERROR(IF(AND($B17="Imbalance",J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J$15)),"")</f>
        <v>0</v>
      </c>
      <c r="M17">
        <f ca="1">COUNTIF(H17:J133,"&lt;0")</f>
        <v>0</v>
      </c>
    </row>
    <row r="18" spans="1:13" x14ac:dyDescent="0.2">
      <c r="A18" s="4">
        <f t="shared" ca="1" si="4"/>
        <v>2</v>
      </c>
      <c r="B18" t="str">
        <f t="shared" ca="1" si="2"/>
        <v>Transaction volume</v>
      </c>
      <c r="D18" t="str">
        <f t="shared" ca="1" si="5"/>
        <v/>
      </c>
      <c r="E18">
        <f t="shared" ca="1" si="6"/>
        <v>0</v>
      </c>
      <c r="F18">
        <f t="shared" ca="1" si="3"/>
        <v>0</v>
      </c>
      <c r="G18" s="13">
        <f t="shared" ca="1" si="7"/>
        <v>100</v>
      </c>
      <c r="H18" s="13">
        <f ca="1">IFERROR(IF(AND($B18="Imbalance",H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H$15)),"")</f>
        <v>40</v>
      </c>
      <c r="I18" s="13">
        <f ca="1">IFERROR(IF(AND($B18="Imbalance",I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I$15)),"")</f>
        <v>60</v>
      </c>
      <c r="J18" s="13">
        <f ca="1">IFERROR(IF(AND($B18="Imbalance",J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J$15)),"")</f>
        <v>0</v>
      </c>
      <c r="L18" t="str">
        <f t="shared" ref="L18:L49" ca="1" si="8">IF(AND(MOD(ROW(G19),$D$9)=3,G19&lt;&gt;"",G18&lt;&gt;""),"YES","")</f>
        <v/>
      </c>
    </row>
    <row r="19" spans="1:13" x14ac:dyDescent="0.2">
      <c r="A19" s="4">
        <f t="shared" ca="1" si="4"/>
        <v>3</v>
      </c>
      <c r="B19" t="str">
        <f t="shared" ca="1" si="2"/>
        <v>Imbalance</v>
      </c>
      <c r="D19" t="str">
        <f t="shared" ca="1" si="5"/>
        <v/>
      </c>
      <c r="E19">
        <f t="shared" ca="1" si="6"/>
        <v>0</v>
      </c>
      <c r="F19">
        <f t="shared" ca="1" si="3"/>
        <v>0</v>
      </c>
      <c r="G19" s="13" t="str">
        <f t="shared" ca="1" si="7"/>
        <v/>
      </c>
      <c r="H19" s="13">
        <f ca="1">IFERROR(IF(AND($B19="Imbalance",H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H$15)),"")</f>
        <v>0</v>
      </c>
      <c r="I19" s="13">
        <f ca="1">IFERROR(IF(AND($B19="Imbalance",I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I$15)),"")</f>
        <v>0</v>
      </c>
      <c r="J19" s="13">
        <f ca="1">IFERROR(IF(AND($B19="Imbalance",J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J$15)),"")</f>
        <v>0</v>
      </c>
      <c r="L19" t="str">
        <f t="shared" ca="1" si="8"/>
        <v/>
      </c>
    </row>
    <row r="20" spans="1:13" x14ac:dyDescent="0.2">
      <c r="A20" s="4">
        <f t="shared" ca="1" si="4"/>
        <v>4</v>
      </c>
      <c r="B20" t="str">
        <f t="shared" ca="1" si="2"/>
        <v>Production quantity</v>
      </c>
      <c r="D20" t="str">
        <f ca="1">IFERROR(IF(B20="Bid volume","",IF(B20="Transaction volume",IF(OR(H20-0.01&gt;H19,I20-0.01&gt;I19,J20-0.01&gt;J19),"Error1",""),IF($B20="Production quantity",IF(ABS(G20-G19-G18)&gt;0.05,"Error2",""),""))),"")</f>
        <v/>
      </c>
      <c r="E20">
        <f t="shared" ca="1" si="6"/>
        <v>0</v>
      </c>
      <c r="F20">
        <f t="shared" ca="1" si="3"/>
        <v>0</v>
      </c>
      <c r="G20" s="13">
        <f t="shared" ca="1" si="7"/>
        <v>100</v>
      </c>
      <c r="H20" s="13">
        <f ca="1">IFERROR(IF(AND($B20="Imbalance",H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),"")</f>
        <v>40</v>
      </c>
      <c r="I20" s="13">
        <f ca="1">IFERROR(IF(AND($B20="Imbalance",I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I$15)),"")</f>
        <v>50</v>
      </c>
      <c r="J20" s="13">
        <f ca="1">IFERROR(IF(AND($B20="Imbalance",J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J$15)),"")</f>
        <v>10</v>
      </c>
      <c r="L20" t="str">
        <f t="shared" ca="1" si="8"/>
        <v/>
      </c>
    </row>
    <row r="21" spans="1:13" x14ac:dyDescent="0.2">
      <c r="A21" s="4">
        <f t="shared" ca="1" si="4"/>
        <v>5</v>
      </c>
      <c r="B21" t="str">
        <f t="shared" ca="1" si="2"/>
        <v>Delivery product</v>
      </c>
      <c r="D21" t="str">
        <f t="shared" ref="D21:D84" ca="1" si="9">IFERROR(IF(B21="Bid volume","",IF(B21="Transaction volume",IF(OR(H21-0.01&gt;H20,I21-0.01&gt;I20,J21-0.01&gt;J20),"Error1",""),IF($B21="Production quantity",IF(ABS(G21-G20-G19)&gt;0.05,"Error2",""),""))),"")</f>
        <v/>
      </c>
      <c r="E21" t="str">
        <f t="shared" ca="1" si="6"/>
        <v/>
      </c>
      <c r="F21" t="str">
        <f t="shared" ca="1" si="3"/>
        <v/>
      </c>
      <c r="G21" s="13" t="str">
        <f t="shared" ca="1" si="7"/>
        <v/>
      </c>
      <c r="H21" s="13" t="str">
        <f ca="1">IFERROR(IF(AND($B21="Imbalance",H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H$15)),"")</f>
        <v/>
      </c>
      <c r="I21" s="13" t="str">
        <f ca="1">IFERROR(IF(AND($B21="Imbalance",I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I$15)),"")</f>
        <v/>
      </c>
      <c r="J21" s="13" t="str">
        <f ca="1">IFERROR(IF(AND($B21="Imbalance",J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J$15)),"")</f>
        <v/>
      </c>
      <c r="L21" t="str">
        <f t="shared" ca="1" si="8"/>
        <v/>
      </c>
    </row>
    <row r="22" spans="1:13" x14ac:dyDescent="0.2">
      <c r="A22" s="4">
        <f t="shared" ca="1" si="4"/>
        <v>6</v>
      </c>
      <c r="B22" t="str">
        <f t="shared" ca="1" si="2"/>
        <v>Bid volume</v>
      </c>
      <c r="D22" t="str">
        <f t="shared" ca="1" si="9"/>
        <v/>
      </c>
      <c r="E22">
        <f t="shared" ca="1" si="6"/>
        <v>1</v>
      </c>
      <c r="F22">
        <f t="shared" ca="1" si="3"/>
        <v>0</v>
      </c>
      <c r="G22" s="13">
        <f t="shared" ca="1" si="7"/>
        <v>120</v>
      </c>
      <c r="H22" s="13">
        <f ca="1">IFERROR(IF(AND($B22="Imbalance",H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H$15)),"")</f>
        <v>60</v>
      </c>
      <c r="I22" s="13">
        <f ca="1">IFERROR(IF(AND($B22="Imbalance",I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I$15)),"")</f>
        <v>60</v>
      </c>
      <c r="J22" s="13">
        <f ca="1">IFERROR(IF(AND($B22="Imbalance",J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J$15)),"")</f>
        <v>0</v>
      </c>
      <c r="L22" t="str">
        <f t="shared" ca="1" si="8"/>
        <v>YES</v>
      </c>
    </row>
    <row r="23" spans="1:13" x14ac:dyDescent="0.2">
      <c r="A23" s="4">
        <f t="shared" ca="1" si="4"/>
        <v>7</v>
      </c>
      <c r="B23" t="str">
        <f t="shared" ca="1" si="2"/>
        <v>Transaction volume</v>
      </c>
      <c r="D23" t="str">
        <f t="shared" ca="1" si="9"/>
        <v/>
      </c>
      <c r="E23">
        <f t="shared" ca="1" si="6"/>
        <v>1</v>
      </c>
      <c r="F23">
        <f t="shared" ca="1" si="3"/>
        <v>0</v>
      </c>
      <c r="G23" s="13">
        <f t="shared" ca="1" si="7"/>
        <v>120</v>
      </c>
      <c r="H23" s="13">
        <f ca="1">IFERROR(IF(AND($B23="Imbalance",H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H$15)),"")</f>
        <v>60</v>
      </c>
      <c r="I23" s="13">
        <f ca="1">IFERROR(IF(AND($B23="Imbalance",I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I$15)),"")</f>
        <v>60</v>
      </c>
      <c r="J23" s="13">
        <f ca="1">IFERROR(IF(AND($B23="Imbalance",J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J$15)),"")</f>
        <v>0</v>
      </c>
      <c r="L23" t="str">
        <f t="shared" ca="1" si="8"/>
        <v/>
      </c>
    </row>
    <row r="24" spans="1:13" x14ac:dyDescent="0.2">
      <c r="A24" s="4">
        <f t="shared" ca="1" si="4"/>
        <v>8</v>
      </c>
      <c r="B24" t="str">
        <f t="shared" ca="1" si="2"/>
        <v>Imbalance</v>
      </c>
      <c r="D24" t="str">
        <f t="shared" ca="1" si="9"/>
        <v/>
      </c>
      <c r="E24">
        <f t="shared" ca="1" si="6"/>
        <v>1</v>
      </c>
      <c r="F24">
        <f t="shared" ca="1" si="3"/>
        <v>0</v>
      </c>
      <c r="G24" s="13" t="str">
        <f t="shared" ca="1" si="7"/>
        <v/>
      </c>
      <c r="H24" s="13">
        <f ca="1">IFERROR(IF(AND($B24="Imbalance",H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H$15)),"")</f>
        <v>0</v>
      </c>
      <c r="I24" s="13">
        <f ca="1">IFERROR(IF(AND($B24="Imbalance",I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I$15)),"")</f>
        <v>0</v>
      </c>
      <c r="J24" s="13">
        <f ca="1">IFERROR(IF(AND($B24="Imbalance",J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J$15)),"")</f>
        <v>0</v>
      </c>
      <c r="L24" t="str">
        <f t="shared" ca="1" si="8"/>
        <v/>
      </c>
    </row>
    <row r="25" spans="1:13" x14ac:dyDescent="0.2">
      <c r="A25" s="4">
        <f t="shared" ca="1" si="4"/>
        <v>9</v>
      </c>
      <c r="B25" t="str">
        <f t="shared" ca="1" si="2"/>
        <v>Production quantity</v>
      </c>
      <c r="D25" t="str">
        <f t="shared" ca="1" si="9"/>
        <v/>
      </c>
      <c r="E25">
        <f t="shared" ca="1" si="6"/>
        <v>1</v>
      </c>
      <c r="F25">
        <f t="shared" ca="1" si="3"/>
        <v>0</v>
      </c>
      <c r="G25" s="13">
        <f t="shared" ca="1" si="7"/>
        <v>120</v>
      </c>
      <c r="H25" s="13">
        <f ca="1">IFERROR(IF(AND($B25="Imbalance",H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H$15)),"")</f>
        <v>40</v>
      </c>
      <c r="I25" s="13">
        <f ca="1">IFERROR(IF(AND($B25="Imbalance",I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I$15)),"")</f>
        <v>50</v>
      </c>
      <c r="J25" s="13">
        <f ca="1">IFERROR(IF(AND($B25="Imbalance",J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J$15)),"")</f>
        <v>30</v>
      </c>
      <c r="L25" t="str">
        <f t="shared" ca="1" si="8"/>
        <v/>
      </c>
    </row>
    <row r="26" spans="1:13" x14ac:dyDescent="0.2">
      <c r="A26" s="4">
        <f t="shared" ca="1" si="4"/>
        <v>10</v>
      </c>
      <c r="B26" t="str">
        <f t="shared" ca="1" si="2"/>
        <v>Delivery product</v>
      </c>
      <c r="D26" t="str">
        <f t="shared" ca="1" si="9"/>
        <v/>
      </c>
      <c r="E26" t="str">
        <f t="shared" ca="1" si="6"/>
        <v/>
      </c>
      <c r="F26" t="str">
        <f t="shared" ca="1" si="3"/>
        <v/>
      </c>
      <c r="G26" s="13" t="str">
        <f t="shared" ca="1" si="7"/>
        <v/>
      </c>
      <c r="H26" s="13" t="str">
        <f ca="1">IFERROR(IF(AND($B26="Imbalance",H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H$15)),"")</f>
        <v/>
      </c>
      <c r="I26" s="13" t="str">
        <f ca="1">IFERROR(IF(AND($B26="Imbalance",I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I$15)),"")</f>
        <v/>
      </c>
      <c r="J26" s="13" t="str">
        <f ca="1">IFERROR(IF(AND($B26="Imbalance",J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J$15)),"")</f>
        <v/>
      </c>
      <c r="L26" t="str">
        <f t="shared" ca="1" si="8"/>
        <v/>
      </c>
    </row>
    <row r="27" spans="1:13" x14ac:dyDescent="0.2">
      <c r="A27" s="4">
        <f t="shared" ca="1" si="4"/>
        <v>11</v>
      </c>
      <c r="B27" t="str">
        <f t="shared" ca="1" si="2"/>
        <v>Bid volume</v>
      </c>
      <c r="D27" t="str">
        <f t="shared" ca="1" si="9"/>
        <v/>
      </c>
      <c r="E27">
        <f t="shared" ca="1" si="6"/>
        <v>2</v>
      </c>
      <c r="F27">
        <f t="shared" ca="1" si="3"/>
        <v>0</v>
      </c>
      <c r="G27" s="13" t="str">
        <f t="shared" ca="1" si="7"/>
        <v/>
      </c>
      <c r="H27" s="13">
        <f ca="1">IFERROR(IF(AND($B27="Imbalance",H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H$15)),"")</f>
        <v>0</v>
      </c>
      <c r="I27" s="13">
        <f ca="1">IFERROR(IF(AND($B27="Imbalance",I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I$15)),"")</f>
        <v>0</v>
      </c>
      <c r="J27" s="13">
        <f ca="1">IFERROR(IF(AND($B27="Imbalance",J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J$15)),"")</f>
        <v>0</v>
      </c>
      <c r="L27" t="str">
        <f t="shared" ca="1" si="8"/>
        <v/>
      </c>
    </row>
    <row r="28" spans="1:13" x14ac:dyDescent="0.2">
      <c r="A28" s="4">
        <f t="shared" ca="1" si="4"/>
        <v>12</v>
      </c>
      <c r="B28" t="str">
        <f t="shared" ca="1" si="2"/>
        <v>Transaction volume</v>
      </c>
      <c r="D28" t="str">
        <f t="shared" ca="1" si="9"/>
        <v/>
      </c>
      <c r="E28">
        <f t="shared" ca="1" si="6"/>
        <v>2</v>
      </c>
      <c r="F28">
        <f t="shared" ca="1" si="3"/>
        <v>0</v>
      </c>
      <c r="G28" s="13" t="str">
        <f t="shared" ca="1" si="7"/>
        <v/>
      </c>
      <c r="H28" s="13">
        <f ca="1">IFERROR(IF(AND($B28="Imbalance",H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H$15)),"")</f>
        <v>0</v>
      </c>
      <c r="I28" s="13">
        <f ca="1">IFERROR(IF(AND($B28="Imbalance",I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I$15)),"")</f>
        <v>0</v>
      </c>
      <c r="J28" s="13">
        <f ca="1">IFERROR(IF(AND($B28="Imbalance",J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J$15)),"")</f>
        <v>0</v>
      </c>
      <c r="L28" t="str">
        <f t="shared" ca="1" si="8"/>
        <v/>
      </c>
    </row>
    <row r="29" spans="1:13" x14ac:dyDescent="0.2">
      <c r="A29" s="4">
        <f t="shared" ca="1" si="4"/>
        <v>13</v>
      </c>
      <c r="B29" t="str">
        <f t="shared" ca="1" si="2"/>
        <v>Imbalance</v>
      </c>
      <c r="D29" t="str">
        <f t="shared" ca="1" si="9"/>
        <v/>
      </c>
      <c r="E29">
        <f t="shared" ca="1" si="6"/>
        <v>2</v>
      </c>
      <c r="F29">
        <f t="shared" ca="1" si="3"/>
        <v>0</v>
      </c>
      <c r="G29" s="13" t="str">
        <f t="shared" ca="1" si="7"/>
        <v/>
      </c>
      <c r="H29" s="13">
        <f ca="1">IFERROR(IF(AND($B29="Imbalance",H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H$15)),"")</f>
        <v>0</v>
      </c>
      <c r="I29" s="13">
        <f ca="1">IFERROR(IF(AND($B29="Imbalance",I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I$15)),"")</f>
        <v>0</v>
      </c>
      <c r="J29" s="13">
        <f ca="1">IFERROR(IF(AND($B29="Imbalance",J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J$15)),"")</f>
        <v>0</v>
      </c>
      <c r="L29" t="str">
        <f t="shared" ca="1" si="8"/>
        <v/>
      </c>
    </row>
    <row r="30" spans="1:13" x14ac:dyDescent="0.2">
      <c r="A30" s="4">
        <f t="shared" ca="1" si="4"/>
        <v>14</v>
      </c>
      <c r="B30" t="str">
        <f t="shared" ca="1" si="2"/>
        <v>Production quantity</v>
      </c>
      <c r="D30" t="str">
        <f t="shared" ca="1" si="9"/>
        <v/>
      </c>
      <c r="E30">
        <f t="shared" ca="1" si="6"/>
        <v>2</v>
      </c>
      <c r="F30">
        <f t="shared" ca="1" si="3"/>
        <v>0</v>
      </c>
      <c r="G30" s="13">
        <f t="shared" ca="1" si="7"/>
        <v>120</v>
      </c>
      <c r="H30" s="13">
        <f ca="1">IFERROR(IF(AND($B30="Imbalance",H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H$15)),"")</f>
        <v>40</v>
      </c>
      <c r="I30" s="13">
        <f ca="1">IFERROR(IF(AND($B30="Imbalance",I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I$15)),"")</f>
        <v>50</v>
      </c>
      <c r="J30" s="13">
        <f ca="1">IFERROR(IF(AND($B30="Imbalance",J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J$15)),"")</f>
        <v>30</v>
      </c>
      <c r="L30" t="str">
        <f t="shared" ca="1" si="8"/>
        <v/>
      </c>
    </row>
    <row r="31" spans="1:13" x14ac:dyDescent="0.2">
      <c r="A31" s="4">
        <f t="shared" ca="1" si="4"/>
        <v>15</v>
      </c>
      <c r="B31" t="str">
        <f t="shared" ca="1" si="2"/>
        <v>Delivery product</v>
      </c>
      <c r="D31" t="str">
        <f t="shared" ca="1" si="9"/>
        <v/>
      </c>
      <c r="E31" t="str">
        <f t="shared" ca="1" si="6"/>
        <v/>
      </c>
      <c r="F31" t="str">
        <f t="shared" ca="1" si="3"/>
        <v/>
      </c>
      <c r="G31" s="13" t="str">
        <f t="shared" ca="1" si="7"/>
        <v/>
      </c>
      <c r="H31" s="13" t="str">
        <f ca="1">IFERROR(IF(AND($B31="Imbalance",H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H$15)),"")</f>
        <v/>
      </c>
      <c r="I31" s="13" t="str">
        <f ca="1">IFERROR(IF(AND($B31="Imbalance",I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I$15)),"")</f>
        <v/>
      </c>
      <c r="J31" s="13" t="str">
        <f ca="1">IFERROR(IF(AND($B31="Imbalance",J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J$15)),"")</f>
        <v/>
      </c>
      <c r="L31" t="str">
        <f t="shared" ca="1" si="8"/>
        <v/>
      </c>
    </row>
    <row r="32" spans="1:13" x14ac:dyDescent="0.2">
      <c r="A32" s="4">
        <f t="shared" ca="1" si="4"/>
        <v>16</v>
      </c>
      <c r="B32" t="str">
        <f t="shared" ca="1" si="2"/>
        <v>Bid volume</v>
      </c>
      <c r="D32" t="str">
        <f t="shared" ca="1" si="9"/>
        <v/>
      </c>
      <c r="E32">
        <f t="shared" ca="1" si="6"/>
        <v>0</v>
      </c>
      <c r="F32">
        <f t="shared" ca="1" si="3"/>
        <v>1</v>
      </c>
      <c r="G32" s="13">
        <f t="shared" ca="1" si="7"/>
        <v>120</v>
      </c>
      <c r="H32" s="13">
        <f ca="1">IFERROR(IF(AND($B32="Imbalance",H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H$15)),"")</f>
        <v>60</v>
      </c>
      <c r="I32" s="13">
        <f ca="1">IFERROR(IF(AND($B32="Imbalance",I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I$15)),"")</f>
        <v>60</v>
      </c>
      <c r="J32" s="13">
        <f ca="1">IFERROR(IF(AND($B32="Imbalance",J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J$15)),"")</f>
        <v>0</v>
      </c>
      <c r="L32" t="str">
        <f t="shared" ca="1" si="8"/>
        <v>YES</v>
      </c>
    </row>
    <row r="33" spans="1:12" x14ac:dyDescent="0.2">
      <c r="A33" s="4">
        <f t="shared" ca="1" si="4"/>
        <v>17</v>
      </c>
      <c r="B33" t="str">
        <f t="shared" ca="1" si="2"/>
        <v>Transaction volume</v>
      </c>
      <c r="D33" t="str">
        <f t="shared" ca="1" si="9"/>
        <v/>
      </c>
      <c r="E33">
        <f t="shared" ca="1" si="6"/>
        <v>0</v>
      </c>
      <c r="F33">
        <f t="shared" ca="1" si="3"/>
        <v>1</v>
      </c>
      <c r="G33" s="13">
        <f t="shared" ca="1" si="7"/>
        <v>120</v>
      </c>
      <c r="H33" s="13">
        <f ca="1">IFERROR(IF(AND($B33="Imbalance",H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H$15)),"")</f>
        <v>60</v>
      </c>
      <c r="I33" s="13">
        <f ca="1">IFERROR(IF(AND($B33="Imbalance",I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I$15)),"")</f>
        <v>60</v>
      </c>
      <c r="J33" s="13">
        <f ca="1">IFERROR(IF(AND($B33="Imbalance",J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J$15)),"")</f>
        <v>0</v>
      </c>
      <c r="L33" t="str">
        <f t="shared" ca="1" si="8"/>
        <v/>
      </c>
    </row>
    <row r="34" spans="1:12" x14ac:dyDescent="0.2">
      <c r="A34" s="4">
        <f t="shared" ca="1" si="4"/>
        <v>18</v>
      </c>
      <c r="B34" t="str">
        <f t="shared" ca="1" si="2"/>
        <v>Imbalance</v>
      </c>
      <c r="D34" t="str">
        <f t="shared" ca="1" si="9"/>
        <v/>
      </c>
      <c r="E34">
        <f t="shared" ca="1" si="6"/>
        <v>0</v>
      </c>
      <c r="F34">
        <f t="shared" ca="1" si="3"/>
        <v>1</v>
      </c>
      <c r="G34" s="13" t="str">
        <f t="shared" ca="1" si="7"/>
        <v/>
      </c>
      <c r="H34" s="13">
        <f ca="1">IFERROR(IF(AND($B34="Imbalance",H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H$15)),"")</f>
        <v>0</v>
      </c>
      <c r="I34" s="13">
        <f ca="1">IFERROR(IF(AND($B34="Imbalance",I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I$15)),"")</f>
        <v>0</v>
      </c>
      <c r="J34" s="13">
        <f ca="1">IFERROR(IF(AND($B34="Imbalance",J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J$15)),"")</f>
        <v>0</v>
      </c>
      <c r="L34" t="str">
        <f t="shared" ca="1" si="8"/>
        <v/>
      </c>
    </row>
    <row r="35" spans="1:12" x14ac:dyDescent="0.2">
      <c r="A35" s="4">
        <f t="shared" ca="1" si="4"/>
        <v>19</v>
      </c>
      <c r="B35" t="str">
        <f t="shared" ca="1" si="2"/>
        <v>Production quantity</v>
      </c>
      <c r="D35" t="str">
        <f t="shared" ca="1" si="9"/>
        <v/>
      </c>
      <c r="E35">
        <f t="shared" ca="1" si="6"/>
        <v>0</v>
      </c>
      <c r="F35">
        <f t="shared" ca="1" si="3"/>
        <v>1</v>
      </c>
      <c r="G35" s="13">
        <f t="shared" ca="1" si="7"/>
        <v>120</v>
      </c>
      <c r="H35" s="13">
        <f ca="1">IFERROR(IF(AND($B35="Imbalance",H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H$15)),"")</f>
        <v>45</v>
      </c>
      <c r="I35" s="13">
        <f ca="1">IFERROR(IF(AND($B35="Imbalance",I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I$15)),"")</f>
        <v>50</v>
      </c>
      <c r="J35" s="13">
        <f ca="1">IFERROR(IF(AND($B35="Imbalance",J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J$15)),"")</f>
        <v>25</v>
      </c>
      <c r="L35" t="str">
        <f t="shared" ca="1" si="8"/>
        <v/>
      </c>
    </row>
    <row r="36" spans="1:12" x14ac:dyDescent="0.2">
      <c r="A36" s="4">
        <f t="shared" ca="1" si="4"/>
        <v>20</v>
      </c>
      <c r="B36" t="str">
        <f t="shared" ca="1" si="2"/>
        <v>Delivery product</v>
      </c>
      <c r="D36" t="str">
        <f t="shared" ca="1" si="9"/>
        <v/>
      </c>
      <c r="E36" t="str">
        <f t="shared" ca="1" si="6"/>
        <v/>
      </c>
      <c r="F36" t="str">
        <f t="shared" ca="1" si="3"/>
        <v/>
      </c>
      <c r="G36" s="13" t="str">
        <f t="shared" ca="1" si="7"/>
        <v/>
      </c>
      <c r="H36" s="13" t="str">
        <f ca="1">IFERROR(IF(AND($B36="Imbalance",H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H$15)),"")</f>
        <v/>
      </c>
      <c r="I36" s="13" t="str">
        <f ca="1">IFERROR(IF(AND($B36="Imbalance",I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I$15)),"")</f>
        <v/>
      </c>
      <c r="J36" s="13" t="str">
        <f ca="1">IFERROR(IF(AND($B36="Imbalance",J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J$15)),"")</f>
        <v/>
      </c>
      <c r="L36" t="str">
        <f t="shared" ca="1" si="8"/>
        <v/>
      </c>
    </row>
    <row r="37" spans="1:12" x14ac:dyDescent="0.2">
      <c r="A37" s="4">
        <f t="shared" ca="1" si="4"/>
        <v>21</v>
      </c>
      <c r="B37" t="str">
        <f t="shared" ca="1" si="2"/>
        <v>Bid volume</v>
      </c>
      <c r="D37" t="str">
        <f t="shared" ca="1" si="9"/>
        <v/>
      </c>
      <c r="E37">
        <f t="shared" ca="1" si="6"/>
        <v>1</v>
      </c>
      <c r="F37">
        <f t="shared" ca="1" si="3"/>
        <v>1</v>
      </c>
      <c r="G37" s="13">
        <f t="shared" ca="1" si="7"/>
        <v>120</v>
      </c>
      <c r="H37" s="13">
        <f ca="1">IFERROR(IF(AND($B37="Imbalance",H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H$15)),"")</f>
        <v>60</v>
      </c>
      <c r="I37" s="13">
        <f ca="1">IFERROR(IF(AND($B37="Imbalance",I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I$15)),"")</f>
        <v>60</v>
      </c>
      <c r="J37" s="13">
        <f ca="1">IFERROR(IF(AND($B37="Imbalance",J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J$15)),"")</f>
        <v>0</v>
      </c>
      <c r="L37" t="str">
        <f t="shared" ca="1" si="8"/>
        <v>YES</v>
      </c>
    </row>
    <row r="38" spans="1:12" x14ac:dyDescent="0.2">
      <c r="A38" s="4">
        <f t="shared" ca="1" si="4"/>
        <v>22</v>
      </c>
      <c r="B38" t="str">
        <f t="shared" ca="1" si="2"/>
        <v>Transaction volume</v>
      </c>
      <c r="D38" t="str">
        <f t="shared" ca="1" si="9"/>
        <v/>
      </c>
      <c r="E38">
        <f t="shared" ca="1" si="6"/>
        <v>1</v>
      </c>
      <c r="F38">
        <f t="shared" ca="1" si="3"/>
        <v>1</v>
      </c>
      <c r="G38" s="13">
        <f t="shared" ca="1" si="7"/>
        <v>120</v>
      </c>
      <c r="H38" s="13">
        <f ca="1">IFERROR(IF(AND($B38="Imbalance",H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H$15)),"")</f>
        <v>60</v>
      </c>
      <c r="I38" s="13">
        <f ca="1">IFERROR(IF(AND($B38="Imbalance",I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I$15)),"")</f>
        <v>60</v>
      </c>
      <c r="J38" s="13">
        <f ca="1">IFERROR(IF(AND($B38="Imbalance",J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J$15)),"")</f>
        <v>0</v>
      </c>
      <c r="L38" t="str">
        <f t="shared" ca="1" si="8"/>
        <v/>
      </c>
    </row>
    <row r="39" spans="1:12" x14ac:dyDescent="0.2">
      <c r="A39" s="4">
        <f t="shared" ca="1" si="4"/>
        <v>23</v>
      </c>
      <c r="B39" t="str">
        <f t="shared" ca="1" si="2"/>
        <v>Imbalance</v>
      </c>
      <c r="D39" t="str">
        <f t="shared" ca="1" si="9"/>
        <v/>
      </c>
      <c r="E39">
        <f t="shared" ca="1" si="6"/>
        <v>1</v>
      </c>
      <c r="F39">
        <f t="shared" ca="1" si="3"/>
        <v>1</v>
      </c>
      <c r="G39" s="13" t="str">
        <f t="shared" ca="1" si="7"/>
        <v/>
      </c>
      <c r="H39" s="13">
        <f ca="1">IFERROR(IF(AND($B39="Imbalance",H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H$15)),"")</f>
        <v>0</v>
      </c>
      <c r="I39" s="13">
        <f ca="1">IFERROR(IF(AND($B39="Imbalance",I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I$15)),"")</f>
        <v>0</v>
      </c>
      <c r="J39" s="13">
        <f ca="1">IFERROR(IF(AND($B39="Imbalance",J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J$15)),"")</f>
        <v>0</v>
      </c>
      <c r="L39" t="str">
        <f t="shared" ca="1" si="8"/>
        <v/>
      </c>
    </row>
    <row r="40" spans="1:12" x14ac:dyDescent="0.2">
      <c r="A40" s="4">
        <f t="shared" ca="1" si="4"/>
        <v>24</v>
      </c>
      <c r="B40" t="str">
        <f t="shared" ca="1" si="2"/>
        <v>Production quantity</v>
      </c>
      <c r="D40" t="str">
        <f t="shared" ca="1" si="9"/>
        <v/>
      </c>
      <c r="E40">
        <f t="shared" ca="1" si="6"/>
        <v>1</v>
      </c>
      <c r="F40">
        <f t="shared" ca="1" si="3"/>
        <v>1</v>
      </c>
      <c r="G40" s="13">
        <f t="shared" ca="1" si="7"/>
        <v>120</v>
      </c>
      <c r="H40" s="13">
        <f ca="1">IFERROR(IF(AND($B40="Imbalance",H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H$15)),"")</f>
        <v>45</v>
      </c>
      <c r="I40" s="13">
        <f ca="1">IFERROR(IF(AND($B40="Imbalance",I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I$15)),"")</f>
        <v>50</v>
      </c>
      <c r="J40" s="13">
        <f ca="1">IFERROR(IF(AND($B40="Imbalance",J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J$15)),"")</f>
        <v>25</v>
      </c>
      <c r="L40" t="str">
        <f t="shared" ca="1" si="8"/>
        <v/>
      </c>
    </row>
    <row r="41" spans="1:12" x14ac:dyDescent="0.2">
      <c r="A41" s="4">
        <f t="shared" ca="1" si="4"/>
        <v>25</v>
      </c>
      <c r="B41" t="str">
        <f t="shared" ca="1" si="2"/>
        <v>Delivery product</v>
      </c>
      <c r="D41" t="str">
        <f t="shared" ca="1" si="9"/>
        <v/>
      </c>
      <c r="E41" t="str">
        <f t="shared" ca="1" si="6"/>
        <v/>
      </c>
      <c r="F41" t="str">
        <f t="shared" ca="1" si="3"/>
        <v/>
      </c>
      <c r="G41" s="13" t="str">
        <f t="shared" ca="1" si="7"/>
        <v/>
      </c>
      <c r="H41" s="13" t="str">
        <f ca="1">IFERROR(IF(AND($B41="Imbalance",H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H$15)),"")</f>
        <v/>
      </c>
      <c r="I41" s="13" t="str">
        <f ca="1">IFERROR(IF(AND($B41="Imbalance",I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I$15)),"")</f>
        <v/>
      </c>
      <c r="J41" s="13" t="str">
        <f ca="1">IFERROR(IF(AND($B41="Imbalance",J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J$15)),"")</f>
        <v/>
      </c>
      <c r="L41" t="str">
        <f t="shared" ca="1" si="8"/>
        <v/>
      </c>
    </row>
    <row r="42" spans="1:12" x14ac:dyDescent="0.2">
      <c r="A42" s="4">
        <f t="shared" ca="1" si="4"/>
        <v>26</v>
      </c>
      <c r="B42" t="str">
        <f t="shared" ca="1" si="2"/>
        <v>Bid volume</v>
      </c>
      <c r="D42" t="str">
        <f t="shared" ca="1" si="9"/>
        <v/>
      </c>
      <c r="E42">
        <f t="shared" ca="1" si="6"/>
        <v>2</v>
      </c>
      <c r="F42">
        <f t="shared" ca="1" si="3"/>
        <v>1</v>
      </c>
      <c r="G42" s="13" t="str">
        <f t="shared" ca="1" si="7"/>
        <v/>
      </c>
      <c r="H42" s="13">
        <f ca="1">IFERROR(IF(AND($B42="Imbalance",H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H$15)),"")</f>
        <v>0</v>
      </c>
      <c r="I42" s="13">
        <f ca="1">IFERROR(IF(AND($B42="Imbalance",I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I$15)),"")</f>
        <v>0</v>
      </c>
      <c r="J42" s="13">
        <f ca="1">IFERROR(IF(AND($B42="Imbalance",J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J$15)),"")</f>
        <v>0</v>
      </c>
      <c r="L42" t="str">
        <f t="shared" ca="1" si="8"/>
        <v/>
      </c>
    </row>
    <row r="43" spans="1:12" x14ac:dyDescent="0.2">
      <c r="A43" s="4">
        <f t="shared" ca="1" si="4"/>
        <v>27</v>
      </c>
      <c r="B43" t="str">
        <f t="shared" ca="1" si="2"/>
        <v>Transaction volume</v>
      </c>
      <c r="D43" t="str">
        <f t="shared" ca="1" si="9"/>
        <v/>
      </c>
      <c r="E43">
        <f t="shared" ca="1" si="6"/>
        <v>2</v>
      </c>
      <c r="F43">
        <f t="shared" ca="1" si="3"/>
        <v>1</v>
      </c>
      <c r="G43" s="13" t="str">
        <f t="shared" ca="1" si="7"/>
        <v/>
      </c>
      <c r="H43" s="13">
        <f ca="1">IFERROR(IF(AND($B43="Imbalance",H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H$15)),"")</f>
        <v>0</v>
      </c>
      <c r="I43" s="13">
        <f ca="1">IFERROR(IF(AND($B43="Imbalance",I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I$15)),"")</f>
        <v>0</v>
      </c>
      <c r="J43" s="13">
        <f ca="1">IFERROR(IF(AND($B43="Imbalance",J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J$15)),"")</f>
        <v>0</v>
      </c>
      <c r="L43" t="str">
        <f t="shared" ca="1" si="8"/>
        <v/>
      </c>
    </row>
    <row r="44" spans="1:12" x14ac:dyDescent="0.2">
      <c r="A44" s="4">
        <f t="shared" ca="1" si="4"/>
        <v>28</v>
      </c>
      <c r="B44" t="str">
        <f t="shared" ca="1" si="2"/>
        <v>Imbalance</v>
      </c>
      <c r="D44" t="str">
        <f t="shared" ca="1" si="9"/>
        <v/>
      </c>
      <c r="E44">
        <f t="shared" ca="1" si="6"/>
        <v>2</v>
      </c>
      <c r="F44">
        <f t="shared" ca="1" si="3"/>
        <v>1</v>
      </c>
      <c r="G44" s="13" t="str">
        <f t="shared" ca="1" si="7"/>
        <v/>
      </c>
      <c r="H44" s="13">
        <f ca="1">IFERROR(IF(AND($B44="Imbalance",H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H$15)),"")</f>
        <v>0</v>
      </c>
      <c r="I44" s="13">
        <f ca="1">IFERROR(IF(AND($B44="Imbalance",I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I$15)),"")</f>
        <v>0</v>
      </c>
      <c r="J44" s="13">
        <f ca="1">IFERROR(IF(AND($B44="Imbalance",J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J$15)),"")</f>
        <v>0</v>
      </c>
      <c r="L44" t="str">
        <f t="shared" ca="1" si="8"/>
        <v/>
      </c>
    </row>
    <row r="45" spans="1:12" x14ac:dyDescent="0.2">
      <c r="A45" s="4">
        <f t="shared" ca="1" si="4"/>
        <v>29</v>
      </c>
      <c r="B45" t="str">
        <f t="shared" ca="1" si="2"/>
        <v>Production quantity</v>
      </c>
      <c r="D45" t="str">
        <f t="shared" ca="1" si="9"/>
        <v/>
      </c>
      <c r="E45">
        <f t="shared" ca="1" si="6"/>
        <v>2</v>
      </c>
      <c r="F45">
        <f t="shared" ca="1" si="3"/>
        <v>1</v>
      </c>
      <c r="G45" s="13">
        <f t="shared" ca="1" si="7"/>
        <v>100</v>
      </c>
      <c r="H45" s="13">
        <f ca="1">IFERROR(IF(AND($B45="Imbalance",H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H$15)),"")</f>
        <v>45</v>
      </c>
      <c r="I45" s="13">
        <f ca="1">IFERROR(IF(AND($B45="Imbalance",I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I$15)),"")</f>
        <v>50</v>
      </c>
      <c r="J45" s="13">
        <f ca="1">IFERROR(IF(AND($B45="Imbalance",J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J$15)),"")</f>
        <v>5</v>
      </c>
      <c r="L45" t="str">
        <f t="shared" ca="1" si="8"/>
        <v/>
      </c>
    </row>
    <row r="46" spans="1:12" x14ac:dyDescent="0.2">
      <c r="A46" s="4">
        <f t="shared" ca="1" si="4"/>
        <v>30</v>
      </c>
      <c r="B46" t="str">
        <f t="shared" ca="1" si="2"/>
        <v>Delivery product</v>
      </c>
      <c r="D46" t="str">
        <f t="shared" ca="1" si="9"/>
        <v/>
      </c>
      <c r="E46" t="str">
        <f t="shared" ca="1" si="6"/>
        <v/>
      </c>
      <c r="F46" t="str">
        <f t="shared" ca="1" si="3"/>
        <v/>
      </c>
      <c r="G46" s="13" t="str">
        <f t="shared" ca="1" si="7"/>
        <v/>
      </c>
      <c r="H46" s="13" t="str">
        <f ca="1">IFERROR(IF(AND($B46="Imbalance",H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H$15)),"")</f>
        <v/>
      </c>
      <c r="I46" s="13" t="str">
        <f ca="1">IFERROR(IF(AND($B46="Imbalance",I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I$15)),"")</f>
        <v/>
      </c>
      <c r="J46" s="13" t="str">
        <f ca="1">IFERROR(IF(AND($B46="Imbalance",J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J$15)),"")</f>
        <v/>
      </c>
      <c r="L46" t="str">
        <f t="shared" ca="1" si="8"/>
        <v/>
      </c>
    </row>
    <row r="47" spans="1:12" x14ac:dyDescent="0.2">
      <c r="A47" s="4">
        <f t="shared" ca="1" si="4"/>
        <v>31</v>
      </c>
      <c r="B47" t="str">
        <f t="shared" ca="1" si="2"/>
        <v>Bid volume</v>
      </c>
      <c r="D47" t="str">
        <f t="shared" ca="1" si="9"/>
        <v/>
      </c>
      <c r="E47">
        <f t="shared" ca="1" si="6"/>
        <v>0</v>
      </c>
      <c r="F47">
        <f t="shared" ca="1" si="3"/>
        <v>2</v>
      </c>
      <c r="G47" s="13">
        <f t="shared" ca="1" si="7"/>
        <v>120</v>
      </c>
      <c r="H47" s="13">
        <f ca="1">IFERROR(IF(AND($B47="Imbalance",H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H$15)),"")</f>
        <v>60</v>
      </c>
      <c r="I47" s="13">
        <f ca="1">IFERROR(IF(AND($B47="Imbalance",I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I$15)),"")</f>
        <v>60</v>
      </c>
      <c r="J47" s="13">
        <f ca="1">IFERROR(IF(AND($B47="Imbalance",J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J$15)),"")</f>
        <v>0</v>
      </c>
      <c r="L47" t="str">
        <f t="shared" ca="1" si="8"/>
        <v>YES</v>
      </c>
    </row>
    <row r="48" spans="1:12" x14ac:dyDescent="0.2">
      <c r="A48" s="4">
        <f t="shared" ca="1" si="4"/>
        <v>32</v>
      </c>
      <c r="B48" t="str">
        <f t="shared" ref="B48:B79" ca="1" si="10">IFERROR(IF(NOT(ISBLANK(A48)),VLOOKUP(MOD(A48,$D$9),INDIRECT("Lookup!$A$2:$B$"&amp;$D$9+1),2,FALSE),""),"B")</f>
        <v>Transaction volume</v>
      </c>
      <c r="D48" t="str">
        <f t="shared" ca="1" si="9"/>
        <v/>
      </c>
      <c r="E48">
        <f t="shared" ca="1" si="6"/>
        <v>0</v>
      </c>
      <c r="F48">
        <f t="shared" ref="F48:F79" ca="1" si="11">IFERROR(IF(B48="Delivery product","",IF(NOT(ISBLANK(A48)),MOD(ROUNDDOWN(A48/$D$9/$D$6,0),$D$7),"")),"")</f>
        <v>2</v>
      </c>
      <c r="G48" s="13">
        <f t="shared" ca="1" si="7"/>
        <v>120</v>
      </c>
      <c r="H48" s="13">
        <f ca="1">IFERROR(IF(AND($B48="Imbalance",H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H$15)),"")</f>
        <v>60</v>
      </c>
      <c r="I48" s="13">
        <f ca="1">IFERROR(IF(AND($B48="Imbalance",I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I$15)),"")</f>
        <v>60</v>
      </c>
      <c r="J48" s="13">
        <f ca="1">IFERROR(IF(AND($B48="Imbalance",J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J$15)),"")</f>
        <v>0</v>
      </c>
      <c r="L48" t="str">
        <f t="shared" ca="1" si="8"/>
        <v/>
      </c>
    </row>
    <row r="49" spans="1:12" x14ac:dyDescent="0.2">
      <c r="A49" s="4">
        <f t="shared" ref="A49:A80" ca="1" si="12">IFERROR(IF((A48+1)/$D$9&lt;$D$7*$D$6,A48+1,""),"")</f>
        <v>33</v>
      </c>
      <c r="B49" t="str">
        <f t="shared" ca="1" si="10"/>
        <v>Imbalance</v>
      </c>
      <c r="D49" t="str">
        <f t="shared" ca="1" si="9"/>
        <v/>
      </c>
      <c r="E49">
        <f t="shared" ref="E49:E80" ca="1" si="13">IFERROR(IF(B49="Delivery product","",IF(NOT(ISBLANK(A49)),MOD(ROUNDDOWN(A49/$D$9,0),$D$6),"")),"")</f>
        <v>0</v>
      </c>
      <c r="F49">
        <f t="shared" ca="1" si="11"/>
        <v>2</v>
      </c>
      <c r="G49" s="13" t="str">
        <f t="shared" ref="G49:G80" ca="1" si="14">IF(SUM(H49:J49)&gt;0,SUM(H49:J49),"")</f>
        <v/>
      </c>
      <c r="H49" s="13">
        <f ca="1">IFERROR(IF(AND($B49="Imbalance",H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H$15)),"")</f>
        <v>0</v>
      </c>
      <c r="I49" s="13">
        <f ca="1">IFERROR(IF(AND($B49="Imbalance",I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I$15)),"")</f>
        <v>0</v>
      </c>
      <c r="J49" s="13">
        <f ca="1">IFERROR(IF(AND($B49="Imbalance",J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J$15)),"")</f>
        <v>0</v>
      </c>
      <c r="L49" t="str">
        <f t="shared" ca="1" si="8"/>
        <v/>
      </c>
    </row>
    <row r="50" spans="1:12" x14ac:dyDescent="0.2">
      <c r="A50" s="4">
        <f t="shared" ca="1" si="12"/>
        <v>34</v>
      </c>
      <c r="B50" t="str">
        <f t="shared" ca="1" si="10"/>
        <v>Production quantity</v>
      </c>
      <c r="D50" t="str">
        <f t="shared" ca="1" si="9"/>
        <v/>
      </c>
      <c r="E50">
        <f t="shared" ca="1" si="13"/>
        <v>0</v>
      </c>
      <c r="F50">
        <f t="shared" ca="1" si="11"/>
        <v>2</v>
      </c>
      <c r="G50" s="13">
        <f t="shared" ca="1" si="14"/>
        <v>120</v>
      </c>
      <c r="H50" s="13">
        <f ca="1">IFERROR(IF(AND($B50="Imbalance",H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H$15)),"")</f>
        <v>50</v>
      </c>
      <c r="I50" s="13">
        <f ca="1">IFERROR(IF(AND($B50="Imbalance",I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I$15)),"")</f>
        <v>50</v>
      </c>
      <c r="J50" s="13">
        <f ca="1">IFERROR(IF(AND($B50="Imbalance",J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J$15)),"")</f>
        <v>20</v>
      </c>
      <c r="L50" t="str">
        <f t="shared" ref="L50:L81" ca="1" si="15">IF(AND(MOD(ROW(G51),$D$9)=3,G51&lt;&gt;"",G50&lt;&gt;""),"YES","")</f>
        <v/>
      </c>
    </row>
    <row r="51" spans="1:12" x14ac:dyDescent="0.2">
      <c r="A51" s="4">
        <f t="shared" ca="1" si="12"/>
        <v>35</v>
      </c>
      <c r="B51" t="str">
        <f t="shared" ca="1" si="10"/>
        <v>Delivery product</v>
      </c>
      <c r="D51" t="str">
        <f t="shared" ca="1" si="9"/>
        <v/>
      </c>
      <c r="E51" t="str">
        <f t="shared" ca="1" si="13"/>
        <v/>
      </c>
      <c r="F51" t="str">
        <f t="shared" ca="1" si="11"/>
        <v/>
      </c>
      <c r="G51" s="13" t="str">
        <f t="shared" ca="1" si="14"/>
        <v/>
      </c>
      <c r="H51" s="13" t="str">
        <f ca="1">IFERROR(IF(AND($B51="Imbalance",H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H$15)),"")</f>
        <v/>
      </c>
      <c r="I51" s="13" t="str">
        <f ca="1">IFERROR(IF(AND($B51="Imbalance",I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I$15)),"")</f>
        <v/>
      </c>
      <c r="J51" s="13" t="str">
        <f ca="1">IFERROR(IF(AND($B51="Imbalance",J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J$15)),"")</f>
        <v/>
      </c>
      <c r="L51" t="str">
        <f t="shared" ca="1" si="15"/>
        <v/>
      </c>
    </row>
    <row r="52" spans="1:12" x14ac:dyDescent="0.2">
      <c r="A52" s="4">
        <f t="shared" ca="1" si="12"/>
        <v>36</v>
      </c>
      <c r="B52" t="str">
        <f t="shared" ca="1" si="10"/>
        <v>Bid volume</v>
      </c>
      <c r="D52" t="str">
        <f t="shared" ca="1" si="9"/>
        <v/>
      </c>
      <c r="E52">
        <f t="shared" ca="1" si="13"/>
        <v>1</v>
      </c>
      <c r="F52">
        <f t="shared" ca="1" si="11"/>
        <v>2</v>
      </c>
      <c r="G52" s="13">
        <f t="shared" ca="1" si="14"/>
        <v>120</v>
      </c>
      <c r="H52" s="13">
        <f ca="1">IFERROR(IF(AND($B52="Imbalance",H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H$15)),"")</f>
        <v>60</v>
      </c>
      <c r="I52" s="13">
        <f ca="1">IFERROR(IF(AND($B52="Imbalance",I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I$15)),"")</f>
        <v>60</v>
      </c>
      <c r="J52" s="13">
        <f ca="1">IFERROR(IF(AND($B52="Imbalance",J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J$15)),"")</f>
        <v>0</v>
      </c>
      <c r="L52" t="str">
        <f t="shared" ca="1" si="15"/>
        <v>YES</v>
      </c>
    </row>
    <row r="53" spans="1:12" x14ac:dyDescent="0.2">
      <c r="A53" s="4">
        <f t="shared" ca="1" si="12"/>
        <v>37</v>
      </c>
      <c r="B53" t="str">
        <f t="shared" ca="1" si="10"/>
        <v>Transaction volume</v>
      </c>
      <c r="D53" t="str">
        <f t="shared" ca="1" si="9"/>
        <v/>
      </c>
      <c r="E53">
        <f t="shared" ca="1" si="13"/>
        <v>1</v>
      </c>
      <c r="F53">
        <f t="shared" ca="1" si="11"/>
        <v>2</v>
      </c>
      <c r="G53" s="13">
        <f t="shared" ca="1" si="14"/>
        <v>120</v>
      </c>
      <c r="H53" s="13">
        <f ca="1">IFERROR(IF(AND($B53="Imbalance",H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H$15)),"")</f>
        <v>60</v>
      </c>
      <c r="I53" s="13">
        <f ca="1">IFERROR(IF(AND($B53="Imbalance",I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I$15)),"")</f>
        <v>60</v>
      </c>
      <c r="J53" s="13">
        <f ca="1">IFERROR(IF(AND($B53="Imbalance",J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J$15)),"")</f>
        <v>0</v>
      </c>
      <c r="L53" t="str">
        <f t="shared" ca="1" si="15"/>
        <v/>
      </c>
    </row>
    <row r="54" spans="1:12" x14ac:dyDescent="0.2">
      <c r="A54" s="4">
        <f t="shared" ca="1" si="12"/>
        <v>38</v>
      </c>
      <c r="B54" t="str">
        <f t="shared" ca="1" si="10"/>
        <v>Imbalance</v>
      </c>
      <c r="D54" t="str">
        <f t="shared" ca="1" si="9"/>
        <v/>
      </c>
      <c r="E54">
        <f t="shared" ca="1" si="13"/>
        <v>1</v>
      </c>
      <c r="F54">
        <f t="shared" ca="1" si="11"/>
        <v>2</v>
      </c>
      <c r="G54" s="13" t="str">
        <f t="shared" ca="1" si="14"/>
        <v/>
      </c>
      <c r="H54" s="13">
        <f ca="1">IFERROR(IF(AND($B54="Imbalance",H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H$15)),"")</f>
        <v>0</v>
      </c>
      <c r="I54" s="13">
        <f ca="1">IFERROR(IF(AND($B54="Imbalance",I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I$15)),"")</f>
        <v>0</v>
      </c>
      <c r="J54" s="13">
        <f ca="1">IFERROR(IF(AND($B54="Imbalance",J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J$15)),"")</f>
        <v>0</v>
      </c>
      <c r="L54" t="str">
        <f t="shared" ca="1" si="15"/>
        <v/>
      </c>
    </row>
    <row r="55" spans="1:12" x14ac:dyDescent="0.2">
      <c r="A55" s="4">
        <f t="shared" ca="1" si="12"/>
        <v>39</v>
      </c>
      <c r="B55" t="str">
        <f t="shared" ca="1" si="10"/>
        <v>Production quantity</v>
      </c>
      <c r="D55" t="str">
        <f t="shared" ca="1" si="9"/>
        <v/>
      </c>
      <c r="E55">
        <f t="shared" ca="1" si="13"/>
        <v>1</v>
      </c>
      <c r="F55">
        <f t="shared" ca="1" si="11"/>
        <v>2</v>
      </c>
      <c r="G55" s="13">
        <f t="shared" ca="1" si="14"/>
        <v>120</v>
      </c>
      <c r="H55" s="13">
        <f ca="1">IFERROR(IF(AND($B55="Imbalance",H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H$15)),"")</f>
        <v>50</v>
      </c>
      <c r="I55" s="13">
        <f ca="1">IFERROR(IF(AND($B55="Imbalance",I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I$15)),"")</f>
        <v>50</v>
      </c>
      <c r="J55" s="13">
        <f ca="1">IFERROR(IF(AND($B55="Imbalance",J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J$15)),"")</f>
        <v>20</v>
      </c>
      <c r="L55" t="str">
        <f t="shared" ca="1" si="15"/>
        <v/>
      </c>
    </row>
    <row r="56" spans="1:12" x14ac:dyDescent="0.2">
      <c r="A56" s="4">
        <f t="shared" ca="1" si="12"/>
        <v>40</v>
      </c>
      <c r="B56" t="str">
        <f t="shared" ca="1" si="10"/>
        <v>Delivery product</v>
      </c>
      <c r="D56" t="str">
        <f t="shared" ca="1" si="9"/>
        <v/>
      </c>
      <c r="E56" t="str">
        <f t="shared" ca="1" si="13"/>
        <v/>
      </c>
      <c r="F56" t="str">
        <f t="shared" ca="1" si="11"/>
        <v/>
      </c>
      <c r="G56" s="13" t="str">
        <f t="shared" ca="1" si="14"/>
        <v/>
      </c>
      <c r="H56" s="13" t="str">
        <f ca="1">IFERROR(IF(AND($B56="Imbalance",H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H$15)),"")</f>
        <v/>
      </c>
      <c r="I56" s="13" t="str">
        <f ca="1">IFERROR(IF(AND($B56="Imbalance",I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I$15)),"")</f>
        <v/>
      </c>
      <c r="J56" s="13" t="str">
        <f ca="1">IFERROR(IF(AND($B56="Imbalance",J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J$15)),"")</f>
        <v/>
      </c>
      <c r="L56" t="str">
        <f t="shared" ca="1" si="15"/>
        <v/>
      </c>
    </row>
    <row r="57" spans="1:12" x14ac:dyDescent="0.2">
      <c r="A57" s="4">
        <f t="shared" ca="1" si="12"/>
        <v>41</v>
      </c>
      <c r="B57" t="str">
        <f t="shared" ca="1" si="10"/>
        <v>Bid volume</v>
      </c>
      <c r="D57" t="str">
        <f t="shared" ca="1" si="9"/>
        <v/>
      </c>
      <c r="E57">
        <f t="shared" ca="1" si="13"/>
        <v>2</v>
      </c>
      <c r="F57">
        <f t="shared" ca="1" si="11"/>
        <v>2</v>
      </c>
      <c r="G57" s="13" t="str">
        <f t="shared" ca="1" si="14"/>
        <v/>
      </c>
      <c r="H57" s="13">
        <f ca="1">IFERROR(IF(AND($B57="Imbalance",H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H$15)),"")</f>
        <v>0</v>
      </c>
      <c r="I57" s="13">
        <f ca="1">IFERROR(IF(AND($B57="Imbalance",I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I$15)),"")</f>
        <v>0</v>
      </c>
      <c r="J57" s="13">
        <f ca="1">IFERROR(IF(AND($B57="Imbalance",J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J$15)),"")</f>
        <v>0</v>
      </c>
      <c r="L57" t="str">
        <f t="shared" ca="1" si="15"/>
        <v/>
      </c>
    </row>
    <row r="58" spans="1:12" x14ac:dyDescent="0.2">
      <c r="A58" s="4">
        <f t="shared" ca="1" si="12"/>
        <v>42</v>
      </c>
      <c r="B58" t="str">
        <f t="shared" ca="1" si="10"/>
        <v>Transaction volume</v>
      </c>
      <c r="D58" t="str">
        <f t="shared" ca="1" si="9"/>
        <v/>
      </c>
      <c r="E58">
        <f t="shared" ca="1" si="13"/>
        <v>2</v>
      </c>
      <c r="F58">
        <f t="shared" ca="1" si="11"/>
        <v>2</v>
      </c>
      <c r="G58" s="13" t="str">
        <f t="shared" ca="1" si="14"/>
        <v/>
      </c>
      <c r="H58" s="13">
        <f ca="1">IFERROR(IF(AND($B58="Imbalance",H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H$15)),"")</f>
        <v>0</v>
      </c>
      <c r="I58" s="13">
        <f ca="1">IFERROR(IF(AND($B58="Imbalance",I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I$15)),"")</f>
        <v>0</v>
      </c>
      <c r="J58" s="13">
        <f ca="1">IFERROR(IF(AND($B58="Imbalance",J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J$15)),"")</f>
        <v>0</v>
      </c>
      <c r="L58" t="str">
        <f t="shared" ca="1" si="15"/>
        <v/>
      </c>
    </row>
    <row r="59" spans="1:12" x14ac:dyDescent="0.2">
      <c r="A59" s="4">
        <f t="shared" ca="1" si="12"/>
        <v>43</v>
      </c>
      <c r="B59" t="str">
        <f t="shared" ca="1" si="10"/>
        <v>Imbalance</v>
      </c>
      <c r="D59" t="str">
        <f t="shared" ca="1" si="9"/>
        <v/>
      </c>
      <c r="E59">
        <f t="shared" ca="1" si="13"/>
        <v>2</v>
      </c>
      <c r="F59">
        <f t="shared" ca="1" si="11"/>
        <v>2</v>
      </c>
      <c r="G59" s="13" t="str">
        <f t="shared" ca="1" si="14"/>
        <v/>
      </c>
      <c r="H59" s="13">
        <f ca="1">IFERROR(IF(AND($B59="Imbalance",H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H$15)),"")</f>
        <v>0</v>
      </c>
      <c r="I59" s="13">
        <f ca="1">IFERROR(IF(AND($B59="Imbalance",I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I$15)),"")</f>
        <v>0</v>
      </c>
      <c r="J59" s="13">
        <f ca="1">IFERROR(IF(AND($B59="Imbalance",J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J$15)),"")</f>
        <v>0</v>
      </c>
      <c r="L59" t="str">
        <f t="shared" ca="1" si="15"/>
        <v/>
      </c>
    </row>
    <row r="60" spans="1:12" x14ac:dyDescent="0.2">
      <c r="A60" s="4">
        <f t="shared" ca="1" si="12"/>
        <v>44</v>
      </c>
      <c r="B60" t="str">
        <f t="shared" ca="1" si="10"/>
        <v>Production quantity</v>
      </c>
      <c r="D60" t="str">
        <f t="shared" ca="1" si="9"/>
        <v/>
      </c>
      <c r="E60">
        <f t="shared" ca="1" si="13"/>
        <v>2</v>
      </c>
      <c r="F60">
        <f t="shared" ca="1" si="11"/>
        <v>2</v>
      </c>
      <c r="G60" s="13">
        <f t="shared" ca="1" si="14"/>
        <v>115</v>
      </c>
      <c r="H60" s="13">
        <f ca="1">IFERROR(IF(AND($B60="Imbalance",H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H$15)),"")</f>
        <v>50</v>
      </c>
      <c r="I60" s="13">
        <f ca="1">IFERROR(IF(AND($B60="Imbalance",I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I$15)),"")</f>
        <v>50</v>
      </c>
      <c r="J60" s="13">
        <f ca="1">IFERROR(IF(AND($B60="Imbalance",J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J$15)),"")</f>
        <v>15</v>
      </c>
      <c r="L60" t="str">
        <f t="shared" ca="1" si="15"/>
        <v/>
      </c>
    </row>
    <row r="61" spans="1:12" x14ac:dyDescent="0.2">
      <c r="A61" s="4">
        <f t="shared" ca="1" si="12"/>
        <v>45</v>
      </c>
      <c r="B61" t="str">
        <f t="shared" ca="1" si="10"/>
        <v>Delivery product</v>
      </c>
      <c r="D61" t="str">
        <f t="shared" ca="1" si="9"/>
        <v/>
      </c>
      <c r="E61" t="str">
        <f t="shared" ca="1" si="13"/>
        <v/>
      </c>
      <c r="F61" t="str">
        <f t="shared" ca="1" si="11"/>
        <v/>
      </c>
      <c r="G61" s="13" t="str">
        <f t="shared" ca="1" si="14"/>
        <v/>
      </c>
      <c r="H61" s="13" t="str">
        <f ca="1">IFERROR(IF(AND($B61="Imbalance",H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H$15)),"")</f>
        <v/>
      </c>
      <c r="I61" s="13" t="str">
        <f ca="1">IFERROR(IF(AND($B61="Imbalance",I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I$15)),"")</f>
        <v/>
      </c>
      <c r="J61" s="13" t="str">
        <f ca="1">IFERROR(IF(AND($B61="Imbalance",J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J$15)),"")</f>
        <v/>
      </c>
      <c r="L61" t="str">
        <f t="shared" ca="1" si="15"/>
        <v/>
      </c>
    </row>
    <row r="62" spans="1:12" x14ac:dyDescent="0.2">
      <c r="A62" s="4">
        <f t="shared" ca="1" si="12"/>
        <v>46</v>
      </c>
      <c r="B62" t="str">
        <f t="shared" ca="1" si="10"/>
        <v>Bid volume</v>
      </c>
      <c r="D62" t="str">
        <f t="shared" ca="1" si="9"/>
        <v/>
      </c>
      <c r="E62">
        <f t="shared" ca="1" si="13"/>
        <v>0</v>
      </c>
      <c r="F62">
        <f t="shared" ca="1" si="11"/>
        <v>3</v>
      </c>
      <c r="G62" s="13">
        <f t="shared" ca="1" si="14"/>
        <v>105</v>
      </c>
      <c r="H62" s="13">
        <f ca="1">IFERROR(IF(AND($B62="Imbalance",H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H$15)),"")</f>
        <v>45</v>
      </c>
      <c r="I62" s="13">
        <f ca="1">IFERROR(IF(AND($B62="Imbalance",I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I$15)),"")</f>
        <v>60</v>
      </c>
      <c r="J62" s="13">
        <f ca="1">IFERROR(IF(AND($B62="Imbalance",J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J$15)),"")</f>
        <v>0</v>
      </c>
      <c r="L62" t="str">
        <f t="shared" ca="1" si="15"/>
        <v>YES</v>
      </c>
    </row>
    <row r="63" spans="1:12" x14ac:dyDescent="0.2">
      <c r="A63" s="4">
        <f t="shared" ca="1" si="12"/>
        <v>47</v>
      </c>
      <c r="B63" t="str">
        <f t="shared" ca="1" si="10"/>
        <v>Transaction volume</v>
      </c>
      <c r="D63" t="str">
        <f t="shared" ca="1" si="9"/>
        <v/>
      </c>
      <c r="E63">
        <f t="shared" ca="1" si="13"/>
        <v>0</v>
      </c>
      <c r="F63">
        <f t="shared" ca="1" si="11"/>
        <v>3</v>
      </c>
      <c r="G63" s="13">
        <f t="shared" ca="1" si="14"/>
        <v>105</v>
      </c>
      <c r="H63" s="13">
        <f ca="1">IFERROR(IF(AND($B63="Imbalance",H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H$15)),"")</f>
        <v>45</v>
      </c>
      <c r="I63" s="13">
        <f ca="1">IFERROR(IF(AND($B63="Imbalance",I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I$15)),"")</f>
        <v>60</v>
      </c>
      <c r="J63" s="13">
        <f ca="1">IFERROR(IF(AND($B63="Imbalance",J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J$15)),"")</f>
        <v>0</v>
      </c>
      <c r="L63" t="str">
        <f t="shared" ca="1" si="15"/>
        <v/>
      </c>
    </row>
    <row r="64" spans="1:12" x14ac:dyDescent="0.2">
      <c r="A64" s="4">
        <f t="shared" ca="1" si="12"/>
        <v>48</v>
      </c>
      <c r="B64" t="str">
        <f t="shared" ca="1" si="10"/>
        <v>Imbalance</v>
      </c>
      <c r="D64" t="str">
        <f t="shared" ca="1" si="9"/>
        <v/>
      </c>
      <c r="E64">
        <f t="shared" ca="1" si="13"/>
        <v>0</v>
      </c>
      <c r="F64">
        <f t="shared" ca="1" si="11"/>
        <v>3</v>
      </c>
      <c r="G64" s="13" t="str">
        <f t="shared" ca="1" si="14"/>
        <v/>
      </c>
      <c r="H64" s="13">
        <f ca="1">IFERROR(IF(AND($B64="Imbalance",H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H$15)),"")</f>
        <v>0</v>
      </c>
      <c r="I64" s="13">
        <f ca="1">IFERROR(IF(AND($B64="Imbalance",I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I$15)),"")</f>
        <v>0</v>
      </c>
      <c r="J64" s="13">
        <f ca="1">IFERROR(IF(AND($B64="Imbalance",J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J$15)),"")</f>
        <v>0</v>
      </c>
      <c r="L64" t="str">
        <f t="shared" ca="1" si="15"/>
        <v/>
      </c>
    </row>
    <row r="65" spans="1:12" x14ac:dyDescent="0.2">
      <c r="A65" s="4">
        <f t="shared" ca="1" si="12"/>
        <v>49</v>
      </c>
      <c r="B65" t="str">
        <f t="shared" ca="1" si="10"/>
        <v>Production quantity</v>
      </c>
      <c r="D65" t="str">
        <f t="shared" ca="1" si="9"/>
        <v/>
      </c>
      <c r="E65">
        <f t="shared" ca="1" si="13"/>
        <v>0</v>
      </c>
      <c r="F65">
        <f t="shared" ca="1" si="11"/>
        <v>3</v>
      </c>
      <c r="G65" s="13">
        <f t="shared" ca="1" si="14"/>
        <v>105</v>
      </c>
      <c r="H65" s="13">
        <f ca="1">IFERROR(IF(AND($B65="Imbalance",H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H$15)),"")</f>
        <v>55</v>
      </c>
      <c r="I65" s="13">
        <f ca="1">IFERROR(IF(AND($B65="Imbalance",I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I$15)),"")</f>
        <v>50</v>
      </c>
      <c r="J65" s="13">
        <f ca="1">IFERROR(IF(AND($B65="Imbalance",J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J$15)),"")</f>
        <v>0</v>
      </c>
      <c r="L65" t="str">
        <f t="shared" ca="1" si="15"/>
        <v/>
      </c>
    </row>
    <row r="66" spans="1:12" x14ac:dyDescent="0.2">
      <c r="A66" s="4">
        <f t="shared" ca="1" si="12"/>
        <v>50</v>
      </c>
      <c r="B66" t="str">
        <f t="shared" ca="1" si="10"/>
        <v>Delivery product</v>
      </c>
      <c r="D66" t="str">
        <f t="shared" ca="1" si="9"/>
        <v/>
      </c>
      <c r="E66" t="str">
        <f t="shared" ca="1" si="13"/>
        <v/>
      </c>
      <c r="F66" t="str">
        <f t="shared" ca="1" si="11"/>
        <v/>
      </c>
      <c r="G66" s="13" t="str">
        <f t="shared" ca="1" si="14"/>
        <v/>
      </c>
      <c r="H66" s="13" t="str">
        <f ca="1">IFERROR(IF(AND($B66="Imbalance",H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H$15)),"")</f>
        <v/>
      </c>
      <c r="I66" s="13" t="str">
        <f ca="1">IFERROR(IF(AND($B66="Imbalance",I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I$15)),"")</f>
        <v/>
      </c>
      <c r="J66" s="13" t="str">
        <f ca="1">IFERROR(IF(AND($B66="Imbalance",J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J$15)),"")</f>
        <v/>
      </c>
      <c r="L66" t="str">
        <f t="shared" ca="1" si="15"/>
        <v/>
      </c>
    </row>
    <row r="67" spans="1:12" x14ac:dyDescent="0.2">
      <c r="A67" s="4">
        <f t="shared" ca="1" si="12"/>
        <v>51</v>
      </c>
      <c r="B67" t="str">
        <f t="shared" ca="1" si="10"/>
        <v>Bid volume</v>
      </c>
      <c r="D67" t="str">
        <f t="shared" ca="1" si="9"/>
        <v/>
      </c>
      <c r="E67">
        <f t="shared" ca="1" si="13"/>
        <v>1</v>
      </c>
      <c r="F67">
        <f t="shared" ca="1" si="11"/>
        <v>3</v>
      </c>
      <c r="G67" s="13">
        <f t="shared" ca="1" si="14"/>
        <v>105</v>
      </c>
      <c r="H67" s="13">
        <f ca="1">IFERROR(IF(AND($B67="Imbalance",H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H$15)),"")</f>
        <v>60</v>
      </c>
      <c r="I67" s="13">
        <f ca="1">IFERROR(IF(AND($B67="Imbalance",I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I$15)),"")</f>
        <v>45</v>
      </c>
      <c r="J67" s="13">
        <f ca="1">IFERROR(IF(AND($B67="Imbalance",J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J$15)),"")</f>
        <v>0</v>
      </c>
      <c r="L67" t="str">
        <f t="shared" ca="1" si="15"/>
        <v>YES</v>
      </c>
    </row>
    <row r="68" spans="1:12" x14ac:dyDescent="0.2">
      <c r="A68" s="4">
        <f t="shared" ca="1" si="12"/>
        <v>52</v>
      </c>
      <c r="B68" t="str">
        <f t="shared" ca="1" si="10"/>
        <v>Transaction volume</v>
      </c>
      <c r="D68" t="str">
        <f t="shared" ca="1" si="9"/>
        <v/>
      </c>
      <c r="E68">
        <f t="shared" ca="1" si="13"/>
        <v>1</v>
      </c>
      <c r="F68">
        <f t="shared" ca="1" si="11"/>
        <v>3</v>
      </c>
      <c r="G68" s="13">
        <f t="shared" ca="1" si="14"/>
        <v>105</v>
      </c>
      <c r="H68" s="13">
        <f ca="1">IFERROR(IF(AND($B68="Imbalance",H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H$15)),"")</f>
        <v>60</v>
      </c>
      <c r="I68" s="13">
        <f ca="1">IFERROR(IF(AND($B68="Imbalance",I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I$15)),"")</f>
        <v>45</v>
      </c>
      <c r="J68" s="13">
        <f ca="1">IFERROR(IF(AND($B68="Imbalance",J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J$15)),"")</f>
        <v>0</v>
      </c>
      <c r="L68" t="str">
        <f t="shared" ca="1" si="15"/>
        <v/>
      </c>
    </row>
    <row r="69" spans="1:12" x14ac:dyDescent="0.2">
      <c r="A69" s="4">
        <f t="shared" ca="1" si="12"/>
        <v>53</v>
      </c>
      <c r="B69" t="str">
        <f t="shared" ca="1" si="10"/>
        <v>Imbalance</v>
      </c>
      <c r="D69" t="str">
        <f t="shared" ca="1" si="9"/>
        <v/>
      </c>
      <c r="E69">
        <f t="shared" ca="1" si="13"/>
        <v>1</v>
      </c>
      <c r="F69">
        <f t="shared" ca="1" si="11"/>
        <v>3</v>
      </c>
      <c r="G69" s="13" t="str">
        <f t="shared" ca="1" si="14"/>
        <v/>
      </c>
      <c r="H69" s="13">
        <f ca="1">IFERROR(IF(AND($B69="Imbalance",H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H$15)),"")</f>
        <v>0</v>
      </c>
      <c r="I69" s="13">
        <f ca="1">IFERROR(IF(AND($B69="Imbalance",I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I$15)),"")</f>
        <v>0</v>
      </c>
      <c r="J69" s="13">
        <f ca="1">IFERROR(IF(AND($B69="Imbalance",J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J$15)),"")</f>
        <v>0</v>
      </c>
      <c r="L69" t="str">
        <f t="shared" ca="1" si="15"/>
        <v/>
      </c>
    </row>
    <row r="70" spans="1:12" x14ac:dyDescent="0.2">
      <c r="A70" s="4">
        <f t="shared" ca="1" si="12"/>
        <v>54</v>
      </c>
      <c r="B70" t="str">
        <f t="shared" ca="1" si="10"/>
        <v>Production quantity</v>
      </c>
      <c r="D70" t="str">
        <f t="shared" ca="1" si="9"/>
        <v/>
      </c>
      <c r="E70">
        <f t="shared" ca="1" si="13"/>
        <v>1</v>
      </c>
      <c r="F70">
        <f t="shared" ca="1" si="11"/>
        <v>3</v>
      </c>
      <c r="G70" s="13">
        <f t="shared" ca="1" si="14"/>
        <v>105</v>
      </c>
      <c r="H70" s="13">
        <f ca="1">IFERROR(IF(AND($B70="Imbalance",H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H$15)),"")</f>
        <v>55</v>
      </c>
      <c r="I70" s="13">
        <f ca="1">IFERROR(IF(AND($B70="Imbalance",I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I$15)),"")</f>
        <v>50</v>
      </c>
      <c r="J70" s="13">
        <f ca="1">IFERROR(IF(AND($B70="Imbalance",J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J$15)),"")</f>
        <v>0</v>
      </c>
      <c r="L70" t="str">
        <f t="shared" ca="1" si="15"/>
        <v/>
      </c>
    </row>
    <row r="71" spans="1:12" x14ac:dyDescent="0.2">
      <c r="A71" s="18">
        <f t="shared" ca="1" si="12"/>
        <v>55</v>
      </c>
      <c r="B71" s="6" t="str">
        <f t="shared" ca="1" si="10"/>
        <v>Delivery product</v>
      </c>
      <c r="C71" s="6"/>
      <c r="D71" t="str">
        <f t="shared" ca="1" si="9"/>
        <v/>
      </c>
      <c r="E71" s="6" t="str">
        <f t="shared" ca="1" si="13"/>
        <v/>
      </c>
      <c r="F71" s="6" t="str">
        <f t="shared" ca="1" si="11"/>
        <v/>
      </c>
      <c r="G71" s="20" t="str">
        <f t="shared" ca="1" si="14"/>
        <v/>
      </c>
      <c r="H71" s="13" t="str">
        <f ca="1">IFERROR(IF(AND($B71="Imbalance",H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H$15)),"")</f>
        <v/>
      </c>
      <c r="I71" s="13" t="str">
        <f ca="1">IFERROR(IF(AND($B71="Imbalance",I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I$15)),"")</f>
        <v/>
      </c>
      <c r="J71" s="13" t="str">
        <f ca="1">IFERROR(IF(AND($B71="Imbalance",J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J$15)),"")</f>
        <v/>
      </c>
      <c r="L71" t="str">
        <f t="shared" ca="1" si="15"/>
        <v/>
      </c>
    </row>
    <row r="72" spans="1:12" x14ac:dyDescent="0.2">
      <c r="A72" s="4">
        <f t="shared" ca="1" si="12"/>
        <v>56</v>
      </c>
      <c r="B72" t="str">
        <f t="shared" ca="1" si="10"/>
        <v>Bid volume</v>
      </c>
      <c r="D72" t="str">
        <f t="shared" ca="1" si="9"/>
        <v/>
      </c>
      <c r="E72">
        <f t="shared" ca="1" si="13"/>
        <v>2</v>
      </c>
      <c r="F72">
        <f t="shared" ca="1" si="11"/>
        <v>3</v>
      </c>
      <c r="G72" s="13" t="str">
        <f t="shared" ca="1" si="14"/>
        <v/>
      </c>
      <c r="H72" s="13">
        <f ca="1">IFERROR(IF(AND($B72="Imbalance",H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H$15)),"")</f>
        <v>0</v>
      </c>
      <c r="I72" s="13">
        <f ca="1">IFERROR(IF(AND($B72="Imbalance",I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I$15)),"")</f>
        <v>0</v>
      </c>
      <c r="J72" s="13">
        <f ca="1">IFERROR(IF(AND($B72="Imbalance",J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J$15)),"")</f>
        <v>0</v>
      </c>
      <c r="L72" t="str">
        <f t="shared" ca="1" si="15"/>
        <v/>
      </c>
    </row>
    <row r="73" spans="1:12" x14ac:dyDescent="0.2">
      <c r="A73" s="4">
        <f t="shared" ca="1" si="12"/>
        <v>57</v>
      </c>
      <c r="B73" t="str">
        <f t="shared" ca="1" si="10"/>
        <v>Transaction volume</v>
      </c>
      <c r="D73" t="str">
        <f t="shared" ca="1" si="9"/>
        <v/>
      </c>
      <c r="E73">
        <f t="shared" ca="1" si="13"/>
        <v>2</v>
      </c>
      <c r="F73">
        <f t="shared" ca="1" si="11"/>
        <v>3</v>
      </c>
      <c r="G73" s="13" t="str">
        <f t="shared" ca="1" si="14"/>
        <v/>
      </c>
      <c r="H73" s="13">
        <f ca="1">IFERROR(IF(AND($B73="Imbalance",H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H$15)),"")</f>
        <v>0</v>
      </c>
      <c r="I73" s="13">
        <f ca="1">IFERROR(IF(AND($B73="Imbalance",I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I$15)),"")</f>
        <v>0</v>
      </c>
      <c r="J73" s="13">
        <f ca="1">IFERROR(IF(AND($B73="Imbalance",J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J$15)),"")</f>
        <v>0</v>
      </c>
      <c r="L73" t="str">
        <f t="shared" ca="1" si="15"/>
        <v/>
      </c>
    </row>
    <row r="74" spans="1:12" x14ac:dyDescent="0.2">
      <c r="A74" s="4">
        <f t="shared" ca="1" si="12"/>
        <v>58</v>
      </c>
      <c r="B74" t="str">
        <f t="shared" ca="1" si="10"/>
        <v>Imbalance</v>
      </c>
      <c r="D74" t="str">
        <f t="shared" ca="1" si="9"/>
        <v/>
      </c>
      <c r="E74">
        <f t="shared" ca="1" si="13"/>
        <v>2</v>
      </c>
      <c r="F74">
        <f t="shared" ca="1" si="11"/>
        <v>3</v>
      </c>
      <c r="G74" s="13" t="str">
        <f t="shared" ca="1" si="14"/>
        <v/>
      </c>
      <c r="H74" s="13">
        <f ca="1">IFERROR(IF(AND($B74="Imbalance",H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H$15)),"")</f>
        <v>0</v>
      </c>
      <c r="I74" s="13">
        <f ca="1">IFERROR(IF(AND($B74="Imbalance",I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I$15)),"")</f>
        <v>0</v>
      </c>
      <c r="J74" s="13">
        <f ca="1">IFERROR(IF(AND($B74="Imbalance",J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J$15)),"")</f>
        <v>0</v>
      </c>
      <c r="L74" t="str">
        <f t="shared" ca="1" si="15"/>
        <v/>
      </c>
    </row>
    <row r="75" spans="1:12" x14ac:dyDescent="0.2">
      <c r="A75" s="4">
        <f t="shared" ca="1" si="12"/>
        <v>59</v>
      </c>
      <c r="B75" t="str">
        <f t="shared" ca="1" si="10"/>
        <v>Production quantity</v>
      </c>
      <c r="D75" t="str">
        <f t="shared" ca="1" si="9"/>
        <v/>
      </c>
      <c r="E75">
        <f t="shared" ca="1" si="13"/>
        <v>2</v>
      </c>
      <c r="F75">
        <f t="shared" ca="1" si="11"/>
        <v>3</v>
      </c>
      <c r="G75" s="13">
        <f t="shared" ca="1" si="14"/>
        <v>105</v>
      </c>
      <c r="H75" s="13">
        <f ca="1">IFERROR(IF(AND($B75="Imbalance",H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H$15)),"")</f>
        <v>55</v>
      </c>
      <c r="I75" s="13">
        <f ca="1">IFERROR(IF(AND($B75="Imbalance",I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I$15)),"")</f>
        <v>50</v>
      </c>
      <c r="J75" s="13">
        <f ca="1">IFERROR(IF(AND($B75="Imbalance",J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J$15)),"")</f>
        <v>0</v>
      </c>
      <c r="L75" t="str">
        <f t="shared" ca="1" si="15"/>
        <v/>
      </c>
    </row>
    <row r="76" spans="1:12" x14ac:dyDescent="0.2">
      <c r="A76" s="4">
        <f t="shared" ca="1" si="12"/>
        <v>60</v>
      </c>
      <c r="B76" t="str">
        <f t="shared" ca="1" si="10"/>
        <v>Delivery product</v>
      </c>
      <c r="D76" t="str">
        <f t="shared" ca="1" si="9"/>
        <v/>
      </c>
      <c r="E76" t="str">
        <f t="shared" ca="1" si="13"/>
        <v/>
      </c>
      <c r="F76" t="str">
        <f t="shared" ca="1" si="11"/>
        <v/>
      </c>
      <c r="G76" s="13" t="str">
        <f t="shared" ca="1" si="14"/>
        <v/>
      </c>
      <c r="H76" s="13" t="str">
        <f ca="1">IFERROR(IF(AND($B76="Imbalance",H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H$15)),"")</f>
        <v/>
      </c>
      <c r="I76" s="13" t="str">
        <f ca="1">IFERROR(IF(AND($B76="Imbalance",I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I$15)),"")</f>
        <v/>
      </c>
      <c r="J76" s="13" t="str">
        <f ca="1">IFERROR(IF(AND($B76="Imbalance",J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J$15)),"")</f>
        <v/>
      </c>
      <c r="L76" t="str">
        <f t="shared" ca="1" si="15"/>
        <v/>
      </c>
    </row>
    <row r="77" spans="1:12" x14ac:dyDescent="0.2">
      <c r="A77" s="4">
        <f t="shared" ca="1" si="12"/>
        <v>61</v>
      </c>
      <c r="B77" t="str">
        <f t="shared" ca="1" si="10"/>
        <v>Bid volume</v>
      </c>
      <c r="D77" t="str">
        <f t="shared" ca="1" si="9"/>
        <v/>
      </c>
      <c r="E77">
        <f t="shared" ca="1" si="13"/>
        <v>0</v>
      </c>
      <c r="F77">
        <f t="shared" ca="1" si="11"/>
        <v>4</v>
      </c>
      <c r="G77" s="13">
        <f t="shared" ca="1" si="14"/>
        <v>110</v>
      </c>
      <c r="H77" s="13">
        <f ca="1">IFERROR(IF(AND($B77="Imbalance",H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H$15)),"")</f>
        <v>50</v>
      </c>
      <c r="I77" s="13">
        <f ca="1">IFERROR(IF(AND($B77="Imbalance",I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I$15)),"")</f>
        <v>60</v>
      </c>
      <c r="J77" s="13">
        <f ca="1">IFERROR(IF(AND($B77="Imbalance",J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J$15)),"")</f>
        <v>0</v>
      </c>
      <c r="L77" t="str">
        <f t="shared" ca="1" si="15"/>
        <v>YES</v>
      </c>
    </row>
    <row r="78" spans="1:12" x14ac:dyDescent="0.2">
      <c r="A78" s="4">
        <f t="shared" ca="1" si="12"/>
        <v>62</v>
      </c>
      <c r="B78" t="str">
        <f t="shared" ca="1" si="10"/>
        <v>Transaction volume</v>
      </c>
      <c r="D78" t="str">
        <f t="shared" ca="1" si="9"/>
        <v/>
      </c>
      <c r="E78">
        <f t="shared" ca="1" si="13"/>
        <v>0</v>
      </c>
      <c r="F78">
        <f t="shared" ca="1" si="11"/>
        <v>4</v>
      </c>
      <c r="G78" s="13">
        <f t="shared" ca="1" si="14"/>
        <v>110</v>
      </c>
      <c r="H78" s="13">
        <f ca="1">IFERROR(IF(AND($B78="Imbalance",H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H$15)),"")</f>
        <v>50</v>
      </c>
      <c r="I78" s="13">
        <f ca="1">IFERROR(IF(AND($B78="Imbalance",I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I$15)),"")</f>
        <v>60</v>
      </c>
      <c r="J78" s="13">
        <f ca="1">IFERROR(IF(AND($B78="Imbalance",J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J$15)),"")</f>
        <v>0</v>
      </c>
      <c r="L78" t="str">
        <f t="shared" ca="1" si="15"/>
        <v/>
      </c>
    </row>
    <row r="79" spans="1:12" x14ac:dyDescent="0.2">
      <c r="A79" s="4">
        <f t="shared" ca="1" si="12"/>
        <v>63</v>
      </c>
      <c r="B79" t="str">
        <f t="shared" ca="1" si="10"/>
        <v>Imbalance</v>
      </c>
      <c r="D79" t="str">
        <f t="shared" ca="1" si="9"/>
        <v/>
      </c>
      <c r="E79">
        <f t="shared" ca="1" si="13"/>
        <v>0</v>
      </c>
      <c r="F79">
        <f t="shared" ca="1" si="11"/>
        <v>4</v>
      </c>
      <c r="G79" s="13" t="str">
        <f t="shared" ca="1" si="14"/>
        <v/>
      </c>
      <c r="H79" s="13">
        <f ca="1">IFERROR(IF(AND($B79="Imbalance",H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H$15)),"")</f>
        <v>0</v>
      </c>
      <c r="I79" s="13">
        <f ca="1">IFERROR(IF(AND($B79="Imbalance",I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I$15)),"")</f>
        <v>0</v>
      </c>
      <c r="J79" s="13">
        <f ca="1">IFERROR(IF(AND($B79="Imbalance",J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J$15)),"")</f>
        <v>0</v>
      </c>
      <c r="L79" t="str">
        <f t="shared" ca="1" si="15"/>
        <v/>
      </c>
    </row>
    <row r="80" spans="1:12" x14ac:dyDescent="0.2">
      <c r="A80" s="4">
        <f t="shared" ca="1" si="12"/>
        <v>64</v>
      </c>
      <c r="B80" t="str">
        <f t="shared" ref="B80:B111" ca="1" si="16">IFERROR(IF(NOT(ISBLANK(A80)),VLOOKUP(MOD(A80,$D$9),INDIRECT("Lookup!$A$2:$B$"&amp;$D$9+1),2,FALSE),""),"B")</f>
        <v>Production quantity</v>
      </c>
      <c r="D80" t="str">
        <f t="shared" ca="1" si="9"/>
        <v/>
      </c>
      <c r="E80">
        <f t="shared" ca="1" si="13"/>
        <v>0</v>
      </c>
      <c r="F80">
        <f t="shared" ref="F80:F111" ca="1" si="17">IFERROR(IF(B80="Delivery product","",IF(NOT(ISBLANK(A80)),MOD(ROUNDDOWN(A80/$D$9/$D$6,0),$D$7),"")),"")</f>
        <v>4</v>
      </c>
      <c r="G80" s="13">
        <f t="shared" ca="1" si="14"/>
        <v>110</v>
      </c>
      <c r="H80" s="13">
        <f ca="1">IFERROR(IF(AND($B80="Imbalance",H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H$15)),"")</f>
        <v>60</v>
      </c>
      <c r="I80" s="13">
        <f ca="1">IFERROR(IF(AND($B80="Imbalance",I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I$15)),"")</f>
        <v>50</v>
      </c>
      <c r="J80" s="13">
        <f ca="1">IFERROR(IF(AND($B80="Imbalance",J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J$15)),"")</f>
        <v>0</v>
      </c>
      <c r="L80" t="str">
        <f t="shared" ca="1" si="15"/>
        <v/>
      </c>
    </row>
    <row r="81" spans="1:12" x14ac:dyDescent="0.2">
      <c r="A81" s="4">
        <f t="shared" ref="A81:A112" ca="1" si="18">IFERROR(IF((A80+1)/$D$9&lt;$D$7*$D$6,A80+1,""),"")</f>
        <v>65</v>
      </c>
      <c r="B81" t="str">
        <f t="shared" ca="1" si="16"/>
        <v>Delivery product</v>
      </c>
      <c r="D81" t="str">
        <f t="shared" ca="1" si="9"/>
        <v/>
      </c>
      <c r="E81" t="str">
        <f t="shared" ref="E81:E112" ca="1" si="19">IFERROR(IF(B81="Delivery product","",IF(NOT(ISBLANK(A81)),MOD(ROUNDDOWN(A81/$D$9,0),$D$6),"")),"")</f>
        <v/>
      </c>
      <c r="F81" t="str">
        <f t="shared" ca="1" si="17"/>
        <v/>
      </c>
      <c r="G81" s="13" t="str">
        <f t="shared" ref="G81:G112" ca="1" si="20">IF(SUM(H81:J81)&gt;0,SUM(H81:J81),"")</f>
        <v/>
      </c>
      <c r="H81" s="13" t="str">
        <f ca="1">IFERROR(IF(AND($B81="Imbalance",H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H$15)),"")</f>
        <v/>
      </c>
      <c r="I81" s="13" t="str">
        <f ca="1">IFERROR(IF(AND($B81="Imbalance",I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I$15)),"")</f>
        <v/>
      </c>
      <c r="J81" s="13" t="str">
        <f ca="1">IFERROR(IF(AND($B81="Imbalance",J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J$15)),"")</f>
        <v/>
      </c>
      <c r="L81" t="str">
        <f t="shared" ca="1" si="15"/>
        <v/>
      </c>
    </row>
    <row r="82" spans="1:12" x14ac:dyDescent="0.2">
      <c r="A82" s="4">
        <f t="shared" ca="1" si="18"/>
        <v>66</v>
      </c>
      <c r="B82" t="str">
        <f t="shared" ca="1" si="16"/>
        <v>Bid volume</v>
      </c>
      <c r="D82" t="str">
        <f t="shared" ca="1" si="9"/>
        <v/>
      </c>
      <c r="E82">
        <f t="shared" ca="1" si="19"/>
        <v>1</v>
      </c>
      <c r="F82">
        <f t="shared" ca="1" si="17"/>
        <v>4</v>
      </c>
      <c r="G82" s="13">
        <f t="shared" ca="1" si="20"/>
        <v>110</v>
      </c>
      <c r="H82" s="13">
        <f ca="1">IFERROR(IF(AND($B82="Imbalance",H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H$15)),"")</f>
        <v>50</v>
      </c>
      <c r="I82" s="13">
        <f ca="1">IFERROR(IF(AND($B82="Imbalance",I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I$15)),"")</f>
        <v>60</v>
      </c>
      <c r="J82" s="13">
        <f ca="1">IFERROR(IF(AND($B82="Imbalance",J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J$15)),"")</f>
        <v>0</v>
      </c>
      <c r="L82" t="str">
        <f t="shared" ref="L82:L113" ca="1" si="21">IF(AND(MOD(ROW(G83),$D$9)=3,G83&lt;&gt;"",G82&lt;&gt;""),"YES","")</f>
        <v>YES</v>
      </c>
    </row>
    <row r="83" spans="1:12" x14ac:dyDescent="0.2">
      <c r="A83" s="4">
        <f t="shared" ca="1" si="18"/>
        <v>67</v>
      </c>
      <c r="B83" t="str">
        <f t="shared" ca="1" si="16"/>
        <v>Transaction volume</v>
      </c>
      <c r="D83" t="str">
        <f t="shared" ca="1" si="9"/>
        <v/>
      </c>
      <c r="E83">
        <f t="shared" ca="1" si="19"/>
        <v>1</v>
      </c>
      <c r="F83">
        <f t="shared" ca="1" si="17"/>
        <v>4</v>
      </c>
      <c r="G83" s="13">
        <f t="shared" ca="1" si="20"/>
        <v>110</v>
      </c>
      <c r="H83" s="13">
        <f ca="1">IFERROR(IF(AND($B83="Imbalance",H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H$15)),"")</f>
        <v>50</v>
      </c>
      <c r="I83" s="13">
        <f ca="1">IFERROR(IF(AND($B83="Imbalance",I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I$15)),"")</f>
        <v>60</v>
      </c>
      <c r="J83" s="13">
        <f ca="1">IFERROR(IF(AND($B83="Imbalance",J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J$15)),"")</f>
        <v>0</v>
      </c>
      <c r="L83" t="str">
        <f t="shared" ca="1" si="21"/>
        <v/>
      </c>
    </row>
    <row r="84" spans="1:12" x14ac:dyDescent="0.2">
      <c r="A84" s="4">
        <f t="shared" ca="1" si="18"/>
        <v>68</v>
      </c>
      <c r="B84" t="str">
        <f t="shared" ca="1" si="16"/>
        <v>Imbalance</v>
      </c>
      <c r="D84" t="str">
        <f t="shared" ca="1" si="9"/>
        <v/>
      </c>
      <c r="E84">
        <f t="shared" ca="1" si="19"/>
        <v>1</v>
      </c>
      <c r="F84">
        <f t="shared" ca="1" si="17"/>
        <v>4</v>
      </c>
      <c r="G84" s="13" t="str">
        <f t="shared" ca="1" si="20"/>
        <v/>
      </c>
      <c r="H84" s="13">
        <f ca="1">IFERROR(IF(AND($B84="Imbalance",H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H$15)),"")</f>
        <v>0</v>
      </c>
      <c r="I84" s="13">
        <f ca="1">IFERROR(IF(AND($B84="Imbalance",I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I$15)),"")</f>
        <v>0</v>
      </c>
      <c r="J84" s="13">
        <f ca="1">IFERROR(IF(AND($B84="Imbalance",J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J$15)),"")</f>
        <v>0</v>
      </c>
      <c r="L84" t="str">
        <f t="shared" ca="1" si="21"/>
        <v/>
      </c>
    </row>
    <row r="85" spans="1:12" x14ac:dyDescent="0.2">
      <c r="A85" s="4">
        <f t="shared" ca="1" si="18"/>
        <v>69</v>
      </c>
      <c r="B85" t="str">
        <f t="shared" ca="1" si="16"/>
        <v>Production quantity</v>
      </c>
      <c r="D85" t="str">
        <f t="shared" ref="D85:D146" ca="1" si="22">IFERROR(IF(B85="Bid volume","",IF(B85="Transaction volume",IF(OR(H85-0.01&gt;H84,I85-0.01&gt;I84,J85-0.01&gt;J84),"Error1",""),IF($B85="Production quantity",IF(ABS(G85-G84-G83)&gt;0.05,"Error2",""),""))),"")</f>
        <v/>
      </c>
      <c r="E85">
        <f t="shared" ca="1" si="19"/>
        <v>1</v>
      </c>
      <c r="F85">
        <f t="shared" ca="1" si="17"/>
        <v>4</v>
      </c>
      <c r="G85" s="13">
        <f t="shared" ca="1" si="20"/>
        <v>110</v>
      </c>
      <c r="H85" s="13">
        <f ca="1">IFERROR(IF(AND($B85="Imbalance",H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H$15)),"")</f>
        <v>60</v>
      </c>
      <c r="I85" s="13">
        <f ca="1">IFERROR(IF(AND($B85="Imbalance",I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I$15)),"")</f>
        <v>50</v>
      </c>
      <c r="J85" s="13">
        <f ca="1">IFERROR(IF(AND($B85="Imbalance",J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J$15)),"")</f>
        <v>0</v>
      </c>
      <c r="L85" t="str">
        <f t="shared" ca="1" si="21"/>
        <v/>
      </c>
    </row>
    <row r="86" spans="1:12" x14ac:dyDescent="0.2">
      <c r="A86" s="4">
        <f t="shared" ca="1" si="18"/>
        <v>70</v>
      </c>
      <c r="B86" t="str">
        <f t="shared" ca="1" si="16"/>
        <v>Delivery product</v>
      </c>
      <c r="D86" t="str">
        <f t="shared" ca="1" si="22"/>
        <v/>
      </c>
      <c r="E86" t="str">
        <f t="shared" ca="1" si="19"/>
        <v/>
      </c>
      <c r="F86" t="str">
        <f t="shared" ca="1" si="17"/>
        <v/>
      </c>
      <c r="G86" s="13" t="str">
        <f t="shared" ca="1" si="20"/>
        <v/>
      </c>
      <c r="H86" s="13" t="str">
        <f ca="1">IFERROR(IF(AND($B86="Imbalance",H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H$15)),"")</f>
        <v/>
      </c>
      <c r="I86" s="13" t="str">
        <f ca="1">IFERROR(IF(AND($B86="Imbalance",I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I$15)),"")</f>
        <v/>
      </c>
      <c r="J86" s="13" t="str">
        <f ca="1">IFERROR(IF(AND($B86="Imbalance",J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J$15)),"")</f>
        <v/>
      </c>
      <c r="L86" t="str">
        <f t="shared" ca="1" si="21"/>
        <v/>
      </c>
    </row>
    <row r="87" spans="1:12" x14ac:dyDescent="0.2">
      <c r="A87" s="4">
        <f t="shared" ca="1" si="18"/>
        <v>71</v>
      </c>
      <c r="B87" t="str">
        <f t="shared" ca="1" si="16"/>
        <v>Bid volume</v>
      </c>
      <c r="D87" t="str">
        <f t="shared" ca="1" si="22"/>
        <v/>
      </c>
      <c r="E87">
        <f t="shared" ca="1" si="19"/>
        <v>2</v>
      </c>
      <c r="F87">
        <f t="shared" ca="1" si="17"/>
        <v>4</v>
      </c>
      <c r="G87" s="13" t="str">
        <f t="shared" ca="1" si="20"/>
        <v/>
      </c>
      <c r="H87" s="13">
        <f ca="1">IFERROR(IF(AND($B87="Imbalance",H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H$15)),"")</f>
        <v>0</v>
      </c>
      <c r="I87" s="13">
        <f ca="1">IFERROR(IF(AND($B87="Imbalance",I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I$15)),"")</f>
        <v>0</v>
      </c>
      <c r="J87" s="13">
        <f ca="1">IFERROR(IF(AND($B87="Imbalance",J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J$15)),"")</f>
        <v>0</v>
      </c>
      <c r="L87" t="str">
        <f t="shared" ca="1" si="21"/>
        <v/>
      </c>
    </row>
    <row r="88" spans="1:12" x14ac:dyDescent="0.2">
      <c r="A88" s="4">
        <f t="shared" ca="1" si="18"/>
        <v>72</v>
      </c>
      <c r="B88" t="str">
        <f t="shared" ca="1" si="16"/>
        <v>Transaction volume</v>
      </c>
      <c r="D88" t="str">
        <f t="shared" ca="1" si="22"/>
        <v/>
      </c>
      <c r="E88">
        <f t="shared" ca="1" si="19"/>
        <v>2</v>
      </c>
      <c r="F88">
        <f t="shared" ca="1" si="17"/>
        <v>4</v>
      </c>
      <c r="G88" s="13" t="str">
        <f t="shared" ca="1" si="20"/>
        <v/>
      </c>
      <c r="H88" s="13">
        <f ca="1">IFERROR(IF(AND($B88="Imbalance",H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H$15)),"")</f>
        <v>0</v>
      </c>
      <c r="I88" s="13">
        <f ca="1">IFERROR(IF(AND($B88="Imbalance",I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I$15)),"")</f>
        <v>0</v>
      </c>
      <c r="J88" s="13">
        <f ca="1">IFERROR(IF(AND($B88="Imbalance",J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J$15)),"")</f>
        <v>0</v>
      </c>
      <c r="L88" t="str">
        <f t="shared" ca="1" si="21"/>
        <v/>
      </c>
    </row>
    <row r="89" spans="1:12" x14ac:dyDescent="0.2">
      <c r="A89" s="4">
        <f t="shared" ca="1" si="18"/>
        <v>73</v>
      </c>
      <c r="B89" t="str">
        <f t="shared" ca="1" si="16"/>
        <v>Imbalance</v>
      </c>
      <c r="D89" t="str">
        <f t="shared" ca="1" si="22"/>
        <v/>
      </c>
      <c r="E89">
        <f t="shared" ca="1" si="19"/>
        <v>2</v>
      </c>
      <c r="F89">
        <f t="shared" ca="1" si="17"/>
        <v>4</v>
      </c>
      <c r="G89" s="13" t="str">
        <f t="shared" ca="1" si="20"/>
        <v/>
      </c>
      <c r="H89" s="13">
        <f ca="1">IFERROR(IF(AND($B89="Imbalance",H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H$15)),"")</f>
        <v>0</v>
      </c>
      <c r="I89" s="13">
        <f ca="1">IFERROR(IF(AND($B89="Imbalance",I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I$15)),"")</f>
        <v>0</v>
      </c>
      <c r="J89" s="13">
        <f ca="1">IFERROR(IF(AND($B89="Imbalance",J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J$15)),"")</f>
        <v>0</v>
      </c>
      <c r="L89" t="str">
        <f t="shared" ca="1" si="21"/>
        <v/>
      </c>
    </row>
    <row r="90" spans="1:12" x14ac:dyDescent="0.2">
      <c r="A90" s="4">
        <f t="shared" ca="1" si="18"/>
        <v>74</v>
      </c>
      <c r="B90" t="str">
        <f t="shared" ca="1" si="16"/>
        <v>Production quantity</v>
      </c>
      <c r="D90" t="str">
        <f t="shared" ca="1" si="22"/>
        <v/>
      </c>
      <c r="E90">
        <f t="shared" ca="1" si="19"/>
        <v>2</v>
      </c>
      <c r="F90">
        <f t="shared" ca="1" si="17"/>
        <v>4</v>
      </c>
      <c r="G90" s="13">
        <f t="shared" ca="1" si="20"/>
        <v>110</v>
      </c>
      <c r="H90" s="13">
        <f ca="1">IFERROR(IF(AND($B90="Imbalance",H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H$15)),"")</f>
        <v>60</v>
      </c>
      <c r="I90" s="13">
        <f ca="1">IFERROR(IF(AND($B90="Imbalance",I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I$15)),"")</f>
        <v>50</v>
      </c>
      <c r="J90" s="13">
        <f ca="1">IFERROR(IF(AND($B90="Imbalance",J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J$15)),"")</f>
        <v>0</v>
      </c>
      <c r="L90" t="str">
        <f t="shared" ca="1" si="21"/>
        <v/>
      </c>
    </row>
    <row r="91" spans="1:12" x14ac:dyDescent="0.2">
      <c r="A91" s="4">
        <f t="shared" ca="1" si="18"/>
        <v>75</v>
      </c>
      <c r="B91" t="str">
        <f t="shared" ca="1" si="16"/>
        <v>Delivery product</v>
      </c>
      <c r="D91" t="str">
        <f t="shared" ca="1" si="22"/>
        <v/>
      </c>
      <c r="E91" t="str">
        <f t="shared" ca="1" si="19"/>
        <v/>
      </c>
      <c r="F91" t="str">
        <f t="shared" ca="1" si="17"/>
        <v/>
      </c>
      <c r="G91" s="13" t="str">
        <f t="shared" ca="1" si="20"/>
        <v/>
      </c>
      <c r="H91" s="13" t="str">
        <f ca="1">IFERROR(IF(AND($B91="Imbalance",H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H$15)),"")</f>
        <v/>
      </c>
      <c r="I91" s="13" t="str">
        <f ca="1">IFERROR(IF(AND($B91="Imbalance",I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I$15)),"")</f>
        <v/>
      </c>
      <c r="J91" s="13" t="str">
        <f ca="1">IFERROR(IF(AND($B91="Imbalance",J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J$15)),"")</f>
        <v/>
      </c>
      <c r="L91" t="str">
        <f t="shared" ca="1" si="21"/>
        <v/>
      </c>
    </row>
    <row r="92" spans="1:12" x14ac:dyDescent="0.2">
      <c r="A92" s="4">
        <f t="shared" ca="1" si="18"/>
        <v>76</v>
      </c>
      <c r="B92" t="str">
        <f t="shared" ca="1" si="16"/>
        <v>Bid volume</v>
      </c>
      <c r="D92" t="str">
        <f t="shared" ca="1" si="22"/>
        <v/>
      </c>
      <c r="E92">
        <f t="shared" ca="1" si="19"/>
        <v>0</v>
      </c>
      <c r="F92">
        <f t="shared" ca="1" si="17"/>
        <v>5</v>
      </c>
      <c r="G92" s="13">
        <f t="shared" ca="1" si="20"/>
        <v>115</v>
      </c>
      <c r="H92" s="13">
        <f ca="1">IFERROR(IF(AND($B92="Imbalance",H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H$15)),"")</f>
        <v>55</v>
      </c>
      <c r="I92" s="13">
        <f ca="1">IFERROR(IF(AND($B92="Imbalance",I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I$15)),"")</f>
        <v>60</v>
      </c>
      <c r="J92" s="13">
        <f ca="1">IFERROR(IF(AND($B92="Imbalance",J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J$15)),"")</f>
        <v>0</v>
      </c>
      <c r="L92" t="str">
        <f t="shared" ca="1" si="21"/>
        <v>YES</v>
      </c>
    </row>
    <row r="93" spans="1:12" x14ac:dyDescent="0.2">
      <c r="A93" s="4">
        <f t="shared" ca="1" si="18"/>
        <v>77</v>
      </c>
      <c r="B93" t="str">
        <f t="shared" ca="1" si="16"/>
        <v>Transaction volume</v>
      </c>
      <c r="D93" t="str">
        <f t="shared" ca="1" si="22"/>
        <v/>
      </c>
      <c r="E93">
        <f t="shared" ca="1" si="19"/>
        <v>0</v>
      </c>
      <c r="F93">
        <f t="shared" ca="1" si="17"/>
        <v>5</v>
      </c>
      <c r="G93" s="13">
        <f t="shared" ca="1" si="20"/>
        <v>115</v>
      </c>
      <c r="H93" s="13">
        <f ca="1">IFERROR(IF(AND($B93="Imbalance",H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H$15)),"")</f>
        <v>55</v>
      </c>
      <c r="I93" s="13">
        <f ca="1">IFERROR(IF(AND($B93="Imbalance",I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I$15)),"")</f>
        <v>60</v>
      </c>
      <c r="J93" s="13">
        <f ca="1">IFERROR(IF(AND($B93="Imbalance",J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J$15)),"")</f>
        <v>0</v>
      </c>
      <c r="L93" t="str">
        <f t="shared" ca="1" si="21"/>
        <v/>
      </c>
    </row>
    <row r="94" spans="1:12" x14ac:dyDescent="0.2">
      <c r="A94" s="4">
        <f t="shared" ca="1" si="18"/>
        <v>78</v>
      </c>
      <c r="B94" t="str">
        <f t="shared" ca="1" si="16"/>
        <v>Imbalance</v>
      </c>
      <c r="D94" t="str">
        <f t="shared" ca="1" si="22"/>
        <v/>
      </c>
      <c r="E94">
        <f t="shared" ca="1" si="19"/>
        <v>0</v>
      </c>
      <c r="F94">
        <f t="shared" ca="1" si="17"/>
        <v>5</v>
      </c>
      <c r="G94" s="13" t="str">
        <f t="shared" ca="1" si="20"/>
        <v/>
      </c>
      <c r="H94" s="13">
        <f ca="1">IFERROR(IF(AND($B94="Imbalance",H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H$15)),"")</f>
        <v>0</v>
      </c>
      <c r="I94" s="13">
        <f ca="1">IFERROR(IF(AND($B94="Imbalance",I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I$15)),"")</f>
        <v>0</v>
      </c>
      <c r="J94" s="13">
        <f ca="1">IFERROR(IF(AND($B94="Imbalance",J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J$15)),"")</f>
        <v>0</v>
      </c>
      <c r="L94" t="str">
        <f t="shared" ca="1" si="21"/>
        <v/>
      </c>
    </row>
    <row r="95" spans="1:12" x14ac:dyDescent="0.2">
      <c r="A95" s="4">
        <f t="shared" ca="1" si="18"/>
        <v>79</v>
      </c>
      <c r="B95" t="str">
        <f t="shared" ca="1" si="16"/>
        <v>Production quantity</v>
      </c>
      <c r="D95" t="str">
        <f t="shared" ca="1" si="22"/>
        <v/>
      </c>
      <c r="E95">
        <f t="shared" ca="1" si="19"/>
        <v>0</v>
      </c>
      <c r="F95">
        <f t="shared" ca="1" si="17"/>
        <v>5</v>
      </c>
      <c r="G95" s="13">
        <f t="shared" ca="1" si="20"/>
        <v>115</v>
      </c>
      <c r="H95" s="13">
        <f ca="1">IFERROR(IF(AND($B95="Imbalance",H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H$15)),"")</f>
        <v>65</v>
      </c>
      <c r="I95" s="13">
        <f ca="1">IFERROR(IF(AND($B95="Imbalance",I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I$15)),"")</f>
        <v>50</v>
      </c>
      <c r="J95" s="13">
        <f ca="1">IFERROR(IF(AND($B95="Imbalance",J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J$15)),"")</f>
        <v>0</v>
      </c>
      <c r="L95" t="str">
        <f t="shared" ca="1" si="21"/>
        <v/>
      </c>
    </row>
    <row r="96" spans="1:12" x14ac:dyDescent="0.2">
      <c r="A96" s="4">
        <f t="shared" ca="1" si="18"/>
        <v>80</v>
      </c>
      <c r="B96" t="str">
        <f t="shared" ca="1" si="16"/>
        <v>Delivery product</v>
      </c>
      <c r="D96" t="str">
        <f t="shared" ca="1" si="22"/>
        <v/>
      </c>
      <c r="E96" t="str">
        <f t="shared" ca="1" si="19"/>
        <v/>
      </c>
      <c r="F96" t="str">
        <f t="shared" ca="1" si="17"/>
        <v/>
      </c>
      <c r="G96" s="13" t="str">
        <f t="shared" ca="1" si="20"/>
        <v/>
      </c>
      <c r="H96" s="13" t="str">
        <f ca="1">IFERROR(IF(AND($B96="Imbalance",H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H$15)),"")</f>
        <v/>
      </c>
      <c r="I96" s="13" t="str">
        <f ca="1">IFERROR(IF(AND($B96="Imbalance",I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I$15)),"")</f>
        <v/>
      </c>
      <c r="J96" s="13" t="str">
        <f ca="1">IFERROR(IF(AND($B96="Imbalance",J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J$15)),"")</f>
        <v/>
      </c>
      <c r="L96" t="str">
        <f t="shared" ca="1" si="21"/>
        <v/>
      </c>
    </row>
    <row r="97" spans="1:12" x14ac:dyDescent="0.2">
      <c r="A97" s="4">
        <f t="shared" ca="1" si="18"/>
        <v>81</v>
      </c>
      <c r="B97" t="str">
        <f t="shared" ca="1" si="16"/>
        <v>Bid volume</v>
      </c>
      <c r="D97" t="str">
        <f t="shared" ca="1" si="22"/>
        <v/>
      </c>
      <c r="E97">
        <f t="shared" ca="1" si="19"/>
        <v>1</v>
      </c>
      <c r="F97">
        <f t="shared" ca="1" si="17"/>
        <v>5</v>
      </c>
      <c r="G97" s="13">
        <f t="shared" ca="1" si="20"/>
        <v>115</v>
      </c>
      <c r="H97" s="13">
        <f ca="1">IFERROR(IF(AND($B97="Imbalance",H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H$15)),"")</f>
        <v>60</v>
      </c>
      <c r="I97" s="13">
        <f ca="1">IFERROR(IF(AND($B97="Imbalance",I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I$15)),"")</f>
        <v>55</v>
      </c>
      <c r="J97" s="13">
        <f ca="1">IFERROR(IF(AND($B97="Imbalance",J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J$15)),"")</f>
        <v>0</v>
      </c>
      <c r="L97" t="str">
        <f t="shared" ca="1" si="21"/>
        <v>YES</v>
      </c>
    </row>
    <row r="98" spans="1:12" x14ac:dyDescent="0.2">
      <c r="A98" s="4">
        <f t="shared" ca="1" si="18"/>
        <v>82</v>
      </c>
      <c r="B98" t="str">
        <f t="shared" ca="1" si="16"/>
        <v>Transaction volume</v>
      </c>
      <c r="D98" t="str">
        <f t="shared" ca="1" si="22"/>
        <v/>
      </c>
      <c r="E98">
        <f t="shared" ca="1" si="19"/>
        <v>1</v>
      </c>
      <c r="F98">
        <f t="shared" ca="1" si="17"/>
        <v>5</v>
      </c>
      <c r="G98" s="13">
        <f t="shared" ca="1" si="20"/>
        <v>60</v>
      </c>
      <c r="H98" s="13">
        <f ca="1">IFERROR(IF(AND($B98="Imbalance",H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H$15)),"")</f>
        <v>60</v>
      </c>
      <c r="I98" s="13">
        <f ca="1">IFERROR(IF(AND($B98="Imbalance",I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I$15)),"")</f>
        <v>0</v>
      </c>
      <c r="J98" s="13">
        <f ca="1">IFERROR(IF(AND($B98="Imbalance",J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J$15)),"")</f>
        <v>0</v>
      </c>
      <c r="L98" t="str">
        <f t="shared" ca="1" si="21"/>
        <v/>
      </c>
    </row>
    <row r="99" spans="1:12" x14ac:dyDescent="0.2">
      <c r="A99" s="4">
        <f t="shared" ca="1" si="18"/>
        <v>83</v>
      </c>
      <c r="B99" t="str">
        <f t="shared" ca="1" si="16"/>
        <v>Imbalance</v>
      </c>
      <c r="D99" t="str">
        <f t="shared" ca="1" si="22"/>
        <v/>
      </c>
      <c r="E99">
        <f t="shared" ca="1" si="19"/>
        <v>1</v>
      </c>
      <c r="F99">
        <f t="shared" ca="1" si="17"/>
        <v>5</v>
      </c>
      <c r="G99" s="13" t="str">
        <f t="shared" ca="1" si="20"/>
        <v/>
      </c>
      <c r="H99" s="13">
        <f ca="1">IFERROR(IF(AND($B99="Imbalance",H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H$15)),"")</f>
        <v>0</v>
      </c>
      <c r="I99" s="13">
        <f ca="1">IFERROR(IF(AND($B99="Imbalance",I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I$15)),"")</f>
        <v>0</v>
      </c>
      <c r="J99" s="13">
        <f ca="1">IFERROR(IF(AND($B99="Imbalance",J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J$15)),"")</f>
        <v>0</v>
      </c>
      <c r="L99" t="str">
        <f t="shared" ca="1" si="21"/>
        <v/>
      </c>
    </row>
    <row r="100" spans="1:12" x14ac:dyDescent="0.2">
      <c r="A100" s="4">
        <f t="shared" ca="1" si="18"/>
        <v>84</v>
      </c>
      <c r="B100" t="str">
        <f t="shared" ca="1" si="16"/>
        <v>Production quantity</v>
      </c>
      <c r="D100" t="str">
        <f t="shared" ca="1" si="22"/>
        <v/>
      </c>
      <c r="E100">
        <f t="shared" ca="1" si="19"/>
        <v>1</v>
      </c>
      <c r="F100">
        <f t="shared" ca="1" si="17"/>
        <v>5</v>
      </c>
      <c r="G100" s="13">
        <f t="shared" ca="1" si="20"/>
        <v>115</v>
      </c>
      <c r="H100" s="13">
        <f ca="1">IFERROR(IF(AND($B100="Imbalance",H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H$15)),"")</f>
        <v>65</v>
      </c>
      <c r="I100" s="13">
        <f ca="1">IFERROR(IF(AND($B100="Imbalance",I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I$15)),"")</f>
        <v>50</v>
      </c>
      <c r="J100" s="13">
        <f ca="1">IFERROR(IF(AND($B100="Imbalance",J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J$15)),"")</f>
        <v>0</v>
      </c>
      <c r="L100" t="str">
        <f t="shared" ca="1" si="21"/>
        <v/>
      </c>
    </row>
    <row r="101" spans="1:12" x14ac:dyDescent="0.2">
      <c r="A101" s="4">
        <f t="shared" ca="1" si="18"/>
        <v>85</v>
      </c>
      <c r="B101" t="str">
        <f t="shared" ca="1" si="16"/>
        <v>Delivery product</v>
      </c>
      <c r="D101" t="str">
        <f t="shared" ca="1" si="22"/>
        <v/>
      </c>
      <c r="E101" t="str">
        <f t="shared" ca="1" si="19"/>
        <v/>
      </c>
      <c r="F101" t="str">
        <f t="shared" ca="1" si="17"/>
        <v/>
      </c>
      <c r="G101" s="13" t="str">
        <f t="shared" ca="1" si="20"/>
        <v/>
      </c>
      <c r="H101" s="13" t="str">
        <f ca="1">IFERROR(IF(AND($B101="Imbalance",H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H$15)),"")</f>
        <v/>
      </c>
      <c r="I101" s="13" t="str">
        <f ca="1">IFERROR(IF(AND($B101="Imbalance",I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I$15)),"")</f>
        <v/>
      </c>
      <c r="J101" s="13" t="str">
        <f ca="1">IFERROR(IF(AND($B101="Imbalance",J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J$15)),"")</f>
        <v/>
      </c>
      <c r="L101" t="str">
        <f t="shared" ca="1" si="21"/>
        <v/>
      </c>
    </row>
    <row r="102" spans="1:12" x14ac:dyDescent="0.2">
      <c r="A102" s="4">
        <f t="shared" ca="1" si="18"/>
        <v>86</v>
      </c>
      <c r="B102" t="str">
        <f t="shared" ca="1" si="16"/>
        <v>Bid volume</v>
      </c>
      <c r="D102" t="str">
        <f t="shared" ca="1" si="22"/>
        <v/>
      </c>
      <c r="E102">
        <f t="shared" ca="1" si="19"/>
        <v>2</v>
      </c>
      <c r="F102">
        <f t="shared" ca="1" si="17"/>
        <v>5</v>
      </c>
      <c r="G102" s="13" t="str">
        <f t="shared" ca="1" si="20"/>
        <v/>
      </c>
      <c r="H102" s="13">
        <f ca="1">IFERROR(IF(AND($B102="Imbalance",H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H$15)),"")</f>
        <v>0</v>
      </c>
      <c r="I102" s="13">
        <f ca="1">IFERROR(IF(AND($B102="Imbalance",I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I$15)),"")</f>
        <v>0</v>
      </c>
      <c r="J102" s="13">
        <f ca="1">IFERROR(IF(AND($B102="Imbalance",J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J$15)),"")</f>
        <v>0</v>
      </c>
      <c r="L102" t="str">
        <f t="shared" ca="1" si="21"/>
        <v/>
      </c>
    </row>
    <row r="103" spans="1:12" x14ac:dyDescent="0.2">
      <c r="A103" s="4">
        <f t="shared" ca="1" si="18"/>
        <v>87</v>
      </c>
      <c r="B103" t="str">
        <f t="shared" ca="1" si="16"/>
        <v>Transaction volume</v>
      </c>
      <c r="D103" t="str">
        <f t="shared" ca="1" si="22"/>
        <v/>
      </c>
      <c r="E103">
        <f t="shared" ca="1" si="19"/>
        <v>2</v>
      </c>
      <c r="F103">
        <f t="shared" ca="1" si="17"/>
        <v>5</v>
      </c>
      <c r="G103" s="13" t="str">
        <f t="shared" ca="1" si="20"/>
        <v/>
      </c>
      <c r="H103" s="13">
        <f ca="1">IFERROR(IF(AND($B103="Imbalance",H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H$15)),"")</f>
        <v>0</v>
      </c>
      <c r="I103" s="13">
        <f ca="1">IFERROR(IF(AND($B103="Imbalance",I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I$15)),"")</f>
        <v>0</v>
      </c>
      <c r="J103" s="13">
        <f ca="1">IFERROR(IF(AND($B103="Imbalance",J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J$15)),"")</f>
        <v>0</v>
      </c>
      <c r="L103" t="str">
        <f t="shared" ca="1" si="21"/>
        <v/>
      </c>
    </row>
    <row r="104" spans="1:12" x14ac:dyDescent="0.2">
      <c r="A104" s="4">
        <f t="shared" ca="1" si="18"/>
        <v>88</v>
      </c>
      <c r="B104" t="str">
        <f t="shared" ca="1" si="16"/>
        <v>Imbalance</v>
      </c>
      <c r="D104" t="str">
        <f t="shared" ca="1" si="22"/>
        <v/>
      </c>
      <c r="E104">
        <f t="shared" ca="1" si="19"/>
        <v>2</v>
      </c>
      <c r="F104">
        <f t="shared" ca="1" si="17"/>
        <v>5</v>
      </c>
      <c r="G104" s="13" t="str">
        <f t="shared" ca="1" si="20"/>
        <v/>
      </c>
      <c r="H104" s="13">
        <f ca="1">IFERROR(IF(AND($B104="Imbalance",H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H$15)),"")</f>
        <v>0</v>
      </c>
      <c r="I104" s="13">
        <f ca="1">IFERROR(IF(AND($B104="Imbalance",I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I$15)),"")</f>
        <v>0</v>
      </c>
      <c r="J104" s="13">
        <f ca="1">IFERROR(IF(AND($B104="Imbalance",J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J$15)),"")</f>
        <v>0</v>
      </c>
      <c r="L104" t="str">
        <f t="shared" ca="1" si="21"/>
        <v/>
      </c>
    </row>
    <row r="105" spans="1:12" x14ac:dyDescent="0.2">
      <c r="A105" s="4">
        <f t="shared" ca="1" si="18"/>
        <v>89</v>
      </c>
      <c r="B105" t="str">
        <f t="shared" ca="1" si="16"/>
        <v>Production quantity</v>
      </c>
      <c r="D105" t="str">
        <f t="shared" ca="1" si="22"/>
        <v/>
      </c>
      <c r="E105">
        <f t="shared" ca="1" si="19"/>
        <v>2</v>
      </c>
      <c r="F105">
        <f t="shared" ca="1" si="17"/>
        <v>5</v>
      </c>
      <c r="G105" s="13">
        <f t="shared" ca="1" si="20"/>
        <v>115</v>
      </c>
      <c r="H105" s="13">
        <f ca="1">IFERROR(IF(AND($B105="Imbalance",H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H$15)),"")</f>
        <v>65</v>
      </c>
      <c r="I105" s="13">
        <f ca="1">IFERROR(IF(AND($B105="Imbalance",I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I$15)),"")</f>
        <v>50</v>
      </c>
      <c r="J105" s="13">
        <f ca="1">IFERROR(IF(AND($B105="Imbalance",J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J$15)),"")</f>
        <v>0</v>
      </c>
      <c r="L105" t="str">
        <f t="shared" ca="1" si="21"/>
        <v/>
      </c>
    </row>
    <row r="106" spans="1:12" x14ac:dyDescent="0.2">
      <c r="A106" s="4">
        <f t="shared" ca="1" si="18"/>
        <v>90</v>
      </c>
      <c r="B106" t="str">
        <f t="shared" ca="1" si="16"/>
        <v>Delivery product</v>
      </c>
      <c r="D106" t="str">
        <f t="shared" ca="1" si="22"/>
        <v/>
      </c>
      <c r="E106" t="str">
        <f t="shared" ca="1" si="19"/>
        <v/>
      </c>
      <c r="F106" t="str">
        <f t="shared" ca="1" si="17"/>
        <v/>
      </c>
      <c r="G106" s="13" t="str">
        <f t="shared" ca="1" si="20"/>
        <v/>
      </c>
      <c r="H106" s="13" t="str">
        <f ca="1">IFERROR(IF(AND($B106="Imbalance",H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H$15)),"")</f>
        <v/>
      </c>
      <c r="I106" s="13" t="str">
        <f ca="1">IFERROR(IF(AND($B106="Imbalance",I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I$15)),"")</f>
        <v/>
      </c>
      <c r="J106" s="13" t="str">
        <f ca="1">IFERROR(IF(AND($B106="Imbalance",J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J$15)),"")</f>
        <v/>
      </c>
      <c r="L106" t="str">
        <f t="shared" ca="1" si="21"/>
        <v/>
      </c>
    </row>
    <row r="107" spans="1:12" x14ac:dyDescent="0.2">
      <c r="A107" s="4">
        <f t="shared" ca="1" si="18"/>
        <v>91</v>
      </c>
      <c r="B107" t="str">
        <f t="shared" ca="1" si="16"/>
        <v>Bid volume</v>
      </c>
      <c r="D107" t="str">
        <f t="shared" ca="1" si="22"/>
        <v/>
      </c>
      <c r="E107">
        <f t="shared" ca="1" si="19"/>
        <v>0</v>
      </c>
      <c r="F107">
        <f t="shared" ca="1" si="17"/>
        <v>6</v>
      </c>
      <c r="G107" s="13">
        <f t="shared" ca="1" si="20"/>
        <v>120</v>
      </c>
      <c r="H107" s="13">
        <f ca="1">IFERROR(IF(AND($B107="Imbalance",H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H$15)),"")</f>
        <v>60</v>
      </c>
      <c r="I107" s="13">
        <f ca="1">IFERROR(IF(AND($B107="Imbalance",I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I$15)),"")</f>
        <v>60</v>
      </c>
      <c r="J107" s="13">
        <f ca="1">IFERROR(IF(AND($B107="Imbalance",J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J$15)),"")</f>
        <v>0</v>
      </c>
      <c r="L107" t="str">
        <f t="shared" ca="1" si="21"/>
        <v>YES</v>
      </c>
    </row>
    <row r="108" spans="1:12" x14ac:dyDescent="0.2">
      <c r="A108" s="4">
        <f t="shared" ca="1" si="18"/>
        <v>92</v>
      </c>
      <c r="B108" t="str">
        <f t="shared" ca="1" si="16"/>
        <v>Transaction volume</v>
      </c>
      <c r="D108" t="str">
        <f t="shared" ca="1" si="22"/>
        <v/>
      </c>
      <c r="E108">
        <f t="shared" ca="1" si="19"/>
        <v>0</v>
      </c>
      <c r="F108">
        <f t="shared" ca="1" si="17"/>
        <v>6</v>
      </c>
      <c r="G108" s="13">
        <f t="shared" ca="1" si="20"/>
        <v>120</v>
      </c>
      <c r="H108" s="13">
        <f ca="1">IFERROR(IF(AND($B108="Imbalance",H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H$15)),"")</f>
        <v>60</v>
      </c>
      <c r="I108" s="13">
        <f ca="1">IFERROR(IF(AND($B108="Imbalance",I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I$15)),"")</f>
        <v>60</v>
      </c>
      <c r="J108" s="13">
        <f ca="1">IFERROR(IF(AND($B108="Imbalance",J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J$15)),"")</f>
        <v>0</v>
      </c>
      <c r="L108" t="str">
        <f t="shared" ca="1" si="21"/>
        <v/>
      </c>
    </row>
    <row r="109" spans="1:12" x14ac:dyDescent="0.2">
      <c r="A109" s="4">
        <f t="shared" ca="1" si="18"/>
        <v>93</v>
      </c>
      <c r="B109" t="str">
        <f t="shared" ca="1" si="16"/>
        <v>Imbalance</v>
      </c>
      <c r="D109" t="str">
        <f t="shared" ca="1" si="22"/>
        <v/>
      </c>
      <c r="E109">
        <f t="shared" ca="1" si="19"/>
        <v>0</v>
      </c>
      <c r="F109">
        <f t="shared" ca="1" si="17"/>
        <v>6</v>
      </c>
      <c r="G109" s="13" t="str">
        <f t="shared" ca="1" si="20"/>
        <v/>
      </c>
      <c r="H109" s="13">
        <f ca="1">IFERROR(IF(AND($B109="Imbalance",H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H$15)),"")</f>
        <v>0</v>
      </c>
      <c r="I109" s="13">
        <f ca="1">IFERROR(IF(AND($B109="Imbalance",I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I$15)),"")</f>
        <v>0</v>
      </c>
      <c r="J109" s="13">
        <f ca="1">IFERROR(IF(AND($B109="Imbalance",J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J$15)),"")</f>
        <v>0</v>
      </c>
      <c r="L109" t="str">
        <f t="shared" ca="1" si="21"/>
        <v/>
      </c>
    </row>
    <row r="110" spans="1:12" x14ac:dyDescent="0.2">
      <c r="A110" s="4">
        <f t="shared" ca="1" si="18"/>
        <v>94</v>
      </c>
      <c r="B110" t="str">
        <f t="shared" ca="1" si="16"/>
        <v>Production quantity</v>
      </c>
      <c r="D110" t="str">
        <f t="shared" ca="1" si="22"/>
        <v/>
      </c>
      <c r="E110">
        <f t="shared" ca="1" si="19"/>
        <v>0</v>
      </c>
      <c r="F110">
        <f t="shared" ca="1" si="17"/>
        <v>6</v>
      </c>
      <c r="G110" s="13">
        <f t="shared" ca="1" si="20"/>
        <v>120</v>
      </c>
      <c r="H110" s="13">
        <f ca="1">IFERROR(IF(AND($B110="Imbalance",H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H$15)),"")</f>
        <v>70</v>
      </c>
      <c r="I110" s="13">
        <f ca="1">IFERROR(IF(AND($B110="Imbalance",I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I$15)),"")</f>
        <v>50</v>
      </c>
      <c r="J110" s="13">
        <f ca="1">IFERROR(IF(AND($B110="Imbalance",J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J$15)),"")</f>
        <v>0</v>
      </c>
      <c r="L110" t="str">
        <f t="shared" ca="1" si="21"/>
        <v/>
      </c>
    </row>
    <row r="111" spans="1:12" x14ac:dyDescent="0.2">
      <c r="A111" s="4">
        <f t="shared" ca="1" si="18"/>
        <v>95</v>
      </c>
      <c r="B111" t="str">
        <f t="shared" ca="1" si="16"/>
        <v>Delivery product</v>
      </c>
      <c r="D111" t="str">
        <f t="shared" ca="1" si="22"/>
        <v/>
      </c>
      <c r="E111" t="str">
        <f t="shared" ca="1" si="19"/>
        <v/>
      </c>
      <c r="F111" t="str">
        <f t="shared" ca="1" si="17"/>
        <v/>
      </c>
      <c r="G111" s="13" t="str">
        <f t="shared" ca="1" si="20"/>
        <v/>
      </c>
      <c r="H111" s="13" t="str">
        <f ca="1">IFERROR(IF(AND($B111="Imbalance",H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H$15)),"")</f>
        <v/>
      </c>
      <c r="I111" s="13" t="str">
        <f ca="1">IFERROR(IF(AND($B111="Imbalance",I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I$15)),"")</f>
        <v/>
      </c>
      <c r="J111" s="13" t="str">
        <f ca="1">IFERROR(IF(AND($B111="Imbalance",J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J$15)),"")</f>
        <v/>
      </c>
      <c r="L111" t="str">
        <f t="shared" ca="1" si="21"/>
        <v/>
      </c>
    </row>
    <row r="112" spans="1:12" x14ac:dyDescent="0.2">
      <c r="A112" s="4">
        <f t="shared" ca="1" si="18"/>
        <v>96</v>
      </c>
      <c r="B112" t="str">
        <f t="shared" ref="B112:B133" ca="1" si="23">IFERROR(IF(NOT(ISBLANK(A112)),VLOOKUP(MOD(A112,$D$9),INDIRECT("Lookup!$A$2:$B$"&amp;$D$9+1),2,FALSE),""),"B")</f>
        <v>Bid volume</v>
      </c>
      <c r="D112" t="str">
        <f t="shared" ca="1" si="22"/>
        <v/>
      </c>
      <c r="E112">
        <f t="shared" ca="1" si="19"/>
        <v>1</v>
      </c>
      <c r="F112">
        <f t="shared" ref="F112:F133" ca="1" si="24">IFERROR(IF(B112="Delivery product","",IF(NOT(ISBLANK(A112)),MOD(ROUNDDOWN(A112/$D$9/$D$6,0),$D$7),"")),"")</f>
        <v>6</v>
      </c>
      <c r="G112" s="13" t="str">
        <f t="shared" ca="1" si="20"/>
        <v/>
      </c>
      <c r="H112" s="13">
        <f ca="1">IFERROR(IF(AND($B112="Imbalance",H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H$15)),"")</f>
        <v>0</v>
      </c>
      <c r="I112" s="13">
        <f ca="1">IFERROR(IF(AND($B112="Imbalance",I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I$15)),"")</f>
        <v>0</v>
      </c>
      <c r="J112" s="13">
        <f ca="1">IFERROR(IF(AND($B112="Imbalance",J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J$15)),"")</f>
        <v>0</v>
      </c>
      <c r="L112" t="str">
        <f t="shared" ca="1" si="21"/>
        <v/>
      </c>
    </row>
    <row r="113" spans="1:12" x14ac:dyDescent="0.2">
      <c r="A113" s="4">
        <f t="shared" ref="A113:A133" ca="1" si="25">IFERROR(IF((A112+1)/$D$9&lt;$D$7*$D$6,A112+1,""),"")</f>
        <v>97</v>
      </c>
      <c r="B113" t="str">
        <f t="shared" ca="1" si="23"/>
        <v>Transaction volume</v>
      </c>
      <c r="D113" t="str">
        <f t="shared" ca="1" si="22"/>
        <v/>
      </c>
      <c r="E113">
        <f t="shared" ref="E113:E133" ca="1" si="26">IFERROR(IF(B113="Delivery product","",IF(NOT(ISBLANK(A113)),MOD(ROUNDDOWN(A113/$D$9,0),$D$6),"")),"")</f>
        <v>1</v>
      </c>
      <c r="F113">
        <f t="shared" ca="1" si="24"/>
        <v>6</v>
      </c>
      <c r="G113" s="13" t="str">
        <f t="shared" ref="G113:G133" ca="1" si="27">IF(SUM(H113:J113)&gt;0,SUM(H113:J113),"")</f>
        <v/>
      </c>
      <c r="H113" s="13">
        <f ca="1">IFERROR(IF(AND($B113="Imbalance",H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H$15)),"")</f>
        <v>0</v>
      </c>
      <c r="I113" s="13">
        <f ca="1">IFERROR(IF(AND($B113="Imbalance",I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I$15)),"")</f>
        <v>0</v>
      </c>
      <c r="J113" s="13">
        <f ca="1">IFERROR(IF(AND($B113="Imbalance",J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J$15)),"")</f>
        <v>0</v>
      </c>
      <c r="L113" t="str">
        <f t="shared" ca="1" si="21"/>
        <v/>
      </c>
    </row>
    <row r="114" spans="1:12" x14ac:dyDescent="0.2">
      <c r="A114" s="4">
        <f t="shared" ca="1" si="25"/>
        <v>98</v>
      </c>
      <c r="B114" t="str">
        <f t="shared" ca="1" si="23"/>
        <v>Imbalance</v>
      </c>
      <c r="D114" t="str">
        <f t="shared" ca="1" si="22"/>
        <v/>
      </c>
      <c r="E114">
        <f t="shared" ca="1" si="26"/>
        <v>1</v>
      </c>
      <c r="F114">
        <f t="shared" ca="1" si="24"/>
        <v>6</v>
      </c>
      <c r="G114" s="13" t="str">
        <f t="shared" ca="1" si="27"/>
        <v/>
      </c>
      <c r="H114" s="13">
        <f ca="1">IFERROR(IF(AND($B114="Imbalance",H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H$15)),"")</f>
        <v>0</v>
      </c>
      <c r="I114" s="13">
        <f ca="1">IFERROR(IF(AND($B114="Imbalance",I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I$15)),"")</f>
        <v>0</v>
      </c>
      <c r="J114" s="13">
        <f ca="1">IFERROR(IF(AND($B114="Imbalance",J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J$15)),"")</f>
        <v>0</v>
      </c>
      <c r="L114" t="str">
        <f t="shared" ref="L114:L133" ca="1" si="28">IF(AND(MOD(ROW(G115),$D$9)=3,G115&lt;&gt;"",G114&lt;&gt;""),"YES","")</f>
        <v/>
      </c>
    </row>
    <row r="115" spans="1:12" x14ac:dyDescent="0.2">
      <c r="A115" s="4">
        <f t="shared" ca="1" si="25"/>
        <v>99</v>
      </c>
      <c r="B115" t="str">
        <f t="shared" ca="1" si="23"/>
        <v>Production quantity</v>
      </c>
      <c r="D115" t="str">
        <f t="shared" ca="1" si="22"/>
        <v/>
      </c>
      <c r="E115">
        <f t="shared" ca="1" si="26"/>
        <v>1</v>
      </c>
      <c r="F115">
        <f t="shared" ca="1" si="24"/>
        <v>6</v>
      </c>
      <c r="G115" s="13">
        <f t="shared" ca="1" si="27"/>
        <v>120</v>
      </c>
      <c r="H115" s="13">
        <f ca="1">IFERROR(IF(AND($B115="Imbalance",H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H$15)),"")</f>
        <v>70</v>
      </c>
      <c r="I115" s="13">
        <f ca="1">IFERROR(IF(AND($B115="Imbalance",I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I$15)),"")</f>
        <v>50</v>
      </c>
      <c r="J115" s="13">
        <f ca="1">IFERROR(IF(AND($B115="Imbalance",J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J$15)),"")</f>
        <v>0</v>
      </c>
      <c r="L115" t="str">
        <f t="shared" ca="1" si="28"/>
        <v/>
      </c>
    </row>
    <row r="116" spans="1:12" x14ac:dyDescent="0.2">
      <c r="A116" s="4">
        <f t="shared" ca="1" si="25"/>
        <v>100</v>
      </c>
      <c r="B116" t="str">
        <f t="shared" ca="1" si="23"/>
        <v>Delivery product</v>
      </c>
      <c r="D116" t="str">
        <f t="shared" ca="1" si="22"/>
        <v/>
      </c>
      <c r="E116" t="str">
        <f t="shared" ca="1" si="26"/>
        <v/>
      </c>
      <c r="F116" t="str">
        <f t="shared" ca="1" si="24"/>
        <v/>
      </c>
      <c r="G116" s="13" t="str">
        <f t="shared" ca="1" si="27"/>
        <v/>
      </c>
      <c r="H116" s="13" t="str">
        <f ca="1">IFERROR(IF(AND($B116="Imbalance",H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H$15)),"")</f>
        <v/>
      </c>
      <c r="I116" s="13" t="str">
        <f ca="1">IFERROR(IF(AND($B116="Imbalance",I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I$15)),"")</f>
        <v/>
      </c>
      <c r="J116" s="13" t="str">
        <f ca="1">IFERROR(IF(AND($B116="Imbalance",J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J$15)),"")</f>
        <v/>
      </c>
      <c r="L116" t="str">
        <f t="shared" ca="1" si="28"/>
        <v/>
      </c>
    </row>
    <row r="117" spans="1:12" x14ac:dyDescent="0.2">
      <c r="A117" s="4">
        <f t="shared" ca="1" si="25"/>
        <v>101</v>
      </c>
      <c r="B117" t="str">
        <f t="shared" ca="1" si="23"/>
        <v>Bid volume</v>
      </c>
      <c r="D117" t="str">
        <f t="shared" ca="1" si="22"/>
        <v/>
      </c>
      <c r="E117">
        <f t="shared" ca="1" si="26"/>
        <v>2</v>
      </c>
      <c r="F117">
        <f t="shared" ca="1" si="24"/>
        <v>6</v>
      </c>
      <c r="G117" s="13" t="str">
        <f t="shared" ca="1" si="27"/>
        <v/>
      </c>
      <c r="H117" s="13">
        <f ca="1">IFERROR(IF(AND($B117="Imbalance",H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H$15)),"")</f>
        <v>0</v>
      </c>
      <c r="I117" s="13">
        <f ca="1">IFERROR(IF(AND($B117="Imbalance",I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I$15)),"")</f>
        <v>0</v>
      </c>
      <c r="J117" s="13">
        <f ca="1">IFERROR(IF(AND($B117="Imbalance",J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J$15)),"")</f>
        <v>0</v>
      </c>
      <c r="L117" t="str">
        <f t="shared" ca="1" si="28"/>
        <v/>
      </c>
    </row>
    <row r="118" spans="1:12" x14ac:dyDescent="0.2">
      <c r="A118" s="4">
        <f t="shared" ca="1" si="25"/>
        <v>102</v>
      </c>
      <c r="B118" t="str">
        <f t="shared" ca="1" si="23"/>
        <v>Transaction volume</v>
      </c>
      <c r="D118" t="str">
        <f t="shared" ca="1" si="22"/>
        <v/>
      </c>
      <c r="E118">
        <f t="shared" ca="1" si="26"/>
        <v>2</v>
      </c>
      <c r="F118">
        <f t="shared" ca="1" si="24"/>
        <v>6</v>
      </c>
      <c r="G118" s="13" t="str">
        <f t="shared" ca="1" si="27"/>
        <v/>
      </c>
      <c r="H118" s="13">
        <f ca="1">IFERROR(IF(AND($B118="Imbalance",H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H$15)),"")</f>
        <v>0</v>
      </c>
      <c r="I118" s="13">
        <f ca="1">IFERROR(IF(AND($B118="Imbalance",I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I$15)),"")</f>
        <v>0</v>
      </c>
      <c r="J118" s="13">
        <f ca="1">IFERROR(IF(AND($B118="Imbalance",J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J$15)),"")</f>
        <v>0</v>
      </c>
      <c r="L118" t="str">
        <f t="shared" ca="1" si="28"/>
        <v/>
      </c>
    </row>
    <row r="119" spans="1:12" x14ac:dyDescent="0.2">
      <c r="A119" s="4">
        <f t="shared" ca="1" si="25"/>
        <v>103</v>
      </c>
      <c r="B119" t="str">
        <f t="shared" ca="1" si="23"/>
        <v>Imbalance</v>
      </c>
      <c r="D119" t="str">
        <f t="shared" ca="1" si="22"/>
        <v/>
      </c>
      <c r="E119">
        <f t="shared" ca="1" si="26"/>
        <v>2</v>
      </c>
      <c r="F119">
        <f t="shared" ca="1" si="24"/>
        <v>6</v>
      </c>
      <c r="G119" s="13" t="str">
        <f t="shared" ca="1" si="27"/>
        <v/>
      </c>
      <c r="H119" s="13">
        <f ca="1">IFERROR(IF(AND($B119="Imbalance",H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H$15)),"")</f>
        <v>0</v>
      </c>
      <c r="I119" s="13">
        <f ca="1">IFERROR(IF(AND($B119="Imbalance",I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I$15)),"")</f>
        <v>0</v>
      </c>
      <c r="J119" s="13">
        <f ca="1">IFERROR(IF(AND($B119="Imbalance",J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J$15)),"")</f>
        <v>0</v>
      </c>
      <c r="L119" t="str">
        <f t="shared" ca="1" si="28"/>
        <v/>
      </c>
    </row>
    <row r="120" spans="1:12" x14ac:dyDescent="0.2">
      <c r="A120" s="4">
        <f t="shared" ca="1" si="25"/>
        <v>104</v>
      </c>
      <c r="B120" t="str">
        <f t="shared" ca="1" si="23"/>
        <v>Production quantity</v>
      </c>
      <c r="D120" t="str">
        <f t="shared" ca="1" si="22"/>
        <v/>
      </c>
      <c r="E120">
        <f t="shared" ca="1" si="26"/>
        <v>2</v>
      </c>
      <c r="F120">
        <f t="shared" ca="1" si="24"/>
        <v>6</v>
      </c>
      <c r="G120" s="13">
        <f t="shared" ca="1" si="27"/>
        <v>120</v>
      </c>
      <c r="H120" s="13">
        <f ca="1">IFERROR(IF(AND($B120="Imbalance",H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H$15)),"")</f>
        <v>70</v>
      </c>
      <c r="I120" s="13">
        <f ca="1">IFERROR(IF(AND($B120="Imbalance",I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I$15)),"")</f>
        <v>50</v>
      </c>
      <c r="J120" s="13">
        <f ca="1">IFERROR(IF(AND($B120="Imbalance",J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J$15)),"")</f>
        <v>0</v>
      </c>
      <c r="L120" t="str">
        <f t="shared" ca="1" si="28"/>
        <v/>
      </c>
    </row>
    <row r="121" spans="1:12" x14ac:dyDescent="0.2">
      <c r="A121" s="4">
        <f t="shared" ca="1" si="25"/>
        <v>105</v>
      </c>
      <c r="B121" t="str">
        <f t="shared" ca="1" si="23"/>
        <v>Delivery product</v>
      </c>
      <c r="D121" t="str">
        <f t="shared" ca="1" si="22"/>
        <v/>
      </c>
      <c r="E121" t="str">
        <f t="shared" ca="1" si="26"/>
        <v/>
      </c>
      <c r="F121" t="str">
        <f t="shared" ca="1" si="24"/>
        <v/>
      </c>
      <c r="G121" s="13" t="str">
        <f t="shared" ca="1" si="27"/>
        <v/>
      </c>
      <c r="H121" s="13" t="str">
        <f ca="1">IFERROR(IF(AND($B121="Imbalance",H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H$15)),"")</f>
        <v/>
      </c>
      <c r="I121" s="13" t="str">
        <f ca="1">IFERROR(IF(AND($B121="Imbalance",I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I$15)),"")</f>
        <v/>
      </c>
      <c r="J121" s="13" t="str">
        <f ca="1">IFERROR(IF(AND($B121="Imbalance",J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J$15)),"")</f>
        <v/>
      </c>
      <c r="L121" t="str">
        <f t="shared" ca="1" si="28"/>
        <v/>
      </c>
    </row>
    <row r="122" spans="1:12" x14ac:dyDescent="0.2">
      <c r="A122" s="4">
        <f t="shared" ca="1" si="25"/>
        <v>106</v>
      </c>
      <c r="B122" t="str">
        <f t="shared" ca="1" si="23"/>
        <v>Bid volume</v>
      </c>
      <c r="D122" t="str">
        <f t="shared" ca="1" si="22"/>
        <v/>
      </c>
      <c r="E122">
        <f t="shared" ca="1" si="26"/>
        <v>0</v>
      </c>
      <c r="F122">
        <f t="shared" ca="1" si="24"/>
        <v>7</v>
      </c>
      <c r="G122" s="13">
        <f t="shared" ca="1" si="27"/>
        <v>120</v>
      </c>
      <c r="H122" s="13">
        <f ca="1">IFERROR(IF(AND($B122="Imbalance",H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H$15)),"")</f>
        <v>60</v>
      </c>
      <c r="I122" s="13">
        <f ca="1">IFERROR(IF(AND($B122="Imbalance",I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I$15)),"")</f>
        <v>60</v>
      </c>
      <c r="J122" s="13">
        <f ca="1">IFERROR(IF(AND($B122="Imbalance",J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J$15)),"")</f>
        <v>0</v>
      </c>
      <c r="L122" t="str">
        <f t="shared" ca="1" si="28"/>
        <v>YES</v>
      </c>
    </row>
    <row r="123" spans="1:12" x14ac:dyDescent="0.2">
      <c r="A123" s="4">
        <f t="shared" ca="1" si="25"/>
        <v>107</v>
      </c>
      <c r="B123" t="str">
        <f t="shared" ca="1" si="23"/>
        <v>Transaction volume</v>
      </c>
      <c r="D123" t="str">
        <f t="shared" ca="1" si="22"/>
        <v/>
      </c>
      <c r="E123">
        <f t="shared" ca="1" si="26"/>
        <v>0</v>
      </c>
      <c r="F123">
        <f t="shared" ca="1" si="24"/>
        <v>7</v>
      </c>
      <c r="G123" s="13">
        <f t="shared" ca="1" si="27"/>
        <v>120</v>
      </c>
      <c r="H123" s="13">
        <f ca="1">IFERROR(IF(AND($B123="Imbalance",H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H$15)),"")</f>
        <v>60</v>
      </c>
      <c r="I123" s="13">
        <f ca="1">IFERROR(IF(AND($B123="Imbalance",I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I$15)),"")</f>
        <v>60</v>
      </c>
      <c r="J123" s="13">
        <f ca="1">IFERROR(IF(AND($B123="Imbalance",J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J$15)),"")</f>
        <v>0</v>
      </c>
      <c r="L123" t="str">
        <f t="shared" ca="1" si="28"/>
        <v/>
      </c>
    </row>
    <row r="124" spans="1:12" x14ac:dyDescent="0.2">
      <c r="A124" s="4">
        <f t="shared" ca="1" si="25"/>
        <v>108</v>
      </c>
      <c r="B124" t="str">
        <f t="shared" ca="1" si="23"/>
        <v>Imbalance</v>
      </c>
      <c r="D124" t="str">
        <f t="shared" ca="1" si="22"/>
        <v/>
      </c>
      <c r="E124">
        <f t="shared" ca="1" si="26"/>
        <v>0</v>
      </c>
      <c r="F124">
        <f t="shared" ca="1" si="24"/>
        <v>7</v>
      </c>
      <c r="G124" s="13" t="str">
        <f t="shared" ca="1" si="27"/>
        <v/>
      </c>
      <c r="H124" s="13">
        <f ca="1">IFERROR(IF(AND($B124="Imbalance",H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H$15)),"")</f>
        <v>0</v>
      </c>
      <c r="I124" s="13">
        <f ca="1">IFERROR(IF(AND($B124="Imbalance",I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I$15)),"")</f>
        <v>0</v>
      </c>
      <c r="J124" s="13">
        <f ca="1">IFERROR(IF(AND($B124="Imbalance",J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J$15)),"")</f>
        <v>0</v>
      </c>
      <c r="L124" t="str">
        <f t="shared" ca="1" si="28"/>
        <v/>
      </c>
    </row>
    <row r="125" spans="1:12" x14ac:dyDescent="0.2">
      <c r="A125" s="4">
        <f t="shared" ca="1" si="25"/>
        <v>109</v>
      </c>
      <c r="B125" t="str">
        <f t="shared" ca="1" si="23"/>
        <v>Production quantity</v>
      </c>
      <c r="D125" t="str">
        <f t="shared" ca="1" si="22"/>
        <v/>
      </c>
      <c r="E125">
        <f t="shared" ca="1" si="26"/>
        <v>0</v>
      </c>
      <c r="F125">
        <f t="shared" ca="1" si="24"/>
        <v>7</v>
      </c>
      <c r="G125" s="13">
        <f t="shared" ca="1" si="27"/>
        <v>120</v>
      </c>
      <c r="H125" s="13">
        <f ca="1">IFERROR(IF(AND($B125="Imbalance",H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H$15)),"")</f>
        <v>75</v>
      </c>
      <c r="I125" s="13">
        <f ca="1">IFERROR(IF(AND($B125="Imbalance",I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I$15)),"")</f>
        <v>45</v>
      </c>
      <c r="J125" s="13">
        <f ca="1">IFERROR(IF(AND($B125="Imbalance",J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J$15)),"")</f>
        <v>0</v>
      </c>
      <c r="L125" t="str">
        <f t="shared" ca="1" si="28"/>
        <v/>
      </c>
    </row>
    <row r="126" spans="1:12" x14ac:dyDescent="0.2">
      <c r="A126" s="4">
        <f t="shared" ca="1" si="25"/>
        <v>110</v>
      </c>
      <c r="B126" t="str">
        <f t="shared" ca="1" si="23"/>
        <v>Delivery product</v>
      </c>
      <c r="D126" t="str">
        <f t="shared" ca="1" si="22"/>
        <v/>
      </c>
      <c r="E126" t="str">
        <f t="shared" ca="1" si="26"/>
        <v/>
      </c>
      <c r="F126" t="str">
        <f t="shared" ca="1" si="24"/>
        <v/>
      </c>
      <c r="G126" s="13" t="str">
        <f t="shared" ca="1" si="27"/>
        <v/>
      </c>
      <c r="H126" s="13" t="str">
        <f ca="1">IFERROR(IF(AND($B126="Imbalance",H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H$15)),"")</f>
        <v/>
      </c>
      <c r="I126" s="13" t="str">
        <f ca="1">IFERROR(IF(AND($B126="Imbalance",I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I$15)),"")</f>
        <v/>
      </c>
      <c r="J126" s="13" t="str">
        <f ca="1">IFERROR(IF(AND($B126="Imbalance",J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J$15)),"")</f>
        <v/>
      </c>
      <c r="L126" t="str">
        <f t="shared" ca="1" si="28"/>
        <v/>
      </c>
    </row>
    <row r="127" spans="1:12" x14ac:dyDescent="0.2">
      <c r="A127" s="4">
        <f t="shared" ca="1" si="25"/>
        <v>111</v>
      </c>
      <c r="B127" t="str">
        <f t="shared" ca="1" si="23"/>
        <v>Bid volume</v>
      </c>
      <c r="D127" t="str">
        <f t="shared" ca="1" si="22"/>
        <v/>
      </c>
      <c r="E127">
        <f t="shared" ca="1" si="26"/>
        <v>1</v>
      </c>
      <c r="F127">
        <f t="shared" ca="1" si="24"/>
        <v>7</v>
      </c>
      <c r="G127" s="13" t="str">
        <f t="shared" ca="1" si="27"/>
        <v/>
      </c>
      <c r="H127" s="13">
        <f ca="1">IFERROR(IF(AND($B127="Imbalance",H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H$15)),"")</f>
        <v>0</v>
      </c>
      <c r="I127" s="13">
        <f ca="1">IFERROR(IF(AND($B127="Imbalance",I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I$15)),"")</f>
        <v>0</v>
      </c>
      <c r="J127" s="13">
        <f ca="1">IFERROR(IF(AND($B127="Imbalance",J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J$15)),"")</f>
        <v>0</v>
      </c>
      <c r="L127" t="str">
        <f t="shared" ca="1" si="28"/>
        <v/>
      </c>
    </row>
    <row r="128" spans="1:12" x14ac:dyDescent="0.2">
      <c r="A128" s="4">
        <f t="shared" ca="1" si="25"/>
        <v>112</v>
      </c>
      <c r="B128" t="str">
        <f t="shared" ca="1" si="23"/>
        <v>Transaction volume</v>
      </c>
      <c r="D128" t="str">
        <f t="shared" ca="1" si="22"/>
        <v/>
      </c>
      <c r="E128">
        <f t="shared" ca="1" si="26"/>
        <v>1</v>
      </c>
      <c r="F128">
        <f t="shared" ca="1" si="24"/>
        <v>7</v>
      </c>
      <c r="G128" s="13" t="str">
        <f t="shared" ca="1" si="27"/>
        <v/>
      </c>
      <c r="H128" s="13">
        <f ca="1">IFERROR(IF(AND($B128="Imbalance",H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H$15)),"")</f>
        <v>0</v>
      </c>
      <c r="I128" s="13">
        <f ca="1">IFERROR(IF(AND($B128="Imbalance",I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I$15)),"")</f>
        <v>0</v>
      </c>
      <c r="J128" s="13">
        <f ca="1">IFERROR(IF(AND($B128="Imbalance",J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J$15)),"")</f>
        <v>0</v>
      </c>
      <c r="L128" t="str">
        <f t="shared" ca="1" si="28"/>
        <v/>
      </c>
    </row>
    <row r="129" spans="1:12" x14ac:dyDescent="0.2">
      <c r="A129" s="4">
        <f t="shared" ca="1" si="25"/>
        <v>113</v>
      </c>
      <c r="B129" t="str">
        <f t="shared" ca="1" si="23"/>
        <v>Imbalance</v>
      </c>
      <c r="D129" t="str">
        <f t="shared" ca="1" si="22"/>
        <v/>
      </c>
      <c r="E129">
        <f t="shared" ca="1" si="26"/>
        <v>1</v>
      </c>
      <c r="F129">
        <f t="shared" ca="1" si="24"/>
        <v>7</v>
      </c>
      <c r="G129" s="13" t="str">
        <f t="shared" ca="1" si="27"/>
        <v/>
      </c>
      <c r="H129" s="13">
        <f ca="1">IFERROR(IF(AND($B129="Imbalance",H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H$15)),"")</f>
        <v>0</v>
      </c>
      <c r="I129" s="13">
        <f ca="1">IFERROR(IF(AND($B129="Imbalance",I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I$15)),"")</f>
        <v>0</v>
      </c>
      <c r="J129" s="13">
        <f ca="1">IFERROR(IF(AND($B129="Imbalance",J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J$15)),"")</f>
        <v>0</v>
      </c>
      <c r="L129" t="str">
        <f t="shared" ca="1" si="28"/>
        <v/>
      </c>
    </row>
    <row r="130" spans="1:12" x14ac:dyDescent="0.2">
      <c r="A130" s="4">
        <f t="shared" ca="1" si="25"/>
        <v>114</v>
      </c>
      <c r="B130" t="str">
        <f t="shared" ca="1" si="23"/>
        <v>Production quantity</v>
      </c>
      <c r="D130" t="str">
        <f t="shared" ca="1" si="22"/>
        <v/>
      </c>
      <c r="E130">
        <f t="shared" ca="1" si="26"/>
        <v>1</v>
      </c>
      <c r="F130">
        <f t="shared" ca="1" si="24"/>
        <v>7</v>
      </c>
      <c r="G130" s="13">
        <f t="shared" ca="1" si="27"/>
        <v>120</v>
      </c>
      <c r="H130" s="13">
        <f ca="1">IFERROR(IF(AND($B130="Imbalance",H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H$15)),"")</f>
        <v>75</v>
      </c>
      <c r="I130" s="13">
        <f ca="1">IFERROR(IF(AND($B130="Imbalance",I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I$15)),"")</f>
        <v>45</v>
      </c>
      <c r="J130" s="13">
        <f ca="1">IFERROR(IF(AND($B130="Imbalance",J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J$15)),"")</f>
        <v>0</v>
      </c>
      <c r="L130" t="str">
        <f t="shared" ca="1" si="28"/>
        <v/>
      </c>
    </row>
    <row r="131" spans="1:12" x14ac:dyDescent="0.2">
      <c r="A131" s="4">
        <f t="shared" ca="1" si="25"/>
        <v>115</v>
      </c>
      <c r="B131" t="str">
        <f t="shared" ca="1" si="23"/>
        <v>Delivery product</v>
      </c>
      <c r="D131" t="str">
        <f t="shared" ca="1" si="22"/>
        <v/>
      </c>
      <c r="E131" t="str">
        <f t="shared" ca="1" si="26"/>
        <v/>
      </c>
      <c r="F131" t="str">
        <f t="shared" ca="1" si="24"/>
        <v/>
      </c>
      <c r="G131" s="13" t="str">
        <f t="shared" ca="1" si="27"/>
        <v/>
      </c>
      <c r="H131" s="13" t="str">
        <f ca="1">IFERROR(IF(AND($B131="Imbalance",H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H$15)),"")</f>
        <v/>
      </c>
      <c r="I131" s="13" t="str">
        <f ca="1">IFERROR(IF(AND($B131="Imbalance",I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I$15)),"")</f>
        <v/>
      </c>
      <c r="J131" s="13" t="str">
        <f ca="1">IFERROR(IF(AND($B131="Imbalance",J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J$15)),"")</f>
        <v/>
      </c>
      <c r="L131" t="str">
        <f t="shared" ca="1" si="28"/>
        <v/>
      </c>
    </row>
    <row r="132" spans="1:12" x14ac:dyDescent="0.2">
      <c r="A132" s="4">
        <f t="shared" ca="1" si="25"/>
        <v>116</v>
      </c>
      <c r="B132" t="str">
        <f t="shared" ca="1" si="23"/>
        <v>Bid volume</v>
      </c>
      <c r="D132" t="str">
        <f t="shared" ca="1" si="22"/>
        <v/>
      </c>
      <c r="E132">
        <f t="shared" ca="1" si="26"/>
        <v>2</v>
      </c>
      <c r="F132">
        <f t="shared" ca="1" si="24"/>
        <v>7</v>
      </c>
      <c r="G132" s="13" t="str">
        <f t="shared" ca="1" si="27"/>
        <v/>
      </c>
      <c r="H132" s="13">
        <f ca="1">IFERROR(IF(AND($B132="Imbalance",H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H$15)),"")</f>
        <v>0</v>
      </c>
      <c r="I132" s="13">
        <f ca="1">IFERROR(IF(AND($B132="Imbalance",I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I$15)),"")</f>
        <v>0</v>
      </c>
      <c r="J132" s="13">
        <f ca="1">IFERROR(IF(AND($B132="Imbalance",J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J$15)),"")</f>
        <v>0</v>
      </c>
      <c r="L132" t="str">
        <f t="shared" ca="1" si="28"/>
        <v/>
      </c>
    </row>
    <row r="133" spans="1:12" x14ac:dyDescent="0.2">
      <c r="A133" s="4">
        <f t="shared" ca="1" si="25"/>
        <v>117</v>
      </c>
      <c r="B133" t="str">
        <f t="shared" ca="1" si="23"/>
        <v>Transaction volume</v>
      </c>
      <c r="D133" t="str">
        <f t="shared" ca="1" si="22"/>
        <v/>
      </c>
      <c r="E133">
        <f t="shared" ca="1" si="26"/>
        <v>2</v>
      </c>
      <c r="F133">
        <f t="shared" ca="1" si="24"/>
        <v>7</v>
      </c>
      <c r="G133" s="13" t="str">
        <f t="shared" ca="1" si="27"/>
        <v/>
      </c>
      <c r="H133" s="13">
        <f ca="1">IFERROR(IF(AND($B133="Imbalance",H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H$15)),"")</f>
        <v>0</v>
      </c>
      <c r="I133" s="13">
        <f ca="1">IFERROR(IF(AND($B133="Imbalance",I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I$15)),"")</f>
        <v>0</v>
      </c>
      <c r="J133" s="13">
        <f ca="1">IFERROR(IF(AND($B133="Imbalance",J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J$15)),"")</f>
        <v>0</v>
      </c>
      <c r="L133" t="str">
        <f t="shared" ca="1" si="28"/>
        <v/>
      </c>
    </row>
    <row r="134" spans="1:12" x14ac:dyDescent="0.2">
      <c r="D134" t="str">
        <f t="shared" si="22"/>
        <v/>
      </c>
    </row>
    <row r="135" spans="1:12" x14ac:dyDescent="0.2">
      <c r="D135" t="str">
        <f t="shared" si="22"/>
        <v/>
      </c>
    </row>
    <row r="136" spans="1:12" x14ac:dyDescent="0.2">
      <c r="D136" t="str">
        <f t="shared" si="22"/>
        <v/>
      </c>
    </row>
    <row r="137" spans="1:12" x14ac:dyDescent="0.2">
      <c r="D137" t="str">
        <f t="shared" si="22"/>
        <v/>
      </c>
    </row>
    <row r="138" spans="1:12" x14ac:dyDescent="0.2">
      <c r="D138" t="str">
        <f t="shared" si="22"/>
        <v/>
      </c>
    </row>
    <row r="139" spans="1:12" x14ac:dyDescent="0.2">
      <c r="D139" t="str">
        <f t="shared" si="22"/>
        <v/>
      </c>
    </row>
    <row r="140" spans="1:12" x14ac:dyDescent="0.2">
      <c r="D140" t="str">
        <f t="shared" si="22"/>
        <v/>
      </c>
    </row>
    <row r="141" spans="1:12" x14ac:dyDescent="0.2">
      <c r="D141" t="str">
        <f t="shared" si="22"/>
        <v/>
      </c>
    </row>
    <row r="142" spans="1:12" x14ac:dyDescent="0.2">
      <c r="D142" t="str">
        <f t="shared" si="22"/>
        <v/>
      </c>
    </row>
    <row r="143" spans="1:12" x14ac:dyDescent="0.2">
      <c r="D143" t="str">
        <f t="shared" si="22"/>
        <v/>
      </c>
    </row>
    <row r="144" spans="1:12" x14ac:dyDescent="0.2">
      <c r="D144" t="str">
        <f t="shared" si="22"/>
        <v/>
      </c>
    </row>
    <row r="145" spans="4:4" x14ac:dyDescent="0.2">
      <c r="D145" t="str">
        <f t="shared" si="22"/>
        <v/>
      </c>
    </row>
    <row r="146" spans="4:4" x14ac:dyDescent="0.2">
      <c r="D146" t="str">
        <f t="shared" si="22"/>
        <v/>
      </c>
    </row>
  </sheetData>
  <conditionalFormatting sqref="B16:D16 B17:C133 D17:D146">
    <cfRule type="containsText" dxfId="4" priority="4" operator="containsText" text="Delivery product">
      <formula>NOT(ISERROR(SEARCH("Delivery product",B16)))</formula>
    </cfRule>
  </conditionalFormatting>
  <conditionalFormatting sqref="G17:G133">
    <cfRule type="containsBlanks" dxfId="3" priority="7">
      <formula>LEN(TRIM(G17))=0</formula>
    </cfRule>
    <cfRule type="cellIs" dxfId="2" priority="8" operator="greaterThan">
      <formula>$I$5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Lookup!$O$1:$O$18</xm:f>
          </x14:formula1>
          <xm:sqref>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T80"/>
  <sheetViews>
    <sheetView showGridLines="0" workbookViewId="0">
      <selection activeCell="G15" sqref="G15"/>
    </sheetView>
  </sheetViews>
  <sheetFormatPr baseColWidth="10" defaultColWidth="11.1640625" defaultRowHeight="16" x14ac:dyDescent="0.2"/>
  <cols>
    <col min="7" max="7" width="17.1640625" bestFit="1" customWidth="1"/>
  </cols>
  <sheetData>
    <row r="2" spans="1:20" x14ac:dyDescent="0.3">
      <c r="I2" t="str">
        <f>VLOOKUP(Physical!J$11,Lookup!$F$2:$I$11,3,FALSE)</f>
        <v>quantity</v>
      </c>
      <c r="K2" t="str">
        <f>("Input!$I$1:$I$"&amp;Bidding!$D$11)</f>
        <v>Input!$I$1:$I$618</v>
      </c>
    </row>
    <row r="3" spans="1:20" x14ac:dyDescent="0.3">
      <c r="E3">
        <f ca="1">SUMIFS(INDIRECT("Input!$H$1:$H$"&amp;Bidding!$D$11)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  <c r="I3" t="str">
        <f>VLOOKUP(Physical!J$11,Lookup!$F$2:$I$11,2,FALSE)</f>
        <v>production</v>
      </c>
    </row>
    <row r="4" spans="1:20" x14ac:dyDescent="0.3">
      <c r="I4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</f>
        <v>0</v>
      </c>
      <c r="K4">
        <f ca="1">SUMIFS(INDIRECT("Input!$I$1:$I$"&amp;Bidding!$D$11),INDIRECT("Input!$B$1:$B$"&amp;Bidding!$D$11),"="&amp;VLOOKUP(Physical!I$11,Lookup!$F$2:$I$11,3,FALSE))</f>
        <v>0</v>
      </c>
    </row>
    <row r="5" spans="1:20" x14ac:dyDescent="0.3">
      <c r="I5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</row>
    <row r="10" spans="1:20" x14ac:dyDescent="0.3">
      <c r="L10" s="4">
        <v>0</v>
      </c>
      <c r="M10" s="4">
        <f t="shared" ref="M10:T10" si="0">L10+1</f>
        <v>1</v>
      </c>
      <c r="N10" s="4">
        <f t="shared" si="0"/>
        <v>2</v>
      </c>
      <c r="O10" s="4">
        <f t="shared" si="0"/>
        <v>3</v>
      </c>
      <c r="P10" s="4">
        <f t="shared" si="0"/>
        <v>4</v>
      </c>
      <c r="Q10" s="4">
        <f t="shared" si="0"/>
        <v>5</v>
      </c>
      <c r="R10" s="4">
        <f t="shared" si="0"/>
        <v>6</v>
      </c>
      <c r="S10" s="4">
        <f t="shared" si="0"/>
        <v>7</v>
      </c>
      <c r="T10" s="4">
        <f t="shared" si="0"/>
        <v>8</v>
      </c>
    </row>
    <row r="11" spans="1:20" s="3" customFormat="1" x14ac:dyDescent="0.3">
      <c r="B11" s="2" t="s">
        <v>21</v>
      </c>
      <c r="C11" s="2" t="s">
        <v>50</v>
      </c>
      <c r="D11" s="2" t="s">
        <v>27</v>
      </c>
      <c r="E11" s="2" t="s">
        <v>28</v>
      </c>
      <c r="F11" s="2" t="s">
        <v>26</v>
      </c>
      <c r="G11" s="2" t="s">
        <v>54</v>
      </c>
      <c r="H11" s="2" t="s">
        <v>53</v>
      </c>
      <c r="I11" s="2" t="s">
        <v>11</v>
      </c>
      <c r="J11" s="2" t="s">
        <v>25</v>
      </c>
      <c r="K11" s="2" t="s">
        <v>58</v>
      </c>
      <c r="L11" s="2" t="str">
        <f t="shared" ref="L11:T11" si="1">IF(L10&lt;$D$4,L10,"")</f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</row>
    <row r="12" spans="1:20" s="6" customFormat="1" x14ac:dyDescent="0.3">
      <c r="A12" s="4">
        <v>0</v>
      </c>
      <c r="B12" s="5" t="str">
        <f ca="1">IF(MOD(A12,Bidding!$D$6+1)=0," ","")</f>
        <v xml:space="preserve"> </v>
      </c>
      <c r="C12" s="5"/>
      <c r="D12" s="5"/>
      <c r="E12" s="5"/>
      <c r="F12" s="5"/>
      <c r="G12" s="7"/>
      <c r="H12" s="7"/>
      <c r="J12" s="7"/>
      <c r="K12" s="7" t="str">
        <f t="shared" ref="K12" si="2">IFERROR(IF(G12-H12&lt;&gt;0,"Error",""),"")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3">
      <c r="A13" s="4">
        <f ca="1">IFERROR(IF(A12+1&lt;Bidding!$D$7*(Bidding!$D$6+1),A12+1,""),"")</f>
        <v>1</v>
      </c>
      <c r="B13" s="5" t="str">
        <f ca="1">IFERROR(IF(MOD(A13,Bidding!$D$6+2)&lt;&gt;0,"Scenario X DP Y",""),"")</f>
        <v>Scenario X DP Y</v>
      </c>
      <c r="E13" s="8">
        <f ca="1">IFERROR(IF(B13="Delivery product","",IF(NOT(ISBLANK(A13)),IF(MOD(ROUNDDOWN(A13-1,0),Bidding!$D$6+1)&gt;=Bidding!$D$6,IF(MOD(A13,Bidding!$D$6+1)=Bidding!$D$6,"Out",""),MOD(ROUNDDOWN(A13-1,0),Bidding!$D$6+1)),"")),"")</f>
        <v>0</v>
      </c>
      <c r="F13" s="9">
        <f ca="1">IFERROR(IF(B13="","",IF(NOT(ISBLANK(B13)),IF(NOT(ISBLANK(A13)),MOD(ROUNDDOWN(A13/(Bidding!$D$6+1),0),Bidding!$D$7),""),"")),"")</f>
        <v>0</v>
      </c>
      <c r="G13" s="17">
        <f ca="1">IFERROR(IF(MOD(A13-1,Bidding!$D$6+1)=0,Bidding!$I$6+I13-J13,G12+I13-J13),"")</f>
        <v>150</v>
      </c>
      <c r="H13" s="1">
        <f ca="1">IFERROR(IF(NOT($B13=""),IF($E13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13,INDIRECT("Input!$"&amp;VLOOKUP(VLOOKUP(Physical!H$11,Lookup!$F$2:$I$13,4,FALSE)+1,CHARS,2,FALSE)&amp;"$1:$"&amp;VLOOKUP(VLOOKUP(Physical!H$11,Lookup!$F$2:$I$13,4,FALSE)+1,CHARS,2,FALSE)&amp;"$"&amp;Bidding!$D$11),"="&amp;$F13),""),""),"")</f>
        <v>180</v>
      </c>
      <c r="I13" s="1">
        <f ca="1">IFERROR(IF(NOT($B13=""),IF($E13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,""),""),"")</f>
        <v>0</v>
      </c>
      <c r="J13" s="1">
        <f ca="1">IFERROR(IF(NOT($B13=""),IF($E13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13,INDIRECT("Input!$"&amp;VLOOKUP(VLOOKUP(Physical!J$11,Lookup!$F$2:$I$13,4,FALSE)+1,CHARS,2,FALSE)&amp;"$1:$"&amp;VLOOKUP(VLOOKUP(Physical!J$11,Lookup!$F$2:$I$13,4,FALSE)+1,CHARS,2,FALSE)&amp;"$"&amp;Bidding!$D$11),"="&amp;$F13),""),""),"")</f>
        <v>100</v>
      </c>
      <c r="K13" s="7" t="str">
        <f ca="1">IFERROR(IF(ABS(G13-H13)&gt;0.01,"Error3",""),"")</f>
        <v>Error3</v>
      </c>
    </row>
    <row r="14" spans="1:20" x14ac:dyDescent="0.3">
      <c r="A14" s="4">
        <f ca="1">IFERROR(IF(A13+1&lt;Bidding!$D$7*(Bidding!$D$6+1),A13+1,""),"")</f>
        <v>2</v>
      </c>
      <c r="B14" s="5" t="str">
        <f ca="1">IFERROR(IF(MOD(A14,Bidding!$D$6+2)&lt;&gt;0,"Scenario X DP Y",""),"")</f>
        <v>Scenario X DP Y</v>
      </c>
      <c r="E14" s="8">
        <f ca="1">IFERROR(IF(B14="Delivery product","",IF(NOT(ISBLANK(A14)),IF(MOD(ROUNDDOWN(A14-1,0),Bidding!$D$6+1)&gt;=Bidding!$D$6,IF(MOD(A14,Bidding!$D$6+1)=Bidding!$D$6,"Out",""),MOD(ROUNDDOWN(A14-1,0),Bidding!$D$6+1)),"")),"")</f>
        <v>1</v>
      </c>
      <c r="F14" s="9">
        <f ca="1">IFERROR(IF(B14="","",IF(NOT(ISBLANK(B14)),IF(NOT(ISBLANK(A14)),MOD(ROUNDDOWN(A14/(Bidding!$D$6+1),0),Bidding!$D$7),""),"")),"")</f>
        <v>0</v>
      </c>
      <c r="G14" s="17">
        <f ca="1">IFERROR(IF(MOD(A14-1,Bidding!$D$6+1)=0,Bidding!$I$6+I14-J14,G13+I14-J14),"")</f>
        <v>30</v>
      </c>
      <c r="H14" s="1">
        <f ca="1">IFERROR(IF(NOT($B14=""),IF($E14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14,INDIRECT("Input!$"&amp;VLOOKUP(VLOOKUP(Physical!H$11,Lookup!$F$2:$I$13,4,FALSE)+1,CHARS,2,FALSE)&amp;"$1:$"&amp;VLOOKUP(VLOOKUP(Physical!H$11,Lookup!$F$2:$I$13,4,FALSE)+1,CHARS,2,FALSE)&amp;"$"&amp;Bidding!$D$11),"="&amp;$F14),""),""),"")</f>
        <v>90</v>
      </c>
      <c r="I14" s="1">
        <f ca="1">IFERROR(IF(NOT($B14=""),IF($E14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,""),""),"")</f>
        <v>0</v>
      </c>
      <c r="J14" s="1">
        <f ca="1">IFERROR(IF(NOT($B14=""),IF($E14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14,INDIRECT("Input!$"&amp;VLOOKUP(VLOOKUP(Physical!J$11,Lookup!$F$2:$I$13,4,FALSE)+1,CHARS,2,FALSE)&amp;"$1:$"&amp;VLOOKUP(VLOOKUP(Physical!J$11,Lookup!$F$2:$I$13,4,FALSE)+1,CHARS,2,FALSE)&amp;"$"&amp;Bidding!$D$11),"="&amp;$F14),""),""),"")</f>
        <v>120</v>
      </c>
      <c r="K14" s="7" t="str">
        <f t="shared" ref="K14:K77" ca="1" si="3">IFERROR(IF(ABS(G14-H14)&gt;0.01,"Error3",""),"")</f>
        <v>Error3</v>
      </c>
    </row>
    <row r="15" spans="1:20" x14ac:dyDescent="0.3">
      <c r="A15" s="4">
        <f ca="1">IFERROR(IF(A14+1&lt;Bidding!$D$7*(Bidding!$D$6+1),A14+1,""),"")</f>
        <v>3</v>
      </c>
      <c r="B15" s="5" t="str">
        <f ca="1">IFERROR(IF(MOD(A15,Bidding!$D$6+2)&lt;&gt;0,"Scenario X DP Y",""),"")</f>
        <v>Scenario X DP Y</v>
      </c>
      <c r="E15" s="8">
        <f ca="1">IFERROR(IF(B15="Delivery product","",IF(NOT(ISBLANK(A15)),IF(MOD(ROUNDDOWN(A15-1,0),Bidding!$D$6+1)&gt;=Bidding!$D$6,IF(MOD(A15,Bidding!$D$6+1)=Bidding!$D$6,"Out",""),MOD(ROUNDDOWN(A15-1,0),Bidding!$D$6+1)),"")),"")</f>
        <v>2</v>
      </c>
      <c r="F15" s="9">
        <f ca="1">IFERROR(IF(B15="","",IF(NOT(ISBLANK(B15)),IF(NOT(ISBLANK(A15)),MOD(ROUNDDOWN(A15/(Bidding!$D$6+1),0),Bidding!$D$7),""),"")),"")</f>
        <v>0</v>
      </c>
      <c r="G15" s="17">
        <f ca="1">IFERROR(IF(MOD(A15-1,Bidding!$D$6+1)=0,Bidding!$I$6+I15-J15,G14+I15-J15),"")</f>
        <v>-90</v>
      </c>
      <c r="H15" s="1">
        <f ca="1">IFERROR(IF(NOT($B15=""),IF($E15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15,INDIRECT("Input!$"&amp;VLOOKUP(VLOOKUP(Physical!H$11,Lookup!$F$2:$I$13,4,FALSE)+1,CHARS,2,FALSE)&amp;"$1:$"&amp;VLOOKUP(VLOOKUP(Physical!H$11,Lookup!$F$2:$I$13,4,FALSE)+1,CHARS,2,FALSE)&amp;"$"&amp;Bidding!$D$11),"="&amp;$F15),""),""),"")</f>
        <v>0</v>
      </c>
      <c r="I15" s="1">
        <f ca="1">IFERROR(IF(NOT($B15=""),IF($E15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15,INDIRECT("Input!$"&amp;VLOOKUP(VLOOKUP(Physical!I$11,Lookup!$F$2:$I$13,4,FALSE)+1,CHARS,2,FALSE)&amp;"$1:$"&amp;VLOOKUP(VLOOKUP(Physical!I$11,Lookup!$F$2:$I$13,4,FALSE)+1,CHARS,2,FALSE)&amp;"$"&amp;Bidding!$D$11),"="&amp;$F15),""),""),"")</f>
        <v>0</v>
      </c>
      <c r="J15" s="1">
        <f ca="1">IFERROR(IF(NOT($B15=""),IF($E15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15,INDIRECT("Input!$"&amp;VLOOKUP(VLOOKUP(Physical!J$11,Lookup!$F$2:$I$13,4,FALSE)+1,CHARS,2,FALSE)&amp;"$1:$"&amp;VLOOKUP(VLOOKUP(Physical!J$11,Lookup!$F$2:$I$13,4,FALSE)+1,CHARS,2,FALSE)&amp;"$"&amp;Bidding!$D$11),"="&amp;$F15),""),""),"")</f>
        <v>120</v>
      </c>
      <c r="K15" s="7" t="str">
        <f t="shared" ca="1" si="3"/>
        <v>Error3</v>
      </c>
      <c r="L15">
        <f ca="1">SUM(J14:J16)</f>
        <v>240</v>
      </c>
    </row>
    <row r="16" spans="1:20" x14ac:dyDescent="0.3">
      <c r="A16" s="4">
        <f ca="1">IFERROR(IF(A15+1&lt;Bidding!$D$7*(Bidding!$D$6+1),A15+1,""),"")</f>
        <v>4</v>
      </c>
      <c r="B16" s="5" t="str">
        <f ca="1">IFERROR(IF(MOD(A16,Bidding!$D$6+1)&lt;&gt;0,"Scenario X DP Y",""),"")</f>
        <v/>
      </c>
      <c r="E16" s="8" t="str">
        <f ca="1">IFERROR(IF(B16="Delivery product","",IF(NOT(ISBLANK(A16)),IF(MOD(ROUNDDOWN(A16-1,0),Bidding!$D$6+1)&gt;=Bidding!$D$6,IF(MOD(A16,Bidding!$D$6+1)=Bidding!$D$6,"Out",""),MOD(ROUNDDOWN(A16-1,0),Bidding!$D$6+1)),"")),"")</f>
        <v/>
      </c>
      <c r="F16" s="9" t="str">
        <f ca="1">IFERROR(IF(B16="","",IF(NOT(ISBLANK(B16)),IF(NOT(ISBLANK(A16)),MOD(ROUNDDOWN(A16/(Bidding!$D$6+1),0),Bidding!$D$7),""),"")),"")</f>
        <v/>
      </c>
      <c r="G16" s="17" t="str">
        <f ca="1">IFERROR(IF(MOD(A16-1,Bidding!$D$6+1)=0,Bidding!$I$6+I16-J16,G15+I16-J16),"")</f>
        <v/>
      </c>
      <c r="H16" s="1" t="str">
        <f ca="1">IFERROR(IF(NOT($B16=""),IF($E16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16,INDIRECT("Input!$"&amp;VLOOKUP(VLOOKUP(Physical!H$11,Lookup!$F$2:$I$13,4,FALSE)+1,CHARS,2,FALSE)&amp;"$1:$"&amp;VLOOKUP(VLOOKUP(Physical!H$11,Lookup!$F$2:$I$13,4,FALSE)+1,CHARS,2,FALSE)&amp;"$"&amp;Bidding!$D$11),"="&amp;$F16),""),""),"")</f>
        <v/>
      </c>
      <c r="I16" s="1" t="str">
        <f ca="1">IFERROR(IF(NOT($B16=""),IF($E16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16,INDIRECT("Input!$"&amp;VLOOKUP(VLOOKUP(Physical!I$11,Lookup!$F$2:$I$13,4,FALSE)+1,CHARS,2,FALSE)&amp;"$1:$"&amp;VLOOKUP(VLOOKUP(Physical!I$11,Lookup!$F$2:$I$13,4,FALSE)+1,CHARS,2,FALSE)&amp;"$"&amp;Bidding!$D$11),"="&amp;$F16),""),""),"")</f>
        <v/>
      </c>
      <c r="J16" s="1" t="str">
        <f ca="1">IFERROR(IF(NOT($B16=""),IF($E16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16,INDIRECT("Input!$"&amp;VLOOKUP(VLOOKUP(Physical!J$11,Lookup!$F$2:$I$13,4,FALSE)+1,CHARS,2,FALSE)&amp;"$1:$"&amp;VLOOKUP(VLOOKUP(Physical!J$11,Lookup!$F$2:$I$13,4,FALSE)+1,CHARS,2,FALSE)&amp;"$"&amp;Bidding!$D$11),"="&amp;$F16),""),""),"")</f>
        <v/>
      </c>
      <c r="K16" s="7" t="str">
        <f t="shared" ca="1" si="3"/>
        <v/>
      </c>
    </row>
    <row r="17" spans="1:12" x14ac:dyDescent="0.3">
      <c r="A17" s="4">
        <f ca="1">IFERROR(IF(A16+1&lt;Bidding!$D$7*(Bidding!$D$6+1),A16+1,""),"")</f>
        <v>5</v>
      </c>
      <c r="B17" s="5" t="str">
        <f ca="1">IFERROR(IF(MOD(A17,Bidding!$D$6+1)&lt;&gt;0,"Scenario X DP Y",""),"")</f>
        <v>Scenario X DP Y</v>
      </c>
      <c r="E17" s="8">
        <f ca="1">IFERROR(IF(B17="Delivery product","",IF(NOT(ISBLANK(A17)),IF(MOD(ROUNDDOWN(A17-1,0),Bidding!$D$6+1)&gt;=Bidding!$D$6,IF(MOD(A17,Bidding!$D$6+1)=Bidding!$D$6,"Out",""),MOD(ROUNDDOWN(A17-1,0),Bidding!$D$6+1)),"")),"")</f>
        <v>0</v>
      </c>
      <c r="F17" s="9">
        <f ca="1">IFERROR(IF(B17="","",IF(NOT(ISBLANK(B17)),IF(NOT(ISBLANK(A17)),MOD(ROUNDDOWN(A17/(Bidding!$D$6+1),0),Bidding!$D$7),""),"")),"")</f>
        <v>1</v>
      </c>
      <c r="G17" s="17">
        <f ca="1">IFERROR(IF(MOD(A17-1,Bidding!$D$6+1)=0,Bidding!$I$6+I17-J17,G16+I17-J17),"")</f>
        <v>130</v>
      </c>
      <c r="H17" s="1">
        <f ca="1">IFERROR(IF(NOT($B17=""),IF($E17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17,INDIRECT("Input!$"&amp;VLOOKUP(VLOOKUP(Physical!H$11,Lookup!$F$2:$I$13,4,FALSE)+1,CHARS,2,FALSE)&amp;"$1:$"&amp;VLOOKUP(VLOOKUP(Physical!H$11,Lookup!$F$2:$I$13,4,FALSE)+1,CHARS,2,FALSE)&amp;"$"&amp;Bidding!$D$11),"="&amp;$F17),""),""),"")</f>
        <v>160</v>
      </c>
      <c r="I17" s="1">
        <f ca="1">IFERROR(IF(NOT($B17=""),IF($E17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17,INDIRECT("Input!$"&amp;VLOOKUP(VLOOKUP(Physical!I$11,Lookup!$F$2:$I$13,4,FALSE)+1,CHARS,2,FALSE)&amp;"$1:$"&amp;VLOOKUP(VLOOKUP(Physical!I$11,Lookup!$F$2:$I$13,4,FALSE)+1,CHARS,2,FALSE)&amp;"$"&amp;Bidding!$D$11),"="&amp;$F17),""),""),"")</f>
        <v>0</v>
      </c>
      <c r="J17" s="1">
        <f ca="1">IFERROR(IF(NOT($B17=""),IF($E17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17,INDIRECT("Input!$"&amp;VLOOKUP(VLOOKUP(Physical!J$11,Lookup!$F$2:$I$13,4,FALSE)+1,CHARS,2,FALSE)&amp;"$1:$"&amp;VLOOKUP(VLOOKUP(Physical!J$11,Lookup!$F$2:$I$13,4,FALSE)+1,CHARS,2,FALSE)&amp;"$"&amp;Bidding!$D$11),"="&amp;$F17),""),""),"")</f>
        <v>120</v>
      </c>
      <c r="K17" s="7" t="str">
        <f t="shared" ca="1" si="3"/>
        <v>Error3</v>
      </c>
    </row>
    <row r="18" spans="1:12" x14ac:dyDescent="0.3">
      <c r="A18" s="4">
        <f ca="1">IFERROR(IF(A17+1&lt;Bidding!$D$7*(Bidding!$D$6+1),A17+1,""),"")</f>
        <v>6</v>
      </c>
      <c r="B18" s="5" t="str">
        <f ca="1">IFERROR(IF(MOD(A18,Bidding!$D$6+1)&lt;&gt;0,"Scenario X DP Y",""),"")</f>
        <v>Scenario X DP Y</v>
      </c>
      <c r="E18" s="8">
        <f ca="1">IFERROR(IF(B18="Delivery product","",IF(NOT(ISBLANK(A18)),IF(MOD(ROUNDDOWN(A18-1,0),Bidding!$D$6+1)&gt;=Bidding!$D$6,IF(MOD(A18,Bidding!$D$6+1)=Bidding!$D$6,"Out",""),MOD(ROUNDDOWN(A18-1,0),Bidding!$D$6+1)),"")),"")</f>
        <v>1</v>
      </c>
      <c r="F18" s="9">
        <f ca="1">IFERROR(IF(B18="","",IF(NOT(ISBLANK(B18)),IF(NOT(ISBLANK(A18)),MOD(ROUNDDOWN(A18/(Bidding!$D$6+1),0),Bidding!$D$7),""),"")),"")</f>
        <v>1</v>
      </c>
      <c r="G18" s="17">
        <f ca="1">IFERROR(IF(MOD(A18-1,Bidding!$D$6+1)=0,Bidding!$I$6+I18-J18,G17+I18-J18),"")</f>
        <v>10</v>
      </c>
      <c r="H18" s="1">
        <f ca="1">IFERROR(IF(NOT($B18=""),IF($E18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18,INDIRECT("Input!$"&amp;VLOOKUP(VLOOKUP(Physical!H$11,Lookup!$F$2:$I$13,4,FALSE)+1,CHARS,2,FALSE)&amp;"$1:$"&amp;VLOOKUP(VLOOKUP(Physical!H$11,Lookup!$F$2:$I$13,4,FALSE)+1,CHARS,2,FALSE)&amp;"$"&amp;Bidding!$D$11),"="&amp;$F18),""),""),"")</f>
        <v>70</v>
      </c>
      <c r="I18" s="1">
        <f ca="1">IFERROR(IF(NOT($B18=""),IF($E18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18,INDIRECT("Input!$"&amp;VLOOKUP(VLOOKUP(Physical!I$11,Lookup!$F$2:$I$13,4,FALSE)+1,CHARS,2,FALSE)&amp;"$1:$"&amp;VLOOKUP(VLOOKUP(Physical!I$11,Lookup!$F$2:$I$13,4,FALSE)+1,CHARS,2,FALSE)&amp;"$"&amp;Bidding!$D$11),"="&amp;$F18),""),""),"")</f>
        <v>0</v>
      </c>
      <c r="J18" s="1">
        <f ca="1">IFERROR(IF(NOT($B18=""),IF($E18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18,INDIRECT("Input!$"&amp;VLOOKUP(VLOOKUP(Physical!J$11,Lookup!$F$2:$I$13,4,FALSE)+1,CHARS,2,FALSE)&amp;"$1:$"&amp;VLOOKUP(VLOOKUP(Physical!J$11,Lookup!$F$2:$I$13,4,FALSE)+1,CHARS,2,FALSE)&amp;"$"&amp;Bidding!$D$11),"="&amp;$F18),""),""),"")</f>
        <v>120</v>
      </c>
      <c r="K18" s="7" t="str">
        <f t="shared" ca="1" si="3"/>
        <v>Error3</v>
      </c>
    </row>
    <row r="19" spans="1:12" x14ac:dyDescent="0.3">
      <c r="A19" s="4">
        <f ca="1">IFERROR(IF(A18+1&lt;Bidding!$D$7*(Bidding!$D$6+1),A18+1,""),"")</f>
        <v>7</v>
      </c>
      <c r="B19" s="5" t="str">
        <f ca="1">IFERROR(IF(MOD(A19,Bidding!$D$6+1)&lt;&gt;0,"Scenario X DP Y",""),"")</f>
        <v>Scenario X DP Y</v>
      </c>
      <c r="E19" s="8">
        <f ca="1">IFERROR(IF(B19="Delivery product","",IF(NOT(ISBLANK(A19)),IF(MOD(ROUNDDOWN(A19-1,0),Bidding!$D$6+1)&gt;=Bidding!$D$6,IF(MOD(A19,Bidding!$D$6+1)=Bidding!$D$6,"Out",""),MOD(ROUNDDOWN(A19-1,0),Bidding!$D$6+1)),"")),"")</f>
        <v>2</v>
      </c>
      <c r="F19" s="9">
        <f ca="1">IFERROR(IF(B19="","",IF(NOT(ISBLANK(B19)),IF(NOT(ISBLANK(A19)),MOD(ROUNDDOWN(A19/(Bidding!$D$6+1),0),Bidding!$D$7),""),"")),"")</f>
        <v>1</v>
      </c>
      <c r="G19" s="17">
        <f ca="1">IFERROR(IF(MOD(A19-1,Bidding!$D$6+1)=0,Bidding!$I$6+I19-J19,G18+I19-J19),"")</f>
        <v>-90</v>
      </c>
      <c r="H19" s="1">
        <f ca="1">IFERROR(IF(NOT($B19=""),IF($E19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19,INDIRECT("Input!$"&amp;VLOOKUP(VLOOKUP(Physical!H$11,Lookup!$F$2:$I$13,4,FALSE)+1,CHARS,2,FALSE)&amp;"$1:$"&amp;VLOOKUP(VLOOKUP(Physical!H$11,Lookup!$F$2:$I$13,4,FALSE)+1,CHARS,2,FALSE)&amp;"$"&amp;Bidding!$D$11),"="&amp;$F19),""),""),"")</f>
        <v>0</v>
      </c>
      <c r="I19" s="1">
        <f ca="1">IFERROR(IF(NOT($B19=""),IF($E19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19,INDIRECT("Input!$"&amp;VLOOKUP(VLOOKUP(Physical!I$11,Lookup!$F$2:$I$13,4,FALSE)+1,CHARS,2,FALSE)&amp;"$1:$"&amp;VLOOKUP(VLOOKUP(Physical!I$11,Lookup!$F$2:$I$13,4,FALSE)+1,CHARS,2,FALSE)&amp;"$"&amp;Bidding!$D$11),"="&amp;$F19),""),""),"")</f>
        <v>0</v>
      </c>
      <c r="J19" s="1">
        <f ca="1">IFERROR(IF(NOT($B19=""),IF($E19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19,INDIRECT("Input!$"&amp;VLOOKUP(VLOOKUP(Physical!J$11,Lookup!$F$2:$I$13,4,FALSE)+1,CHARS,2,FALSE)&amp;"$1:$"&amp;VLOOKUP(VLOOKUP(Physical!J$11,Lookup!$F$2:$I$13,4,FALSE)+1,CHARS,2,FALSE)&amp;"$"&amp;Bidding!$D$11),"="&amp;$F19),""),""),"")</f>
        <v>100</v>
      </c>
      <c r="K19" s="7" t="str">
        <f t="shared" ca="1" si="3"/>
        <v>Error3</v>
      </c>
    </row>
    <row r="20" spans="1:12" x14ac:dyDescent="0.3">
      <c r="A20" s="4">
        <f ca="1">IFERROR(IF(A19+1&lt;Bidding!$D$7*(Bidding!$D$6+1),A19+1,""),"")</f>
        <v>8</v>
      </c>
      <c r="B20" s="5" t="str">
        <f ca="1">IFERROR(IF(MOD(A20,Bidding!$D$6+1)&lt;&gt;0,"Scenario X DP Y",""),"")</f>
        <v/>
      </c>
      <c r="E20" s="8" t="str">
        <f ca="1">IFERROR(IF(B20="Delivery product","",IF(NOT(ISBLANK(A20)),IF(MOD(ROUNDDOWN(A20-1,0),Bidding!$D$6+1)&gt;=Bidding!$D$6,IF(MOD(A20,Bidding!$D$6+1)=Bidding!$D$6,"Out",""),MOD(ROUNDDOWN(A20-1,0),Bidding!$D$6+1)),"")),"")</f>
        <v/>
      </c>
      <c r="F20" s="9" t="str">
        <f ca="1">IFERROR(IF(B20="","",IF(NOT(ISBLANK(B20)),IF(NOT(ISBLANK(A20)),MOD(ROUNDDOWN(A20/(Bidding!$D$6+1),0),Bidding!$D$7),""),"")),"")</f>
        <v/>
      </c>
      <c r="G20" s="17" t="str">
        <f ca="1">IFERROR(IF(MOD(A20-1,Bidding!$D$6+1)=0,Bidding!$I$6+I20-J20,G19+I20-J20),"")</f>
        <v/>
      </c>
      <c r="H20" s="1" t="str">
        <f ca="1">IFERROR(IF(NOT($B20=""),IF($E20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20,INDIRECT("Input!$"&amp;VLOOKUP(VLOOKUP(Physical!H$11,Lookup!$F$2:$I$13,4,FALSE)+1,CHARS,2,FALSE)&amp;"$1:$"&amp;VLOOKUP(VLOOKUP(Physical!H$11,Lookup!$F$2:$I$13,4,FALSE)+1,CHARS,2,FALSE)&amp;"$"&amp;Bidding!$D$11),"="&amp;$F20),""),""),"")</f>
        <v/>
      </c>
      <c r="I20" s="1" t="str">
        <f ca="1">IFERROR(IF(NOT($B20=""),IF($E20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20,INDIRECT("Input!$"&amp;VLOOKUP(VLOOKUP(Physical!I$11,Lookup!$F$2:$I$13,4,FALSE)+1,CHARS,2,FALSE)&amp;"$1:$"&amp;VLOOKUP(VLOOKUP(Physical!I$11,Lookup!$F$2:$I$13,4,FALSE)+1,CHARS,2,FALSE)&amp;"$"&amp;Bidding!$D$11),"="&amp;$F20),""),""),"")</f>
        <v/>
      </c>
      <c r="J20" s="1" t="str">
        <f ca="1">IFERROR(IF(NOT($B20=""),IF($E20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20,INDIRECT("Input!$"&amp;VLOOKUP(VLOOKUP(Physical!J$11,Lookup!$F$2:$I$13,4,FALSE)+1,CHARS,2,FALSE)&amp;"$1:$"&amp;VLOOKUP(VLOOKUP(Physical!J$11,Lookup!$F$2:$I$13,4,FALSE)+1,CHARS,2,FALSE)&amp;"$"&amp;Bidding!$D$11),"="&amp;$F20),""),""),"")</f>
        <v/>
      </c>
      <c r="K20" s="7" t="str">
        <f t="shared" ca="1" si="3"/>
        <v/>
      </c>
      <c r="L20">
        <f ca="1">SUM(J19:J21)</f>
        <v>220</v>
      </c>
    </row>
    <row r="21" spans="1:12" x14ac:dyDescent="0.3">
      <c r="A21" s="4">
        <f ca="1">IFERROR(IF(A20+1&lt;Bidding!$D$7*(Bidding!$D$6+1),A20+1,""),"")</f>
        <v>9</v>
      </c>
      <c r="B21" s="5" t="str">
        <f ca="1">IFERROR(IF(MOD(A21,Bidding!$D$6+1)&lt;&gt;0,"Scenario X DP Y",""),"")</f>
        <v>Scenario X DP Y</v>
      </c>
      <c r="E21" s="8">
        <f ca="1">IFERROR(IF(B21="Delivery product","",IF(NOT(ISBLANK(A21)),IF(MOD(ROUNDDOWN(A21-1,0),Bidding!$D$6+1)&gt;=Bidding!$D$6,IF(MOD(A21,Bidding!$D$6+1)=Bidding!$D$6,"Out",""),MOD(ROUNDDOWN(A21-1,0),Bidding!$D$6+1)),"")),"")</f>
        <v>0</v>
      </c>
      <c r="F21" s="9">
        <f ca="1">IFERROR(IF(B21="","",IF(NOT(ISBLANK(B21)),IF(NOT(ISBLANK(A21)),MOD(ROUNDDOWN(A21/(Bidding!$D$6+1),0),Bidding!$D$7),""),"")),"")</f>
        <v>2</v>
      </c>
      <c r="G21" s="17">
        <f ca="1">IFERROR(IF(MOD(A21-1,Bidding!$D$6+1)=0,Bidding!$I$6+I21-J21,G20+I21-J21),"")</f>
        <v>130</v>
      </c>
      <c r="H21" s="1">
        <f ca="1">IFERROR(IF(NOT($B21=""),IF($E21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21,INDIRECT("Input!$"&amp;VLOOKUP(VLOOKUP(Physical!H$11,Lookup!$F$2:$I$13,4,FALSE)+1,CHARS,2,FALSE)&amp;"$1:$"&amp;VLOOKUP(VLOOKUP(Physical!H$11,Lookup!$F$2:$I$13,4,FALSE)+1,CHARS,2,FALSE)&amp;"$"&amp;Bidding!$D$11),"="&amp;$F21),""),""),"")</f>
        <v>165</v>
      </c>
      <c r="I21" s="1">
        <f ca="1">IFERROR(IF(NOT($B21=""),IF($E21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21,INDIRECT("Input!$"&amp;VLOOKUP(VLOOKUP(Physical!I$11,Lookup!$F$2:$I$13,4,FALSE)+1,CHARS,2,FALSE)&amp;"$1:$"&amp;VLOOKUP(VLOOKUP(Physical!I$11,Lookup!$F$2:$I$13,4,FALSE)+1,CHARS,2,FALSE)&amp;"$"&amp;Bidding!$D$11),"="&amp;$F21),""),""),"")</f>
        <v>0</v>
      </c>
      <c r="J21" s="1">
        <f ca="1">IFERROR(IF(NOT($B21=""),IF($E21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21,INDIRECT("Input!$"&amp;VLOOKUP(VLOOKUP(Physical!J$11,Lookup!$F$2:$I$13,4,FALSE)+1,CHARS,2,FALSE)&amp;"$1:$"&amp;VLOOKUP(VLOOKUP(Physical!J$11,Lookup!$F$2:$I$13,4,FALSE)+1,CHARS,2,FALSE)&amp;"$"&amp;Bidding!$D$11),"="&amp;$F21),""),""),"")</f>
        <v>120</v>
      </c>
      <c r="K21" s="7" t="str">
        <f t="shared" ca="1" si="3"/>
        <v>Error3</v>
      </c>
    </row>
    <row r="22" spans="1:12" x14ac:dyDescent="0.3">
      <c r="A22" s="4">
        <f ca="1">IFERROR(IF(A21+1&lt;Bidding!$D$7*(Bidding!$D$6+1),A21+1,""),"")</f>
        <v>10</v>
      </c>
      <c r="B22" s="5" t="str">
        <f ca="1">IFERROR(IF(MOD(A22,Bidding!$D$6+1)&lt;&gt;0,"Scenario X DP Y",""),"")</f>
        <v>Scenario X DP Y</v>
      </c>
      <c r="E22" s="8">
        <f ca="1">IFERROR(IF(B22="Delivery product","",IF(NOT(ISBLANK(A22)),IF(MOD(ROUNDDOWN(A22-1,0),Bidding!$D$6+1)&gt;=Bidding!$D$6,IF(MOD(A22,Bidding!$D$6+1)=Bidding!$D$6,"Out",""),MOD(ROUNDDOWN(A22-1,0),Bidding!$D$6+1)),"")),"")</f>
        <v>1</v>
      </c>
      <c r="F22" s="9">
        <f ca="1">IFERROR(IF(B22="","",IF(NOT(ISBLANK(B22)),IF(NOT(ISBLANK(A22)),MOD(ROUNDDOWN(A22/(Bidding!$D$6+1),0),Bidding!$D$7),""),"")),"")</f>
        <v>2</v>
      </c>
      <c r="G22" s="17">
        <f ca="1">IFERROR(IF(MOD(A22-1,Bidding!$D$6+1)=0,Bidding!$I$6+I22-J22,G21+I22-J22),"")</f>
        <v>10</v>
      </c>
      <c r="H22" s="1">
        <f ca="1">IFERROR(IF(NOT($B22=""),IF($E22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22,INDIRECT("Input!$"&amp;VLOOKUP(VLOOKUP(Physical!H$11,Lookup!$F$2:$I$13,4,FALSE)+1,CHARS,2,FALSE)&amp;"$1:$"&amp;VLOOKUP(VLOOKUP(Physical!H$11,Lookup!$F$2:$I$13,4,FALSE)+1,CHARS,2,FALSE)&amp;"$"&amp;Bidding!$D$11),"="&amp;$F22),""),""),"")</f>
        <v>80</v>
      </c>
      <c r="I22" s="1">
        <f ca="1">IFERROR(IF(NOT($B22=""),IF($E22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22,INDIRECT("Input!$"&amp;VLOOKUP(VLOOKUP(Physical!I$11,Lookup!$F$2:$I$13,4,FALSE)+1,CHARS,2,FALSE)&amp;"$1:$"&amp;VLOOKUP(VLOOKUP(Physical!I$11,Lookup!$F$2:$I$13,4,FALSE)+1,CHARS,2,FALSE)&amp;"$"&amp;Bidding!$D$11),"="&amp;$F22),""),""),"")</f>
        <v>0</v>
      </c>
      <c r="J22" s="1">
        <f ca="1">IFERROR(IF(NOT($B22=""),IF($E22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22,INDIRECT("Input!$"&amp;VLOOKUP(VLOOKUP(Physical!J$11,Lookup!$F$2:$I$13,4,FALSE)+1,CHARS,2,FALSE)&amp;"$1:$"&amp;VLOOKUP(VLOOKUP(Physical!J$11,Lookup!$F$2:$I$13,4,FALSE)+1,CHARS,2,FALSE)&amp;"$"&amp;Bidding!$D$11),"="&amp;$F22),""),""),"")</f>
        <v>120</v>
      </c>
      <c r="K22" s="7" t="str">
        <f t="shared" ca="1" si="3"/>
        <v>Error3</v>
      </c>
    </row>
    <row r="23" spans="1:12" x14ac:dyDescent="0.3">
      <c r="A23" s="4">
        <f ca="1">IFERROR(IF(A22+1&lt;Bidding!$D$7*(Bidding!$D$6+1),A22+1,""),"")</f>
        <v>11</v>
      </c>
      <c r="B23" s="5" t="str">
        <f ca="1">IFERROR(IF(MOD(A23,Bidding!$D$6+1)&lt;&gt;0,"Scenario X DP Y",""),"")</f>
        <v>Scenario X DP Y</v>
      </c>
      <c r="E23" s="8">
        <f ca="1">IFERROR(IF(B23="Delivery product","",IF(NOT(ISBLANK(A23)),IF(MOD(ROUNDDOWN(A23-1,0),Bidding!$D$6+1)&gt;=Bidding!$D$6,IF(MOD(A23,Bidding!$D$6+1)=Bidding!$D$6,"Out",""),MOD(ROUNDDOWN(A23-1,0),Bidding!$D$6+1)),"")),"")</f>
        <v>2</v>
      </c>
      <c r="F23" s="9">
        <f ca="1">IFERROR(IF(B23="","",IF(NOT(ISBLANK(B23)),IF(NOT(ISBLANK(A23)),MOD(ROUNDDOWN(A23/(Bidding!$D$6+1),0),Bidding!$D$7),""),"")),"")</f>
        <v>2</v>
      </c>
      <c r="G23" s="17">
        <f ca="1">IFERROR(IF(MOD(A23-1,Bidding!$D$6+1)=0,Bidding!$I$6+I23-J23,G22+I23-J23),"")</f>
        <v>-105</v>
      </c>
      <c r="H23" s="1">
        <f ca="1">IFERROR(IF(NOT($B23=""),IF($E23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23,INDIRECT("Input!$"&amp;VLOOKUP(VLOOKUP(Physical!H$11,Lookup!$F$2:$I$13,4,FALSE)+1,CHARS,2,FALSE)&amp;"$1:$"&amp;VLOOKUP(VLOOKUP(Physical!H$11,Lookup!$F$2:$I$13,4,FALSE)+1,CHARS,2,FALSE)&amp;"$"&amp;Bidding!$D$11),"="&amp;$F23),""),""),"")</f>
        <v>0</v>
      </c>
      <c r="I23" s="1">
        <f ca="1">IFERROR(IF(NOT($B23=""),IF($E23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23,INDIRECT("Input!$"&amp;VLOOKUP(VLOOKUP(Physical!I$11,Lookup!$F$2:$I$13,4,FALSE)+1,CHARS,2,FALSE)&amp;"$1:$"&amp;VLOOKUP(VLOOKUP(Physical!I$11,Lookup!$F$2:$I$13,4,FALSE)+1,CHARS,2,FALSE)&amp;"$"&amp;Bidding!$D$11),"="&amp;$F23),""),""),"")</f>
        <v>0</v>
      </c>
      <c r="J23" s="1">
        <f ca="1">IFERROR(IF(NOT($B23=""),IF($E23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23,INDIRECT("Input!$"&amp;VLOOKUP(VLOOKUP(Physical!J$11,Lookup!$F$2:$I$13,4,FALSE)+1,CHARS,2,FALSE)&amp;"$1:$"&amp;VLOOKUP(VLOOKUP(Physical!J$11,Lookup!$F$2:$I$13,4,FALSE)+1,CHARS,2,FALSE)&amp;"$"&amp;Bidding!$D$11),"="&amp;$F23),""),""),"")</f>
        <v>115</v>
      </c>
      <c r="K23" s="7" t="str">
        <f t="shared" ca="1" si="3"/>
        <v>Error3</v>
      </c>
    </row>
    <row r="24" spans="1:12" x14ac:dyDescent="0.3">
      <c r="A24" s="4">
        <f ca="1">IFERROR(IF(A23+1&lt;Bidding!$D$7*(Bidding!$D$6+1),A23+1,""),"")</f>
        <v>12</v>
      </c>
      <c r="B24" s="5" t="str">
        <f ca="1">IFERROR(IF(MOD(A24,Bidding!$D$6+1)&lt;&gt;0,"Scenario X DP Y",""),"")</f>
        <v/>
      </c>
      <c r="E24" s="8" t="str">
        <f ca="1">IFERROR(IF(B24="Delivery product","",IF(NOT(ISBLANK(A24)),IF(MOD(ROUNDDOWN(A24-1,0),Bidding!$D$6+1)&gt;=Bidding!$D$6,IF(MOD(A24,Bidding!$D$6+1)=Bidding!$D$6,"Out",""),MOD(ROUNDDOWN(A24-1,0),Bidding!$D$6+1)),"")),"")</f>
        <v/>
      </c>
      <c r="F24" s="9" t="str">
        <f ca="1">IFERROR(IF(B24="","",IF(NOT(ISBLANK(B24)),IF(NOT(ISBLANK(A24)),MOD(ROUNDDOWN(A24/(Bidding!$D$6+1),0),Bidding!$D$7),""),"")),"")</f>
        <v/>
      </c>
      <c r="G24" s="17" t="str">
        <f ca="1">IFERROR(IF(MOD(A24-1,Bidding!$D$6+1)=0,Bidding!$I$6+I24-J24,G23+I24-J24),"")</f>
        <v/>
      </c>
      <c r="H24" s="1" t="str">
        <f ca="1">IFERROR(IF(NOT($B24=""),IF($E24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24,INDIRECT("Input!$"&amp;VLOOKUP(VLOOKUP(Physical!H$11,Lookup!$F$2:$I$13,4,FALSE)+1,CHARS,2,FALSE)&amp;"$1:$"&amp;VLOOKUP(VLOOKUP(Physical!H$11,Lookup!$F$2:$I$13,4,FALSE)+1,CHARS,2,FALSE)&amp;"$"&amp;Bidding!$D$11),"="&amp;$F24),""),""),"")</f>
        <v/>
      </c>
      <c r="I24" s="1" t="str">
        <f ca="1">IFERROR(IF(NOT($B24=""),IF($E24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24,INDIRECT("Input!$"&amp;VLOOKUP(VLOOKUP(Physical!I$11,Lookup!$F$2:$I$13,4,FALSE)+1,CHARS,2,FALSE)&amp;"$1:$"&amp;VLOOKUP(VLOOKUP(Physical!I$11,Lookup!$F$2:$I$13,4,FALSE)+1,CHARS,2,FALSE)&amp;"$"&amp;Bidding!$D$11),"="&amp;$F24),""),""),"")</f>
        <v/>
      </c>
      <c r="J24" s="1" t="str">
        <f ca="1">IFERROR(IF(NOT($B24=""),IF($E24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24,INDIRECT("Input!$"&amp;VLOOKUP(VLOOKUP(Physical!J$11,Lookup!$F$2:$I$13,4,FALSE)+1,CHARS,2,FALSE)&amp;"$1:$"&amp;VLOOKUP(VLOOKUP(Physical!J$11,Lookup!$F$2:$I$13,4,FALSE)+1,CHARS,2,FALSE)&amp;"$"&amp;Bidding!$D$11),"="&amp;$F24),""),""),"")</f>
        <v/>
      </c>
      <c r="K24" s="7" t="str">
        <f t="shared" ca="1" si="3"/>
        <v/>
      </c>
    </row>
    <row r="25" spans="1:12" x14ac:dyDescent="0.3">
      <c r="A25" s="4">
        <f ca="1">IFERROR(IF(A24+1&lt;Bidding!$D$7*(Bidding!$D$6+1),A24+1,""),"")</f>
        <v>13</v>
      </c>
      <c r="B25" s="5" t="str">
        <f ca="1">IFERROR(IF(MOD(A25,Bidding!$D$6+1)&lt;&gt;0,"Scenario X DP Y",""),"")</f>
        <v>Scenario X DP Y</v>
      </c>
      <c r="E25" s="8">
        <f ca="1">IFERROR(IF(B25="Delivery product","",IF(NOT(ISBLANK(A25)),IF(MOD(ROUNDDOWN(A25-1,0),Bidding!$D$6+1)&gt;=Bidding!$D$6,IF(MOD(A25,Bidding!$D$6+1)=Bidding!$D$6,"Out",""),MOD(ROUNDDOWN(A25-1,0),Bidding!$D$6+1)),"")),"")</f>
        <v>0</v>
      </c>
      <c r="F25" s="9">
        <f ca="1">IFERROR(IF(B25="","",IF(NOT(ISBLANK(B25)),IF(NOT(ISBLANK(A25)),MOD(ROUNDDOWN(A25/(Bidding!$D$6+1),0),Bidding!$D$7),""),"")),"")</f>
        <v>3</v>
      </c>
      <c r="G25" s="17">
        <f ca="1">IFERROR(IF(MOD(A25-1,Bidding!$D$6+1)=0,Bidding!$I$6+I25-J25,G24+I25-J25),"")</f>
        <v>145</v>
      </c>
      <c r="H25" s="1">
        <f ca="1">IFERROR(IF(NOT($B25=""),IF($E25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25,INDIRECT("Input!$"&amp;VLOOKUP(VLOOKUP(Physical!H$11,Lookup!$F$2:$I$13,4,FALSE)+1,CHARS,2,FALSE)&amp;"$1:$"&amp;VLOOKUP(VLOOKUP(Physical!H$11,Lookup!$F$2:$I$13,4,FALSE)+1,CHARS,2,FALSE)&amp;"$"&amp;Bidding!$D$11),"="&amp;$F25),""),""),"")</f>
        <v>180</v>
      </c>
      <c r="I25" s="1">
        <f ca="1">IFERROR(IF(NOT($B25=""),IF($E25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25,INDIRECT("Input!$"&amp;VLOOKUP(VLOOKUP(Physical!I$11,Lookup!$F$2:$I$13,4,FALSE)+1,CHARS,2,FALSE)&amp;"$1:$"&amp;VLOOKUP(VLOOKUP(Physical!I$11,Lookup!$F$2:$I$13,4,FALSE)+1,CHARS,2,FALSE)&amp;"$"&amp;Bidding!$D$11),"="&amp;$F25),""),""),"")</f>
        <v>0</v>
      </c>
      <c r="J25" s="1">
        <f ca="1">IFERROR(IF(NOT($B25=""),IF($E25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25,INDIRECT("Input!$"&amp;VLOOKUP(VLOOKUP(Physical!J$11,Lookup!$F$2:$I$13,4,FALSE)+1,CHARS,2,FALSE)&amp;"$1:$"&amp;VLOOKUP(VLOOKUP(Physical!J$11,Lookup!$F$2:$I$13,4,FALSE)+1,CHARS,2,FALSE)&amp;"$"&amp;Bidding!$D$11),"="&amp;$F25),""),""),"")</f>
        <v>105</v>
      </c>
      <c r="K25" s="7" t="str">
        <f t="shared" ca="1" si="3"/>
        <v>Error3</v>
      </c>
      <c r="L25">
        <f ca="1">SUM(J24:J26)</f>
        <v>210</v>
      </c>
    </row>
    <row r="26" spans="1:12" x14ac:dyDescent="0.3">
      <c r="A26" s="4">
        <f ca="1">IFERROR(IF(A25+1&lt;Bidding!$D$7*(Bidding!$D$6+1),A25+1,""),"")</f>
        <v>14</v>
      </c>
      <c r="B26" s="5" t="str">
        <f ca="1">IFERROR(IF(MOD(A26,Bidding!$D$6+1)&lt;&gt;0,"Scenario X DP Y",""),"")</f>
        <v>Scenario X DP Y</v>
      </c>
      <c r="E26" s="8">
        <f ca="1">IFERROR(IF(B26="Delivery product","",IF(NOT(ISBLANK(A26)),IF(MOD(ROUNDDOWN(A26-1,0),Bidding!$D$6+1)&gt;=Bidding!$D$6,IF(MOD(A26,Bidding!$D$6+1)=Bidding!$D$6,"Out",""),MOD(ROUNDDOWN(A26-1,0),Bidding!$D$6+1)),"")),"")</f>
        <v>1</v>
      </c>
      <c r="F26" s="9">
        <f ca="1">IFERROR(IF(B26="","",IF(NOT(ISBLANK(B26)),IF(NOT(ISBLANK(A26)),MOD(ROUNDDOWN(A26/(Bidding!$D$6+1),0),Bidding!$D$7),""),"")),"")</f>
        <v>3</v>
      </c>
      <c r="G26" s="17">
        <f ca="1">IFERROR(IF(MOD(A26-1,Bidding!$D$6+1)=0,Bidding!$I$6+I26-J26,G25+I26-J26),"")</f>
        <v>40</v>
      </c>
      <c r="H26" s="1">
        <f ca="1">IFERROR(IF(NOT($B26=""),IF($E26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26,INDIRECT("Input!$"&amp;VLOOKUP(VLOOKUP(Physical!H$11,Lookup!$F$2:$I$13,4,FALSE)+1,CHARS,2,FALSE)&amp;"$1:$"&amp;VLOOKUP(VLOOKUP(Physical!H$11,Lookup!$F$2:$I$13,4,FALSE)+1,CHARS,2,FALSE)&amp;"$"&amp;Bidding!$D$11),"="&amp;$F26),""),""),"")</f>
        <v>110</v>
      </c>
      <c r="I26" s="1">
        <f ca="1">IFERROR(IF(NOT($B26=""),IF($E26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26,INDIRECT("Input!$"&amp;VLOOKUP(VLOOKUP(Physical!I$11,Lookup!$F$2:$I$13,4,FALSE)+1,CHARS,2,FALSE)&amp;"$1:$"&amp;VLOOKUP(VLOOKUP(Physical!I$11,Lookup!$F$2:$I$13,4,FALSE)+1,CHARS,2,FALSE)&amp;"$"&amp;Bidding!$D$11),"="&amp;$F26),""),""),"")</f>
        <v>0</v>
      </c>
      <c r="J26" s="1">
        <f ca="1">IFERROR(IF(NOT($B26=""),IF($E26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26,INDIRECT("Input!$"&amp;VLOOKUP(VLOOKUP(Physical!J$11,Lookup!$F$2:$I$13,4,FALSE)+1,CHARS,2,FALSE)&amp;"$1:$"&amp;VLOOKUP(VLOOKUP(Physical!J$11,Lookup!$F$2:$I$13,4,FALSE)+1,CHARS,2,FALSE)&amp;"$"&amp;Bidding!$D$11),"="&amp;$F26),""),""),"")</f>
        <v>105</v>
      </c>
      <c r="K26" s="7" t="str">
        <f t="shared" ca="1" si="3"/>
        <v>Error3</v>
      </c>
    </row>
    <row r="27" spans="1:12" x14ac:dyDescent="0.3">
      <c r="A27" s="4">
        <f ca="1">IFERROR(IF(A26+1&lt;Bidding!$D$7*(Bidding!$D$6+1),A26+1,""),"")</f>
        <v>15</v>
      </c>
      <c r="B27" s="5" t="str">
        <f ca="1">IFERROR(IF(MOD(A27,Bidding!$D$6+1)&lt;&gt;0,"Scenario X DP Y",""),"")</f>
        <v>Scenario X DP Y</v>
      </c>
      <c r="E27" s="8">
        <f ca="1">IFERROR(IF(B27="Delivery product","",IF(NOT(ISBLANK(A27)),IF(MOD(ROUNDDOWN(A27-1,0),Bidding!$D$6+1)&gt;=Bidding!$D$6,IF(MOD(A27,Bidding!$D$6+1)=Bidding!$D$6,"Out",""),MOD(ROUNDDOWN(A27-1,0),Bidding!$D$6+1)),"")),"")</f>
        <v>2</v>
      </c>
      <c r="F27" s="9">
        <f ca="1">IFERROR(IF(B27="","",IF(NOT(ISBLANK(B27)),IF(NOT(ISBLANK(A27)),MOD(ROUNDDOWN(A27/(Bidding!$D$6+1),0),Bidding!$D$7),""),"")),"")</f>
        <v>3</v>
      </c>
      <c r="G27" s="17">
        <f ca="1">IFERROR(IF(MOD(A27-1,Bidding!$D$6+1)=0,Bidding!$I$6+I27-J27,G26+I27-J27),"")</f>
        <v>-65</v>
      </c>
      <c r="H27" s="1">
        <f ca="1">IFERROR(IF(NOT($B27=""),IF($E27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27,INDIRECT("Input!$"&amp;VLOOKUP(VLOOKUP(Physical!H$11,Lookup!$F$2:$I$13,4,FALSE)+1,CHARS,2,FALSE)&amp;"$1:$"&amp;VLOOKUP(VLOOKUP(Physical!H$11,Lookup!$F$2:$I$13,4,FALSE)+1,CHARS,2,FALSE)&amp;"$"&amp;Bidding!$D$11),"="&amp;$F27),""),""),"")</f>
        <v>40</v>
      </c>
      <c r="I27" s="1">
        <f ca="1">IFERROR(IF(NOT($B27=""),IF($E27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27,INDIRECT("Input!$"&amp;VLOOKUP(VLOOKUP(Physical!I$11,Lookup!$F$2:$I$13,4,FALSE)+1,CHARS,2,FALSE)&amp;"$1:$"&amp;VLOOKUP(VLOOKUP(Physical!I$11,Lookup!$F$2:$I$13,4,FALSE)+1,CHARS,2,FALSE)&amp;"$"&amp;Bidding!$D$11),"="&amp;$F27),""),""),"")</f>
        <v>0</v>
      </c>
      <c r="J27" s="1">
        <f ca="1">IFERROR(IF(NOT($B27=""),IF($E27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27,INDIRECT("Input!$"&amp;VLOOKUP(VLOOKUP(Physical!J$11,Lookup!$F$2:$I$13,4,FALSE)+1,CHARS,2,FALSE)&amp;"$1:$"&amp;VLOOKUP(VLOOKUP(Physical!J$11,Lookup!$F$2:$I$13,4,FALSE)+1,CHARS,2,FALSE)&amp;"$"&amp;Bidding!$D$11),"="&amp;$F27),""),""),"")</f>
        <v>105</v>
      </c>
      <c r="K27" s="7" t="str">
        <f t="shared" ca="1" si="3"/>
        <v>Error3</v>
      </c>
    </row>
    <row r="28" spans="1:12" x14ac:dyDescent="0.3">
      <c r="A28" s="4">
        <f ca="1">IFERROR(IF(A27+1&lt;Bidding!$D$7*(Bidding!$D$6+1),A27+1,""),"")</f>
        <v>16</v>
      </c>
      <c r="B28" s="5" t="str">
        <f ca="1">IFERROR(IF(MOD(A28,Bidding!$D$6+1)&lt;&gt;0,"Scenario X DP Y",""),"")</f>
        <v/>
      </c>
      <c r="E28" s="8" t="str">
        <f ca="1">IFERROR(IF(B28="Delivery product","",IF(NOT(ISBLANK(A28)),IF(MOD(ROUNDDOWN(A28-1,0),Bidding!$D$6+1)&gt;=Bidding!$D$6,IF(MOD(A28,Bidding!$D$6+1)=Bidding!$D$6,"Out",""),MOD(ROUNDDOWN(A28-1,0),Bidding!$D$6+1)),"")),"")</f>
        <v/>
      </c>
      <c r="F28" s="9" t="str">
        <f ca="1">IFERROR(IF(B28="","",IF(NOT(ISBLANK(B28)),IF(NOT(ISBLANK(A28)),MOD(ROUNDDOWN(A28/(Bidding!$D$6+1),0),Bidding!$D$7),""),"")),"")</f>
        <v/>
      </c>
      <c r="G28" s="17" t="str">
        <f ca="1">IFERROR(IF(MOD(A28-1,Bidding!$D$6+1)=0,Bidding!$I$6+I28-J28,G27+I28-J28),"")</f>
        <v/>
      </c>
      <c r="H28" s="1" t="str">
        <f ca="1">IFERROR(IF(NOT($B28=""),IF($E28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28,INDIRECT("Input!$"&amp;VLOOKUP(VLOOKUP(Physical!H$11,Lookup!$F$2:$I$13,4,FALSE)+1,CHARS,2,FALSE)&amp;"$1:$"&amp;VLOOKUP(VLOOKUP(Physical!H$11,Lookup!$F$2:$I$13,4,FALSE)+1,CHARS,2,FALSE)&amp;"$"&amp;Bidding!$D$11),"="&amp;$F28),""),""),"")</f>
        <v/>
      </c>
      <c r="I28" s="1" t="str">
        <f ca="1">IFERROR(IF(NOT($B28=""),IF($E28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28,INDIRECT("Input!$"&amp;VLOOKUP(VLOOKUP(Physical!I$11,Lookup!$F$2:$I$13,4,FALSE)+1,CHARS,2,FALSE)&amp;"$1:$"&amp;VLOOKUP(VLOOKUP(Physical!I$11,Lookup!$F$2:$I$13,4,FALSE)+1,CHARS,2,FALSE)&amp;"$"&amp;Bidding!$D$11),"="&amp;$F28),""),""),"")</f>
        <v/>
      </c>
      <c r="J28" s="1" t="str">
        <f ca="1">IFERROR(IF(NOT($B28=""),IF($E28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28,INDIRECT("Input!$"&amp;VLOOKUP(VLOOKUP(Physical!J$11,Lookup!$F$2:$I$13,4,FALSE)+1,CHARS,2,FALSE)&amp;"$1:$"&amp;VLOOKUP(VLOOKUP(Physical!J$11,Lookup!$F$2:$I$13,4,FALSE)+1,CHARS,2,FALSE)&amp;"$"&amp;Bidding!$D$11),"="&amp;$F28),""),""),"")</f>
        <v/>
      </c>
      <c r="K28" s="7" t="str">
        <f t="shared" ca="1" si="3"/>
        <v/>
      </c>
    </row>
    <row r="29" spans="1:12" x14ac:dyDescent="0.3">
      <c r="A29" s="4">
        <f ca="1">IFERROR(IF(A28+1&lt;Bidding!$D$7*(Bidding!$D$6+1),A28+1,""),"")</f>
        <v>17</v>
      </c>
      <c r="B29" s="5" t="str">
        <f ca="1">IFERROR(IF(MOD(A29,Bidding!$D$6+1)&lt;&gt;0,"Scenario X DP Y",""),"")</f>
        <v>Scenario X DP Y</v>
      </c>
      <c r="E29" s="8">
        <f ca="1">IFERROR(IF(B29="Delivery product","",IF(NOT(ISBLANK(A29)),IF(MOD(ROUNDDOWN(A29-1,0),Bidding!$D$6+1)&gt;=Bidding!$D$6,IF(MOD(A29,Bidding!$D$6+1)=Bidding!$D$6,"Out",""),MOD(ROUNDDOWN(A29-1,0),Bidding!$D$6+1)),"")),"")</f>
        <v>0</v>
      </c>
      <c r="F29" s="9">
        <f ca="1">IFERROR(IF(B29="","",IF(NOT(ISBLANK(B29)),IF(NOT(ISBLANK(A29)),MOD(ROUNDDOWN(A29/(Bidding!$D$6+1),0),Bidding!$D$7),""),"")),"")</f>
        <v>4</v>
      </c>
      <c r="G29" s="17">
        <f ca="1">IFERROR(IF(MOD(A29-1,Bidding!$D$6+1)=0,Bidding!$I$6+I29-J29,G28+I29-J29),"")</f>
        <v>140</v>
      </c>
      <c r="H29" s="1">
        <f ca="1">IFERROR(IF(NOT($B29=""),IF($E29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29,INDIRECT("Input!$"&amp;VLOOKUP(VLOOKUP(Physical!H$11,Lookup!$F$2:$I$13,4,FALSE)+1,CHARS,2,FALSE)&amp;"$1:$"&amp;VLOOKUP(VLOOKUP(Physical!H$11,Lookup!$F$2:$I$13,4,FALSE)+1,CHARS,2,FALSE)&amp;"$"&amp;Bidding!$D$11),"="&amp;$F29),""),""),"")</f>
        <v>180</v>
      </c>
      <c r="I29" s="1">
        <f ca="1">IFERROR(IF(NOT($B29=""),IF($E29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29,INDIRECT("Input!$"&amp;VLOOKUP(VLOOKUP(Physical!I$11,Lookup!$F$2:$I$13,4,FALSE)+1,CHARS,2,FALSE)&amp;"$1:$"&amp;VLOOKUP(VLOOKUP(Physical!I$11,Lookup!$F$2:$I$13,4,FALSE)+1,CHARS,2,FALSE)&amp;"$"&amp;Bidding!$D$11),"="&amp;$F29),""),""),"")</f>
        <v>0</v>
      </c>
      <c r="J29" s="1">
        <f ca="1">IFERROR(IF(NOT($B29=""),IF($E29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29,INDIRECT("Input!$"&amp;VLOOKUP(VLOOKUP(Physical!J$11,Lookup!$F$2:$I$13,4,FALSE)+1,CHARS,2,FALSE)&amp;"$1:$"&amp;VLOOKUP(VLOOKUP(Physical!J$11,Lookup!$F$2:$I$13,4,FALSE)+1,CHARS,2,FALSE)&amp;"$"&amp;Bidding!$D$11),"="&amp;$F29),""),""),"")</f>
        <v>110</v>
      </c>
      <c r="K29" s="7" t="str">
        <f t="shared" ca="1" si="3"/>
        <v>Error3</v>
      </c>
    </row>
    <row r="30" spans="1:12" x14ac:dyDescent="0.3">
      <c r="A30" s="4">
        <f ca="1">IFERROR(IF(A29+1&lt;Bidding!$D$7*(Bidding!$D$6+1),A29+1,""),"")</f>
        <v>18</v>
      </c>
      <c r="B30" s="5" t="str">
        <f ca="1">IFERROR(IF(MOD(A30,Bidding!$D$6+1)&lt;&gt;0,"Scenario X DP Y",""),"")</f>
        <v>Scenario X DP Y</v>
      </c>
      <c r="E30" s="8">
        <f ca="1">IFERROR(IF(B30="Delivery product","",IF(NOT(ISBLANK(A30)),IF(MOD(ROUNDDOWN(A30-1,0),Bidding!$D$6+1)&gt;=Bidding!$D$6,IF(MOD(A30,Bidding!$D$6+1)=Bidding!$D$6,"Out",""),MOD(ROUNDDOWN(A30-1,0),Bidding!$D$6+1)),"")),"")</f>
        <v>1</v>
      </c>
      <c r="F30" s="9">
        <f ca="1">IFERROR(IF(B30="","",IF(NOT(ISBLANK(B30)),IF(NOT(ISBLANK(A30)),MOD(ROUNDDOWN(A30/(Bidding!$D$6+1),0),Bidding!$D$7),""),"")),"")</f>
        <v>4</v>
      </c>
      <c r="G30" s="17">
        <f ca="1">IFERROR(IF(MOD(A30-1,Bidding!$D$6+1)=0,Bidding!$I$6+I30-J30,G29+I30-J30),"")</f>
        <v>30</v>
      </c>
      <c r="H30" s="1">
        <f ca="1">IFERROR(IF(NOT($B30=""),IF($E30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30,INDIRECT("Input!$"&amp;VLOOKUP(VLOOKUP(Physical!H$11,Lookup!$F$2:$I$13,4,FALSE)+1,CHARS,2,FALSE)&amp;"$1:$"&amp;VLOOKUP(VLOOKUP(Physical!H$11,Lookup!$F$2:$I$13,4,FALSE)+1,CHARS,2,FALSE)&amp;"$"&amp;Bidding!$D$11),"="&amp;$F30),""),""),"")</f>
        <v>110</v>
      </c>
      <c r="I30" s="1">
        <f ca="1">IFERROR(IF(NOT($B30=""),IF($E30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30,INDIRECT("Input!$"&amp;VLOOKUP(VLOOKUP(Physical!I$11,Lookup!$F$2:$I$13,4,FALSE)+1,CHARS,2,FALSE)&amp;"$1:$"&amp;VLOOKUP(VLOOKUP(Physical!I$11,Lookup!$F$2:$I$13,4,FALSE)+1,CHARS,2,FALSE)&amp;"$"&amp;Bidding!$D$11),"="&amp;$F30),""),""),"")</f>
        <v>0</v>
      </c>
      <c r="J30" s="1">
        <f ca="1">IFERROR(IF(NOT($B30=""),IF($E30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30,INDIRECT("Input!$"&amp;VLOOKUP(VLOOKUP(Physical!J$11,Lookup!$F$2:$I$13,4,FALSE)+1,CHARS,2,FALSE)&amp;"$1:$"&amp;VLOOKUP(VLOOKUP(Physical!J$11,Lookup!$F$2:$I$13,4,FALSE)+1,CHARS,2,FALSE)&amp;"$"&amp;Bidding!$D$11),"="&amp;$F30),""),""),"")</f>
        <v>110</v>
      </c>
      <c r="K30" s="7" t="str">
        <f t="shared" ca="1" si="3"/>
        <v>Error3</v>
      </c>
      <c r="L30">
        <f ca="1">SUM(J29:J31)</f>
        <v>330</v>
      </c>
    </row>
    <row r="31" spans="1:12" x14ac:dyDescent="0.3">
      <c r="A31" s="4">
        <f ca="1">IFERROR(IF(A30+1&lt;Bidding!$D$7*(Bidding!$D$6+1),A30+1,""),"")</f>
        <v>19</v>
      </c>
      <c r="B31" s="5" t="str">
        <f ca="1">IFERROR(IF(MOD(A31,Bidding!$D$6+1)&lt;&gt;0,"Scenario X DP Y",""),"")</f>
        <v>Scenario X DP Y</v>
      </c>
      <c r="E31" s="8">
        <f ca="1">IFERROR(IF(B31="Delivery product","",IF(NOT(ISBLANK(A31)),IF(MOD(ROUNDDOWN(A31-1,0),Bidding!$D$6+1)&gt;=Bidding!$D$6,IF(MOD(A31,Bidding!$D$6+1)=Bidding!$D$6,"Out",""),MOD(ROUNDDOWN(A31-1,0),Bidding!$D$6+1)),"")),"")</f>
        <v>2</v>
      </c>
      <c r="F31" s="9">
        <f ca="1">IFERROR(IF(B31="","",IF(NOT(ISBLANK(B31)),IF(NOT(ISBLANK(A31)),MOD(ROUNDDOWN(A31/(Bidding!$D$6+1),0),Bidding!$D$7),""),"")),"")</f>
        <v>4</v>
      </c>
      <c r="G31" s="17">
        <f ca="1">IFERROR(IF(MOD(A31-1,Bidding!$D$6+1)=0,Bidding!$I$6+I31-J31,G30+I31-J31),"")</f>
        <v>-80</v>
      </c>
      <c r="H31" s="1">
        <f ca="1">IFERROR(IF(NOT($B31=""),IF($E31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31,INDIRECT("Input!$"&amp;VLOOKUP(VLOOKUP(Physical!H$11,Lookup!$F$2:$I$13,4,FALSE)+1,CHARS,2,FALSE)&amp;"$1:$"&amp;VLOOKUP(VLOOKUP(Physical!H$11,Lookup!$F$2:$I$13,4,FALSE)+1,CHARS,2,FALSE)&amp;"$"&amp;Bidding!$D$11),"="&amp;$F31),""),""),"")</f>
        <v>40</v>
      </c>
      <c r="I31" s="1">
        <f ca="1">IFERROR(IF(NOT($B31=""),IF($E31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31,INDIRECT("Input!$"&amp;VLOOKUP(VLOOKUP(Physical!I$11,Lookup!$F$2:$I$13,4,FALSE)+1,CHARS,2,FALSE)&amp;"$1:$"&amp;VLOOKUP(VLOOKUP(Physical!I$11,Lookup!$F$2:$I$13,4,FALSE)+1,CHARS,2,FALSE)&amp;"$"&amp;Bidding!$D$11),"="&amp;$F31),""),""),"")</f>
        <v>0</v>
      </c>
      <c r="J31" s="1">
        <f ca="1">IFERROR(IF(NOT($B31=""),IF($E31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31,INDIRECT("Input!$"&amp;VLOOKUP(VLOOKUP(Physical!J$11,Lookup!$F$2:$I$13,4,FALSE)+1,CHARS,2,FALSE)&amp;"$1:$"&amp;VLOOKUP(VLOOKUP(Physical!J$11,Lookup!$F$2:$I$13,4,FALSE)+1,CHARS,2,FALSE)&amp;"$"&amp;Bidding!$D$11),"="&amp;$F31),""),""),"")</f>
        <v>110</v>
      </c>
      <c r="K31" s="7" t="str">
        <f t="shared" ca="1" si="3"/>
        <v>Error3</v>
      </c>
    </row>
    <row r="32" spans="1:12" x14ac:dyDescent="0.3">
      <c r="A32" s="4">
        <f ca="1">IFERROR(IF(A31+1&lt;Bidding!$D$7*(Bidding!$D$6+1),A31+1,""),"")</f>
        <v>20</v>
      </c>
      <c r="B32" s="5" t="str">
        <f ca="1">IFERROR(IF(MOD(A32,Bidding!$D$6+1)&lt;&gt;0,"Scenario X DP Y",""),"")</f>
        <v/>
      </c>
      <c r="E32" s="8" t="str">
        <f ca="1">IFERROR(IF(B32="Delivery product","",IF(NOT(ISBLANK(A32)),IF(MOD(ROUNDDOWN(A32-1,0),Bidding!$D$6+1)&gt;=Bidding!$D$6,IF(MOD(A32,Bidding!$D$6+1)=Bidding!$D$6,"Out",""),MOD(ROUNDDOWN(A32-1,0),Bidding!$D$6+1)),"")),"")</f>
        <v/>
      </c>
      <c r="F32" s="9" t="str">
        <f ca="1">IFERROR(IF(B32="","",IF(NOT(ISBLANK(B32)),IF(NOT(ISBLANK(A32)),MOD(ROUNDDOWN(A32/(Bidding!$D$6+1),0),Bidding!$D$7),""),"")),"")</f>
        <v/>
      </c>
      <c r="G32" s="17" t="str">
        <f ca="1">IFERROR(IF(MOD(A32-1,Bidding!$D$6+1)=0,Bidding!$I$6+I32-J32,G31+I32-J32),"")</f>
        <v/>
      </c>
      <c r="H32" s="1" t="str">
        <f ca="1">IFERROR(IF(NOT($B32=""),IF($E32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32,INDIRECT("Input!$"&amp;VLOOKUP(VLOOKUP(Physical!H$11,Lookup!$F$2:$I$13,4,FALSE)+1,CHARS,2,FALSE)&amp;"$1:$"&amp;VLOOKUP(VLOOKUP(Physical!H$11,Lookup!$F$2:$I$13,4,FALSE)+1,CHARS,2,FALSE)&amp;"$"&amp;Bidding!$D$11),"="&amp;$F32),""),""),"")</f>
        <v/>
      </c>
      <c r="I32" s="1" t="str">
        <f ca="1">IFERROR(IF(NOT($B32=""),IF($E32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32,INDIRECT("Input!$"&amp;VLOOKUP(VLOOKUP(Physical!I$11,Lookup!$F$2:$I$13,4,FALSE)+1,CHARS,2,FALSE)&amp;"$1:$"&amp;VLOOKUP(VLOOKUP(Physical!I$11,Lookup!$F$2:$I$13,4,FALSE)+1,CHARS,2,FALSE)&amp;"$"&amp;Bidding!$D$11),"="&amp;$F32),""),""),"")</f>
        <v/>
      </c>
      <c r="J32" s="1" t="str">
        <f ca="1">IFERROR(IF(NOT($B32=""),IF($E32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32,INDIRECT("Input!$"&amp;VLOOKUP(VLOOKUP(Physical!J$11,Lookup!$F$2:$I$13,4,FALSE)+1,CHARS,2,FALSE)&amp;"$1:$"&amp;VLOOKUP(VLOOKUP(Physical!J$11,Lookup!$F$2:$I$13,4,FALSE)+1,CHARS,2,FALSE)&amp;"$"&amp;Bidding!$D$11),"="&amp;$F32),""),""),"")</f>
        <v/>
      </c>
      <c r="K32" s="7" t="str">
        <f t="shared" ca="1" si="3"/>
        <v/>
      </c>
    </row>
    <row r="33" spans="1:12" x14ac:dyDescent="0.3">
      <c r="A33" s="4">
        <f ca="1">IFERROR(IF(A32+1&lt;Bidding!$D$7*(Bidding!$D$6+1),A32+1,""),"")</f>
        <v>21</v>
      </c>
      <c r="B33" s="5" t="str">
        <f ca="1">IFERROR(IF(MOD(A33,Bidding!$D$6+1)&lt;&gt;0,"Scenario X DP Y",""),"")</f>
        <v>Scenario X DP Y</v>
      </c>
      <c r="E33" s="8">
        <f ca="1">IFERROR(IF(B33="Delivery product","",IF(NOT(ISBLANK(A33)),IF(MOD(ROUNDDOWN(A33-1,0),Bidding!$D$6+1)&gt;=Bidding!$D$6,IF(MOD(A33,Bidding!$D$6+1)=Bidding!$D$6,"Out",""),MOD(ROUNDDOWN(A33-1,0),Bidding!$D$6+1)),"")),"")</f>
        <v>0</v>
      </c>
      <c r="F33" s="9">
        <f ca="1">IFERROR(IF(B33="","",IF(NOT(ISBLANK(B33)),IF(NOT(ISBLANK(A33)),MOD(ROUNDDOWN(A33/(Bidding!$D$6+1),0),Bidding!$D$7),""),"")),"")</f>
        <v>5</v>
      </c>
      <c r="G33" s="17">
        <f ca="1">IFERROR(IF(MOD(A33-1,Bidding!$D$6+1)=0,Bidding!$I$6+I33-J33,G32+I33-J33),"")</f>
        <v>135</v>
      </c>
      <c r="H33" s="1">
        <f ca="1">IFERROR(IF(NOT($B33=""),IF($E33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33,INDIRECT("Input!$"&amp;VLOOKUP(VLOOKUP(Physical!H$11,Lookup!$F$2:$I$13,4,FALSE)+1,CHARS,2,FALSE)&amp;"$1:$"&amp;VLOOKUP(VLOOKUP(Physical!H$11,Lookup!$F$2:$I$13,4,FALSE)+1,CHARS,2,FALSE)&amp;"$"&amp;Bidding!$D$11),"="&amp;$F33),""),""),"")</f>
        <v>175</v>
      </c>
      <c r="I33" s="1">
        <f ca="1">IFERROR(IF(NOT($B33=""),IF($E33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33,INDIRECT("Input!$"&amp;VLOOKUP(VLOOKUP(Physical!I$11,Lookup!$F$2:$I$13,4,FALSE)+1,CHARS,2,FALSE)&amp;"$1:$"&amp;VLOOKUP(VLOOKUP(Physical!I$11,Lookup!$F$2:$I$13,4,FALSE)+1,CHARS,2,FALSE)&amp;"$"&amp;Bidding!$D$11),"="&amp;$F33),""),""),"")</f>
        <v>0</v>
      </c>
      <c r="J33" s="1">
        <f ca="1">IFERROR(IF(NOT($B33=""),IF($E33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33,INDIRECT("Input!$"&amp;VLOOKUP(VLOOKUP(Physical!J$11,Lookup!$F$2:$I$13,4,FALSE)+1,CHARS,2,FALSE)&amp;"$1:$"&amp;VLOOKUP(VLOOKUP(Physical!J$11,Lookup!$F$2:$I$13,4,FALSE)+1,CHARS,2,FALSE)&amp;"$"&amp;Bidding!$D$11),"="&amp;$F33),""),""),"")</f>
        <v>115</v>
      </c>
      <c r="K33" s="7" t="str">
        <f t="shared" ca="1" si="3"/>
        <v>Error3</v>
      </c>
    </row>
    <row r="34" spans="1:12" x14ac:dyDescent="0.3">
      <c r="A34" s="4">
        <f ca="1">IFERROR(IF(A33+1&lt;Bidding!$D$7*(Bidding!$D$6+1),A33+1,""),"")</f>
        <v>22</v>
      </c>
      <c r="B34" s="5" t="str">
        <f ca="1">IFERROR(IF(MOD(A34,Bidding!$D$6+1)&lt;&gt;0,"Scenario X DP Y",""),"")</f>
        <v>Scenario X DP Y</v>
      </c>
      <c r="E34" s="8">
        <f ca="1">IFERROR(IF(B34="Delivery product","",IF(NOT(ISBLANK(A34)),IF(MOD(ROUNDDOWN(A34-1,0),Bidding!$D$6+1)&gt;=Bidding!$D$6,IF(MOD(A34,Bidding!$D$6+1)=Bidding!$D$6,"Out",""),MOD(ROUNDDOWN(A34-1,0),Bidding!$D$6+1)),"")),"")</f>
        <v>1</v>
      </c>
      <c r="F34" s="9">
        <f ca="1">IFERROR(IF(B34="","",IF(NOT(ISBLANK(B34)),IF(NOT(ISBLANK(A34)),MOD(ROUNDDOWN(A34/(Bidding!$D$6+1),0),Bidding!$D$7),""),"")),"")</f>
        <v>5</v>
      </c>
      <c r="G34" s="17">
        <f ca="1">IFERROR(IF(MOD(A34-1,Bidding!$D$6+1)=0,Bidding!$I$6+I34-J34,G33+I34-J34),"")</f>
        <v>20</v>
      </c>
      <c r="H34" s="1">
        <f ca="1">IFERROR(IF(NOT($B34=""),IF($E34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34,INDIRECT("Input!$"&amp;VLOOKUP(VLOOKUP(Physical!H$11,Lookup!$F$2:$I$13,4,FALSE)+1,CHARS,2,FALSE)&amp;"$1:$"&amp;VLOOKUP(VLOOKUP(Physical!H$11,Lookup!$F$2:$I$13,4,FALSE)+1,CHARS,2,FALSE)&amp;"$"&amp;Bidding!$D$11),"="&amp;$F34),""),""),"")</f>
        <v>100</v>
      </c>
      <c r="I34" s="1">
        <f ca="1">IFERROR(IF(NOT($B34=""),IF($E34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34,INDIRECT("Input!$"&amp;VLOOKUP(VLOOKUP(Physical!I$11,Lookup!$F$2:$I$13,4,FALSE)+1,CHARS,2,FALSE)&amp;"$1:$"&amp;VLOOKUP(VLOOKUP(Physical!I$11,Lookup!$F$2:$I$13,4,FALSE)+1,CHARS,2,FALSE)&amp;"$"&amp;Bidding!$D$11),"="&amp;$F34),""),""),"")</f>
        <v>0</v>
      </c>
      <c r="J34" s="1">
        <f ca="1">IFERROR(IF(NOT($B34=""),IF($E34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34,INDIRECT("Input!$"&amp;VLOOKUP(VLOOKUP(Physical!J$11,Lookup!$F$2:$I$13,4,FALSE)+1,CHARS,2,FALSE)&amp;"$1:$"&amp;VLOOKUP(VLOOKUP(Physical!J$11,Lookup!$F$2:$I$13,4,FALSE)+1,CHARS,2,FALSE)&amp;"$"&amp;Bidding!$D$11),"="&amp;$F34),""),""),"")</f>
        <v>115</v>
      </c>
      <c r="K34" s="7" t="str">
        <f t="shared" ca="1" si="3"/>
        <v>Error3</v>
      </c>
    </row>
    <row r="35" spans="1:12" x14ac:dyDescent="0.3">
      <c r="A35" s="4">
        <f ca="1">IFERROR(IF(A34+1&lt;Bidding!$D$7*(Bidding!$D$6+1),A34+1,""),"")</f>
        <v>23</v>
      </c>
      <c r="B35" s="5" t="str">
        <f ca="1">IFERROR(IF(MOD(A35,Bidding!$D$6+1)&lt;&gt;0,"Scenario X DP Y",""),"")</f>
        <v>Scenario X DP Y</v>
      </c>
      <c r="E35" s="8">
        <f ca="1">IFERROR(IF(B35="Delivery product","",IF(NOT(ISBLANK(A35)),IF(MOD(ROUNDDOWN(A35-1,0),Bidding!$D$6+1)&gt;=Bidding!$D$6,IF(MOD(A35,Bidding!$D$6+1)=Bidding!$D$6,"Out",""),MOD(ROUNDDOWN(A35-1,0),Bidding!$D$6+1)),"")),"")</f>
        <v>2</v>
      </c>
      <c r="F35" s="9">
        <f ca="1">IFERROR(IF(B35="","",IF(NOT(ISBLANK(B35)),IF(NOT(ISBLANK(A35)),MOD(ROUNDDOWN(A35/(Bidding!$D$6+1),0),Bidding!$D$7),""),"")),"")</f>
        <v>5</v>
      </c>
      <c r="G35" s="17">
        <f ca="1">IFERROR(IF(MOD(A35-1,Bidding!$D$6+1)=0,Bidding!$I$6+I35-J35,G34+I35-J35),"")</f>
        <v>-95</v>
      </c>
      <c r="H35" s="1">
        <f ca="1">IFERROR(IF(NOT($B35=""),IF($E35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35,INDIRECT("Input!$"&amp;VLOOKUP(VLOOKUP(Physical!H$11,Lookup!$F$2:$I$13,4,FALSE)+1,CHARS,2,FALSE)&amp;"$1:$"&amp;VLOOKUP(VLOOKUP(Physical!H$11,Lookup!$F$2:$I$13,4,FALSE)+1,CHARS,2,FALSE)&amp;"$"&amp;Bidding!$D$11),"="&amp;$F35),""),""),"")</f>
        <v>25</v>
      </c>
      <c r="I35" s="1">
        <f ca="1">IFERROR(IF(NOT($B35=""),IF($E35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35,INDIRECT("Input!$"&amp;VLOOKUP(VLOOKUP(Physical!I$11,Lookup!$F$2:$I$13,4,FALSE)+1,CHARS,2,FALSE)&amp;"$1:$"&amp;VLOOKUP(VLOOKUP(Physical!I$11,Lookup!$F$2:$I$13,4,FALSE)+1,CHARS,2,FALSE)&amp;"$"&amp;Bidding!$D$11),"="&amp;$F35),""),""),"")</f>
        <v>0</v>
      </c>
      <c r="J35" s="1">
        <f ca="1">IFERROR(IF(NOT($B35=""),IF($E35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35,INDIRECT("Input!$"&amp;VLOOKUP(VLOOKUP(Physical!J$11,Lookup!$F$2:$I$13,4,FALSE)+1,CHARS,2,FALSE)&amp;"$1:$"&amp;VLOOKUP(VLOOKUP(Physical!J$11,Lookup!$F$2:$I$13,4,FALSE)+1,CHARS,2,FALSE)&amp;"$"&amp;Bidding!$D$11),"="&amp;$F35),""),""),"")</f>
        <v>115</v>
      </c>
      <c r="K35" s="7" t="str">
        <f t="shared" ca="1" si="3"/>
        <v>Error3</v>
      </c>
      <c r="L35">
        <f ca="1">SUM(J34:J36)</f>
        <v>230</v>
      </c>
    </row>
    <row r="36" spans="1:12" x14ac:dyDescent="0.3">
      <c r="A36" s="4">
        <f ca="1">IFERROR(IF(A35+1&lt;Bidding!$D$7*(Bidding!$D$6+1),A35+1,""),"")</f>
        <v>24</v>
      </c>
      <c r="B36" s="5" t="str">
        <f ca="1">IFERROR(IF(MOD(A36,Bidding!$D$6+1)&lt;&gt;0,"Scenario X DP Y",""),"")</f>
        <v/>
      </c>
      <c r="E36" s="8" t="str">
        <f ca="1">IFERROR(IF(B36="Delivery product","",IF(NOT(ISBLANK(A36)),IF(MOD(ROUNDDOWN(A36-1,0),Bidding!$D$6+1)&gt;=Bidding!$D$6,IF(MOD(A36,Bidding!$D$6+1)=Bidding!$D$6,"Out",""),MOD(ROUNDDOWN(A36-1,0),Bidding!$D$6+1)),"")),"")</f>
        <v/>
      </c>
      <c r="F36" s="9" t="str">
        <f ca="1">IFERROR(IF(B36="","",IF(NOT(ISBLANK(B36)),IF(NOT(ISBLANK(A36)),MOD(ROUNDDOWN(A36/(Bidding!$D$6+1),0),Bidding!$D$7),""),"")),"")</f>
        <v/>
      </c>
      <c r="G36" s="17" t="str">
        <f ca="1">IFERROR(IF(MOD(A36-1,Bidding!$D$6+1)=0,Bidding!$I$6+I36-J36,G35+I36-J36),"")</f>
        <v/>
      </c>
      <c r="H36" s="1" t="str">
        <f ca="1">IFERROR(IF(NOT($B36=""),IF($E36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36,INDIRECT("Input!$"&amp;VLOOKUP(VLOOKUP(Physical!H$11,Lookup!$F$2:$I$13,4,FALSE)+1,CHARS,2,FALSE)&amp;"$1:$"&amp;VLOOKUP(VLOOKUP(Physical!H$11,Lookup!$F$2:$I$13,4,FALSE)+1,CHARS,2,FALSE)&amp;"$"&amp;Bidding!$D$11),"="&amp;$F36),""),""),"")</f>
        <v/>
      </c>
      <c r="I36" s="1" t="str">
        <f ca="1">IFERROR(IF(NOT($B36=""),IF($E36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36,INDIRECT("Input!$"&amp;VLOOKUP(VLOOKUP(Physical!I$11,Lookup!$F$2:$I$13,4,FALSE)+1,CHARS,2,FALSE)&amp;"$1:$"&amp;VLOOKUP(VLOOKUP(Physical!I$11,Lookup!$F$2:$I$13,4,FALSE)+1,CHARS,2,FALSE)&amp;"$"&amp;Bidding!$D$11),"="&amp;$F36),""),""),"")</f>
        <v/>
      </c>
      <c r="J36" s="1" t="str">
        <f ca="1">IFERROR(IF(NOT($B36=""),IF($E36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36,INDIRECT("Input!$"&amp;VLOOKUP(VLOOKUP(Physical!J$11,Lookup!$F$2:$I$13,4,FALSE)+1,CHARS,2,FALSE)&amp;"$1:$"&amp;VLOOKUP(VLOOKUP(Physical!J$11,Lookup!$F$2:$I$13,4,FALSE)+1,CHARS,2,FALSE)&amp;"$"&amp;Bidding!$D$11),"="&amp;$F36),""),""),"")</f>
        <v/>
      </c>
      <c r="K36" s="7" t="str">
        <f t="shared" ca="1" si="3"/>
        <v/>
      </c>
    </row>
    <row r="37" spans="1:12" x14ac:dyDescent="0.3">
      <c r="A37" s="4">
        <f ca="1">IFERROR(IF(A36+1&lt;Bidding!$D$7*(Bidding!$D$6+1),A36+1,""),"")</f>
        <v>25</v>
      </c>
      <c r="B37" s="5" t="str">
        <f ca="1">IFERROR(IF(MOD(A37,Bidding!$D$6+1)&lt;&gt;0,"Scenario X DP Y",""),"")</f>
        <v>Scenario X DP Y</v>
      </c>
      <c r="E37" s="8">
        <f ca="1">IFERROR(IF(B37="Delivery product","",IF(NOT(ISBLANK(A37)),IF(MOD(ROUNDDOWN(A37-1,0),Bidding!$D$6+1)&gt;=Bidding!$D$6,IF(MOD(A37,Bidding!$D$6+1)=Bidding!$D$6,"Out",""),MOD(ROUNDDOWN(A37-1,0),Bidding!$D$6+1)),"")),"")</f>
        <v>0</v>
      </c>
      <c r="F37" s="9">
        <f ca="1">IFERROR(IF(B37="","",IF(NOT(ISBLANK(B37)),IF(NOT(ISBLANK(A37)),MOD(ROUNDDOWN(A37/(Bidding!$D$6+1),0),Bidding!$D$7),""),"")),"")</f>
        <v>6</v>
      </c>
      <c r="G37" s="17">
        <f ca="1">IFERROR(IF(MOD(A37-1,Bidding!$D$6+1)=0,Bidding!$I$6+I37-J37,G36+I37-J37),"")</f>
        <v>130</v>
      </c>
      <c r="H37" s="1">
        <f ca="1">IFERROR(IF(NOT($B37=""),IF($E37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37,INDIRECT("Input!$"&amp;VLOOKUP(VLOOKUP(Physical!H$11,Lookup!$F$2:$I$13,4,FALSE)+1,CHARS,2,FALSE)&amp;"$1:$"&amp;VLOOKUP(VLOOKUP(Physical!H$11,Lookup!$F$2:$I$13,4,FALSE)+1,CHARS,2,FALSE)&amp;"$"&amp;Bidding!$D$11),"="&amp;$F37),""),""),"")</f>
        <v>175</v>
      </c>
      <c r="I37" s="1">
        <f ca="1">IFERROR(IF(NOT($B37=""),IF($E37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37,INDIRECT("Input!$"&amp;VLOOKUP(VLOOKUP(Physical!I$11,Lookup!$F$2:$I$13,4,FALSE)+1,CHARS,2,FALSE)&amp;"$1:$"&amp;VLOOKUP(VLOOKUP(Physical!I$11,Lookup!$F$2:$I$13,4,FALSE)+1,CHARS,2,FALSE)&amp;"$"&amp;Bidding!$D$11),"="&amp;$F37),""),""),"")</f>
        <v>0</v>
      </c>
      <c r="J37" s="1">
        <f ca="1">IFERROR(IF(NOT($B37=""),IF($E37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37,INDIRECT("Input!$"&amp;VLOOKUP(VLOOKUP(Physical!J$11,Lookup!$F$2:$I$13,4,FALSE)+1,CHARS,2,FALSE)&amp;"$1:$"&amp;VLOOKUP(VLOOKUP(Physical!J$11,Lookup!$F$2:$I$13,4,FALSE)+1,CHARS,2,FALSE)&amp;"$"&amp;Bidding!$D$11),"="&amp;$F37),""),""),"")</f>
        <v>120</v>
      </c>
      <c r="K37" s="7" t="str">
        <f t="shared" ca="1" si="3"/>
        <v>Error3</v>
      </c>
    </row>
    <row r="38" spans="1:12" x14ac:dyDescent="0.3">
      <c r="A38" s="4">
        <f ca="1">IFERROR(IF(A37+1&lt;Bidding!$D$7*(Bidding!$D$6+1),A37+1,""),"")</f>
        <v>26</v>
      </c>
      <c r="B38" s="5" t="str">
        <f ca="1">IFERROR(IF(MOD(A38,Bidding!$D$6+1)&lt;&gt;0,"Scenario X DP Y",""),"")</f>
        <v>Scenario X DP Y</v>
      </c>
      <c r="E38" s="8">
        <f ca="1">IFERROR(IF(B38="Delivery product","",IF(NOT(ISBLANK(A38)),IF(MOD(ROUNDDOWN(A38-1,0),Bidding!$D$6+1)&gt;=Bidding!$D$6,IF(MOD(A38,Bidding!$D$6+1)=Bidding!$D$6,"Out",""),MOD(ROUNDDOWN(A38-1,0),Bidding!$D$6+1)),"")),"")</f>
        <v>1</v>
      </c>
      <c r="F38" s="9">
        <f ca="1">IFERROR(IF(B38="","",IF(NOT(ISBLANK(B38)),IF(NOT(ISBLANK(A38)),MOD(ROUNDDOWN(A38/(Bidding!$D$6+1),0),Bidding!$D$7),""),"")),"")</f>
        <v>6</v>
      </c>
      <c r="G38" s="17">
        <f ca="1">IFERROR(IF(MOD(A38-1,Bidding!$D$6+1)=0,Bidding!$I$6+I38-J38,G37+I38-J38),"")</f>
        <v>10</v>
      </c>
      <c r="H38" s="1">
        <f ca="1">IFERROR(IF(NOT($B38=""),IF($E38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38,INDIRECT("Input!$"&amp;VLOOKUP(VLOOKUP(Physical!H$11,Lookup!$F$2:$I$13,4,FALSE)+1,CHARS,2,FALSE)&amp;"$1:$"&amp;VLOOKUP(VLOOKUP(Physical!H$11,Lookup!$F$2:$I$13,4,FALSE)+1,CHARS,2,FALSE)&amp;"$"&amp;Bidding!$D$11),"="&amp;$F38),""),""),"")</f>
        <v>100</v>
      </c>
      <c r="I38" s="1">
        <f ca="1">IFERROR(IF(NOT($B38=""),IF($E38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38,INDIRECT("Input!$"&amp;VLOOKUP(VLOOKUP(Physical!I$11,Lookup!$F$2:$I$13,4,FALSE)+1,CHARS,2,FALSE)&amp;"$1:$"&amp;VLOOKUP(VLOOKUP(Physical!I$11,Lookup!$F$2:$I$13,4,FALSE)+1,CHARS,2,FALSE)&amp;"$"&amp;Bidding!$D$11),"="&amp;$F38),""),""),"")</f>
        <v>0</v>
      </c>
      <c r="J38" s="1">
        <f ca="1">IFERROR(IF(NOT($B38=""),IF($E38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38,INDIRECT("Input!$"&amp;VLOOKUP(VLOOKUP(Physical!J$11,Lookup!$F$2:$I$13,4,FALSE)+1,CHARS,2,FALSE)&amp;"$1:$"&amp;VLOOKUP(VLOOKUP(Physical!J$11,Lookup!$F$2:$I$13,4,FALSE)+1,CHARS,2,FALSE)&amp;"$"&amp;Bidding!$D$11),"="&amp;$F38),""),""),"")</f>
        <v>120</v>
      </c>
      <c r="K38" s="7" t="str">
        <f t="shared" ca="1" si="3"/>
        <v>Error3</v>
      </c>
    </row>
    <row r="39" spans="1:12" x14ac:dyDescent="0.3">
      <c r="A39" s="4">
        <f ca="1">IFERROR(IF(A38+1&lt;Bidding!$D$7*(Bidding!$D$6+1),A38+1,""),"")</f>
        <v>27</v>
      </c>
      <c r="B39" s="5" t="str">
        <f ca="1">IFERROR(IF(MOD(A39,Bidding!$D$6+1)&lt;&gt;0,"Scenario X DP Y",""),"")</f>
        <v>Scenario X DP Y</v>
      </c>
      <c r="E39" s="8">
        <f ca="1">IFERROR(IF(B39="Delivery product","",IF(NOT(ISBLANK(A39)),IF(MOD(ROUNDDOWN(A39-1,0),Bidding!$D$6+1)&gt;=Bidding!$D$6,IF(MOD(A39,Bidding!$D$6+1)=Bidding!$D$6,"Out",""),MOD(ROUNDDOWN(A39-1,0),Bidding!$D$6+1)),"")),"")</f>
        <v>2</v>
      </c>
      <c r="F39" s="9">
        <f ca="1">IFERROR(IF(B39="","",IF(NOT(ISBLANK(B39)),IF(NOT(ISBLANK(A39)),MOD(ROUNDDOWN(A39/(Bidding!$D$6+1),0),Bidding!$D$7),""),"")),"")</f>
        <v>6</v>
      </c>
      <c r="G39" s="17">
        <f ca="1">IFERROR(IF(MOD(A39-1,Bidding!$D$6+1)=0,Bidding!$I$6+I39-J39,G38+I39-J39),"")</f>
        <v>-110</v>
      </c>
      <c r="H39" s="1">
        <f ca="1">IFERROR(IF(NOT($B39=""),IF($E39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39,INDIRECT("Input!$"&amp;VLOOKUP(VLOOKUP(Physical!H$11,Lookup!$F$2:$I$13,4,FALSE)+1,CHARS,2,FALSE)&amp;"$1:$"&amp;VLOOKUP(VLOOKUP(Physical!H$11,Lookup!$F$2:$I$13,4,FALSE)+1,CHARS,2,FALSE)&amp;"$"&amp;Bidding!$D$11),"="&amp;$F39),""),""),"")</f>
        <v>25</v>
      </c>
      <c r="I39" s="1">
        <f ca="1">IFERROR(IF(NOT($B39=""),IF($E39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39,INDIRECT("Input!$"&amp;VLOOKUP(VLOOKUP(Physical!I$11,Lookup!$F$2:$I$13,4,FALSE)+1,CHARS,2,FALSE)&amp;"$1:$"&amp;VLOOKUP(VLOOKUP(Physical!I$11,Lookup!$F$2:$I$13,4,FALSE)+1,CHARS,2,FALSE)&amp;"$"&amp;Bidding!$D$11),"="&amp;$F39),""),""),"")</f>
        <v>0</v>
      </c>
      <c r="J39" s="1">
        <f ca="1">IFERROR(IF(NOT($B39=""),IF($E39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39,INDIRECT("Input!$"&amp;VLOOKUP(VLOOKUP(Physical!J$11,Lookup!$F$2:$I$13,4,FALSE)+1,CHARS,2,FALSE)&amp;"$1:$"&amp;VLOOKUP(VLOOKUP(Physical!J$11,Lookup!$F$2:$I$13,4,FALSE)+1,CHARS,2,FALSE)&amp;"$"&amp;Bidding!$D$11),"="&amp;$F39),""),""),"")</f>
        <v>120</v>
      </c>
      <c r="K39" s="7" t="str">
        <f t="shared" ca="1" si="3"/>
        <v>Error3</v>
      </c>
    </row>
    <row r="40" spans="1:12" x14ac:dyDescent="0.3">
      <c r="A40" s="4">
        <f ca="1">IFERROR(IF(A39+1&lt;Bidding!$D$7*(Bidding!$D$6+1),A39+1,""),"")</f>
        <v>28</v>
      </c>
      <c r="B40" s="5" t="str">
        <f ca="1">IFERROR(IF(MOD(A40,Bidding!$D$6+1)&lt;&gt;0,"Scenario X DP Y",""),"")</f>
        <v/>
      </c>
      <c r="E40" s="8" t="str">
        <f ca="1">IFERROR(IF(B40="Delivery product","",IF(NOT(ISBLANK(A40)),IF(MOD(ROUNDDOWN(A40-1,0),Bidding!$D$6+1)&gt;=Bidding!$D$6,IF(MOD(A40,Bidding!$D$6+1)=Bidding!$D$6,"Out",""),MOD(ROUNDDOWN(A40-1,0),Bidding!$D$6+1)),"")),"")</f>
        <v/>
      </c>
      <c r="F40" s="9" t="str">
        <f ca="1">IFERROR(IF(B40="","",IF(NOT(ISBLANK(B40)),IF(NOT(ISBLANK(A40)),MOD(ROUNDDOWN(A40/(Bidding!$D$6+1),0),Bidding!$D$7),""),"")),"")</f>
        <v/>
      </c>
      <c r="G40" s="17" t="str">
        <f ca="1">IFERROR(IF(MOD(A40-1,Bidding!$D$6+1)=0,Bidding!$I$6+I40-J40,G39+I40-J40),"")</f>
        <v/>
      </c>
      <c r="H40" s="1" t="str">
        <f ca="1">IFERROR(IF(NOT($B40=""),IF($E40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40,INDIRECT("Input!$"&amp;VLOOKUP(VLOOKUP(Physical!H$11,Lookup!$F$2:$I$13,4,FALSE)+1,CHARS,2,FALSE)&amp;"$1:$"&amp;VLOOKUP(VLOOKUP(Physical!H$11,Lookup!$F$2:$I$13,4,FALSE)+1,CHARS,2,FALSE)&amp;"$"&amp;Bidding!$D$11),"="&amp;$F40),""),""),"")</f>
        <v/>
      </c>
      <c r="I40" s="1" t="str">
        <f ca="1">IFERROR(IF(NOT($B40=""),IF($E40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40,INDIRECT("Input!$"&amp;VLOOKUP(VLOOKUP(Physical!I$11,Lookup!$F$2:$I$13,4,FALSE)+1,CHARS,2,FALSE)&amp;"$1:$"&amp;VLOOKUP(VLOOKUP(Physical!I$11,Lookup!$F$2:$I$13,4,FALSE)+1,CHARS,2,FALSE)&amp;"$"&amp;Bidding!$D$11),"="&amp;$F40),""),""),"")</f>
        <v/>
      </c>
      <c r="J40" s="1" t="str">
        <f ca="1">IFERROR(IF(NOT($B40=""),IF($E40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40,INDIRECT("Input!$"&amp;VLOOKUP(VLOOKUP(Physical!J$11,Lookup!$F$2:$I$13,4,FALSE)+1,CHARS,2,FALSE)&amp;"$1:$"&amp;VLOOKUP(VLOOKUP(Physical!J$11,Lookup!$F$2:$I$13,4,FALSE)+1,CHARS,2,FALSE)&amp;"$"&amp;Bidding!$D$11),"="&amp;$F40),""),""),"")</f>
        <v/>
      </c>
      <c r="K40" s="7" t="str">
        <f t="shared" ca="1" si="3"/>
        <v/>
      </c>
      <c r="L40">
        <f ca="1">SUM(J39:J41)</f>
        <v>240</v>
      </c>
    </row>
    <row r="41" spans="1:12" x14ac:dyDescent="0.3">
      <c r="A41" s="4">
        <f ca="1">IFERROR(IF(A40+1&lt;Bidding!$D$7*(Bidding!$D$6+1),A40+1,""),"")</f>
        <v>29</v>
      </c>
      <c r="B41" s="5" t="str">
        <f ca="1">IFERROR(IF(MOD(A41,Bidding!$D$6+1)&lt;&gt;0,"Scenario X DP Y",""),"")</f>
        <v>Scenario X DP Y</v>
      </c>
      <c r="E41" s="8">
        <f ca="1">IFERROR(IF(B41="Delivery product","",IF(NOT(ISBLANK(A41)),IF(MOD(ROUNDDOWN(A41-1,0),Bidding!$D$6+1)&gt;=Bidding!$D$6,IF(MOD(A41,Bidding!$D$6+1)=Bidding!$D$6,"Out",""),MOD(ROUNDDOWN(A41-1,0),Bidding!$D$6+1)),"")),"")</f>
        <v>0</v>
      </c>
      <c r="F41" s="9">
        <f ca="1">IFERROR(IF(B41="","",IF(NOT(ISBLANK(B41)),IF(NOT(ISBLANK(A41)),MOD(ROUNDDOWN(A41/(Bidding!$D$6+1),0),Bidding!$D$7),""),"")),"")</f>
        <v>7</v>
      </c>
      <c r="G41" s="17">
        <f ca="1">IFERROR(IF(MOD(A41-1,Bidding!$D$6+1)=0,Bidding!$I$6+I41-J41,G40+I41-J41),"")</f>
        <v>130</v>
      </c>
      <c r="H41" s="1">
        <f ca="1">IFERROR(IF(NOT($B41=""),IF($E41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41,INDIRECT("Input!$"&amp;VLOOKUP(VLOOKUP(Physical!H$11,Lookup!$F$2:$I$13,4,FALSE)+1,CHARS,2,FALSE)&amp;"$1:$"&amp;VLOOKUP(VLOOKUP(Physical!H$11,Lookup!$F$2:$I$13,4,FALSE)+1,CHARS,2,FALSE)&amp;"$"&amp;Bidding!$D$11),"="&amp;$F41),""),""),"")</f>
        <v>175</v>
      </c>
      <c r="I41" s="1">
        <f ca="1">IFERROR(IF(NOT($B41=""),IF($E41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41,INDIRECT("Input!$"&amp;VLOOKUP(VLOOKUP(Physical!I$11,Lookup!$F$2:$I$13,4,FALSE)+1,CHARS,2,FALSE)&amp;"$1:$"&amp;VLOOKUP(VLOOKUP(Physical!I$11,Lookup!$F$2:$I$13,4,FALSE)+1,CHARS,2,FALSE)&amp;"$"&amp;Bidding!$D$11),"="&amp;$F41),""),""),"")</f>
        <v>0</v>
      </c>
      <c r="J41" s="1">
        <f ca="1">IFERROR(IF(NOT($B41=""),IF($E41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41,INDIRECT("Input!$"&amp;VLOOKUP(VLOOKUP(Physical!J$11,Lookup!$F$2:$I$13,4,FALSE)+1,CHARS,2,FALSE)&amp;"$1:$"&amp;VLOOKUP(VLOOKUP(Physical!J$11,Lookup!$F$2:$I$13,4,FALSE)+1,CHARS,2,FALSE)&amp;"$"&amp;Bidding!$D$11),"="&amp;$F41),""),""),"")</f>
        <v>120</v>
      </c>
      <c r="K41" s="7" t="str">
        <f t="shared" ca="1" si="3"/>
        <v>Error3</v>
      </c>
    </row>
    <row r="42" spans="1:12" x14ac:dyDescent="0.2">
      <c r="A42" s="4">
        <f ca="1">IFERROR(IF(A41+1&lt;Bidding!$D$7*(Bidding!$D$6+1),A41+1,""),"")</f>
        <v>30</v>
      </c>
      <c r="B42" s="5" t="str">
        <f ca="1">IFERROR(IF(MOD(A42,Bidding!$D$6+1)&lt;&gt;0,"Scenario X DP Y",""),"")</f>
        <v>Scenario X DP Y</v>
      </c>
      <c r="E42" s="8">
        <f ca="1">IFERROR(IF(B42="Delivery product","",IF(NOT(ISBLANK(A42)),IF(MOD(ROUNDDOWN(A42-1,0),Bidding!$D$6+1)&gt;=Bidding!$D$6,IF(MOD(A42,Bidding!$D$6+1)=Bidding!$D$6,"Out",""),MOD(ROUNDDOWN(A42-1,0),Bidding!$D$6+1)),"")),"")</f>
        <v>1</v>
      </c>
      <c r="F42" s="9">
        <f ca="1">IFERROR(IF(B42="","",IF(NOT(ISBLANK(B42)),IF(NOT(ISBLANK(A42)),MOD(ROUNDDOWN(A42/(Bidding!$D$6+1),0),Bidding!$D$7),""),"")),"")</f>
        <v>7</v>
      </c>
      <c r="G42" s="17">
        <f ca="1">IFERROR(IF(MOD(A42-1,Bidding!$D$6+1)=0,Bidding!$I$6+I42-J42,G41+I42-J42),"")</f>
        <v>10</v>
      </c>
      <c r="H42" s="1">
        <f ca="1">IFERROR(IF(NOT($B42=""),IF($E42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42,INDIRECT("Input!$"&amp;VLOOKUP(VLOOKUP(Physical!H$11,Lookup!$F$2:$I$13,4,FALSE)+1,CHARS,2,FALSE)&amp;"$1:$"&amp;VLOOKUP(VLOOKUP(Physical!H$11,Lookup!$F$2:$I$13,4,FALSE)+1,CHARS,2,FALSE)&amp;"$"&amp;Bidding!$D$11),"="&amp;$F42),""),""),"")</f>
        <v>100</v>
      </c>
      <c r="I42" s="1">
        <f ca="1">IFERROR(IF(NOT($B42=""),IF($E42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42,INDIRECT("Input!$"&amp;VLOOKUP(VLOOKUP(Physical!I$11,Lookup!$F$2:$I$13,4,FALSE)+1,CHARS,2,FALSE)&amp;"$1:$"&amp;VLOOKUP(VLOOKUP(Physical!I$11,Lookup!$F$2:$I$13,4,FALSE)+1,CHARS,2,FALSE)&amp;"$"&amp;Bidding!$D$11),"="&amp;$F42),""),""),"")</f>
        <v>0</v>
      </c>
      <c r="J42" s="1">
        <f ca="1">IFERROR(IF(NOT($B42=""),IF($E42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42,INDIRECT("Input!$"&amp;VLOOKUP(VLOOKUP(Physical!J$11,Lookup!$F$2:$I$13,4,FALSE)+1,CHARS,2,FALSE)&amp;"$1:$"&amp;VLOOKUP(VLOOKUP(Physical!J$11,Lookup!$F$2:$I$13,4,FALSE)+1,CHARS,2,FALSE)&amp;"$"&amp;Bidding!$D$11),"="&amp;$F42),""),""),"")</f>
        <v>120</v>
      </c>
      <c r="K42" s="7" t="str">
        <f t="shared" ca="1" si="3"/>
        <v>Error3</v>
      </c>
    </row>
    <row r="43" spans="1:12" x14ac:dyDescent="0.2">
      <c r="A43" s="4">
        <f ca="1">IFERROR(IF(A42+1&lt;Bidding!$D$7*(Bidding!$D$6+1),A42+1,""),"")</f>
        <v>31</v>
      </c>
      <c r="B43" s="5" t="str">
        <f ca="1">IFERROR(IF(MOD(A43,Bidding!$D$6+1)&lt;&gt;0,"Scenario X DP Y",""),"")</f>
        <v>Scenario X DP Y</v>
      </c>
      <c r="E43" s="8">
        <f ca="1">IFERROR(IF(B43="Delivery product","",IF(NOT(ISBLANK(A43)),IF(MOD(ROUNDDOWN(A43-1,0),Bidding!$D$6+1)&gt;=Bidding!$D$6,IF(MOD(A43,Bidding!$D$6+1)=Bidding!$D$6,"Out",""),MOD(ROUNDDOWN(A43-1,0),Bidding!$D$6+1)),"")),"")</f>
        <v>2</v>
      </c>
      <c r="F43" s="9">
        <f ca="1">IFERROR(IF(B43="","",IF(NOT(ISBLANK(B43)),IF(NOT(ISBLANK(A43)),MOD(ROUNDDOWN(A43/(Bidding!$D$6+1),0),Bidding!$D$7),""),"")),"")</f>
        <v>7</v>
      </c>
      <c r="G43" s="17">
        <f ca="1">IFERROR(IF(MOD(A43-1,Bidding!$D$6+1)=0,Bidding!$I$6+I43-J43,G42+I43-J43),"")</f>
        <v>-110</v>
      </c>
      <c r="H43" s="1">
        <f ca="1">IFERROR(IF(NOT($B43=""),IF($E43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43,INDIRECT("Input!$"&amp;VLOOKUP(VLOOKUP(Physical!H$11,Lookup!$F$2:$I$13,4,FALSE)+1,CHARS,2,FALSE)&amp;"$1:$"&amp;VLOOKUP(VLOOKUP(Physical!H$11,Lookup!$F$2:$I$13,4,FALSE)+1,CHARS,2,FALSE)&amp;"$"&amp;Bidding!$D$11),"="&amp;$F43),""),""),"")</f>
        <v>25</v>
      </c>
      <c r="I43" s="1">
        <f ca="1">IFERROR(IF(NOT($B43=""),IF($E43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43,INDIRECT("Input!$"&amp;VLOOKUP(VLOOKUP(Physical!I$11,Lookup!$F$2:$I$13,4,FALSE)+1,CHARS,2,FALSE)&amp;"$1:$"&amp;VLOOKUP(VLOOKUP(Physical!I$11,Lookup!$F$2:$I$13,4,FALSE)+1,CHARS,2,FALSE)&amp;"$"&amp;Bidding!$D$11),"="&amp;$F43),""),""),"")</f>
        <v>0</v>
      </c>
      <c r="J43" s="1">
        <f ca="1">IFERROR(IF(NOT($B43=""),IF($E43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43,INDIRECT("Input!$"&amp;VLOOKUP(VLOOKUP(Physical!J$11,Lookup!$F$2:$I$13,4,FALSE)+1,CHARS,2,FALSE)&amp;"$1:$"&amp;VLOOKUP(VLOOKUP(Physical!J$11,Lookup!$F$2:$I$13,4,FALSE)+1,CHARS,2,FALSE)&amp;"$"&amp;Bidding!$D$11),"="&amp;$F43),""),""),"")</f>
        <v>120</v>
      </c>
      <c r="K43" s="7" t="str">
        <f t="shared" ca="1" si="3"/>
        <v>Error3</v>
      </c>
    </row>
    <row r="44" spans="1:12" x14ac:dyDescent="0.2">
      <c r="A44" s="4">
        <f ca="1">IFERROR(IF(A43+1&lt;Bidding!$D$7*(Bidding!$D$6+1),A43+1,""),"")</f>
        <v>32</v>
      </c>
      <c r="B44" s="5" t="str">
        <f ca="1">IFERROR(IF(MOD(A44,Bidding!$D$6+1)&lt;&gt;0,"Scenario X DP Y",""),"")</f>
        <v/>
      </c>
      <c r="E44" s="8" t="str">
        <f ca="1">IFERROR(IF(B44="Delivery product","",IF(NOT(ISBLANK(A44)),IF(MOD(ROUNDDOWN(A44-1,0),Bidding!$D$6+1)&gt;=Bidding!$D$6,IF(MOD(A44,Bidding!$D$6+1)=Bidding!$D$6,"Out",""),MOD(ROUNDDOWN(A44-1,0),Bidding!$D$6+1)),"")),"")</f>
        <v/>
      </c>
      <c r="F44" s="9" t="str">
        <f ca="1">IFERROR(IF(B44="","",IF(NOT(ISBLANK(B44)),IF(NOT(ISBLANK(A44)),MOD(ROUNDDOWN(A44/(Bidding!$D$6+1),0),Bidding!$D$7),""),"")),"")</f>
        <v/>
      </c>
      <c r="G44" s="17" t="str">
        <f ca="1">IFERROR(IF(MOD(A44-1,Bidding!$D$6+1)=0,Bidding!$I$6+I44-J44,G43+I44-J44),"")</f>
        <v/>
      </c>
      <c r="H44" s="1" t="str">
        <f ca="1">IFERROR(IF(NOT($B44=""),IF($E44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44,INDIRECT("Input!$"&amp;VLOOKUP(VLOOKUP(Physical!H$11,Lookup!$F$2:$I$13,4,FALSE)+1,CHARS,2,FALSE)&amp;"$1:$"&amp;VLOOKUP(VLOOKUP(Physical!H$11,Lookup!$F$2:$I$13,4,FALSE)+1,CHARS,2,FALSE)&amp;"$"&amp;Bidding!$D$11),"="&amp;$F44),""),""),"")</f>
        <v/>
      </c>
      <c r="I44" s="1" t="str">
        <f ca="1">IFERROR(IF(NOT($B44=""),IF($E44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44,INDIRECT("Input!$"&amp;VLOOKUP(VLOOKUP(Physical!I$11,Lookup!$F$2:$I$13,4,FALSE)+1,CHARS,2,FALSE)&amp;"$1:$"&amp;VLOOKUP(VLOOKUP(Physical!I$11,Lookup!$F$2:$I$13,4,FALSE)+1,CHARS,2,FALSE)&amp;"$"&amp;Bidding!$D$11),"="&amp;$F44),""),""),"")</f>
        <v/>
      </c>
      <c r="J44" s="1" t="str">
        <f ca="1">IFERROR(IF(NOT($B44=""),IF($E44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44,INDIRECT("Input!$"&amp;VLOOKUP(VLOOKUP(Physical!J$11,Lookup!$F$2:$I$13,4,FALSE)+1,CHARS,2,FALSE)&amp;"$1:$"&amp;VLOOKUP(VLOOKUP(Physical!J$11,Lookup!$F$2:$I$13,4,FALSE)+1,CHARS,2,FALSE)&amp;"$"&amp;Bidding!$D$11),"="&amp;$F44),""),""),"")</f>
        <v/>
      </c>
      <c r="K44" s="7" t="str">
        <f t="shared" ca="1" si="3"/>
        <v/>
      </c>
    </row>
    <row r="45" spans="1:12" x14ac:dyDescent="0.2">
      <c r="A45" s="4">
        <f ca="1">IFERROR(IF(A44+1&lt;Bidding!$D$7*(Bidding!$D$6+1),A44+1,""),"")</f>
        <v>33</v>
      </c>
      <c r="B45" s="5" t="str">
        <f ca="1">IFERROR(IF(MOD(A45,Bidding!$D$6+1)&lt;&gt;0,"Scenario X DP Y",""),"")</f>
        <v>Scenario X DP Y</v>
      </c>
      <c r="E45" s="8">
        <f ca="1">IFERROR(IF(B45="Delivery product","",IF(NOT(ISBLANK(A45)),IF(MOD(ROUNDDOWN(A45-1,0),Bidding!$D$6+1)&gt;=Bidding!$D$6,IF(MOD(A45,Bidding!$D$6+1)=Bidding!$D$6,"Out",""),MOD(ROUNDDOWN(A45-1,0),Bidding!$D$6+1)),"")),"")</f>
        <v>0</v>
      </c>
      <c r="F45" s="9">
        <f ca="1">IFERROR(IF(B45="","",IF(NOT(ISBLANK(B45)),IF(NOT(ISBLANK(A45)),MOD(ROUNDDOWN(A45/(Bidding!$D$6+1),0),Bidding!$D$7),""),"")),"")</f>
        <v>8</v>
      </c>
      <c r="G45" s="17">
        <f ca="1">IFERROR(IF(MOD(A45-1,Bidding!$D$6+1)=0,Bidding!$I$6+I45-J45,G44+I45-J45),"")</f>
        <v>130</v>
      </c>
      <c r="H45" s="1">
        <f ca="1">IFERROR(IF(NOT($B45=""),IF($E45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45,INDIRECT("Input!$"&amp;VLOOKUP(VLOOKUP(Physical!H$11,Lookup!$F$2:$I$13,4,FALSE)+1,CHARS,2,FALSE)&amp;"$1:$"&amp;VLOOKUP(VLOOKUP(Physical!H$11,Lookup!$F$2:$I$13,4,FALSE)+1,CHARS,2,FALSE)&amp;"$"&amp;Bidding!$D$11),"="&amp;$F45),""),""),"")</f>
        <v>180</v>
      </c>
      <c r="I45" s="1">
        <f ca="1">IFERROR(IF(NOT($B45=""),IF($E45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45,INDIRECT("Input!$"&amp;VLOOKUP(VLOOKUP(Physical!I$11,Lookup!$F$2:$I$13,4,FALSE)+1,CHARS,2,FALSE)&amp;"$1:$"&amp;VLOOKUP(VLOOKUP(Physical!I$11,Lookup!$F$2:$I$13,4,FALSE)+1,CHARS,2,FALSE)&amp;"$"&amp;Bidding!$D$11),"="&amp;$F45),""),""),"")</f>
        <v>0</v>
      </c>
      <c r="J45" s="1">
        <f ca="1">IFERROR(IF(NOT($B45=""),IF($E45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45,INDIRECT("Input!$"&amp;VLOOKUP(VLOOKUP(Physical!J$11,Lookup!$F$2:$I$13,4,FALSE)+1,CHARS,2,FALSE)&amp;"$1:$"&amp;VLOOKUP(VLOOKUP(Physical!J$11,Lookup!$F$2:$I$13,4,FALSE)+1,CHARS,2,FALSE)&amp;"$"&amp;Bidding!$D$11),"="&amp;$F45),""),""),"")</f>
        <v>120</v>
      </c>
      <c r="K45" s="7" t="str">
        <f t="shared" ca="1" si="3"/>
        <v>Error3</v>
      </c>
      <c r="L45">
        <f ca="1">SUM(J44:J46)</f>
        <v>240</v>
      </c>
    </row>
    <row r="46" spans="1:12" x14ac:dyDescent="0.2">
      <c r="A46" s="4">
        <f ca="1">IFERROR(IF(A45+1&lt;Bidding!$D$7*(Bidding!$D$6+1),A45+1,""),"")</f>
        <v>34</v>
      </c>
      <c r="B46" s="5" t="str">
        <f ca="1">IFERROR(IF(MOD(A46,Bidding!$D$6+1)&lt;&gt;0,"Scenario X DP Y",""),"")</f>
        <v>Scenario X DP Y</v>
      </c>
      <c r="E46" s="8">
        <f ca="1">IFERROR(IF(B46="Delivery product","",IF(NOT(ISBLANK(A46)),IF(MOD(ROUNDDOWN(A46-1,0),Bidding!$D$6+1)&gt;=Bidding!$D$6,IF(MOD(A46,Bidding!$D$6+1)=Bidding!$D$6,"Out",""),MOD(ROUNDDOWN(A46-1,0),Bidding!$D$6+1)),"")),"")</f>
        <v>1</v>
      </c>
      <c r="F46" s="9">
        <f ca="1">IFERROR(IF(B46="","",IF(NOT(ISBLANK(B46)),IF(NOT(ISBLANK(A46)),MOD(ROUNDDOWN(A46/(Bidding!$D$6+1),0),Bidding!$D$7),""),"")),"")</f>
        <v>8</v>
      </c>
      <c r="G46" s="17">
        <f ca="1">IFERROR(IF(MOD(A46-1,Bidding!$D$6+1)=0,Bidding!$I$6+I46-J46,G45+I46-J46),"")</f>
        <v>10</v>
      </c>
      <c r="H46" s="1">
        <f ca="1">IFERROR(IF(NOT($B46=""),IF($E46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46,INDIRECT("Input!$"&amp;VLOOKUP(VLOOKUP(Physical!H$11,Lookup!$F$2:$I$13,4,FALSE)+1,CHARS,2,FALSE)&amp;"$1:$"&amp;VLOOKUP(VLOOKUP(Physical!H$11,Lookup!$F$2:$I$13,4,FALSE)+1,CHARS,2,FALSE)&amp;"$"&amp;Bidding!$D$11),"="&amp;$F46),""),""),"")</f>
        <v>110</v>
      </c>
      <c r="I46" s="1">
        <f ca="1">IFERROR(IF(NOT($B46=""),IF($E46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46,INDIRECT("Input!$"&amp;VLOOKUP(VLOOKUP(Physical!I$11,Lookup!$F$2:$I$13,4,FALSE)+1,CHARS,2,FALSE)&amp;"$1:$"&amp;VLOOKUP(VLOOKUP(Physical!I$11,Lookup!$F$2:$I$13,4,FALSE)+1,CHARS,2,FALSE)&amp;"$"&amp;Bidding!$D$11),"="&amp;$F46),""),""),"")</f>
        <v>0</v>
      </c>
      <c r="J46" s="1">
        <f ca="1">IFERROR(IF(NOT($B46=""),IF($E46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46,INDIRECT("Input!$"&amp;VLOOKUP(VLOOKUP(Physical!J$11,Lookup!$F$2:$I$13,4,FALSE)+1,CHARS,2,FALSE)&amp;"$1:$"&amp;VLOOKUP(VLOOKUP(Physical!J$11,Lookup!$F$2:$I$13,4,FALSE)+1,CHARS,2,FALSE)&amp;"$"&amp;Bidding!$D$11),"="&amp;$F46),""),""),"")</f>
        <v>120</v>
      </c>
      <c r="K46" s="7" t="str">
        <f t="shared" ca="1" si="3"/>
        <v>Error3</v>
      </c>
    </row>
    <row r="47" spans="1:12" x14ac:dyDescent="0.2">
      <c r="A47" s="4">
        <f ca="1">IFERROR(IF(A46+1&lt;Bidding!$D$7*(Bidding!$D$6+1),A46+1,""),"")</f>
        <v>35</v>
      </c>
      <c r="B47" s="5" t="str">
        <f ca="1">IFERROR(IF(MOD(A47,Bidding!$D$6+1)&lt;&gt;0,"Scenario X DP Y",""),"")</f>
        <v>Scenario X DP Y</v>
      </c>
      <c r="E47" s="8">
        <f ca="1">IFERROR(IF(B47="Delivery product","",IF(NOT(ISBLANK(A47)),IF(MOD(ROUNDDOWN(A47-1,0),Bidding!$D$6+1)&gt;=Bidding!$D$6,IF(MOD(A47,Bidding!$D$6+1)=Bidding!$D$6,"Out",""),MOD(ROUNDDOWN(A47-1,0),Bidding!$D$6+1)),"")),"")</f>
        <v>2</v>
      </c>
      <c r="F47" s="9">
        <f ca="1">IFERROR(IF(B47="","",IF(NOT(ISBLANK(B47)),IF(NOT(ISBLANK(A47)),MOD(ROUNDDOWN(A47/(Bidding!$D$6+1),0),Bidding!$D$7),""),"")),"")</f>
        <v>8</v>
      </c>
      <c r="G47" s="17">
        <f ca="1">IFERROR(IF(MOD(A47-1,Bidding!$D$6+1)=0,Bidding!$I$6+I47-J47,G46+I47-J47),"")</f>
        <v>-110</v>
      </c>
      <c r="H47" s="1">
        <f ca="1">IFERROR(IF(NOT($B47=""),IF($E47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47,INDIRECT("Input!$"&amp;VLOOKUP(VLOOKUP(Physical!H$11,Lookup!$F$2:$I$13,4,FALSE)+1,CHARS,2,FALSE)&amp;"$1:$"&amp;VLOOKUP(VLOOKUP(Physical!H$11,Lookup!$F$2:$I$13,4,FALSE)+1,CHARS,2,FALSE)&amp;"$"&amp;Bidding!$D$11),"="&amp;$F47),""),""),"")</f>
        <v>40</v>
      </c>
      <c r="I47" s="1">
        <f ca="1">IFERROR(IF(NOT($B47=""),IF($E47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47,INDIRECT("Input!$"&amp;VLOOKUP(VLOOKUP(Physical!I$11,Lookup!$F$2:$I$13,4,FALSE)+1,CHARS,2,FALSE)&amp;"$1:$"&amp;VLOOKUP(VLOOKUP(Physical!I$11,Lookup!$F$2:$I$13,4,FALSE)+1,CHARS,2,FALSE)&amp;"$"&amp;Bidding!$D$11),"="&amp;$F47),""),""),"")</f>
        <v>0</v>
      </c>
      <c r="J47" s="1">
        <f ca="1">IFERROR(IF(NOT($B47=""),IF($E47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47,INDIRECT("Input!$"&amp;VLOOKUP(VLOOKUP(Physical!J$11,Lookup!$F$2:$I$13,4,FALSE)+1,CHARS,2,FALSE)&amp;"$1:$"&amp;VLOOKUP(VLOOKUP(Physical!J$11,Lookup!$F$2:$I$13,4,FALSE)+1,CHARS,2,FALSE)&amp;"$"&amp;Bidding!$D$11),"="&amp;$F47),""),""),"")</f>
        <v>120</v>
      </c>
      <c r="K47" s="7" t="str">
        <f t="shared" ca="1" si="3"/>
        <v>Error3</v>
      </c>
    </row>
    <row r="48" spans="1:12" x14ac:dyDescent="0.2">
      <c r="A48" s="4">
        <f ca="1">IFERROR(IF(A47+1&lt;Bidding!$D$7*(Bidding!$D$6+1),A47+1,""),"")</f>
        <v>36</v>
      </c>
      <c r="B48" s="5" t="str">
        <f ca="1">IFERROR(IF(MOD(A48,Bidding!$D$6+1)&lt;&gt;0,"Scenario X DP Y",""),"")</f>
        <v/>
      </c>
      <c r="E48" s="8" t="str">
        <f ca="1">IFERROR(IF(B48="Delivery product","",IF(NOT(ISBLANK(A48)),IF(MOD(ROUNDDOWN(A48-1,0),Bidding!$D$6+1)&gt;=Bidding!$D$6,IF(MOD(A48,Bidding!$D$6+1)=Bidding!$D$6,"Out",""),MOD(ROUNDDOWN(A48-1,0),Bidding!$D$6+1)),"")),"")</f>
        <v/>
      </c>
      <c r="F48" s="9" t="str">
        <f ca="1">IFERROR(IF(B48="","",IF(NOT(ISBLANK(B48)),IF(NOT(ISBLANK(A48)),MOD(ROUNDDOWN(A48/(Bidding!$D$6+1),0),Bidding!$D$7),""),"")),"")</f>
        <v/>
      </c>
      <c r="G48" s="17" t="str">
        <f ca="1">IFERROR(IF(MOD(A48-1,Bidding!$D$6+1)=0,Bidding!$I$6+I48-J48,G47+I48-J48),"")</f>
        <v/>
      </c>
      <c r="H48" s="1" t="str">
        <f ca="1">IFERROR(IF(NOT($B48=""),IF($E48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48,INDIRECT("Input!$"&amp;VLOOKUP(VLOOKUP(Physical!H$11,Lookup!$F$2:$I$13,4,FALSE)+1,CHARS,2,FALSE)&amp;"$1:$"&amp;VLOOKUP(VLOOKUP(Physical!H$11,Lookup!$F$2:$I$13,4,FALSE)+1,CHARS,2,FALSE)&amp;"$"&amp;Bidding!$D$11),"="&amp;$F48),""),""),"")</f>
        <v/>
      </c>
      <c r="I48" s="1" t="str">
        <f ca="1">IFERROR(IF(NOT($B48=""),IF($E48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48,INDIRECT("Input!$"&amp;VLOOKUP(VLOOKUP(Physical!I$11,Lookup!$F$2:$I$13,4,FALSE)+1,CHARS,2,FALSE)&amp;"$1:$"&amp;VLOOKUP(VLOOKUP(Physical!I$11,Lookup!$F$2:$I$13,4,FALSE)+1,CHARS,2,FALSE)&amp;"$"&amp;Bidding!$D$11),"="&amp;$F48),""),""),"")</f>
        <v/>
      </c>
      <c r="J48" s="1" t="str">
        <f ca="1">IFERROR(IF(NOT($B48=""),IF($E48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48,INDIRECT("Input!$"&amp;VLOOKUP(VLOOKUP(Physical!J$11,Lookup!$F$2:$I$13,4,FALSE)+1,CHARS,2,FALSE)&amp;"$1:$"&amp;VLOOKUP(VLOOKUP(Physical!J$11,Lookup!$F$2:$I$13,4,FALSE)+1,CHARS,2,FALSE)&amp;"$"&amp;Bidding!$D$11),"="&amp;$F48),""),""),"")</f>
        <v/>
      </c>
      <c r="K48" s="7" t="str">
        <f t="shared" ca="1" si="3"/>
        <v/>
      </c>
    </row>
    <row r="49" spans="1:12" x14ac:dyDescent="0.2">
      <c r="A49" s="4">
        <f ca="1">IFERROR(IF(A48+1&lt;Bidding!$D$7*(Bidding!$D$6+1),A48+1,""),"")</f>
        <v>37</v>
      </c>
      <c r="B49" s="5" t="str">
        <f ca="1">IFERROR(IF(MOD(A49,Bidding!$D$6+1)&lt;&gt;0,"Scenario X DP Y",""),"")</f>
        <v>Scenario X DP Y</v>
      </c>
      <c r="E49" s="8">
        <f ca="1">IFERROR(IF(B49="Delivery product","",IF(NOT(ISBLANK(A49)),IF(MOD(ROUNDDOWN(A49-1,0),Bidding!$D$6+1)&gt;=Bidding!$D$6,IF(MOD(A49,Bidding!$D$6+1)=Bidding!$D$6,"Out",""),MOD(ROUNDDOWN(A49-1,0),Bidding!$D$6+1)),"")),"")</f>
        <v>0</v>
      </c>
      <c r="F49" s="9">
        <f ca="1">IFERROR(IF(B49="","",IF(NOT(ISBLANK(B49)),IF(NOT(ISBLANK(A49)),MOD(ROUNDDOWN(A49/(Bidding!$D$6+1),0),Bidding!$D$7),""),"")),"")</f>
        <v>9</v>
      </c>
      <c r="G49" s="17">
        <f ca="1">IFERROR(IF(MOD(A49-1,Bidding!$D$6+1)=0,Bidding!$I$6+I49-J49,G48+I49-J49),"")</f>
        <v>130</v>
      </c>
      <c r="H49" s="1">
        <f ca="1">IFERROR(IF(NOT($B49=""),IF($E49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49,INDIRECT("Input!$"&amp;VLOOKUP(VLOOKUP(Physical!H$11,Lookup!$F$2:$I$13,4,FALSE)+1,CHARS,2,FALSE)&amp;"$1:$"&amp;VLOOKUP(VLOOKUP(Physical!H$11,Lookup!$F$2:$I$13,4,FALSE)+1,CHARS,2,FALSE)&amp;"$"&amp;Bidding!$D$11),"="&amp;$F49),""),""),"")</f>
        <v>180</v>
      </c>
      <c r="I49" s="1">
        <f ca="1">IFERROR(IF(NOT($B49=""),IF($E49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49,INDIRECT("Input!$"&amp;VLOOKUP(VLOOKUP(Physical!I$11,Lookup!$F$2:$I$13,4,FALSE)+1,CHARS,2,FALSE)&amp;"$1:$"&amp;VLOOKUP(VLOOKUP(Physical!I$11,Lookup!$F$2:$I$13,4,FALSE)+1,CHARS,2,FALSE)&amp;"$"&amp;Bidding!$D$11),"="&amp;$F49),""),""),"")</f>
        <v>0</v>
      </c>
      <c r="J49" s="1">
        <f ca="1">IFERROR(IF(NOT($B49=""),IF($E49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49,INDIRECT("Input!$"&amp;VLOOKUP(VLOOKUP(Physical!J$11,Lookup!$F$2:$I$13,4,FALSE)+1,CHARS,2,FALSE)&amp;"$1:$"&amp;VLOOKUP(VLOOKUP(Physical!J$11,Lookup!$F$2:$I$13,4,FALSE)+1,CHARS,2,FALSE)&amp;"$"&amp;Bidding!$D$11),"="&amp;$F49),""),""),"")</f>
        <v>120</v>
      </c>
      <c r="K49" s="7" t="str">
        <f t="shared" ca="1" si="3"/>
        <v>Error3</v>
      </c>
    </row>
    <row r="50" spans="1:12" x14ac:dyDescent="0.2">
      <c r="A50" s="4">
        <f ca="1">IFERROR(IF(A49+1&lt;Bidding!$D$7*(Bidding!$D$6+1),A49+1,""),"")</f>
        <v>38</v>
      </c>
      <c r="B50" s="5" t="str">
        <f ca="1">IFERROR(IF(MOD(A50,Bidding!$D$6+1)&lt;&gt;0,"Scenario X DP Y",""),"")</f>
        <v>Scenario X DP Y</v>
      </c>
      <c r="E50" s="8">
        <f ca="1">IFERROR(IF(B50="Delivery product","",IF(NOT(ISBLANK(A50)),IF(MOD(ROUNDDOWN(A50-1,0),Bidding!$D$6+1)&gt;=Bidding!$D$6,IF(MOD(A50,Bidding!$D$6+1)=Bidding!$D$6,"Out",""),MOD(ROUNDDOWN(A50-1,0),Bidding!$D$6+1)),"")),"")</f>
        <v>1</v>
      </c>
      <c r="F50" s="9">
        <f ca="1">IFERROR(IF(B50="","",IF(NOT(ISBLANK(B50)),IF(NOT(ISBLANK(A50)),MOD(ROUNDDOWN(A50/(Bidding!$D$6+1),0),Bidding!$D$7),""),"")),"")</f>
        <v>9</v>
      </c>
      <c r="G50" s="17">
        <f ca="1">IFERROR(IF(MOD(A50-1,Bidding!$D$6+1)=0,Bidding!$I$6+I50-J50,G49+I50-J50),"")</f>
        <v>10</v>
      </c>
      <c r="H50" s="1">
        <f ca="1">IFERROR(IF(NOT($B50=""),IF($E50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50,INDIRECT("Input!$"&amp;VLOOKUP(VLOOKUP(Physical!H$11,Lookup!$F$2:$I$13,4,FALSE)+1,CHARS,2,FALSE)&amp;"$1:$"&amp;VLOOKUP(VLOOKUP(Physical!H$11,Lookup!$F$2:$I$13,4,FALSE)+1,CHARS,2,FALSE)&amp;"$"&amp;Bidding!$D$11),"="&amp;$F50),""),""),"")</f>
        <v>110</v>
      </c>
      <c r="I50" s="1">
        <f ca="1">IFERROR(IF(NOT($B50=""),IF($E50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50,INDIRECT("Input!$"&amp;VLOOKUP(VLOOKUP(Physical!I$11,Lookup!$F$2:$I$13,4,FALSE)+1,CHARS,2,FALSE)&amp;"$1:$"&amp;VLOOKUP(VLOOKUP(Physical!I$11,Lookup!$F$2:$I$13,4,FALSE)+1,CHARS,2,FALSE)&amp;"$"&amp;Bidding!$D$11),"="&amp;$F50),""),""),"")</f>
        <v>0</v>
      </c>
      <c r="J50" s="1">
        <f ca="1">IFERROR(IF(NOT($B50=""),IF($E50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50,INDIRECT("Input!$"&amp;VLOOKUP(VLOOKUP(Physical!J$11,Lookup!$F$2:$I$13,4,FALSE)+1,CHARS,2,FALSE)&amp;"$1:$"&amp;VLOOKUP(VLOOKUP(Physical!J$11,Lookup!$F$2:$I$13,4,FALSE)+1,CHARS,2,FALSE)&amp;"$"&amp;Bidding!$D$11),"="&amp;$F50),""),""),"")</f>
        <v>120</v>
      </c>
      <c r="K50" s="7" t="str">
        <f t="shared" ca="1" si="3"/>
        <v>Error3</v>
      </c>
      <c r="L50">
        <f ca="1">SUM(J49:J51)</f>
        <v>360</v>
      </c>
    </row>
    <row r="51" spans="1:12" x14ac:dyDescent="0.2">
      <c r="A51" s="4">
        <f ca="1">IFERROR(IF(A50+1&lt;Bidding!$D$7*(Bidding!$D$6+1),A50+1,""),"")</f>
        <v>39</v>
      </c>
      <c r="B51" s="5" t="str">
        <f ca="1">IFERROR(IF(MOD(A51,Bidding!$D$6+1)&lt;&gt;0,"Scenario X DP Y",""),"")</f>
        <v>Scenario X DP Y</v>
      </c>
      <c r="E51" s="8">
        <f ca="1">IFERROR(IF(B51="Delivery product","",IF(NOT(ISBLANK(A51)),IF(MOD(ROUNDDOWN(A51-1,0),Bidding!$D$6+1)&gt;=Bidding!$D$6,IF(MOD(A51,Bidding!$D$6+1)=Bidding!$D$6,"Out",""),MOD(ROUNDDOWN(A51-1,0),Bidding!$D$6+1)),"")),"")</f>
        <v>2</v>
      </c>
      <c r="F51" s="9">
        <f ca="1">IFERROR(IF(B51="","",IF(NOT(ISBLANK(B51)),IF(NOT(ISBLANK(A51)),MOD(ROUNDDOWN(A51/(Bidding!$D$6+1),0),Bidding!$D$7),""),"")),"")</f>
        <v>9</v>
      </c>
      <c r="G51" s="17">
        <f ca="1">IFERROR(IF(MOD(A51-1,Bidding!$D$6+1)=0,Bidding!$I$6+I51-J51,G50+I51-J51),"")</f>
        <v>-110</v>
      </c>
      <c r="H51" s="1">
        <f ca="1">IFERROR(IF(NOT($B51=""),IF($E51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51,INDIRECT("Input!$"&amp;VLOOKUP(VLOOKUP(Physical!H$11,Lookup!$F$2:$I$13,4,FALSE)+1,CHARS,2,FALSE)&amp;"$1:$"&amp;VLOOKUP(VLOOKUP(Physical!H$11,Lookup!$F$2:$I$13,4,FALSE)+1,CHARS,2,FALSE)&amp;"$"&amp;Bidding!$D$11),"="&amp;$F51),""),""),"")</f>
        <v>40</v>
      </c>
      <c r="I51" s="1">
        <f ca="1">IFERROR(IF(NOT($B51=""),IF($E51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51,INDIRECT("Input!$"&amp;VLOOKUP(VLOOKUP(Physical!I$11,Lookup!$F$2:$I$13,4,FALSE)+1,CHARS,2,FALSE)&amp;"$1:$"&amp;VLOOKUP(VLOOKUP(Physical!I$11,Lookup!$F$2:$I$13,4,FALSE)+1,CHARS,2,FALSE)&amp;"$"&amp;Bidding!$D$11),"="&amp;$F51),""),""),"")</f>
        <v>0</v>
      </c>
      <c r="J51" s="1">
        <f ca="1">IFERROR(IF(NOT($B51=""),IF($E51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51,INDIRECT("Input!$"&amp;VLOOKUP(VLOOKUP(Physical!J$11,Lookup!$F$2:$I$13,4,FALSE)+1,CHARS,2,FALSE)&amp;"$1:$"&amp;VLOOKUP(VLOOKUP(Physical!J$11,Lookup!$F$2:$I$13,4,FALSE)+1,CHARS,2,FALSE)&amp;"$"&amp;Bidding!$D$11),"="&amp;$F51),""),""),"")</f>
        <v>120</v>
      </c>
      <c r="K51" s="7" t="str">
        <f t="shared" ca="1" si="3"/>
        <v>Error3</v>
      </c>
    </row>
    <row r="52" spans="1:12" x14ac:dyDescent="0.2">
      <c r="A52" s="4" t="str">
        <f ca="1">IFERROR(IF(A51+1&lt;Bidding!$D$7*(Bidding!$D$6+1),A51+1,""),"")</f>
        <v/>
      </c>
      <c r="B52" s="5" t="str">
        <f ca="1">IFERROR(IF(MOD(A52,Bidding!$D$6+1)&lt;&gt;0,"Scenario X DP Y",""),"")</f>
        <v/>
      </c>
      <c r="E52" s="8" t="str">
        <f ca="1">IFERROR(IF(B52="Delivery product","",IF(NOT(ISBLANK(A52)),IF(MOD(ROUNDDOWN(A52-1,0),Bidding!$D$6+1)&gt;=Bidding!$D$6,IF(MOD(A52,Bidding!$D$6+1)=Bidding!$D$6,"Out",""),MOD(ROUNDDOWN(A52-1,0),Bidding!$D$6+1)),"")),"")</f>
        <v/>
      </c>
      <c r="F52" s="9" t="str">
        <f ca="1">IFERROR(IF(B52="","",IF(NOT(ISBLANK(B52)),IF(NOT(ISBLANK(A52)),MOD(ROUNDDOWN(A52/(Bidding!$D$6+1),0),Bidding!$D$7),""),"")),"")</f>
        <v/>
      </c>
      <c r="G52" s="17" t="str">
        <f ca="1">IFERROR(IF(MOD(A52-1,Bidding!$D$6+1)=0,Bidding!$I$6+I52-J52,G51+I52-J52),"")</f>
        <v/>
      </c>
      <c r="H52" s="1" t="str">
        <f ca="1">IFERROR(IF(NOT($B52=""),IF($E52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52,INDIRECT("Input!$"&amp;VLOOKUP(VLOOKUP(Physical!H$11,Lookup!$F$2:$I$13,4,FALSE)+1,CHARS,2,FALSE)&amp;"$1:$"&amp;VLOOKUP(VLOOKUP(Physical!H$11,Lookup!$F$2:$I$13,4,FALSE)+1,CHARS,2,FALSE)&amp;"$"&amp;Bidding!$D$11),"="&amp;$F52),""),""),"")</f>
        <v/>
      </c>
      <c r="I52" s="1" t="str">
        <f ca="1">IFERROR(IF(NOT($B52=""),IF($E52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52,INDIRECT("Input!$"&amp;VLOOKUP(VLOOKUP(Physical!I$11,Lookup!$F$2:$I$13,4,FALSE)+1,CHARS,2,FALSE)&amp;"$1:$"&amp;VLOOKUP(VLOOKUP(Physical!I$11,Lookup!$F$2:$I$13,4,FALSE)+1,CHARS,2,FALSE)&amp;"$"&amp;Bidding!$D$11),"="&amp;$F52),""),""),"")</f>
        <v/>
      </c>
      <c r="J52" s="1" t="str">
        <f ca="1">IFERROR(IF(NOT($B52=""),IF($E52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52,INDIRECT("Input!$"&amp;VLOOKUP(VLOOKUP(Physical!J$11,Lookup!$F$2:$I$13,4,FALSE)+1,CHARS,2,FALSE)&amp;"$1:$"&amp;VLOOKUP(VLOOKUP(Physical!J$11,Lookup!$F$2:$I$13,4,FALSE)+1,CHARS,2,FALSE)&amp;"$"&amp;Bidding!$D$11),"="&amp;$F52),""),""),"")</f>
        <v/>
      </c>
      <c r="K52" s="7" t="str">
        <f t="shared" ca="1" si="3"/>
        <v/>
      </c>
    </row>
    <row r="53" spans="1:12" x14ac:dyDescent="0.2">
      <c r="A53" s="4" t="str">
        <f ca="1">IFERROR(IF(A52+1&lt;Bidding!$D$7*(Bidding!$D$6+1),A52+1,""),"")</f>
        <v/>
      </c>
      <c r="B53" s="5" t="str">
        <f ca="1">IFERROR(IF(MOD(A53,Bidding!$D$6+1)&lt;&gt;0,"Scenario X DP Y",""),"")</f>
        <v/>
      </c>
      <c r="E53" s="8" t="str">
        <f ca="1">IFERROR(IF(B53="Delivery product","",IF(NOT(ISBLANK(A53)),IF(MOD(ROUNDDOWN(A53-1,0),Bidding!$D$6+1)&gt;=Bidding!$D$6,IF(MOD(A53,Bidding!$D$6+1)=Bidding!$D$6,"Out",""),MOD(ROUNDDOWN(A53-1,0),Bidding!$D$6+1)),"")),"")</f>
        <v/>
      </c>
      <c r="F53" s="9" t="str">
        <f ca="1">IFERROR(IF(B53="","",IF(NOT(ISBLANK(B53)),IF(NOT(ISBLANK(A53)),MOD(ROUNDDOWN(A53/(Bidding!$D$6+1),0),Bidding!$D$7),""),"")),"")</f>
        <v/>
      </c>
      <c r="G53" s="17" t="str">
        <f ca="1">IFERROR(IF(MOD(A53-1,Bidding!$D$6+1)=0,Bidding!$I$6+I53-J53,G52+I53-J53),"")</f>
        <v/>
      </c>
      <c r="H53" s="1" t="str">
        <f ca="1">IFERROR(IF(NOT($B53=""),IF($E53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53,INDIRECT("Input!$"&amp;VLOOKUP(VLOOKUP(Physical!H$11,Lookup!$F$2:$I$13,4,FALSE)+1,CHARS,2,FALSE)&amp;"$1:$"&amp;VLOOKUP(VLOOKUP(Physical!H$11,Lookup!$F$2:$I$13,4,FALSE)+1,CHARS,2,FALSE)&amp;"$"&amp;Bidding!$D$11),"="&amp;$F53),""),""),"")</f>
        <v/>
      </c>
      <c r="I53" s="1" t="str">
        <f ca="1">IFERROR(IF(NOT($B53=""),IF($E53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53,INDIRECT("Input!$"&amp;VLOOKUP(VLOOKUP(Physical!I$11,Lookup!$F$2:$I$13,4,FALSE)+1,CHARS,2,FALSE)&amp;"$1:$"&amp;VLOOKUP(VLOOKUP(Physical!I$11,Lookup!$F$2:$I$13,4,FALSE)+1,CHARS,2,FALSE)&amp;"$"&amp;Bidding!$D$11),"="&amp;$F53),""),""),"")</f>
        <v/>
      </c>
      <c r="J53" s="1" t="str">
        <f ca="1">IFERROR(IF(NOT($B53=""),IF($E53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53,INDIRECT("Input!$"&amp;VLOOKUP(VLOOKUP(Physical!J$11,Lookup!$F$2:$I$13,4,FALSE)+1,CHARS,2,FALSE)&amp;"$1:$"&amp;VLOOKUP(VLOOKUP(Physical!J$11,Lookup!$F$2:$I$13,4,FALSE)+1,CHARS,2,FALSE)&amp;"$"&amp;Bidding!$D$11),"="&amp;$F53),""),""),"")</f>
        <v/>
      </c>
      <c r="K53" s="7" t="str">
        <f t="shared" ca="1" si="3"/>
        <v/>
      </c>
    </row>
    <row r="54" spans="1:12" x14ac:dyDescent="0.2">
      <c r="A54" s="4" t="str">
        <f ca="1">IFERROR(IF(A53+1&lt;Bidding!$D$7*(Bidding!$D$6+1),A53+1,""),"")</f>
        <v/>
      </c>
      <c r="B54" s="5" t="str">
        <f ca="1">IFERROR(IF(MOD(A54,Bidding!$D$6+1)&lt;&gt;0,"Scenario X DP Y",""),"")</f>
        <v/>
      </c>
      <c r="E54" s="8" t="str">
        <f ca="1">IFERROR(IF(B54="Delivery product","",IF(NOT(ISBLANK(A54)),IF(MOD(ROUNDDOWN(A54-1,0),Bidding!$D$6+1)&gt;=Bidding!$D$6,IF(MOD(A54,Bidding!$D$6+1)=Bidding!$D$6,"Out",""),MOD(ROUNDDOWN(A54-1,0),Bidding!$D$6+1)),"")),"")</f>
        <v/>
      </c>
      <c r="F54" s="9" t="str">
        <f ca="1">IFERROR(IF(B54="","",IF(NOT(ISBLANK(B54)),IF(NOT(ISBLANK(A54)),MOD(ROUNDDOWN(A54/(Bidding!$D$6+1),0),Bidding!$D$7),""),"")),"")</f>
        <v/>
      </c>
      <c r="G54" s="17" t="str">
        <f ca="1">IFERROR(IF(MOD(A54-1,Bidding!$D$6+1)=0,Bidding!$I$6+I54-J54,G53+I54-J54),"")</f>
        <v/>
      </c>
      <c r="H54" s="1" t="str">
        <f ca="1">IFERROR(IF(NOT($B54=""),IF($E54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54,INDIRECT("Input!$"&amp;VLOOKUP(VLOOKUP(Physical!H$11,Lookup!$F$2:$I$13,4,FALSE)+1,CHARS,2,FALSE)&amp;"$1:$"&amp;VLOOKUP(VLOOKUP(Physical!H$11,Lookup!$F$2:$I$13,4,FALSE)+1,CHARS,2,FALSE)&amp;"$"&amp;Bidding!$D$11),"="&amp;$F54),""),""),"")</f>
        <v/>
      </c>
      <c r="I54" s="1" t="str">
        <f ca="1">IFERROR(IF(NOT($B54=""),IF($E54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54,INDIRECT("Input!$"&amp;VLOOKUP(VLOOKUP(Physical!I$11,Lookup!$F$2:$I$13,4,FALSE)+1,CHARS,2,FALSE)&amp;"$1:$"&amp;VLOOKUP(VLOOKUP(Physical!I$11,Lookup!$F$2:$I$13,4,FALSE)+1,CHARS,2,FALSE)&amp;"$"&amp;Bidding!$D$11),"="&amp;$F54),""),""),"")</f>
        <v/>
      </c>
      <c r="J54" s="1" t="str">
        <f ca="1">IFERROR(IF(NOT($B54=""),IF($E54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54,INDIRECT("Input!$"&amp;VLOOKUP(VLOOKUP(Physical!J$11,Lookup!$F$2:$I$13,4,FALSE)+1,CHARS,2,FALSE)&amp;"$1:$"&amp;VLOOKUP(VLOOKUP(Physical!J$11,Lookup!$F$2:$I$13,4,FALSE)+1,CHARS,2,FALSE)&amp;"$"&amp;Bidding!$D$11),"="&amp;$F54),""),""),"")</f>
        <v/>
      </c>
      <c r="K54" s="7" t="str">
        <f t="shared" ca="1" si="3"/>
        <v/>
      </c>
    </row>
    <row r="55" spans="1:12" x14ac:dyDescent="0.2">
      <c r="A55" s="4" t="str">
        <f ca="1">IFERROR(IF(A54+1&lt;Bidding!$D$7*(Bidding!$D$6+1),A54+1,""),"")</f>
        <v/>
      </c>
      <c r="B55" s="5" t="str">
        <f ca="1">IFERROR(IF(MOD(A55,Bidding!$D$6+1)&lt;&gt;0,"Scenario X DP Y",""),"")</f>
        <v/>
      </c>
      <c r="E55" s="8" t="str">
        <f ca="1">IFERROR(IF(B55="Delivery product","",IF(NOT(ISBLANK(A55)),IF(MOD(ROUNDDOWN(A55-1,0),Bidding!$D$6+1)&gt;=Bidding!$D$6,IF(MOD(A55,Bidding!$D$6+1)=Bidding!$D$6,"Out",""),MOD(ROUNDDOWN(A55-1,0),Bidding!$D$6+1)),"")),"")</f>
        <v/>
      </c>
      <c r="F55" s="9" t="str">
        <f ca="1">IFERROR(IF(B55="","",IF(NOT(ISBLANK(B55)),IF(NOT(ISBLANK(A55)),MOD(ROUNDDOWN(A55/(Bidding!$D$6+1),0),Bidding!$D$7),""),"")),"")</f>
        <v/>
      </c>
      <c r="G55" s="17" t="str">
        <f ca="1">IFERROR(IF(MOD(A55-1,Bidding!$D$6+1)=0,Bidding!$I$6+I55-J55,G54+I55-J55),"")</f>
        <v/>
      </c>
      <c r="H55" s="1" t="str">
        <f ca="1">IFERROR(IF(NOT($B55=""),IF($E55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55,INDIRECT("Input!$"&amp;VLOOKUP(VLOOKUP(Physical!H$11,Lookup!$F$2:$I$13,4,FALSE)+1,CHARS,2,FALSE)&amp;"$1:$"&amp;VLOOKUP(VLOOKUP(Physical!H$11,Lookup!$F$2:$I$13,4,FALSE)+1,CHARS,2,FALSE)&amp;"$"&amp;Bidding!$D$11),"="&amp;$F55),""),""),"")</f>
        <v/>
      </c>
      <c r="I55" s="1" t="str">
        <f ca="1">IFERROR(IF(NOT($B55=""),IF($E55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55,INDIRECT("Input!$"&amp;VLOOKUP(VLOOKUP(Physical!I$11,Lookup!$F$2:$I$13,4,FALSE)+1,CHARS,2,FALSE)&amp;"$1:$"&amp;VLOOKUP(VLOOKUP(Physical!I$11,Lookup!$F$2:$I$13,4,FALSE)+1,CHARS,2,FALSE)&amp;"$"&amp;Bidding!$D$11),"="&amp;$F55),""),""),"")</f>
        <v/>
      </c>
      <c r="J55" s="1" t="str">
        <f ca="1">IFERROR(IF(NOT($B55=""),IF($E55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55,INDIRECT("Input!$"&amp;VLOOKUP(VLOOKUP(Physical!J$11,Lookup!$F$2:$I$13,4,FALSE)+1,CHARS,2,FALSE)&amp;"$1:$"&amp;VLOOKUP(VLOOKUP(Physical!J$11,Lookup!$F$2:$I$13,4,FALSE)+1,CHARS,2,FALSE)&amp;"$"&amp;Bidding!$D$11),"="&amp;$F55),""),""),"")</f>
        <v/>
      </c>
      <c r="K55" s="7" t="str">
        <f t="shared" ca="1" si="3"/>
        <v/>
      </c>
    </row>
    <row r="56" spans="1:12" x14ac:dyDescent="0.2">
      <c r="A56" s="4" t="str">
        <f ca="1">IFERROR(IF(A55+1&lt;Bidding!$D$7*(Bidding!$D$6+1),A55+1,""),"")</f>
        <v/>
      </c>
      <c r="B56" s="5" t="str">
        <f ca="1">IFERROR(IF(MOD(A56,Bidding!$D$6+1)&lt;&gt;0,"Scenario X DP Y",""),"")</f>
        <v/>
      </c>
      <c r="E56" s="8" t="str">
        <f ca="1">IFERROR(IF(B56="Delivery product","",IF(NOT(ISBLANK(A56)),IF(MOD(ROUNDDOWN(A56-1,0),Bidding!$D$6+1)&gt;=Bidding!$D$6,IF(MOD(A56,Bidding!$D$6+1)=Bidding!$D$6,"Out",""),MOD(ROUNDDOWN(A56-1,0),Bidding!$D$6+1)),"")),"")</f>
        <v/>
      </c>
      <c r="F56" s="9" t="str">
        <f ca="1">IFERROR(IF(B56="","",IF(NOT(ISBLANK(B56)),IF(NOT(ISBLANK(A56)),MOD(ROUNDDOWN(A56/(Bidding!$D$6+1),0),Bidding!$D$7),""),"")),"")</f>
        <v/>
      </c>
      <c r="G56" s="17" t="str">
        <f ca="1">IFERROR(IF(MOD(A56-1,Bidding!$D$6+1)=0,Bidding!$I$6+I56-J56,G55+I56-J56),"")</f>
        <v/>
      </c>
      <c r="H56" s="1" t="str">
        <f ca="1">IFERROR(IF(NOT($B56=""),IF($E56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56,INDIRECT("Input!$"&amp;VLOOKUP(VLOOKUP(Physical!H$11,Lookup!$F$2:$I$13,4,FALSE)+1,CHARS,2,FALSE)&amp;"$1:$"&amp;VLOOKUP(VLOOKUP(Physical!H$11,Lookup!$F$2:$I$13,4,FALSE)+1,CHARS,2,FALSE)&amp;"$"&amp;Bidding!$D$11),"="&amp;$F56),""),""),"")</f>
        <v/>
      </c>
      <c r="I56" s="1" t="str">
        <f ca="1">IFERROR(IF(NOT($B56=""),IF($E56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56,INDIRECT("Input!$"&amp;VLOOKUP(VLOOKUP(Physical!I$11,Lookup!$F$2:$I$13,4,FALSE)+1,CHARS,2,FALSE)&amp;"$1:$"&amp;VLOOKUP(VLOOKUP(Physical!I$11,Lookup!$F$2:$I$13,4,FALSE)+1,CHARS,2,FALSE)&amp;"$"&amp;Bidding!$D$11),"="&amp;$F56),""),""),"")</f>
        <v/>
      </c>
      <c r="J56" s="1" t="str">
        <f ca="1">IFERROR(IF(NOT($B56=""),IF($E56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56,INDIRECT("Input!$"&amp;VLOOKUP(VLOOKUP(Physical!J$11,Lookup!$F$2:$I$13,4,FALSE)+1,CHARS,2,FALSE)&amp;"$1:$"&amp;VLOOKUP(VLOOKUP(Physical!J$11,Lookup!$F$2:$I$13,4,FALSE)+1,CHARS,2,FALSE)&amp;"$"&amp;Bidding!$D$11),"="&amp;$F56),""),""),"")</f>
        <v/>
      </c>
      <c r="K56" s="7" t="str">
        <f t="shared" ca="1" si="3"/>
        <v/>
      </c>
    </row>
    <row r="57" spans="1:12" x14ac:dyDescent="0.2">
      <c r="A57" s="4" t="str">
        <f ca="1">IFERROR(IF(A56+1&lt;Bidding!$D$7*(Bidding!$D$6+1),A56+1,""),"")</f>
        <v/>
      </c>
      <c r="B57" s="5" t="str">
        <f ca="1">IFERROR(IF(MOD(A57,Bidding!$D$6+1)&lt;&gt;0,"Scenario X DP Y",""),"")</f>
        <v/>
      </c>
      <c r="E57" s="8" t="str">
        <f ca="1">IFERROR(IF(B57="Delivery product","",IF(NOT(ISBLANK(A57)),IF(MOD(ROUNDDOWN(A57-1,0),Bidding!$D$6+1)&gt;=Bidding!$D$6,IF(MOD(A57,Bidding!$D$6+1)=Bidding!$D$6,"Out",""),MOD(ROUNDDOWN(A57-1,0),Bidding!$D$6+1)),"")),"")</f>
        <v/>
      </c>
      <c r="F57" s="9" t="str">
        <f ca="1">IFERROR(IF(B57="","",IF(NOT(ISBLANK(B57)),IF(NOT(ISBLANK(A57)),MOD(ROUNDDOWN(A57/(Bidding!$D$6+1),0),Bidding!$D$7),""),"")),"")</f>
        <v/>
      </c>
      <c r="G57" s="17" t="str">
        <f ca="1">IFERROR(IF(MOD(A57-1,Bidding!$D$6+1)=0,Bidding!$I$6+I57-J57,G56+I57-J57),"")</f>
        <v/>
      </c>
      <c r="H57" s="1" t="str">
        <f ca="1">IFERROR(IF(NOT($B57=""),IF($E57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57,INDIRECT("Input!$"&amp;VLOOKUP(VLOOKUP(Physical!H$11,Lookup!$F$2:$I$13,4,FALSE)+1,CHARS,2,FALSE)&amp;"$1:$"&amp;VLOOKUP(VLOOKUP(Physical!H$11,Lookup!$F$2:$I$13,4,FALSE)+1,CHARS,2,FALSE)&amp;"$"&amp;Bidding!$D$11),"="&amp;$F57),""),""),"")</f>
        <v/>
      </c>
      <c r="I57" s="1" t="str">
        <f ca="1">IFERROR(IF(NOT($B57=""),IF($E57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57,INDIRECT("Input!$"&amp;VLOOKUP(VLOOKUP(Physical!I$11,Lookup!$F$2:$I$13,4,FALSE)+1,CHARS,2,FALSE)&amp;"$1:$"&amp;VLOOKUP(VLOOKUP(Physical!I$11,Lookup!$F$2:$I$13,4,FALSE)+1,CHARS,2,FALSE)&amp;"$"&amp;Bidding!$D$11),"="&amp;$F57),""),""),"")</f>
        <v/>
      </c>
      <c r="J57" s="1" t="str">
        <f ca="1">IFERROR(IF(NOT($B57=""),IF($E57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57,INDIRECT("Input!$"&amp;VLOOKUP(VLOOKUP(Physical!J$11,Lookup!$F$2:$I$13,4,FALSE)+1,CHARS,2,FALSE)&amp;"$1:$"&amp;VLOOKUP(VLOOKUP(Physical!J$11,Lookup!$F$2:$I$13,4,FALSE)+1,CHARS,2,FALSE)&amp;"$"&amp;Bidding!$D$11),"="&amp;$F57),""),""),"")</f>
        <v/>
      </c>
      <c r="K57" s="7" t="str">
        <f t="shared" ca="1" si="3"/>
        <v/>
      </c>
    </row>
    <row r="58" spans="1:12" x14ac:dyDescent="0.2">
      <c r="A58" s="4" t="str">
        <f ca="1">IFERROR(IF(A57+1&lt;Bidding!$D$7*(Bidding!$D$6+1),A57+1,""),"")</f>
        <v/>
      </c>
      <c r="B58" s="5" t="str">
        <f ca="1">IFERROR(IF(MOD(A58,Bidding!$D$6+1)&lt;&gt;0,"Scenario X DP Y",""),"")</f>
        <v/>
      </c>
      <c r="E58" s="8" t="str">
        <f ca="1">IFERROR(IF(B58="Delivery product","",IF(NOT(ISBLANK(A58)),IF(MOD(ROUNDDOWN(A58-1,0),Bidding!$D$6+1)&gt;=Bidding!$D$6,IF(MOD(A58,Bidding!$D$6+1)=Bidding!$D$6,"Out",""),MOD(ROUNDDOWN(A58-1,0),Bidding!$D$6+1)),"")),"")</f>
        <v/>
      </c>
      <c r="F58" s="9" t="str">
        <f ca="1">IFERROR(IF(B58="","",IF(NOT(ISBLANK(B58)),IF(NOT(ISBLANK(A58)),MOD(ROUNDDOWN(A58/(Bidding!$D$6+1),0),Bidding!$D$7),""),"")),"")</f>
        <v/>
      </c>
      <c r="G58" s="17" t="str">
        <f ca="1">IFERROR(IF(MOD(A58-1,Bidding!$D$6+1)=0,Bidding!$I$6+I58-J58,G57+I58-J58),"")</f>
        <v/>
      </c>
      <c r="H58" s="1" t="str">
        <f ca="1">IFERROR(IF(NOT($B58=""),IF($E58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58,INDIRECT("Input!$"&amp;VLOOKUP(VLOOKUP(Physical!H$11,Lookup!$F$2:$I$13,4,FALSE)+1,CHARS,2,FALSE)&amp;"$1:$"&amp;VLOOKUP(VLOOKUP(Physical!H$11,Lookup!$F$2:$I$13,4,FALSE)+1,CHARS,2,FALSE)&amp;"$"&amp;Bidding!$D$11),"="&amp;$F58),""),""),"")</f>
        <v/>
      </c>
      <c r="I58" s="1" t="str">
        <f ca="1">IFERROR(IF(NOT($B58=""),IF($E58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58,INDIRECT("Input!$"&amp;VLOOKUP(VLOOKUP(Physical!I$11,Lookup!$F$2:$I$13,4,FALSE)+1,CHARS,2,FALSE)&amp;"$1:$"&amp;VLOOKUP(VLOOKUP(Physical!I$11,Lookup!$F$2:$I$13,4,FALSE)+1,CHARS,2,FALSE)&amp;"$"&amp;Bidding!$D$11),"="&amp;$F58),""),""),"")</f>
        <v/>
      </c>
      <c r="J58" s="1" t="str">
        <f ca="1">IFERROR(IF(NOT($B58=""),IF($E58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58,INDIRECT("Input!$"&amp;VLOOKUP(VLOOKUP(Physical!J$11,Lookup!$F$2:$I$13,4,FALSE)+1,CHARS,2,FALSE)&amp;"$1:$"&amp;VLOOKUP(VLOOKUP(Physical!J$11,Lookup!$F$2:$I$13,4,FALSE)+1,CHARS,2,FALSE)&amp;"$"&amp;Bidding!$D$11),"="&amp;$F58),""),""),"")</f>
        <v/>
      </c>
      <c r="K58" s="7" t="str">
        <f t="shared" ca="1" si="3"/>
        <v/>
      </c>
    </row>
    <row r="59" spans="1:12" x14ac:dyDescent="0.2">
      <c r="A59" s="4" t="str">
        <f ca="1">IFERROR(IF(A58+1&lt;Bidding!$D$7*(Bidding!$D$6+1),A58+1,""),"")</f>
        <v/>
      </c>
      <c r="B59" s="5" t="str">
        <f ca="1">IFERROR(IF(MOD(A59,Bidding!$D$6+1)&lt;&gt;0,"Scenario X DP Y",""),"")</f>
        <v/>
      </c>
      <c r="E59" s="8" t="str">
        <f ca="1">IFERROR(IF(B59="Delivery product","",IF(NOT(ISBLANK(A59)),IF(MOD(ROUNDDOWN(A59-1,0),Bidding!$D$6+1)&gt;=Bidding!$D$6,IF(MOD(A59,Bidding!$D$6+1)=Bidding!$D$6,"Out",""),MOD(ROUNDDOWN(A59-1,0),Bidding!$D$6+1)),"")),"")</f>
        <v/>
      </c>
      <c r="F59" s="9" t="str">
        <f ca="1">IFERROR(IF(B59="","",IF(NOT(ISBLANK(B59)),IF(NOT(ISBLANK(A59)),MOD(ROUNDDOWN(A59/(Bidding!$D$6+1),0),Bidding!$D$7),""),"")),"")</f>
        <v/>
      </c>
      <c r="G59" s="17" t="str">
        <f ca="1">IFERROR(IF(MOD(A59-1,Bidding!$D$6+1)=0,Bidding!$I$6+I59-J59,G58+I59-J59),"")</f>
        <v/>
      </c>
      <c r="H59" s="1" t="str">
        <f ca="1">IFERROR(IF(NOT($B59=""),IF($E59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59,INDIRECT("Input!$"&amp;VLOOKUP(VLOOKUP(Physical!H$11,Lookup!$F$2:$I$13,4,FALSE)+1,CHARS,2,FALSE)&amp;"$1:$"&amp;VLOOKUP(VLOOKUP(Physical!H$11,Lookup!$F$2:$I$13,4,FALSE)+1,CHARS,2,FALSE)&amp;"$"&amp;Bidding!$D$11),"="&amp;$F59),""),""),"")</f>
        <v/>
      </c>
      <c r="I59" s="1" t="str">
        <f ca="1">IFERROR(IF(NOT($B59=""),IF($E59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59,INDIRECT("Input!$"&amp;VLOOKUP(VLOOKUP(Physical!I$11,Lookup!$F$2:$I$13,4,FALSE)+1,CHARS,2,FALSE)&amp;"$1:$"&amp;VLOOKUP(VLOOKUP(Physical!I$11,Lookup!$F$2:$I$13,4,FALSE)+1,CHARS,2,FALSE)&amp;"$"&amp;Bidding!$D$11),"="&amp;$F59),""),""),"")</f>
        <v/>
      </c>
      <c r="J59" s="1" t="str">
        <f ca="1">IFERROR(IF(NOT($B59=""),IF($E59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59,INDIRECT("Input!$"&amp;VLOOKUP(VLOOKUP(Physical!J$11,Lookup!$F$2:$I$13,4,FALSE)+1,CHARS,2,FALSE)&amp;"$1:$"&amp;VLOOKUP(VLOOKUP(Physical!J$11,Lookup!$F$2:$I$13,4,FALSE)+1,CHARS,2,FALSE)&amp;"$"&amp;Bidding!$D$11),"="&amp;$F59),""),""),"")</f>
        <v/>
      </c>
      <c r="K59" s="7" t="str">
        <f t="shared" ca="1" si="3"/>
        <v/>
      </c>
    </row>
    <row r="60" spans="1:12" x14ac:dyDescent="0.2">
      <c r="A60" s="4" t="str">
        <f ca="1">IFERROR(IF(A59+1&lt;Bidding!$D$7*(Bidding!$D$6+1),A59+1,""),"")</f>
        <v/>
      </c>
      <c r="B60" s="5" t="str">
        <f ca="1">IFERROR(IF(MOD(A60,Bidding!$D$6+1)&lt;&gt;0,"Scenario X DP Y",""),"")</f>
        <v/>
      </c>
      <c r="E60" s="8" t="str">
        <f ca="1">IFERROR(IF(B60="Delivery product","",IF(NOT(ISBLANK(A60)),IF(MOD(ROUNDDOWN(A60-1,0),Bidding!$D$6+1)&gt;=Bidding!$D$6,IF(MOD(A60,Bidding!$D$6+1)=Bidding!$D$6,"Out",""),MOD(ROUNDDOWN(A60-1,0),Bidding!$D$6+1)),"")),"")</f>
        <v/>
      </c>
      <c r="F60" s="9" t="str">
        <f ca="1">IFERROR(IF(B60="","",IF(NOT(ISBLANK(B60)),IF(NOT(ISBLANK(A60)),MOD(ROUNDDOWN(A60/(Bidding!$D$6+1),0),Bidding!$D$7),""),"")),"")</f>
        <v/>
      </c>
      <c r="G60" s="17" t="str">
        <f ca="1">IFERROR(IF(MOD(A60-1,Bidding!$D$6+1)=0,Bidding!$I$6+I60-J60,G59+I60-J60),"")</f>
        <v/>
      </c>
      <c r="H60" s="1" t="str">
        <f ca="1">IFERROR(IF(NOT($B60=""),IF($E60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60,INDIRECT("Input!$"&amp;VLOOKUP(VLOOKUP(Physical!H$11,Lookup!$F$2:$I$13,4,FALSE)+1,CHARS,2,FALSE)&amp;"$1:$"&amp;VLOOKUP(VLOOKUP(Physical!H$11,Lookup!$F$2:$I$13,4,FALSE)+1,CHARS,2,FALSE)&amp;"$"&amp;Bidding!$D$11),"="&amp;$F60),""),""),"")</f>
        <v/>
      </c>
      <c r="I60" s="1" t="str">
        <f ca="1">IFERROR(IF(NOT($B60=""),IF($E60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60,INDIRECT("Input!$"&amp;VLOOKUP(VLOOKUP(Physical!I$11,Lookup!$F$2:$I$13,4,FALSE)+1,CHARS,2,FALSE)&amp;"$1:$"&amp;VLOOKUP(VLOOKUP(Physical!I$11,Lookup!$F$2:$I$13,4,FALSE)+1,CHARS,2,FALSE)&amp;"$"&amp;Bidding!$D$11),"="&amp;$F60),""),""),"")</f>
        <v/>
      </c>
      <c r="J60" s="1" t="str">
        <f ca="1">IFERROR(IF(NOT($B60=""),IF($E60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60,INDIRECT("Input!$"&amp;VLOOKUP(VLOOKUP(Physical!J$11,Lookup!$F$2:$I$13,4,FALSE)+1,CHARS,2,FALSE)&amp;"$1:$"&amp;VLOOKUP(VLOOKUP(Physical!J$11,Lookup!$F$2:$I$13,4,FALSE)+1,CHARS,2,FALSE)&amp;"$"&amp;Bidding!$D$11),"="&amp;$F60),""),""),"")</f>
        <v/>
      </c>
      <c r="K60" s="7" t="str">
        <f t="shared" ca="1" si="3"/>
        <v/>
      </c>
    </row>
    <row r="61" spans="1:12" x14ac:dyDescent="0.2">
      <c r="A61" s="4" t="str">
        <f ca="1">IFERROR(IF(A60+1&lt;Bidding!$D$7*(Bidding!$D$6+1),A60+1,""),"")</f>
        <v/>
      </c>
      <c r="B61" s="5" t="str">
        <f ca="1">IFERROR(IF(MOD(A61,Bidding!$D$6+1)&lt;&gt;0,"Scenario X DP Y",""),"")</f>
        <v/>
      </c>
      <c r="E61" s="8" t="str">
        <f ca="1">IFERROR(IF(B61="Delivery product","",IF(NOT(ISBLANK(A61)),IF(MOD(ROUNDDOWN(A61-1,0),Bidding!$D$6+1)&gt;=Bidding!$D$6,IF(MOD(A61,Bidding!$D$6+1)=Bidding!$D$6,"Out",""),MOD(ROUNDDOWN(A61-1,0),Bidding!$D$6+1)),"")),"")</f>
        <v/>
      </c>
      <c r="F61" s="9" t="str">
        <f ca="1">IFERROR(IF(B61="","",IF(NOT(ISBLANK(B61)),IF(NOT(ISBLANK(A61)),MOD(ROUNDDOWN(A61/(Bidding!$D$6+1),0),Bidding!$D$7),""),"")),"")</f>
        <v/>
      </c>
      <c r="G61" s="17" t="str">
        <f ca="1">IFERROR(IF(MOD(A61-1,Bidding!$D$6+1)=0,Bidding!$I$6+I61-J61,G60+I61-J61),"")</f>
        <v/>
      </c>
      <c r="H61" s="1" t="str">
        <f ca="1">IFERROR(IF(NOT($B61=""),IF($E61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61,INDIRECT("Input!$"&amp;VLOOKUP(VLOOKUP(Physical!H$11,Lookup!$F$2:$I$13,4,FALSE)+1,CHARS,2,FALSE)&amp;"$1:$"&amp;VLOOKUP(VLOOKUP(Physical!H$11,Lookup!$F$2:$I$13,4,FALSE)+1,CHARS,2,FALSE)&amp;"$"&amp;Bidding!$D$11),"="&amp;$F61),""),""),"")</f>
        <v/>
      </c>
      <c r="I61" s="1" t="str">
        <f ca="1">IFERROR(IF(NOT($B61=""),IF($E61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61,INDIRECT("Input!$"&amp;VLOOKUP(VLOOKUP(Physical!I$11,Lookup!$F$2:$I$13,4,FALSE)+1,CHARS,2,FALSE)&amp;"$1:$"&amp;VLOOKUP(VLOOKUP(Physical!I$11,Lookup!$F$2:$I$13,4,FALSE)+1,CHARS,2,FALSE)&amp;"$"&amp;Bidding!$D$11),"="&amp;$F61),""),""),"")</f>
        <v/>
      </c>
      <c r="J61" s="1" t="str">
        <f ca="1">IFERROR(IF(NOT($B61=""),IF($E61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61,INDIRECT("Input!$"&amp;VLOOKUP(VLOOKUP(Physical!J$11,Lookup!$F$2:$I$13,4,FALSE)+1,CHARS,2,FALSE)&amp;"$1:$"&amp;VLOOKUP(VLOOKUP(Physical!J$11,Lookup!$F$2:$I$13,4,FALSE)+1,CHARS,2,FALSE)&amp;"$"&amp;Bidding!$D$11),"="&amp;$F61),""),""),"")</f>
        <v/>
      </c>
      <c r="K61" s="7" t="str">
        <f t="shared" ca="1" si="3"/>
        <v/>
      </c>
    </row>
    <row r="62" spans="1:12" x14ac:dyDescent="0.2">
      <c r="A62" s="4" t="str">
        <f ca="1">IFERROR(IF(A61+1&lt;Bidding!$D$7*(Bidding!$D$6+2),A61+1,""),"")</f>
        <v/>
      </c>
      <c r="B62" s="5" t="str">
        <f ca="1">IFERROR(IF(MOD(A62,Bidding!$D$6+1)&lt;&gt;0,"Scenario X DP Y",""),"")</f>
        <v/>
      </c>
      <c r="E62" s="8" t="str">
        <f ca="1">IFERROR(IF(B62="Delivery product","",IF(NOT(ISBLANK(A62)),IF(MOD(ROUNDDOWN(A62-1,0),Bidding!$D$6+1)&gt;=Bidding!$D$6,IF(MOD(A62,Bidding!$D$6+1)=Bidding!$D$6,"Out",""),MOD(ROUNDDOWN(A62-1,0),Bidding!$D$6+1)),"")),"")</f>
        <v/>
      </c>
      <c r="F62" s="9" t="str">
        <f ca="1">IFERROR(IF(B62="","",IF(NOT(ISBLANK(B62)),IF(NOT(ISBLANK(A62)),MOD(ROUNDDOWN(A62/(Bidding!$D$6+1),0),Bidding!$D$7),""),"")),"")</f>
        <v/>
      </c>
      <c r="G62" s="17" t="str">
        <f ca="1">IFERROR(IF(MOD(A62-1,Bidding!$D$6+1)=0,Bidding!$I$6+I62-J62,G61+I62-J62),"")</f>
        <v/>
      </c>
      <c r="H62" s="1" t="str">
        <f ca="1">IFERROR(IF(NOT($B62=""),IF($E62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62,INDIRECT("Input!$"&amp;VLOOKUP(VLOOKUP(Physical!H$11,Lookup!$F$2:$I$13,4,FALSE)+1,CHARS,2,FALSE)&amp;"$1:$"&amp;VLOOKUP(VLOOKUP(Physical!H$11,Lookup!$F$2:$I$13,4,FALSE)+1,CHARS,2,FALSE)&amp;"$"&amp;Bidding!$D$11),"="&amp;$F62),""),""),"")</f>
        <v/>
      </c>
      <c r="I62" s="1" t="str">
        <f ca="1">IFERROR(IF(NOT($B62=""),IF($E62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62,INDIRECT("Input!$"&amp;VLOOKUP(VLOOKUP(Physical!I$11,Lookup!$F$2:$I$13,4,FALSE)+1,CHARS,2,FALSE)&amp;"$1:$"&amp;VLOOKUP(VLOOKUP(Physical!I$11,Lookup!$F$2:$I$13,4,FALSE)+1,CHARS,2,FALSE)&amp;"$"&amp;Bidding!$D$11),"="&amp;$F62),""),""),"")</f>
        <v/>
      </c>
      <c r="J62" s="1" t="str">
        <f ca="1">IFERROR(IF(NOT($B62=""),IF($E62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62,INDIRECT("Input!$"&amp;VLOOKUP(VLOOKUP(Physical!J$11,Lookup!$F$2:$I$13,4,FALSE)+1,CHARS,2,FALSE)&amp;"$1:$"&amp;VLOOKUP(VLOOKUP(Physical!J$11,Lookup!$F$2:$I$13,4,FALSE)+1,CHARS,2,FALSE)&amp;"$"&amp;Bidding!$D$11),"="&amp;$F62),""),""),"")</f>
        <v/>
      </c>
      <c r="K62" s="7" t="str">
        <f t="shared" ref="K62:K63" ca="1" si="4">IFERROR(IF(ABS(G62-H62)&gt;0.01,"Error3",""),"")</f>
        <v/>
      </c>
    </row>
    <row r="63" spans="1:12" x14ac:dyDescent="0.2">
      <c r="A63" s="4" t="str">
        <f ca="1">IFERROR(IF(A62+1&lt;Bidding!$D$7*(Bidding!$D$6+2),A62+1,""),"")</f>
        <v/>
      </c>
      <c r="B63" s="5" t="str">
        <f ca="1">IFERROR(IF(MOD(A63,Bidding!$D$6+1)&lt;&gt;0,"Scenario X DP Y",""),"")</f>
        <v/>
      </c>
      <c r="E63" s="8" t="str">
        <f ca="1">IFERROR(IF(B63="Delivery product","",IF(NOT(ISBLANK(A63)),IF(MOD(ROUNDDOWN(A63-1,0),Bidding!$D$6+1)&gt;=Bidding!$D$6,IF(MOD(A63,Bidding!$D$6+1)=Bidding!$D$6,"Out",""),MOD(ROUNDDOWN(A63-1,0),Bidding!$D$6+1)),"")),"")</f>
        <v/>
      </c>
      <c r="F63" s="9" t="str">
        <f ca="1">IFERROR(IF(B63="","",IF(NOT(ISBLANK(B63)),IF(NOT(ISBLANK(A63)),MOD(ROUNDDOWN(A63/(Bidding!$D$6+1),0),Bidding!$D$7),""),"")),"")</f>
        <v/>
      </c>
      <c r="G63" s="17" t="str">
        <f ca="1">IFERROR(IF(MOD(A63-1,Bidding!$D$6+1)=0,Bidding!$I$6+I63-J63,G62+I63-J63),"")</f>
        <v/>
      </c>
      <c r="H63" s="1" t="str">
        <f ca="1">IFERROR(IF(NOT($B63=""),IF($E63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63,INDIRECT("Input!$"&amp;VLOOKUP(VLOOKUP(Physical!H$11,Lookup!$F$2:$I$13,4,FALSE)+1,CHARS,2,FALSE)&amp;"$1:$"&amp;VLOOKUP(VLOOKUP(Physical!H$11,Lookup!$F$2:$I$13,4,FALSE)+1,CHARS,2,FALSE)&amp;"$"&amp;Bidding!$D$11),"="&amp;$F63),""),""),"")</f>
        <v/>
      </c>
      <c r="I63" s="1" t="str">
        <f ca="1">IFERROR(IF(NOT($B63=""),IF($E63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63,INDIRECT("Input!$"&amp;VLOOKUP(VLOOKUP(Physical!I$11,Lookup!$F$2:$I$13,4,FALSE)+1,CHARS,2,FALSE)&amp;"$1:$"&amp;VLOOKUP(VLOOKUP(Physical!I$11,Lookup!$F$2:$I$13,4,FALSE)+1,CHARS,2,FALSE)&amp;"$"&amp;Bidding!$D$11),"="&amp;$F63),""),""),"")</f>
        <v/>
      </c>
      <c r="J63" s="1" t="str">
        <f ca="1">IFERROR(IF(NOT($B63=""),IF($E63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63,INDIRECT("Input!$"&amp;VLOOKUP(VLOOKUP(Physical!J$11,Lookup!$F$2:$I$13,4,FALSE)+1,CHARS,2,FALSE)&amp;"$1:$"&amp;VLOOKUP(VLOOKUP(Physical!J$11,Lookup!$F$2:$I$13,4,FALSE)+1,CHARS,2,FALSE)&amp;"$"&amp;Bidding!$D$11),"="&amp;$F63),""),""),"")</f>
        <v/>
      </c>
      <c r="K63" s="7" t="str">
        <f t="shared" ca="1" si="4"/>
        <v/>
      </c>
    </row>
    <row r="64" spans="1:12" x14ac:dyDescent="0.2">
      <c r="A64" s="4" t="str">
        <f ca="1">IFERROR(IF(A63+1&lt;Bidding!$D$7*(Bidding!$D$6+2),A63+1,""),"")</f>
        <v/>
      </c>
      <c r="B64" s="5" t="str">
        <f ca="1">IFERROR(IF(MOD(A64,Bidding!$D$6+1)&lt;&gt;0,"Scenario X DP Y",""),"")</f>
        <v/>
      </c>
      <c r="E64" s="8" t="str">
        <f ca="1">IFERROR(IF(B64="Delivery product","",IF(NOT(ISBLANK(A64)),IF(MOD(ROUNDDOWN(A64-1,0),Bidding!$D$6+1)&gt;=Bidding!$D$6,IF(MOD(A64,Bidding!$D$6+1)=Bidding!$D$6,"Out",""),MOD(ROUNDDOWN(A64-1,0),Bidding!$D$6+1)),"")),"")</f>
        <v/>
      </c>
      <c r="F64" s="9" t="str">
        <f ca="1">IFERROR(IF(B64="","",IF(NOT(ISBLANK(B64)),IF(NOT(ISBLANK(A64)),MOD(ROUNDDOWN(A64/(Bidding!$D$6+1),0),Bidding!$D$7),""),"")),"")</f>
        <v/>
      </c>
      <c r="G64" s="17" t="str">
        <f ca="1">IFERROR(IF(MOD(A64-1,Bidding!$D$6+1)=0,Bidding!$I$6+I64-J64,G63+I64-J64),"")</f>
        <v/>
      </c>
      <c r="H64" s="1" t="str">
        <f ca="1">IFERROR(IF(NOT($B64=""),IF($E64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64,INDIRECT("Input!$"&amp;VLOOKUP(VLOOKUP(Physical!H$11,Lookup!$F$2:$I$13,4,FALSE)+1,CHARS,2,FALSE)&amp;"$1:$"&amp;VLOOKUP(VLOOKUP(Physical!H$11,Lookup!$F$2:$I$13,4,FALSE)+1,CHARS,2,FALSE)&amp;"$"&amp;Bidding!$D$11),"="&amp;$F64),""),""),"")</f>
        <v/>
      </c>
      <c r="I64" s="1" t="str">
        <f ca="1">IFERROR(IF(NOT($B64=""),IF($E64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64,INDIRECT("Input!$"&amp;VLOOKUP(VLOOKUP(Physical!I$11,Lookup!$F$2:$I$13,4,FALSE)+1,CHARS,2,FALSE)&amp;"$1:$"&amp;VLOOKUP(VLOOKUP(Physical!I$11,Lookup!$F$2:$I$13,4,FALSE)+1,CHARS,2,FALSE)&amp;"$"&amp;Bidding!$D$11),"="&amp;$F64),""),""),"")</f>
        <v/>
      </c>
      <c r="J64" s="1" t="str">
        <f ca="1">IFERROR(IF(NOT($B64=""),IF($E64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64,INDIRECT("Input!$"&amp;VLOOKUP(VLOOKUP(Physical!J$11,Lookup!$F$2:$I$13,4,FALSE)+1,CHARS,2,FALSE)&amp;"$1:$"&amp;VLOOKUP(VLOOKUP(Physical!J$11,Lookup!$F$2:$I$13,4,FALSE)+1,CHARS,2,FALSE)&amp;"$"&amp;Bidding!$D$11),"="&amp;$F64),""),""),"")</f>
        <v/>
      </c>
      <c r="K64" s="7" t="str">
        <f t="shared" ca="1" si="3"/>
        <v/>
      </c>
    </row>
    <row r="65" spans="1:11" x14ac:dyDescent="0.2">
      <c r="A65" s="4" t="str">
        <f ca="1">IFERROR(IF(A64+1&lt;Bidding!$D$7*(Bidding!$D$6+2),A64+1,""),"")</f>
        <v/>
      </c>
      <c r="B65" s="5" t="str">
        <f ca="1">IFERROR(IF(MOD(A65,Bidding!$D$6+1)&lt;&gt;0,"Scenario X DP Y",""),"")</f>
        <v/>
      </c>
      <c r="E65" s="8" t="str">
        <f ca="1">IFERROR(IF(B65="Delivery product","",IF(NOT(ISBLANK(A65)),IF(MOD(ROUNDDOWN(A65-1,0),Bidding!$D$6+1)&gt;=Bidding!$D$6,IF(MOD(A65,Bidding!$D$6+1)=Bidding!$D$6,"Out",""),MOD(ROUNDDOWN(A65-1,0),Bidding!$D$6+1)),"")),"")</f>
        <v/>
      </c>
      <c r="F65" s="9" t="str">
        <f ca="1">IFERROR(IF(B65="","",IF(NOT(ISBLANK(B65)),IF(NOT(ISBLANK(A65)),MOD(ROUNDDOWN(A65/(Bidding!$D$6+1),0),Bidding!$D$7),""),"")),"")</f>
        <v/>
      </c>
      <c r="G65" s="17" t="str">
        <f ca="1">IFERROR(IF(MOD(A65-1,Bidding!$D$6+1)=0,Bidding!$I$6+I65-J65,G64+I65-J65),"")</f>
        <v/>
      </c>
      <c r="H65" s="1" t="str">
        <f ca="1">IFERROR(IF(NOT($B65=""),IF($E65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65,INDIRECT("Input!$"&amp;VLOOKUP(VLOOKUP(Physical!H$11,Lookup!$F$2:$I$13,4,FALSE)+1,CHARS,2,FALSE)&amp;"$1:$"&amp;VLOOKUP(VLOOKUP(Physical!H$11,Lookup!$F$2:$I$13,4,FALSE)+1,CHARS,2,FALSE)&amp;"$"&amp;Bidding!$D$11),"="&amp;$F65),""),""),"")</f>
        <v/>
      </c>
      <c r="I65" s="1" t="str">
        <f ca="1">IFERROR(IF(NOT($B65=""),IF($E65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65,INDIRECT("Input!$"&amp;VLOOKUP(VLOOKUP(Physical!I$11,Lookup!$F$2:$I$13,4,FALSE)+1,CHARS,2,FALSE)&amp;"$1:$"&amp;VLOOKUP(VLOOKUP(Physical!I$11,Lookup!$F$2:$I$13,4,FALSE)+1,CHARS,2,FALSE)&amp;"$"&amp;Bidding!$D$11),"="&amp;$F65),""),""),"")</f>
        <v/>
      </c>
      <c r="J65" s="1" t="str">
        <f ca="1">IFERROR(IF(NOT($B65=""),IF($E65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65,INDIRECT("Input!$"&amp;VLOOKUP(VLOOKUP(Physical!J$11,Lookup!$F$2:$I$13,4,FALSE)+1,CHARS,2,FALSE)&amp;"$1:$"&amp;VLOOKUP(VLOOKUP(Physical!J$11,Lookup!$F$2:$I$13,4,FALSE)+1,CHARS,2,FALSE)&amp;"$"&amp;Bidding!$D$11),"="&amp;$F65),""),""),"")</f>
        <v/>
      </c>
      <c r="K65" s="7" t="str">
        <f t="shared" ca="1" si="3"/>
        <v/>
      </c>
    </row>
    <row r="66" spans="1:11" x14ac:dyDescent="0.2">
      <c r="A66" s="4" t="str">
        <f ca="1">IFERROR(IF(A65+1&lt;Bidding!$D$7*(Bidding!$D$6+2),A65+1,""),"")</f>
        <v/>
      </c>
      <c r="B66" s="5" t="str">
        <f ca="1">IFERROR(IF(MOD(A66,Bidding!$D$6+1)&lt;&gt;0,"Scenario X DP Y",""),"")</f>
        <v/>
      </c>
      <c r="E66" s="8" t="str">
        <f ca="1">IFERROR(IF(B66="Delivery product","",IF(NOT(ISBLANK(A66)),IF(MOD(ROUNDDOWN(A66-1,0),Bidding!$D$6+1)&gt;=Bidding!$D$6,IF(MOD(A66,Bidding!$D$6+1)=Bidding!$D$6,"Out",""),MOD(ROUNDDOWN(A66-1,0),Bidding!$D$6+1)),"")),"")</f>
        <v/>
      </c>
      <c r="F66" s="9" t="str">
        <f ca="1">IFERROR(IF(B66="","",IF(NOT(ISBLANK(B66)),IF(NOT(ISBLANK(A66)),MOD(ROUNDDOWN(A66/(Bidding!$D$6+1),0),Bidding!$D$7),""),"")),"")</f>
        <v/>
      </c>
      <c r="G66" s="17" t="str">
        <f ca="1">IFERROR(IF(MOD(A66-1,Bidding!$D$6+1)=0,Bidding!$I$6+I66-J66,G65+I66-J66),"")</f>
        <v/>
      </c>
      <c r="H66" s="1" t="str">
        <f ca="1">IFERROR(IF(NOT($B66=""),IF($E66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66,INDIRECT("Input!$"&amp;VLOOKUP(VLOOKUP(Physical!H$11,Lookup!$F$2:$I$13,4,FALSE)+1,CHARS,2,FALSE)&amp;"$1:$"&amp;VLOOKUP(VLOOKUP(Physical!H$11,Lookup!$F$2:$I$13,4,FALSE)+1,CHARS,2,FALSE)&amp;"$"&amp;Bidding!$D$11),"="&amp;$F66),""),""),"")</f>
        <v/>
      </c>
      <c r="I66" s="1" t="str">
        <f ca="1">IFERROR(IF(NOT($B66=""),IF($E66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66,INDIRECT("Input!$"&amp;VLOOKUP(VLOOKUP(Physical!I$11,Lookup!$F$2:$I$13,4,FALSE)+1,CHARS,2,FALSE)&amp;"$1:$"&amp;VLOOKUP(VLOOKUP(Physical!I$11,Lookup!$F$2:$I$13,4,FALSE)+1,CHARS,2,FALSE)&amp;"$"&amp;Bidding!$D$11),"="&amp;$F66),""),""),"")</f>
        <v/>
      </c>
      <c r="J66" s="1" t="str">
        <f ca="1">IFERROR(IF(NOT($B66=""),IF($E66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66,INDIRECT("Input!$"&amp;VLOOKUP(VLOOKUP(Physical!J$11,Lookup!$F$2:$I$13,4,FALSE)+1,CHARS,2,FALSE)&amp;"$1:$"&amp;VLOOKUP(VLOOKUP(Physical!J$11,Lookup!$F$2:$I$13,4,FALSE)+1,CHARS,2,FALSE)&amp;"$"&amp;Bidding!$D$11),"="&amp;$F66),""),""),"")</f>
        <v/>
      </c>
      <c r="K66" s="7" t="str">
        <f t="shared" ca="1" si="3"/>
        <v/>
      </c>
    </row>
    <row r="67" spans="1:11" x14ac:dyDescent="0.2">
      <c r="A67" s="4" t="str">
        <f ca="1">IFERROR(IF(A66+1&lt;Bidding!$D$7*(Bidding!$D$6+2),A66+1,""),"")</f>
        <v/>
      </c>
      <c r="B67" s="5" t="str">
        <f ca="1">IFERROR(IF(MOD(A67,Bidding!$D$6+1)&lt;&gt;0,"Scenario X DP Y",""),"")</f>
        <v/>
      </c>
      <c r="E67" s="8" t="str">
        <f ca="1">IFERROR(IF(B67="Delivery product","",IF(NOT(ISBLANK(A67)),IF(MOD(ROUNDDOWN(A67-1,0),Bidding!$D$6+1)&gt;=Bidding!$D$6,IF(MOD(A67,Bidding!$D$6+1)=Bidding!$D$6,"Out",""),MOD(ROUNDDOWN(A67-1,0),Bidding!$D$6+1)),"")),"")</f>
        <v/>
      </c>
      <c r="F67" s="9" t="str">
        <f ca="1">IFERROR(IF(B67="","",IF(NOT(ISBLANK(B67)),IF(NOT(ISBLANK(A67)),MOD(ROUNDDOWN(A67/(Bidding!$D$6+1),0),Bidding!$D$7),""),"")),"")</f>
        <v/>
      </c>
      <c r="G67" s="17" t="str">
        <f ca="1">IFERROR(IF(MOD(A67-1,Bidding!$D$6+1)=0,Bidding!$I$6+I67-J67,G66+I67-J67),"")</f>
        <v/>
      </c>
      <c r="H67" s="1" t="str">
        <f ca="1">IFERROR(IF(NOT($B67=""),IF($E67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67,INDIRECT("Input!$"&amp;VLOOKUP(VLOOKUP(Physical!H$11,Lookup!$F$2:$I$13,4,FALSE)+1,CHARS,2,FALSE)&amp;"$1:$"&amp;VLOOKUP(VLOOKUP(Physical!H$11,Lookup!$F$2:$I$13,4,FALSE)+1,CHARS,2,FALSE)&amp;"$"&amp;Bidding!$D$11),"="&amp;$F67),""),""),"")</f>
        <v/>
      </c>
      <c r="I67" s="1" t="str">
        <f ca="1">IFERROR(IF(NOT($B67=""),IF($E67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67,INDIRECT("Input!$"&amp;VLOOKUP(VLOOKUP(Physical!I$11,Lookup!$F$2:$I$13,4,FALSE)+1,CHARS,2,FALSE)&amp;"$1:$"&amp;VLOOKUP(VLOOKUP(Physical!I$11,Lookup!$F$2:$I$13,4,FALSE)+1,CHARS,2,FALSE)&amp;"$"&amp;Bidding!$D$11),"="&amp;$F67),""),""),"")</f>
        <v/>
      </c>
      <c r="J67" s="1" t="str">
        <f ca="1">IFERROR(IF(NOT($B67=""),IF($E67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67,INDIRECT("Input!$"&amp;VLOOKUP(VLOOKUP(Physical!J$11,Lookup!$F$2:$I$13,4,FALSE)+1,CHARS,2,FALSE)&amp;"$1:$"&amp;VLOOKUP(VLOOKUP(Physical!J$11,Lookup!$F$2:$I$13,4,FALSE)+1,CHARS,2,FALSE)&amp;"$"&amp;Bidding!$D$11),"="&amp;$F67),""),""),"")</f>
        <v/>
      </c>
      <c r="K67" s="7" t="str">
        <f t="shared" ca="1" si="3"/>
        <v/>
      </c>
    </row>
    <row r="68" spans="1:11" x14ac:dyDescent="0.2">
      <c r="A68" s="4" t="str">
        <f ca="1">IFERROR(IF(A67+1&lt;Bidding!$D$7*(Bidding!$D$6+2),A67+1,""),"")</f>
        <v/>
      </c>
      <c r="B68" s="5" t="str">
        <f ca="1">IFERROR(IF(MOD(A68,Bidding!$D$6+1)&lt;&gt;0,"Scenario X DP Y",""),"")</f>
        <v/>
      </c>
      <c r="E68" s="8" t="str">
        <f ca="1">IFERROR(IF(B68="Delivery product","",IF(NOT(ISBLANK(A68)),IF(MOD(ROUNDDOWN(A68-1,0),Bidding!$D$6+1)&gt;=Bidding!$D$6,IF(MOD(A68,Bidding!$D$6+1)=Bidding!$D$6,"Out",""),MOD(ROUNDDOWN(A68-1,0),Bidding!$D$6+1)),"")),"")</f>
        <v/>
      </c>
      <c r="F68" s="9" t="str">
        <f ca="1">IFERROR(IF(B68="","",IF(NOT(ISBLANK(B68)),IF(NOT(ISBLANK(A68)),MOD(ROUNDDOWN(A68/(Bidding!$D$6+1),0),Bidding!$D$7),""),"")),"")</f>
        <v/>
      </c>
      <c r="G68" s="17" t="str">
        <f ca="1">IFERROR(IF(MOD(A68-1,Bidding!$D$6+1)=0,Bidding!$I$6+I68-J68,G67+I68-J68),"")</f>
        <v/>
      </c>
      <c r="H68" s="1" t="str">
        <f ca="1">IFERROR(IF(NOT($B68=""),IF($E68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68,INDIRECT("Input!$"&amp;VLOOKUP(VLOOKUP(Physical!H$11,Lookup!$F$2:$I$13,4,FALSE)+1,CHARS,2,FALSE)&amp;"$1:$"&amp;VLOOKUP(VLOOKUP(Physical!H$11,Lookup!$F$2:$I$13,4,FALSE)+1,CHARS,2,FALSE)&amp;"$"&amp;Bidding!$D$11),"="&amp;$F68),""),""),"")</f>
        <v/>
      </c>
      <c r="I68" s="1" t="str">
        <f ca="1">IFERROR(IF(NOT($B68=""),IF($E68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68,INDIRECT("Input!$"&amp;VLOOKUP(VLOOKUP(Physical!I$11,Lookup!$F$2:$I$13,4,FALSE)+1,CHARS,2,FALSE)&amp;"$1:$"&amp;VLOOKUP(VLOOKUP(Physical!I$11,Lookup!$F$2:$I$13,4,FALSE)+1,CHARS,2,FALSE)&amp;"$"&amp;Bidding!$D$11),"="&amp;$F68),""),""),"")</f>
        <v/>
      </c>
      <c r="J68" s="1" t="str">
        <f ca="1">IFERROR(IF(NOT($B68=""),IF($E68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68,INDIRECT("Input!$"&amp;VLOOKUP(VLOOKUP(Physical!J$11,Lookup!$F$2:$I$13,4,FALSE)+1,CHARS,2,FALSE)&amp;"$1:$"&amp;VLOOKUP(VLOOKUP(Physical!J$11,Lookup!$F$2:$I$13,4,FALSE)+1,CHARS,2,FALSE)&amp;"$"&amp;Bidding!$D$11),"="&amp;$F68),""),""),"")</f>
        <v/>
      </c>
      <c r="K68" s="7" t="str">
        <f t="shared" ca="1" si="3"/>
        <v/>
      </c>
    </row>
    <row r="69" spans="1:11" x14ac:dyDescent="0.2">
      <c r="A69" s="4" t="str">
        <f ca="1">IFERROR(IF(A68+1&lt;Bidding!$D$7*(Bidding!$D$6+2),A68+1,""),"")</f>
        <v/>
      </c>
      <c r="B69" s="5" t="str">
        <f ca="1">IFERROR(IF(MOD(A69,Bidding!$D$6+1)&lt;&gt;0,"Scenario X DP Y",""),"")</f>
        <v/>
      </c>
      <c r="E69" s="8" t="str">
        <f ca="1">IFERROR(IF(B69="Delivery product","",IF(NOT(ISBLANK(A69)),IF(MOD(ROUNDDOWN(A69-1,0),Bidding!$D$6+1)&gt;=Bidding!$D$6,IF(MOD(A69,Bidding!$D$6+1)=Bidding!$D$6,"Out",""),MOD(ROUNDDOWN(A69-1,0),Bidding!$D$6+1)),"")),"")</f>
        <v/>
      </c>
      <c r="F69" s="9" t="str">
        <f ca="1">IFERROR(IF(B69="","",IF(NOT(ISBLANK(B69)),IF(NOT(ISBLANK(A69)),MOD(ROUNDDOWN(A69/(Bidding!$D$6+1),0),Bidding!$D$7),""),"")),"")</f>
        <v/>
      </c>
      <c r="G69" s="17" t="str">
        <f ca="1">IFERROR(IF(MOD(A69-1,Bidding!$D$6+1)=0,Bidding!$I$6+I69-J69,G68+I69-J69),"")</f>
        <v/>
      </c>
      <c r="H69" s="1" t="str">
        <f ca="1">IFERROR(IF(NOT($B69=""),IF($E69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69,INDIRECT("Input!$"&amp;VLOOKUP(VLOOKUP(Physical!H$11,Lookup!$F$2:$I$13,4,FALSE)+1,CHARS,2,FALSE)&amp;"$1:$"&amp;VLOOKUP(VLOOKUP(Physical!H$11,Lookup!$F$2:$I$13,4,FALSE)+1,CHARS,2,FALSE)&amp;"$"&amp;Bidding!$D$11),"="&amp;$F69),""),""),"")</f>
        <v/>
      </c>
      <c r="I69" s="1" t="str">
        <f ca="1">IFERROR(IF(NOT($B69=""),IF($E69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69,INDIRECT("Input!$"&amp;VLOOKUP(VLOOKUP(Physical!I$11,Lookup!$F$2:$I$13,4,FALSE)+1,CHARS,2,FALSE)&amp;"$1:$"&amp;VLOOKUP(VLOOKUP(Physical!I$11,Lookup!$F$2:$I$13,4,FALSE)+1,CHARS,2,FALSE)&amp;"$"&amp;Bidding!$D$11),"="&amp;$F69),""),""),"")</f>
        <v/>
      </c>
      <c r="J69" s="1" t="str">
        <f ca="1">IFERROR(IF(NOT($B69=""),IF($E69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69,INDIRECT("Input!$"&amp;VLOOKUP(VLOOKUP(Physical!J$11,Lookup!$F$2:$I$13,4,FALSE)+1,CHARS,2,FALSE)&amp;"$1:$"&amp;VLOOKUP(VLOOKUP(Physical!J$11,Lookup!$F$2:$I$13,4,FALSE)+1,CHARS,2,FALSE)&amp;"$"&amp;Bidding!$D$11),"="&amp;$F69),""),""),"")</f>
        <v/>
      </c>
      <c r="K69" s="7" t="str">
        <f t="shared" ca="1" si="3"/>
        <v/>
      </c>
    </row>
    <row r="70" spans="1:11" x14ac:dyDescent="0.2">
      <c r="A70" s="4" t="str">
        <f ca="1">IFERROR(IF(A69+1&lt;Bidding!$D$7*(Bidding!$D$6+2),A69+1,""),"")</f>
        <v/>
      </c>
      <c r="B70" s="5" t="str">
        <f ca="1">IFERROR(IF(MOD(A70,Bidding!$D$6+1)&lt;&gt;0,"Scenario X DP Y",""),"")</f>
        <v/>
      </c>
      <c r="E70" s="8" t="str">
        <f ca="1">IFERROR(IF(B70="Delivery product","",IF(NOT(ISBLANK(A70)),IF(MOD(ROUNDDOWN(A70-1,0),Bidding!$D$6+1)&gt;=Bidding!$D$6,IF(MOD(A70,Bidding!$D$6+1)=Bidding!$D$6,"Out",""),MOD(ROUNDDOWN(A70-1,0),Bidding!$D$6+1)),"")),"")</f>
        <v/>
      </c>
      <c r="F70" s="9" t="str">
        <f ca="1">IFERROR(IF(B70="","",IF(NOT(ISBLANK(B70)),IF(NOT(ISBLANK(A70)),MOD(ROUNDDOWN(A70/(Bidding!$D$6+1),0),Bidding!$D$7),""),"")),"")</f>
        <v/>
      </c>
      <c r="G70" s="17" t="str">
        <f ca="1">IFERROR(IF(MOD(A70-1,Bidding!$D$6+1)=0,Bidding!$I$6+I70-J70,G69+I70-J70),"")</f>
        <v/>
      </c>
      <c r="H70" s="1" t="str">
        <f ca="1">IFERROR(IF(NOT($B70=""),IF($E70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70,INDIRECT("Input!$"&amp;VLOOKUP(VLOOKUP(Physical!H$11,Lookup!$F$2:$I$13,4,FALSE)+1,CHARS,2,FALSE)&amp;"$1:$"&amp;VLOOKUP(VLOOKUP(Physical!H$11,Lookup!$F$2:$I$13,4,FALSE)+1,CHARS,2,FALSE)&amp;"$"&amp;Bidding!$D$11),"="&amp;$F70),""),""),"")</f>
        <v/>
      </c>
      <c r="I70" s="1" t="str">
        <f ca="1">IFERROR(IF(NOT($B70=""),IF($E70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70,INDIRECT("Input!$"&amp;VLOOKUP(VLOOKUP(Physical!I$11,Lookup!$F$2:$I$13,4,FALSE)+1,CHARS,2,FALSE)&amp;"$1:$"&amp;VLOOKUP(VLOOKUP(Physical!I$11,Lookup!$F$2:$I$13,4,FALSE)+1,CHARS,2,FALSE)&amp;"$"&amp;Bidding!$D$11),"="&amp;$F70),""),""),"")</f>
        <v/>
      </c>
      <c r="J70" s="1" t="str">
        <f ca="1">IFERROR(IF(NOT($B70=""),IF($E70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70,INDIRECT("Input!$"&amp;VLOOKUP(VLOOKUP(Physical!J$11,Lookup!$F$2:$I$13,4,FALSE)+1,CHARS,2,FALSE)&amp;"$1:$"&amp;VLOOKUP(VLOOKUP(Physical!J$11,Lookup!$F$2:$I$13,4,FALSE)+1,CHARS,2,FALSE)&amp;"$"&amp;Bidding!$D$11),"="&amp;$F70),""),""),"")</f>
        <v/>
      </c>
      <c r="K70" s="7" t="str">
        <f t="shared" ca="1" si="3"/>
        <v/>
      </c>
    </row>
    <row r="71" spans="1:11" x14ac:dyDescent="0.2">
      <c r="A71" s="4" t="str">
        <f ca="1">IFERROR(IF(A70+1&lt;Bidding!$D$7*(Bidding!$D$6+2),A70+1,""),"")</f>
        <v/>
      </c>
      <c r="B71" s="5" t="str">
        <f ca="1">IFERROR(IF(MOD(A71,Bidding!$D$6+1)&lt;&gt;0,"Scenario X DP Y",""),"")</f>
        <v/>
      </c>
      <c r="E71" s="8" t="str">
        <f ca="1">IFERROR(IF(B71="Delivery product","",IF(NOT(ISBLANK(A71)),IF(MOD(ROUNDDOWN(A71-1,0),Bidding!$D$6+1)&gt;=Bidding!$D$6,IF(MOD(A71,Bidding!$D$6+1)=Bidding!$D$6,"Out",""),MOD(ROUNDDOWN(A71-1,0),Bidding!$D$6+1)),"")),"")</f>
        <v/>
      </c>
      <c r="F71" s="9" t="str">
        <f ca="1">IFERROR(IF(B71="","",IF(NOT(ISBLANK(B71)),IF(NOT(ISBLANK(A71)),MOD(ROUNDDOWN(A71/(Bidding!$D$6+1),0),Bidding!$D$7),""),"")),"")</f>
        <v/>
      </c>
      <c r="G71" s="17" t="str">
        <f ca="1">IFERROR(IF(MOD(A71-1,Bidding!$D$6+1)=0,Bidding!$I$6+I71-J71,G70+I71-J71),"")</f>
        <v/>
      </c>
      <c r="H71" s="1" t="str">
        <f ca="1">IFERROR(IF(NOT($B71=""),IF($E71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71,INDIRECT("Input!$"&amp;VLOOKUP(VLOOKUP(Physical!H$11,Lookup!$F$2:$I$13,4,FALSE)+1,CHARS,2,FALSE)&amp;"$1:$"&amp;VLOOKUP(VLOOKUP(Physical!H$11,Lookup!$F$2:$I$13,4,FALSE)+1,CHARS,2,FALSE)&amp;"$"&amp;Bidding!$D$11),"="&amp;$F71),""),""),"")</f>
        <v/>
      </c>
      <c r="I71" s="1" t="str">
        <f ca="1">IFERROR(IF(NOT($B71=""),IF($E71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71,INDIRECT("Input!$"&amp;VLOOKUP(VLOOKUP(Physical!I$11,Lookup!$F$2:$I$13,4,FALSE)+1,CHARS,2,FALSE)&amp;"$1:$"&amp;VLOOKUP(VLOOKUP(Physical!I$11,Lookup!$F$2:$I$13,4,FALSE)+1,CHARS,2,FALSE)&amp;"$"&amp;Bidding!$D$11),"="&amp;$F71),""),""),"")</f>
        <v/>
      </c>
      <c r="J71" s="1" t="str">
        <f ca="1">IFERROR(IF(NOT($B71=""),IF($E71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71,INDIRECT("Input!$"&amp;VLOOKUP(VLOOKUP(Physical!J$11,Lookup!$F$2:$I$13,4,FALSE)+1,CHARS,2,FALSE)&amp;"$1:$"&amp;VLOOKUP(VLOOKUP(Physical!J$11,Lookup!$F$2:$I$13,4,FALSE)+1,CHARS,2,FALSE)&amp;"$"&amp;Bidding!$D$11),"="&amp;$F71),""),""),"")</f>
        <v/>
      </c>
      <c r="K71" s="7" t="str">
        <f t="shared" ca="1" si="3"/>
        <v/>
      </c>
    </row>
    <row r="72" spans="1:11" x14ac:dyDescent="0.2">
      <c r="A72" s="4" t="str">
        <f ca="1">IFERROR(IF(A71+1&lt;Bidding!$D$7*(Bidding!$D$6+2),A71+1,""),"")</f>
        <v/>
      </c>
      <c r="B72" s="5" t="str">
        <f ca="1">IFERROR(IF(MOD(A72,Bidding!$D$6+1)&lt;&gt;0,"Scenario X DP Y",""),"")</f>
        <v/>
      </c>
      <c r="E72" s="8" t="str">
        <f ca="1">IFERROR(IF(B72="Delivery product","",IF(NOT(ISBLANK(A72)),IF(MOD(ROUNDDOWN(A72-1,0),Bidding!$D$6+1)&gt;=Bidding!$D$6,IF(MOD(A72,Bidding!$D$6+1)=Bidding!$D$6,"Out",""),MOD(ROUNDDOWN(A72-1,0),Bidding!$D$6+1)),"")),"")</f>
        <v/>
      </c>
      <c r="F72" s="9" t="str">
        <f ca="1">IFERROR(IF(B72="","",IF(NOT(ISBLANK(B72)),IF(NOT(ISBLANK(A72)),MOD(ROUNDDOWN(A72/(Bidding!$D$6+1),0),Bidding!$D$7),""),"")),"")</f>
        <v/>
      </c>
      <c r="G72" s="17" t="str">
        <f ca="1">IFERROR(IF(MOD(A72-1,Bidding!$D$6+1)=0,Bidding!$I$6+I72-J72,G71+I72-J72),"")</f>
        <v/>
      </c>
      <c r="H72" s="1" t="str">
        <f ca="1">IFERROR(IF(NOT($B72=""),IF($E72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72,INDIRECT("Input!$"&amp;VLOOKUP(VLOOKUP(Physical!H$11,Lookup!$F$2:$I$13,4,FALSE)+1,CHARS,2,FALSE)&amp;"$1:$"&amp;VLOOKUP(VLOOKUP(Physical!H$11,Lookup!$F$2:$I$13,4,FALSE)+1,CHARS,2,FALSE)&amp;"$"&amp;Bidding!$D$11),"="&amp;$F72),""),""),"")</f>
        <v/>
      </c>
      <c r="I72" s="1" t="str">
        <f ca="1">IFERROR(IF(NOT($B72=""),IF($E72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72,INDIRECT("Input!$"&amp;VLOOKUP(VLOOKUP(Physical!I$11,Lookup!$F$2:$I$13,4,FALSE)+1,CHARS,2,FALSE)&amp;"$1:$"&amp;VLOOKUP(VLOOKUP(Physical!I$11,Lookup!$F$2:$I$13,4,FALSE)+1,CHARS,2,FALSE)&amp;"$"&amp;Bidding!$D$11),"="&amp;$F72),""),""),"")</f>
        <v/>
      </c>
      <c r="J72" s="1" t="str">
        <f ca="1">IFERROR(IF(NOT($B72=""),IF($E72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72,INDIRECT("Input!$"&amp;VLOOKUP(VLOOKUP(Physical!J$11,Lookup!$F$2:$I$13,4,FALSE)+1,CHARS,2,FALSE)&amp;"$1:$"&amp;VLOOKUP(VLOOKUP(Physical!J$11,Lookup!$F$2:$I$13,4,FALSE)+1,CHARS,2,FALSE)&amp;"$"&amp;Bidding!$D$11),"="&amp;$F72),""),""),"")</f>
        <v/>
      </c>
      <c r="K72" s="7" t="str">
        <f t="shared" ca="1" si="3"/>
        <v/>
      </c>
    </row>
    <row r="73" spans="1:11" x14ac:dyDescent="0.2">
      <c r="A73" s="4" t="str">
        <f ca="1">IFERROR(IF(A72+1&lt;Bidding!$D$7*(Bidding!$D$6+2),A72+1,""),"")</f>
        <v/>
      </c>
      <c r="B73" s="5" t="str">
        <f ca="1">IFERROR(IF(MOD(A73,Bidding!$D$6+1)&lt;&gt;0,"Scenario X DP Y",""),"")</f>
        <v/>
      </c>
      <c r="E73" s="8" t="str">
        <f ca="1">IFERROR(IF(B73="Delivery product","",IF(NOT(ISBLANK(A73)),IF(MOD(ROUNDDOWN(A73-1,0),Bidding!$D$6+1)&gt;=Bidding!$D$6,IF(MOD(A73,Bidding!$D$6+1)=Bidding!$D$6,"Out",""),MOD(ROUNDDOWN(A73-1,0),Bidding!$D$6+1)),"")),"")</f>
        <v/>
      </c>
      <c r="F73" s="9" t="str">
        <f ca="1">IFERROR(IF(B73="","",IF(NOT(ISBLANK(B73)),IF(NOT(ISBLANK(A73)),MOD(ROUNDDOWN(A73/(Bidding!$D$6+1),0),Bidding!$D$7),""),"")),"")</f>
        <v/>
      </c>
      <c r="G73" s="17" t="str">
        <f ca="1">IFERROR(IF(MOD(A73-1,Bidding!$D$6+1)=0,Bidding!$I$6+I73-J73,G72+I73-J73),"")</f>
        <v/>
      </c>
      <c r="H73" s="1" t="str">
        <f ca="1">IFERROR(IF(NOT($B73=""),IF($E73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73,INDIRECT("Input!$"&amp;VLOOKUP(VLOOKUP(Physical!H$11,Lookup!$F$2:$I$13,4,FALSE)+1,CHARS,2,FALSE)&amp;"$1:$"&amp;VLOOKUP(VLOOKUP(Physical!H$11,Lookup!$F$2:$I$13,4,FALSE)+1,CHARS,2,FALSE)&amp;"$"&amp;Bidding!$D$11),"="&amp;$F73),""),""),"")</f>
        <v/>
      </c>
      <c r="I73" s="1" t="str">
        <f ca="1">IFERROR(IF(NOT($B73=""),IF($E73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73,INDIRECT("Input!$"&amp;VLOOKUP(VLOOKUP(Physical!I$11,Lookup!$F$2:$I$13,4,FALSE)+1,CHARS,2,FALSE)&amp;"$1:$"&amp;VLOOKUP(VLOOKUP(Physical!I$11,Lookup!$F$2:$I$13,4,FALSE)+1,CHARS,2,FALSE)&amp;"$"&amp;Bidding!$D$11),"="&amp;$F73),""),""),"")</f>
        <v/>
      </c>
      <c r="J73" s="1" t="str">
        <f ca="1">IFERROR(IF(NOT($B73=""),IF($E73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73,INDIRECT("Input!$"&amp;VLOOKUP(VLOOKUP(Physical!J$11,Lookup!$F$2:$I$13,4,FALSE)+1,CHARS,2,FALSE)&amp;"$1:$"&amp;VLOOKUP(VLOOKUP(Physical!J$11,Lookup!$F$2:$I$13,4,FALSE)+1,CHARS,2,FALSE)&amp;"$"&amp;Bidding!$D$11),"="&amp;$F73),""),""),"")</f>
        <v/>
      </c>
      <c r="K73" s="7" t="str">
        <f t="shared" ca="1" si="3"/>
        <v/>
      </c>
    </row>
    <row r="74" spans="1:11" x14ac:dyDescent="0.2">
      <c r="A74" s="4" t="str">
        <f ca="1">IFERROR(IF(A73+1&lt;Bidding!$D$7*(Bidding!$D$6+2),A73+1,""),"")</f>
        <v/>
      </c>
      <c r="B74" s="5" t="str">
        <f ca="1">IFERROR(IF(MOD(A74,Bidding!$D$6+1)&lt;&gt;0,"Scenario X DP Y",""),"")</f>
        <v/>
      </c>
      <c r="E74" s="8" t="str">
        <f ca="1">IFERROR(IF(B74="Delivery product","",IF(NOT(ISBLANK(A74)),IF(MOD(ROUNDDOWN(A74-1,0),Bidding!$D$6+1)&gt;=Bidding!$D$6,IF(MOD(A74,Bidding!$D$6+1)=Bidding!$D$6,"Out",""),MOD(ROUNDDOWN(A74-1,0),Bidding!$D$6+1)),"")),"")</f>
        <v/>
      </c>
      <c r="F74" s="9" t="str">
        <f ca="1">IFERROR(IF(B74="","",IF(NOT(ISBLANK(B74)),IF(NOT(ISBLANK(A74)),MOD(ROUNDDOWN(A74/(Bidding!$D$6+1),0),Bidding!$D$7),""),"")),"")</f>
        <v/>
      </c>
      <c r="G74" s="17" t="str">
        <f ca="1">IFERROR(IF(MOD(A74-1,Bidding!$D$6+1)=0,Bidding!$I$6+I74-J74,G73+I74-J74),"")</f>
        <v/>
      </c>
      <c r="H74" s="1" t="str">
        <f ca="1">IFERROR(IF(NOT($B74=""),IF($E74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74,INDIRECT("Input!$"&amp;VLOOKUP(VLOOKUP(Physical!H$11,Lookup!$F$2:$I$13,4,FALSE)+1,CHARS,2,FALSE)&amp;"$1:$"&amp;VLOOKUP(VLOOKUP(Physical!H$11,Lookup!$F$2:$I$13,4,FALSE)+1,CHARS,2,FALSE)&amp;"$"&amp;Bidding!$D$11),"="&amp;$F74),""),""),"")</f>
        <v/>
      </c>
      <c r="I74" s="1" t="str">
        <f ca="1">IFERROR(IF(NOT($B74=""),IF($E74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74,INDIRECT("Input!$"&amp;VLOOKUP(VLOOKUP(Physical!I$11,Lookup!$F$2:$I$13,4,FALSE)+1,CHARS,2,FALSE)&amp;"$1:$"&amp;VLOOKUP(VLOOKUP(Physical!I$11,Lookup!$F$2:$I$13,4,FALSE)+1,CHARS,2,FALSE)&amp;"$"&amp;Bidding!$D$11),"="&amp;$F74),""),""),"")</f>
        <v/>
      </c>
      <c r="J74" s="1" t="str">
        <f ca="1">IFERROR(IF(NOT($B74=""),IF($E74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74,INDIRECT("Input!$"&amp;VLOOKUP(VLOOKUP(Physical!J$11,Lookup!$F$2:$I$13,4,FALSE)+1,CHARS,2,FALSE)&amp;"$1:$"&amp;VLOOKUP(VLOOKUP(Physical!J$11,Lookup!$F$2:$I$13,4,FALSE)+1,CHARS,2,FALSE)&amp;"$"&amp;Bidding!$D$11),"="&amp;$F74),""),""),"")</f>
        <v/>
      </c>
      <c r="K74" s="7" t="str">
        <f t="shared" ca="1" si="3"/>
        <v/>
      </c>
    </row>
    <row r="75" spans="1:11" x14ac:dyDescent="0.2">
      <c r="A75" s="4" t="str">
        <f ca="1">IFERROR(IF(A74+1&lt;Bidding!$D$7*(Bidding!$D$6+2),A74+1,""),"")</f>
        <v/>
      </c>
      <c r="B75" s="5" t="str">
        <f ca="1">IFERROR(IF(MOD(A75,Bidding!$D$6+1)&lt;&gt;0,"Scenario X DP Y",""),"")</f>
        <v/>
      </c>
      <c r="E75" s="8" t="str">
        <f ca="1">IFERROR(IF(B75="Delivery product","",IF(NOT(ISBLANK(A75)),IF(MOD(ROUNDDOWN(A75-1,0),Bidding!$D$6+1)&gt;=Bidding!$D$6,IF(MOD(A75,Bidding!$D$6+1)=Bidding!$D$6,"Out",""),MOD(ROUNDDOWN(A75-1,0),Bidding!$D$6+1)),"")),"")</f>
        <v/>
      </c>
      <c r="F75" s="9" t="str">
        <f ca="1">IFERROR(IF(B75="","",IF(NOT(ISBLANK(B75)),IF(NOT(ISBLANK(A75)),MOD(ROUNDDOWN(A75/(Bidding!$D$6+1),0),Bidding!$D$7),""),"")),"")</f>
        <v/>
      </c>
      <c r="G75" s="17" t="str">
        <f ca="1">IFERROR(IF(MOD(A75-1,Bidding!$D$6+1)=0,Bidding!$I$6+I75-J75,G74+I75-J75),"")</f>
        <v/>
      </c>
      <c r="H75" s="1" t="str">
        <f ca="1">IFERROR(IF(NOT($B75=""),IF($E75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75,INDIRECT("Input!$"&amp;VLOOKUP(VLOOKUP(Physical!H$11,Lookup!$F$2:$I$13,4,FALSE)+1,CHARS,2,FALSE)&amp;"$1:$"&amp;VLOOKUP(VLOOKUP(Physical!H$11,Lookup!$F$2:$I$13,4,FALSE)+1,CHARS,2,FALSE)&amp;"$"&amp;Bidding!$D$11),"="&amp;$F75),""),""),"")</f>
        <v/>
      </c>
      <c r="I75" s="1" t="str">
        <f ca="1">IFERROR(IF(NOT($B75=""),IF($E75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75,INDIRECT("Input!$"&amp;VLOOKUP(VLOOKUP(Physical!I$11,Lookup!$F$2:$I$13,4,FALSE)+1,CHARS,2,FALSE)&amp;"$1:$"&amp;VLOOKUP(VLOOKUP(Physical!I$11,Lookup!$F$2:$I$13,4,FALSE)+1,CHARS,2,FALSE)&amp;"$"&amp;Bidding!$D$11),"="&amp;$F75),""),""),"")</f>
        <v/>
      </c>
      <c r="J75" s="1" t="str">
        <f ca="1">IFERROR(IF(NOT($B75=""),IF($E75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75,INDIRECT("Input!$"&amp;VLOOKUP(VLOOKUP(Physical!J$11,Lookup!$F$2:$I$13,4,FALSE)+1,CHARS,2,FALSE)&amp;"$1:$"&amp;VLOOKUP(VLOOKUP(Physical!J$11,Lookup!$F$2:$I$13,4,FALSE)+1,CHARS,2,FALSE)&amp;"$"&amp;Bidding!$D$11),"="&amp;$F75),""),""),"")</f>
        <v/>
      </c>
      <c r="K75" s="7" t="str">
        <f t="shared" ca="1" si="3"/>
        <v/>
      </c>
    </row>
    <row r="76" spans="1:11" x14ac:dyDescent="0.2">
      <c r="A76" s="4" t="str">
        <f ca="1">IFERROR(IF(A75+1&lt;Bidding!$D$7*(Bidding!$D$6+2),A75+1,""),"")</f>
        <v/>
      </c>
      <c r="B76" s="5" t="str">
        <f ca="1">IFERROR(IF(MOD(A76,Bidding!$D$6+1)&lt;&gt;0,"Scenario X DP Y",""),"")</f>
        <v/>
      </c>
      <c r="E76" s="8" t="str">
        <f ca="1">IFERROR(IF(B76="Delivery product","",IF(NOT(ISBLANK(A76)),IF(MOD(ROUNDDOWN(A76-1,0),Bidding!$D$6+1)&gt;=Bidding!$D$6,IF(MOD(A76,Bidding!$D$6+1)=Bidding!$D$6,"Out",""),MOD(ROUNDDOWN(A76-1,0),Bidding!$D$6+1)),"")),"")</f>
        <v/>
      </c>
      <c r="F76" s="9" t="str">
        <f ca="1">IFERROR(IF(B76="","",IF(NOT(ISBLANK(B76)),IF(NOT(ISBLANK(A76)),MOD(ROUNDDOWN(A76/(Bidding!$D$6+1),0),Bidding!$D$7),""),"")),"")</f>
        <v/>
      </c>
      <c r="G76" s="17" t="str">
        <f ca="1">IFERROR(IF(MOD(A76-1,Bidding!$D$6+1)=0,Bidding!$I$6+I76-J76,G75+I76-J76),"")</f>
        <v/>
      </c>
      <c r="H76" s="1" t="str">
        <f ca="1">IFERROR(IF(NOT($B76=""),IF($E76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76,INDIRECT("Input!$"&amp;VLOOKUP(VLOOKUP(Physical!H$11,Lookup!$F$2:$I$13,4,FALSE)+1,CHARS,2,FALSE)&amp;"$1:$"&amp;VLOOKUP(VLOOKUP(Physical!H$11,Lookup!$F$2:$I$13,4,FALSE)+1,CHARS,2,FALSE)&amp;"$"&amp;Bidding!$D$11),"="&amp;$F76),""),""),"")</f>
        <v/>
      </c>
      <c r="I76" s="1" t="str">
        <f ca="1">IFERROR(IF(NOT($B76=""),IF($E76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76,INDIRECT("Input!$"&amp;VLOOKUP(VLOOKUP(Physical!I$11,Lookup!$F$2:$I$13,4,FALSE)+1,CHARS,2,FALSE)&amp;"$1:$"&amp;VLOOKUP(VLOOKUP(Physical!I$11,Lookup!$F$2:$I$13,4,FALSE)+1,CHARS,2,FALSE)&amp;"$"&amp;Bidding!$D$11),"="&amp;$F76),""),""),"")</f>
        <v/>
      </c>
      <c r="J76" s="1" t="str">
        <f ca="1">IFERROR(IF(NOT($B76=""),IF($E76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76,INDIRECT("Input!$"&amp;VLOOKUP(VLOOKUP(Physical!J$11,Lookup!$F$2:$I$13,4,FALSE)+1,CHARS,2,FALSE)&amp;"$1:$"&amp;VLOOKUP(VLOOKUP(Physical!J$11,Lookup!$F$2:$I$13,4,FALSE)+1,CHARS,2,FALSE)&amp;"$"&amp;Bidding!$D$11),"="&amp;$F76),""),""),"")</f>
        <v/>
      </c>
      <c r="K76" s="7" t="str">
        <f t="shared" ca="1" si="3"/>
        <v/>
      </c>
    </row>
    <row r="77" spans="1:11" x14ac:dyDescent="0.2">
      <c r="A77" s="4" t="str">
        <f ca="1">IFERROR(IF(A76+1&lt;Bidding!$D$7*(Bidding!$D$6+2),A76+1,""),"")</f>
        <v/>
      </c>
      <c r="B77" s="5" t="str">
        <f ca="1">IFERROR(IF(MOD(A77,Bidding!$D$6+1)&lt;&gt;0,"Scenario X DP Y",""),"")</f>
        <v/>
      </c>
      <c r="E77" s="8" t="str">
        <f ca="1">IFERROR(IF(B77="Delivery product","",IF(NOT(ISBLANK(A77)),IF(MOD(ROUNDDOWN(A77-1,0),Bidding!$D$6+1)&gt;=Bidding!$D$6,IF(MOD(A77,Bidding!$D$6+1)=Bidding!$D$6,"Out",""),MOD(ROUNDDOWN(A77-1,0),Bidding!$D$6+1)),"")),"")</f>
        <v/>
      </c>
      <c r="F77" s="9" t="str">
        <f ca="1">IFERROR(IF(B77="","",IF(NOT(ISBLANK(B77)),IF(NOT(ISBLANK(A77)),MOD(ROUNDDOWN(A77/(Bidding!$D$6+1),0),Bidding!$D$7),""),"")),"")</f>
        <v/>
      </c>
      <c r="G77" s="17" t="str">
        <f ca="1">IFERROR(IF(MOD(A77-1,Bidding!$D$6+1)=0,Bidding!$I$6+I77-J77,G76+I77-J77),"")</f>
        <v/>
      </c>
      <c r="H77" s="1" t="str">
        <f ca="1">IFERROR(IF(NOT($B77=""),IF($E77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77,INDIRECT("Input!$"&amp;VLOOKUP(VLOOKUP(Physical!H$11,Lookup!$F$2:$I$13,4,FALSE)+1,CHARS,2,FALSE)&amp;"$1:$"&amp;VLOOKUP(VLOOKUP(Physical!H$11,Lookup!$F$2:$I$13,4,FALSE)+1,CHARS,2,FALSE)&amp;"$"&amp;Bidding!$D$11),"="&amp;$F77),""),""),"")</f>
        <v/>
      </c>
      <c r="I77" s="1" t="str">
        <f ca="1">IFERROR(IF(NOT($B77=""),IF($E77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77,INDIRECT("Input!$"&amp;VLOOKUP(VLOOKUP(Physical!I$11,Lookup!$F$2:$I$13,4,FALSE)+1,CHARS,2,FALSE)&amp;"$1:$"&amp;VLOOKUP(VLOOKUP(Physical!I$11,Lookup!$F$2:$I$13,4,FALSE)+1,CHARS,2,FALSE)&amp;"$"&amp;Bidding!$D$11),"="&amp;$F77),""),""),"")</f>
        <v/>
      </c>
      <c r="J77" s="1" t="str">
        <f ca="1">IFERROR(IF(NOT($B77=""),IF($E77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77,INDIRECT("Input!$"&amp;VLOOKUP(VLOOKUP(Physical!J$11,Lookup!$F$2:$I$13,4,FALSE)+1,CHARS,2,FALSE)&amp;"$1:$"&amp;VLOOKUP(VLOOKUP(Physical!J$11,Lookup!$F$2:$I$13,4,FALSE)+1,CHARS,2,FALSE)&amp;"$"&amp;Bidding!$D$11),"="&amp;$F77),""),""),"")</f>
        <v/>
      </c>
      <c r="K77" s="7" t="str">
        <f t="shared" ca="1" si="3"/>
        <v/>
      </c>
    </row>
    <row r="78" spans="1:11" x14ac:dyDescent="0.2">
      <c r="A78" s="4" t="str">
        <f ca="1">IFERROR(IF(A77+1&lt;Bidding!$D$7*(Bidding!$D$6+2),A77+1,""),"")</f>
        <v/>
      </c>
      <c r="B78" s="5" t="str">
        <f ca="1">IFERROR(IF(MOD(A78,Bidding!$D$6+1)&lt;&gt;0,"Scenario X DP Y",""),"")</f>
        <v/>
      </c>
      <c r="E78" s="8" t="str">
        <f ca="1">IFERROR(IF(B78="Delivery product","",IF(NOT(ISBLANK(A78)),IF(MOD(ROUNDDOWN(A78-1,0),Bidding!$D$6+1)&gt;=Bidding!$D$6,IF(MOD(A78,Bidding!$D$6+1)=Bidding!$D$6,"Out",""),MOD(ROUNDDOWN(A78-1,0),Bidding!$D$6+1)),"")),"")</f>
        <v/>
      </c>
      <c r="F78" s="9" t="str">
        <f ca="1">IFERROR(IF(B78="","",IF(NOT(ISBLANK(B78)),IF(NOT(ISBLANK(A78)),MOD(ROUNDDOWN(A78/(Bidding!$D$6+1),0),Bidding!$D$7),""),"")),"")</f>
        <v/>
      </c>
      <c r="G78" s="17" t="str">
        <f ca="1">IFERROR(IF(MOD(A78-1,Bidding!$D$6+1)=0,Bidding!$I$6+I78-J78,G77+I78-J78),"")</f>
        <v/>
      </c>
      <c r="H78" s="1" t="str">
        <f ca="1">IFERROR(IF(NOT($B78=""),IF($E78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78,INDIRECT("Input!$"&amp;VLOOKUP(VLOOKUP(Physical!H$11,Lookup!$F$2:$I$13,4,FALSE)+1,CHARS,2,FALSE)&amp;"$1:$"&amp;VLOOKUP(VLOOKUP(Physical!H$11,Lookup!$F$2:$I$13,4,FALSE)+1,CHARS,2,FALSE)&amp;"$"&amp;Bidding!$D$11),"="&amp;$F78),""),""),"")</f>
        <v/>
      </c>
      <c r="I78" s="1" t="str">
        <f ca="1">IFERROR(IF(NOT($B78=""),IF($E78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78,INDIRECT("Input!$"&amp;VLOOKUP(VLOOKUP(Physical!I$11,Lookup!$F$2:$I$13,4,FALSE)+1,CHARS,2,FALSE)&amp;"$1:$"&amp;VLOOKUP(VLOOKUP(Physical!I$11,Lookup!$F$2:$I$13,4,FALSE)+1,CHARS,2,FALSE)&amp;"$"&amp;Bidding!$D$11),"="&amp;$F78),""),""),"")</f>
        <v/>
      </c>
      <c r="J78" s="1" t="str">
        <f ca="1">IFERROR(IF(NOT($B78=""),IF($E78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78,INDIRECT("Input!$"&amp;VLOOKUP(VLOOKUP(Physical!J$11,Lookup!$F$2:$I$13,4,FALSE)+1,CHARS,2,FALSE)&amp;"$1:$"&amp;VLOOKUP(VLOOKUP(Physical!J$11,Lookup!$F$2:$I$13,4,FALSE)+1,CHARS,2,FALSE)&amp;"$"&amp;Bidding!$D$11),"="&amp;$F78),""),""),"")</f>
        <v/>
      </c>
      <c r="K78" s="7" t="str">
        <f t="shared" ref="K78:K80" ca="1" si="5">IFERROR(IF(ABS(G78-H78)&gt;0.01,"Error3",""),"")</f>
        <v/>
      </c>
    </row>
    <row r="79" spans="1:11" x14ac:dyDescent="0.2">
      <c r="A79" s="4" t="str">
        <f ca="1">IFERROR(IF(A78+1&lt;Bidding!$D$7*(Bidding!$D$6+2),A78+1,""),"")</f>
        <v/>
      </c>
      <c r="B79" s="5" t="str">
        <f ca="1">IFERROR(IF(MOD(A79,Bidding!$D$6+1)&lt;&gt;0,"Scenario X DP Y",""),"")</f>
        <v/>
      </c>
      <c r="E79" s="8" t="str">
        <f ca="1">IFERROR(IF(B79="Delivery product","",IF(NOT(ISBLANK(A79)),IF(MOD(ROUNDDOWN(A79-1,0),Bidding!$D$6+1)&gt;=Bidding!$D$6,IF(MOD(A79,Bidding!$D$6+1)=Bidding!$D$6,"Out",""),MOD(ROUNDDOWN(A79-1,0),Bidding!$D$6+1)),"")),"")</f>
        <v/>
      </c>
      <c r="F79" s="9" t="str">
        <f ca="1">IFERROR(IF(B79="","",IF(NOT(ISBLANK(B79)),IF(NOT(ISBLANK(A79)),MOD(ROUNDDOWN(A79/(Bidding!$D$6+1),0),Bidding!$D$7),""),"")),"")</f>
        <v/>
      </c>
      <c r="G79" s="17" t="str">
        <f ca="1">IFERROR(IF(MOD(A79-1,Bidding!$D$6+1)=0,Bidding!$I$6+I79-J79,G78+I79-J79),"")</f>
        <v/>
      </c>
      <c r="H79" s="1" t="str">
        <f ca="1">IFERROR(IF(NOT($B79=""),IF($E79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79,INDIRECT("Input!$"&amp;VLOOKUP(VLOOKUP(Physical!H$11,Lookup!$F$2:$I$13,4,FALSE)+1,CHARS,2,FALSE)&amp;"$1:$"&amp;VLOOKUP(VLOOKUP(Physical!H$11,Lookup!$F$2:$I$13,4,FALSE)+1,CHARS,2,FALSE)&amp;"$"&amp;Bidding!$D$11),"="&amp;$F79),""),""),"")</f>
        <v/>
      </c>
      <c r="I79" s="1" t="str">
        <f ca="1">IFERROR(IF(NOT($B79=""),IF($E79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79,INDIRECT("Input!$"&amp;VLOOKUP(VLOOKUP(Physical!I$11,Lookup!$F$2:$I$13,4,FALSE)+1,CHARS,2,FALSE)&amp;"$1:$"&amp;VLOOKUP(VLOOKUP(Physical!I$11,Lookup!$F$2:$I$13,4,FALSE)+1,CHARS,2,FALSE)&amp;"$"&amp;Bidding!$D$11),"="&amp;$F79),""),""),"")</f>
        <v/>
      </c>
      <c r="J79" s="1" t="str">
        <f ca="1">IFERROR(IF(NOT($B79=""),IF($E79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79,INDIRECT("Input!$"&amp;VLOOKUP(VLOOKUP(Physical!J$11,Lookup!$F$2:$I$13,4,FALSE)+1,CHARS,2,FALSE)&amp;"$1:$"&amp;VLOOKUP(VLOOKUP(Physical!J$11,Lookup!$F$2:$I$13,4,FALSE)+1,CHARS,2,FALSE)&amp;"$"&amp;Bidding!$D$11),"="&amp;$F79),""),""),"")</f>
        <v/>
      </c>
      <c r="K79" s="7" t="str">
        <f t="shared" ca="1" si="5"/>
        <v/>
      </c>
    </row>
    <row r="80" spans="1:11" x14ac:dyDescent="0.2">
      <c r="A80" s="4" t="str">
        <f ca="1">IFERROR(IF(A79+1&lt;Bidding!$D$7*(Bidding!$D$6+2),A79+1,""),"")</f>
        <v/>
      </c>
      <c r="B80" s="5" t="str">
        <f ca="1">IFERROR(IF(MOD(A80,Bidding!$D$6+1)&lt;&gt;0,"Scenario X DP Y",""),"")</f>
        <v/>
      </c>
      <c r="E80" s="8" t="str">
        <f ca="1">IFERROR(IF(B80="Delivery product","",IF(NOT(ISBLANK(A80)),IF(MOD(ROUNDDOWN(A80-1,0),Bidding!$D$6+1)&gt;=Bidding!$D$6,IF(MOD(A80,Bidding!$D$6+1)=Bidding!$D$6,"Out",""),MOD(ROUNDDOWN(A80-1,0),Bidding!$D$6+1)),"")),"")</f>
        <v/>
      </c>
      <c r="F80" s="9" t="str">
        <f ca="1">IFERROR(IF(B80="","",IF(NOT(ISBLANK(B80)),IF(NOT(ISBLANK(A80)),MOD(ROUNDDOWN(A80/(Bidding!$D$6+1),0),Bidding!$D$7),""),"")),"")</f>
        <v/>
      </c>
      <c r="G80" s="17" t="str">
        <f ca="1">IFERROR(IF(MOD(A80-1,Bidding!$D$6+1)=0,Bidding!$I$6+I80-J80,G79+I80-J80),"")</f>
        <v/>
      </c>
      <c r="H80" s="1" t="str">
        <f ca="1">IFERROR(IF(NOT($B80=""),IF($E80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80,INDIRECT("Input!$"&amp;VLOOKUP(VLOOKUP(Physical!H$11,Lookup!$F$2:$I$13,4,FALSE)+1,CHARS,2,FALSE)&amp;"$1:$"&amp;VLOOKUP(VLOOKUP(Physical!H$11,Lookup!$F$2:$I$13,4,FALSE)+1,CHARS,2,FALSE)&amp;"$"&amp;Bidding!$D$11),"="&amp;$F80),""),""),"")</f>
        <v/>
      </c>
      <c r="I80" s="1" t="str">
        <f ca="1">IFERROR(IF(NOT($B80=""),IF($E80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80,INDIRECT("Input!$"&amp;VLOOKUP(VLOOKUP(Physical!I$11,Lookup!$F$2:$I$13,4,FALSE)+1,CHARS,2,FALSE)&amp;"$1:$"&amp;VLOOKUP(VLOOKUP(Physical!I$11,Lookup!$F$2:$I$13,4,FALSE)+1,CHARS,2,FALSE)&amp;"$"&amp;Bidding!$D$11),"="&amp;$F80),""),""),"")</f>
        <v/>
      </c>
      <c r="J80" s="1" t="str">
        <f ca="1">IFERROR(IF(NOT($B80=""),IF($E80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80,INDIRECT("Input!$"&amp;VLOOKUP(VLOOKUP(Physical!J$11,Lookup!$F$2:$I$13,4,FALSE)+1,CHARS,2,FALSE)&amp;"$1:$"&amp;VLOOKUP(VLOOKUP(Physical!J$11,Lookup!$F$2:$I$13,4,FALSE)+1,CHARS,2,FALSE)&amp;"$"&amp;Bidding!$D$11),"="&amp;$F80),""),""),"")</f>
        <v/>
      </c>
      <c r="K80" s="7" t="str">
        <f t="shared" ca="1" si="5"/>
        <v/>
      </c>
    </row>
  </sheetData>
  <conditionalFormatting sqref="G12:H85 I13:J80">
    <cfRule type="containsBlanks" dxfId="1" priority="1">
      <formula>LEN(TRIM(G12))=0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notBetween" id="{5FC31B89-0062-924B-B03A-6A47BC50836D}">
            <xm:f>-0.01+Bidding!$I$7-0.001</xm:f>
            <xm:f>0.01+Bidding!$I$8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G12:H80 I13:J80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5:Q27"/>
  <sheetViews>
    <sheetView zoomScale="90" zoomScaleNormal="90" zoomScalePageLayoutView="90" workbookViewId="0">
      <selection activeCell="I17" sqref="I17"/>
    </sheetView>
  </sheetViews>
  <sheetFormatPr baseColWidth="10" defaultColWidth="11.1640625" defaultRowHeight="16" x14ac:dyDescent="0.2"/>
  <sheetData>
    <row r="5" spans="1:17" x14ac:dyDescent="0.3">
      <c r="A5" t="s">
        <v>94</v>
      </c>
      <c r="B5" t="s">
        <v>95</v>
      </c>
      <c r="G5">
        <v>0</v>
      </c>
      <c r="H5" s="24">
        <v>0</v>
      </c>
      <c r="I5" s="24">
        <v>5</v>
      </c>
      <c r="J5" s="24">
        <v>15</v>
      </c>
      <c r="K5" s="24">
        <v>25</v>
      </c>
      <c r="L5" s="24">
        <v>35</v>
      </c>
      <c r="M5" s="24">
        <v>45</v>
      </c>
      <c r="N5" s="24"/>
      <c r="O5" s="24"/>
      <c r="P5" s="24"/>
      <c r="Q5" s="24"/>
    </row>
    <row r="6" spans="1:17" x14ac:dyDescent="0.3">
      <c r="A6" t="s">
        <v>93</v>
      </c>
      <c r="G6">
        <v>1</v>
      </c>
      <c r="H6" s="24">
        <v>0</v>
      </c>
      <c r="I6" s="24">
        <v>60</v>
      </c>
      <c r="J6" s="24"/>
      <c r="K6" s="24"/>
      <c r="L6" s="24"/>
      <c r="M6" s="24"/>
      <c r="N6" s="24"/>
      <c r="O6" s="24"/>
      <c r="P6" s="24"/>
      <c r="Q6" s="24"/>
    </row>
    <row r="7" spans="1:17" x14ac:dyDescent="0.3">
      <c r="A7" t="s">
        <v>92</v>
      </c>
      <c r="G7">
        <v>2</v>
      </c>
      <c r="H7" s="24">
        <v>3</v>
      </c>
      <c r="I7" s="24"/>
      <c r="J7" s="24"/>
      <c r="K7" s="24"/>
      <c r="L7" s="24"/>
      <c r="M7" s="24"/>
      <c r="N7" s="24"/>
      <c r="O7" s="24"/>
      <c r="P7" s="24"/>
      <c r="Q7" s="24"/>
    </row>
    <row r="8" spans="1:17" x14ac:dyDescent="0.3">
      <c r="G8">
        <v>3</v>
      </c>
      <c r="H8" s="24"/>
      <c r="I8" s="24"/>
      <c r="J8" s="24"/>
      <c r="K8" s="24"/>
      <c r="L8" s="24"/>
      <c r="M8" s="24"/>
      <c r="N8" s="24"/>
      <c r="O8" s="24"/>
      <c r="P8" s="24"/>
      <c r="Q8" s="24"/>
    </row>
    <row r="9" spans="1:17" x14ac:dyDescent="0.3">
      <c r="A9" t="s">
        <v>96</v>
      </c>
      <c r="B9" t="s">
        <v>80</v>
      </c>
      <c r="G9">
        <v>4</v>
      </c>
      <c r="H9" s="24" t="s">
        <v>68</v>
      </c>
      <c r="I9" s="24" t="s">
        <v>68</v>
      </c>
      <c r="J9" s="24" t="s">
        <v>68</v>
      </c>
      <c r="K9" s="24" t="s">
        <v>68</v>
      </c>
      <c r="L9" s="24">
        <v>0.2</v>
      </c>
      <c r="M9" s="24" t="s">
        <v>68</v>
      </c>
      <c r="N9" s="24" t="s">
        <v>68</v>
      </c>
      <c r="O9" s="24" t="s">
        <v>68</v>
      </c>
      <c r="P9" s="24" t="s">
        <v>68</v>
      </c>
      <c r="Q9" s="24">
        <v>0</v>
      </c>
    </row>
    <row r="10" spans="1:17" x14ac:dyDescent="0.3">
      <c r="A10" t="s">
        <v>11</v>
      </c>
      <c r="B10" t="s">
        <v>82</v>
      </c>
      <c r="C10">
        <v>1</v>
      </c>
      <c r="D10" t="s">
        <v>28</v>
      </c>
      <c r="E10">
        <v>1</v>
      </c>
      <c r="G10">
        <v>5</v>
      </c>
      <c r="H10" s="25" t="s">
        <v>1513</v>
      </c>
      <c r="I10" s="25" t="s">
        <v>1513</v>
      </c>
      <c r="J10" s="25" t="s">
        <v>1513</v>
      </c>
      <c r="K10" s="25" t="s">
        <v>1513</v>
      </c>
      <c r="L10" s="25" t="s">
        <v>1513</v>
      </c>
      <c r="M10" s="25" t="s">
        <v>1513</v>
      </c>
      <c r="N10" s="25" t="s">
        <v>1513</v>
      </c>
      <c r="O10" s="25" t="s">
        <v>1513</v>
      </c>
      <c r="P10" s="25" t="s">
        <v>1513</v>
      </c>
      <c r="Q10" s="25" t="s">
        <v>1513</v>
      </c>
    </row>
    <row r="11" spans="1:17" x14ac:dyDescent="0.3">
      <c r="A11" t="s">
        <v>11</v>
      </c>
      <c r="B11" t="s">
        <v>82</v>
      </c>
      <c r="C11">
        <v>1</v>
      </c>
      <c r="D11" t="s">
        <v>28</v>
      </c>
      <c r="E11">
        <v>2</v>
      </c>
      <c r="G11">
        <v>6</v>
      </c>
      <c r="H11" s="25" t="s">
        <v>1513</v>
      </c>
      <c r="I11" s="25" t="s">
        <v>1513</v>
      </c>
      <c r="J11" s="25" t="s">
        <v>1513</v>
      </c>
      <c r="K11" s="25" t="s">
        <v>1513</v>
      </c>
      <c r="L11" s="25" t="s">
        <v>1513</v>
      </c>
      <c r="M11" s="25" t="s">
        <v>1513</v>
      </c>
      <c r="N11" s="25" t="s">
        <v>1513</v>
      </c>
      <c r="O11" s="25" t="s">
        <v>1513</v>
      </c>
      <c r="P11" s="25" t="s">
        <v>1513</v>
      </c>
      <c r="Q11" s="25" t="s">
        <v>1513</v>
      </c>
    </row>
    <row r="12" spans="1:17" x14ac:dyDescent="0.3">
      <c r="A12" t="s">
        <v>11</v>
      </c>
      <c r="B12" t="s">
        <v>82</v>
      </c>
      <c r="C12">
        <v>1</v>
      </c>
      <c r="D12" t="s">
        <v>28</v>
      </c>
      <c r="E12">
        <v>3</v>
      </c>
      <c r="G12">
        <v>7</v>
      </c>
      <c r="H12" s="25" t="s">
        <v>1513</v>
      </c>
      <c r="I12" s="25" t="s">
        <v>1513</v>
      </c>
      <c r="J12" s="25" t="s">
        <v>1513</v>
      </c>
      <c r="K12" s="25" t="s">
        <v>1513</v>
      </c>
      <c r="L12" s="25" t="s">
        <v>1513</v>
      </c>
      <c r="M12" s="25" t="s">
        <v>1513</v>
      </c>
      <c r="N12" s="25" t="s">
        <v>1513</v>
      </c>
      <c r="O12" s="25" t="s">
        <v>1513</v>
      </c>
      <c r="P12" s="25" t="s">
        <v>1513</v>
      </c>
      <c r="Q12" s="25" t="s">
        <v>1513</v>
      </c>
    </row>
    <row r="13" spans="1:17" x14ac:dyDescent="0.3">
      <c r="A13" t="s">
        <v>81</v>
      </c>
      <c r="B13" t="s">
        <v>82</v>
      </c>
      <c r="C13">
        <v>0</v>
      </c>
      <c r="D13" t="s">
        <v>28</v>
      </c>
      <c r="E13">
        <v>1</v>
      </c>
      <c r="G13">
        <v>8</v>
      </c>
      <c r="H13" s="26" t="s">
        <v>445</v>
      </c>
      <c r="I13" s="23" t="str">
        <f>H13</f>
        <v>40.0</v>
      </c>
      <c r="J13" s="23" t="str">
        <f t="shared" ref="J13:Q13" si="0">I13</f>
        <v>40.0</v>
      </c>
      <c r="K13" s="23" t="str">
        <f t="shared" si="0"/>
        <v>40.0</v>
      </c>
      <c r="L13" s="23" t="str">
        <f t="shared" si="0"/>
        <v>40.0</v>
      </c>
      <c r="M13" s="23" t="str">
        <f t="shared" si="0"/>
        <v>40.0</v>
      </c>
      <c r="N13" s="23" t="str">
        <f t="shared" si="0"/>
        <v>40.0</v>
      </c>
      <c r="O13" s="23" t="str">
        <f t="shared" si="0"/>
        <v>40.0</v>
      </c>
      <c r="P13" s="23" t="str">
        <f t="shared" si="0"/>
        <v>40.0</v>
      </c>
      <c r="Q13" s="23" t="str">
        <f t="shared" si="0"/>
        <v>40.0</v>
      </c>
    </row>
    <row r="14" spans="1:17" x14ac:dyDescent="0.3">
      <c r="A14" t="s">
        <v>81</v>
      </c>
      <c r="B14" t="s">
        <v>82</v>
      </c>
      <c r="C14">
        <v>0</v>
      </c>
      <c r="D14" t="s">
        <v>28</v>
      </c>
      <c r="E14">
        <v>2</v>
      </c>
      <c r="G14">
        <v>9</v>
      </c>
      <c r="H14" s="26" t="s">
        <v>1073</v>
      </c>
      <c r="I14" s="23" t="str">
        <f t="shared" ref="I14:Q15" si="1">H14</f>
        <v>42.0</v>
      </c>
      <c r="J14" s="23" t="str">
        <f t="shared" si="1"/>
        <v>42.0</v>
      </c>
      <c r="K14" s="23" t="str">
        <f t="shared" si="1"/>
        <v>42.0</v>
      </c>
      <c r="L14" s="23" t="str">
        <f t="shared" si="1"/>
        <v>42.0</v>
      </c>
      <c r="M14" s="23" t="str">
        <f t="shared" si="1"/>
        <v>42.0</v>
      </c>
      <c r="N14" s="23" t="str">
        <f t="shared" si="1"/>
        <v>42.0</v>
      </c>
      <c r="O14" s="23" t="str">
        <f t="shared" si="1"/>
        <v>42.0</v>
      </c>
      <c r="P14" s="23" t="str">
        <f t="shared" si="1"/>
        <v>42.0</v>
      </c>
      <c r="Q14" s="23" t="str">
        <f t="shared" si="1"/>
        <v>42.0</v>
      </c>
    </row>
    <row r="15" spans="1:17" x14ac:dyDescent="0.3">
      <c r="A15" t="s">
        <v>81</v>
      </c>
      <c r="B15" t="s">
        <v>82</v>
      </c>
      <c r="C15">
        <v>0</v>
      </c>
      <c r="D15" t="s">
        <v>28</v>
      </c>
      <c r="E15">
        <v>3</v>
      </c>
      <c r="G15">
        <v>10</v>
      </c>
      <c r="H15" s="26" t="s">
        <v>1074</v>
      </c>
      <c r="I15" s="23" t="str">
        <f t="shared" si="1"/>
        <v>38.0</v>
      </c>
      <c r="J15" s="23" t="str">
        <f t="shared" si="1"/>
        <v>38.0</v>
      </c>
      <c r="K15" s="23" t="str">
        <f t="shared" si="1"/>
        <v>38.0</v>
      </c>
      <c r="L15" s="23" t="str">
        <f t="shared" si="1"/>
        <v>38.0</v>
      </c>
      <c r="M15" s="23" t="str">
        <f t="shared" si="1"/>
        <v>38.0</v>
      </c>
      <c r="N15" s="23" t="str">
        <f t="shared" si="1"/>
        <v>38.0</v>
      </c>
      <c r="O15" s="23" t="str">
        <f t="shared" si="1"/>
        <v>38.0</v>
      </c>
      <c r="P15" s="23" t="str">
        <f t="shared" si="1"/>
        <v>38.0</v>
      </c>
      <c r="Q15" s="23" t="str">
        <f t="shared" si="1"/>
        <v>38.0</v>
      </c>
    </row>
    <row r="16" spans="1:17" x14ac:dyDescent="0.3">
      <c r="A16" t="s">
        <v>81</v>
      </c>
      <c r="B16" t="s">
        <v>82</v>
      </c>
      <c r="C16">
        <f t="shared" ref="C16:C18" si="2">C13+1</f>
        <v>1</v>
      </c>
      <c r="D16" t="s">
        <v>28</v>
      </c>
      <c r="E16">
        <v>1</v>
      </c>
      <c r="G16">
        <v>11</v>
      </c>
      <c r="H16" s="26" t="e">
        <f>ROUND(I16*0.95,2)</f>
        <v>#VALUE!</v>
      </c>
      <c r="I16" s="26" t="e">
        <f t="shared" ref="I16:K16" si="3">ROUND(J16*0.95,2)</f>
        <v>#VALUE!</v>
      </c>
      <c r="J16" s="26" t="e">
        <f t="shared" si="3"/>
        <v>#VALUE!</v>
      </c>
      <c r="K16" s="26" t="e">
        <f t="shared" si="3"/>
        <v>#VALUE!</v>
      </c>
      <c r="L16" s="27" t="e">
        <f>ROUND(L13*0.99,2)</f>
        <v>#VALUE!</v>
      </c>
      <c r="M16" s="23" t="e">
        <f>ROUND(L16*1.05,2)</f>
        <v>#VALUE!</v>
      </c>
      <c r="N16" s="23" t="e">
        <f t="shared" ref="N16:Q16" si="4">ROUND(M16*1.05,2)</f>
        <v>#VALUE!</v>
      </c>
      <c r="O16" s="23" t="e">
        <f t="shared" si="4"/>
        <v>#VALUE!</v>
      </c>
      <c r="P16" s="23" t="e">
        <f t="shared" si="4"/>
        <v>#VALUE!</v>
      </c>
      <c r="Q16" s="23" t="e">
        <f t="shared" si="4"/>
        <v>#VALUE!</v>
      </c>
    </row>
    <row r="17" spans="1:17" x14ac:dyDescent="0.3">
      <c r="A17" t="s">
        <v>81</v>
      </c>
      <c r="B17" t="s">
        <v>82</v>
      </c>
      <c r="C17">
        <f t="shared" si="2"/>
        <v>1</v>
      </c>
      <c r="D17" t="s">
        <v>28</v>
      </c>
      <c r="E17">
        <v>2</v>
      </c>
      <c r="G17">
        <v>12</v>
      </c>
      <c r="H17" s="26" t="e">
        <f t="shared" ref="H17:K18" si="5">ROUND(I17*0.95,2)</f>
        <v>#VALUE!</v>
      </c>
      <c r="I17" s="26" t="e">
        <f t="shared" si="5"/>
        <v>#VALUE!</v>
      </c>
      <c r="J17" s="26" t="e">
        <f t="shared" si="5"/>
        <v>#VALUE!</v>
      </c>
      <c r="K17" s="26" t="e">
        <f t="shared" si="5"/>
        <v>#VALUE!</v>
      </c>
      <c r="L17" s="27" t="e">
        <f t="shared" ref="L17:L18" si="6">ROUND(L14*0.99,2)</f>
        <v>#VALUE!</v>
      </c>
      <c r="M17" s="23" t="e">
        <f t="shared" ref="M17:Q18" si="7">ROUND(L17*1.05,2)</f>
        <v>#VALUE!</v>
      </c>
      <c r="N17" s="23" t="e">
        <f t="shared" si="7"/>
        <v>#VALUE!</v>
      </c>
      <c r="O17" s="23" t="e">
        <f t="shared" si="7"/>
        <v>#VALUE!</v>
      </c>
      <c r="P17" s="23" t="e">
        <f t="shared" si="7"/>
        <v>#VALUE!</v>
      </c>
      <c r="Q17" s="23" t="e">
        <f t="shared" si="7"/>
        <v>#VALUE!</v>
      </c>
    </row>
    <row r="18" spans="1:17" x14ac:dyDescent="0.3">
      <c r="A18" t="s">
        <v>81</v>
      </c>
      <c r="B18" t="s">
        <v>82</v>
      </c>
      <c r="C18">
        <f t="shared" si="2"/>
        <v>1</v>
      </c>
      <c r="D18" t="s">
        <v>28</v>
      </c>
      <c r="E18">
        <v>3</v>
      </c>
      <c r="G18">
        <v>13</v>
      </c>
      <c r="H18" s="26" t="e">
        <f t="shared" si="5"/>
        <v>#VALUE!</v>
      </c>
      <c r="I18" s="26" t="e">
        <f t="shared" si="5"/>
        <v>#VALUE!</v>
      </c>
      <c r="J18" s="26" t="e">
        <f t="shared" si="5"/>
        <v>#VALUE!</v>
      </c>
      <c r="K18" s="26" t="e">
        <f t="shared" si="5"/>
        <v>#VALUE!</v>
      </c>
      <c r="L18" s="27" t="e">
        <f t="shared" si="6"/>
        <v>#VALUE!</v>
      </c>
      <c r="M18" s="23" t="e">
        <f t="shared" si="7"/>
        <v>#VALUE!</v>
      </c>
      <c r="N18" s="23" t="e">
        <f t="shared" si="7"/>
        <v>#VALUE!</v>
      </c>
      <c r="O18" s="23" t="e">
        <f t="shared" si="7"/>
        <v>#VALUE!</v>
      </c>
      <c r="P18" s="23" t="e">
        <f t="shared" si="7"/>
        <v>#VALUE!</v>
      </c>
      <c r="Q18" s="23" t="e">
        <f t="shared" si="7"/>
        <v>#VALUE!</v>
      </c>
    </row>
    <row r="19" spans="1:17" x14ac:dyDescent="0.3">
      <c r="G19">
        <v>14</v>
      </c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x14ac:dyDescent="0.3">
      <c r="A20" t="s">
        <v>83</v>
      </c>
      <c r="B20" t="s">
        <v>84</v>
      </c>
      <c r="G20">
        <v>15</v>
      </c>
      <c r="H20" s="24" t="s">
        <v>72</v>
      </c>
      <c r="I20" s="24"/>
      <c r="J20" s="24"/>
      <c r="K20" s="24"/>
      <c r="L20" s="24"/>
      <c r="M20" s="24"/>
      <c r="N20" s="24"/>
      <c r="O20" s="24"/>
      <c r="P20" s="24"/>
      <c r="Q20" s="24"/>
    </row>
    <row r="21" spans="1:17" x14ac:dyDescent="0.3">
      <c r="A21" t="s">
        <v>85</v>
      </c>
      <c r="G21">
        <v>16</v>
      </c>
      <c r="H21" s="24" t="s">
        <v>73</v>
      </c>
      <c r="I21" s="24"/>
      <c r="J21" s="24"/>
      <c r="K21" s="24"/>
      <c r="L21" s="24"/>
      <c r="M21" s="24"/>
      <c r="N21" s="24"/>
      <c r="O21" s="24"/>
      <c r="P21" s="24"/>
      <c r="Q21" s="24"/>
    </row>
    <row r="22" spans="1:17" x14ac:dyDescent="0.3">
      <c r="G22">
        <v>17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</row>
    <row r="23" spans="1:17" x14ac:dyDescent="0.3">
      <c r="A23" t="s">
        <v>86</v>
      </c>
      <c r="B23" t="s">
        <v>87</v>
      </c>
      <c r="C23" t="s">
        <v>88</v>
      </c>
      <c r="D23" t="s">
        <v>89</v>
      </c>
      <c r="G23">
        <v>18</v>
      </c>
      <c r="H23" s="24" t="s">
        <v>62</v>
      </c>
      <c r="I23" s="24" t="s">
        <v>74</v>
      </c>
      <c r="J23" s="24">
        <v>0</v>
      </c>
      <c r="K23" s="24"/>
      <c r="L23" s="24"/>
      <c r="M23" s="24"/>
      <c r="N23" s="24"/>
      <c r="O23" s="24"/>
      <c r="P23" s="24"/>
      <c r="Q23" s="24"/>
    </row>
    <row r="24" spans="1:17" x14ac:dyDescent="0.3">
      <c r="A24" t="s">
        <v>86</v>
      </c>
      <c r="B24" t="s">
        <v>84</v>
      </c>
      <c r="C24" t="s">
        <v>88</v>
      </c>
      <c r="D24" t="s">
        <v>89</v>
      </c>
      <c r="G24">
        <v>19</v>
      </c>
      <c r="H24" s="24">
        <v>20</v>
      </c>
      <c r="I24" s="24">
        <v>40</v>
      </c>
      <c r="J24" s="24" t="s">
        <v>77</v>
      </c>
      <c r="K24" s="24"/>
      <c r="L24" s="24"/>
      <c r="M24" s="24"/>
      <c r="N24" s="24"/>
      <c r="O24" s="24"/>
      <c r="P24" s="24"/>
      <c r="Q24" s="24"/>
    </row>
    <row r="25" spans="1:17" x14ac:dyDescent="0.3">
      <c r="G25">
        <v>20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1:17" x14ac:dyDescent="0.3">
      <c r="A26" t="s">
        <v>90</v>
      </c>
      <c r="B26" t="s">
        <v>4</v>
      </c>
      <c r="G26">
        <v>21</v>
      </c>
      <c r="H26" s="24" t="s">
        <v>78</v>
      </c>
      <c r="I26" s="24"/>
      <c r="J26" s="24"/>
      <c r="K26" s="24"/>
      <c r="L26" s="24"/>
      <c r="M26" s="24"/>
      <c r="N26" s="24"/>
      <c r="O26" s="24"/>
      <c r="P26" s="24"/>
      <c r="Q26" s="24"/>
    </row>
    <row r="27" spans="1:17" x14ac:dyDescent="0.3">
      <c r="A27" t="s">
        <v>53</v>
      </c>
      <c r="B27" t="s">
        <v>91</v>
      </c>
      <c r="G27">
        <v>22</v>
      </c>
      <c r="H27" s="24" t="s">
        <v>72</v>
      </c>
      <c r="I27" s="24" t="s">
        <v>79</v>
      </c>
      <c r="J27" s="24"/>
      <c r="K27" s="24"/>
      <c r="L27" s="24"/>
      <c r="M27" s="24"/>
      <c r="N27" s="24"/>
      <c r="O27" s="24"/>
      <c r="P27" s="24"/>
      <c r="Q27" s="2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4:LE34"/>
  <sheetViews>
    <sheetView showGridLines="0" topLeftCell="A7" workbookViewId="0">
      <selection activeCell="H15" sqref="H15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4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f>H10+5</f>
        <v>35</v>
      </c>
      <c r="K10" s="11">
        <f t="shared" ref="K10:Q10" si="1">I10+5</f>
        <v>35</v>
      </c>
      <c r="L10" s="11">
        <f t="shared" si="1"/>
        <v>40</v>
      </c>
      <c r="M10" s="11">
        <f t="shared" si="1"/>
        <v>40</v>
      </c>
      <c r="N10" s="11">
        <f t="shared" si="1"/>
        <v>45</v>
      </c>
      <c r="O10" s="11">
        <f t="shared" si="1"/>
        <v>45</v>
      </c>
      <c r="P10" s="11">
        <f t="shared" si="1"/>
        <v>50</v>
      </c>
      <c r="Q10" s="11">
        <f t="shared" si="1"/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f t="shared" ref="J11:J12" si="2">H11+5</f>
        <v>35</v>
      </c>
      <c r="K11" s="11">
        <f t="shared" ref="K11:K12" si="3">I11+5</f>
        <v>35</v>
      </c>
      <c r="L11" s="11">
        <f t="shared" ref="L11:L12" si="4">J11+5</f>
        <v>40</v>
      </c>
      <c r="M11" s="11">
        <f t="shared" ref="M11:M12" si="5">K11+5</f>
        <v>40</v>
      </c>
      <c r="N11" s="11">
        <f t="shared" ref="N11:N12" si="6">L11+5</f>
        <v>45</v>
      </c>
      <c r="O11" s="11">
        <f t="shared" ref="O11:O12" si="7">M11+5</f>
        <v>45</v>
      </c>
      <c r="P11" s="11">
        <f t="shared" ref="P11:P12" si="8">N11+5</f>
        <v>50</v>
      </c>
      <c r="Q11" s="11">
        <f t="shared" ref="Q11:Q12" si="9">O11+5</f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f t="shared" si="2"/>
        <v>35</v>
      </c>
      <c r="K12" s="11">
        <f t="shared" si="3"/>
        <v>35</v>
      </c>
      <c r="L12" s="11">
        <f t="shared" si="4"/>
        <v>40</v>
      </c>
      <c r="M12" s="11">
        <f t="shared" si="5"/>
        <v>40</v>
      </c>
      <c r="N12" s="11">
        <f t="shared" si="6"/>
        <v>45</v>
      </c>
      <c r="O12" s="11">
        <f t="shared" si="7"/>
        <v>45</v>
      </c>
      <c r="P12" s="11">
        <f t="shared" si="8"/>
        <v>50</v>
      </c>
      <c r="Q12" s="11">
        <f t="shared" si="9"/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f t="shared" ref="I13:Q15" si="10">$H$13</f>
        <v>46</v>
      </c>
      <c r="J13" s="11">
        <f t="shared" si="10"/>
        <v>46</v>
      </c>
      <c r="K13" s="11">
        <f t="shared" si="10"/>
        <v>46</v>
      </c>
      <c r="L13" s="11">
        <f t="shared" si="10"/>
        <v>46</v>
      </c>
      <c r="M13" s="11">
        <f t="shared" si="10"/>
        <v>46</v>
      </c>
      <c r="N13" s="11">
        <f t="shared" si="10"/>
        <v>46</v>
      </c>
      <c r="O13" s="11">
        <f t="shared" si="10"/>
        <v>46</v>
      </c>
      <c r="P13" s="11">
        <f t="shared" si="10"/>
        <v>46</v>
      </c>
      <c r="Q13" s="11">
        <f t="shared" si="10"/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1">C11+1</f>
        <v>1</v>
      </c>
      <c r="D14" t="s">
        <v>28</v>
      </c>
      <c r="E14">
        <v>2</v>
      </c>
      <c r="G14">
        <f t="shared" si="0"/>
        <v>9</v>
      </c>
      <c r="H14" s="11">
        <f>$H$13</f>
        <v>46</v>
      </c>
      <c r="I14" s="11">
        <f t="shared" si="10"/>
        <v>46</v>
      </c>
      <c r="J14" s="11">
        <f t="shared" si="10"/>
        <v>46</v>
      </c>
      <c r="K14" s="11">
        <f t="shared" si="10"/>
        <v>46</v>
      </c>
      <c r="L14" s="11">
        <f t="shared" si="10"/>
        <v>46</v>
      </c>
      <c r="M14" s="11">
        <f t="shared" si="10"/>
        <v>46</v>
      </c>
      <c r="N14" s="11">
        <f t="shared" si="10"/>
        <v>46</v>
      </c>
      <c r="O14" s="11">
        <f t="shared" si="10"/>
        <v>46</v>
      </c>
      <c r="P14" s="11">
        <f t="shared" si="10"/>
        <v>46</v>
      </c>
      <c r="Q14" s="11">
        <f t="shared" si="10"/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1"/>
        <v>1</v>
      </c>
      <c r="D15" t="s">
        <v>28</v>
      </c>
      <c r="E15">
        <v>3</v>
      </c>
      <c r="G15">
        <f t="shared" si="0"/>
        <v>10</v>
      </c>
      <c r="H15" s="11">
        <f>$H$13</f>
        <v>46</v>
      </c>
      <c r="I15" s="11">
        <f t="shared" si="10"/>
        <v>46</v>
      </c>
      <c r="J15" s="11">
        <f t="shared" si="10"/>
        <v>46</v>
      </c>
      <c r="K15" s="11">
        <f t="shared" si="10"/>
        <v>46</v>
      </c>
      <c r="L15" s="11">
        <f t="shared" si="10"/>
        <v>46</v>
      </c>
      <c r="M15" s="11">
        <f t="shared" si="10"/>
        <v>46</v>
      </c>
      <c r="N15" s="11">
        <f t="shared" si="10"/>
        <v>46</v>
      </c>
      <c r="O15" s="11">
        <f t="shared" si="10"/>
        <v>46</v>
      </c>
      <c r="P15" s="11">
        <f t="shared" si="10"/>
        <v>46</v>
      </c>
      <c r="Q15" s="11">
        <f t="shared" si="10"/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1"/>
        <v>2</v>
      </c>
      <c r="D17" t="s">
        <v>28</v>
      </c>
      <c r="E17">
        <v>2</v>
      </c>
      <c r="G17">
        <f t="shared" si="0"/>
        <v>12</v>
      </c>
      <c r="H17" s="21">
        <v>20</v>
      </c>
      <c r="I17" s="21">
        <v>20</v>
      </c>
      <c r="J17" s="21">
        <v>20</v>
      </c>
      <c r="K17" s="21">
        <v>20</v>
      </c>
      <c r="L17" s="21">
        <v>20</v>
      </c>
      <c r="M17" s="21">
        <v>20</v>
      </c>
      <c r="N17" s="21">
        <v>20</v>
      </c>
      <c r="O17" s="21">
        <v>20</v>
      </c>
      <c r="P17" s="21">
        <v>20</v>
      </c>
      <c r="Q17" s="21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1"/>
        <v>2</v>
      </c>
      <c r="D18" t="s">
        <v>28</v>
      </c>
      <c r="E18">
        <v>3</v>
      </c>
      <c r="G18">
        <f t="shared" si="0"/>
        <v>13</v>
      </c>
      <c r="H18" s="21">
        <v>20</v>
      </c>
      <c r="I18" s="21">
        <v>20</v>
      </c>
      <c r="J18" s="21">
        <v>20</v>
      </c>
      <c r="K18" s="21">
        <v>20</v>
      </c>
      <c r="L18" s="21">
        <v>20</v>
      </c>
      <c r="M18" s="21">
        <v>20</v>
      </c>
      <c r="N18" s="21">
        <v>20</v>
      </c>
      <c r="O18" s="21">
        <v>20</v>
      </c>
      <c r="P18" s="21">
        <v>20</v>
      </c>
      <c r="Q18" s="21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>G21+1</f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f>H27+1</f>
        <v>31</v>
      </c>
      <c r="J27" s="11">
        <f t="shared" ref="J27:Q27" si="12">I27+1</f>
        <v>32</v>
      </c>
      <c r="K27" s="11">
        <f t="shared" si="12"/>
        <v>33</v>
      </c>
      <c r="L27" s="11">
        <f t="shared" si="12"/>
        <v>34</v>
      </c>
      <c r="M27" s="11">
        <f t="shared" si="12"/>
        <v>35</v>
      </c>
      <c r="N27" s="11">
        <f t="shared" si="12"/>
        <v>36</v>
      </c>
      <c r="O27" s="11">
        <f t="shared" si="12"/>
        <v>37</v>
      </c>
      <c r="P27" s="11">
        <f t="shared" si="12"/>
        <v>38</v>
      </c>
      <c r="Q27" s="11">
        <f t="shared" si="12"/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f t="shared" ref="I28:Q28" si="13">H28+2</f>
        <v>37</v>
      </c>
      <c r="J28" s="11">
        <f t="shared" si="13"/>
        <v>39</v>
      </c>
      <c r="K28" s="11">
        <f t="shared" si="13"/>
        <v>41</v>
      </c>
      <c r="L28" s="11">
        <f t="shared" si="13"/>
        <v>43</v>
      </c>
      <c r="M28" s="11">
        <f t="shared" si="13"/>
        <v>45</v>
      </c>
      <c r="N28" s="11">
        <f t="shared" si="13"/>
        <v>47</v>
      </c>
      <c r="O28" s="11">
        <f t="shared" si="13"/>
        <v>49</v>
      </c>
      <c r="P28" s="11">
        <f t="shared" si="13"/>
        <v>51</v>
      </c>
      <c r="Q28" s="11">
        <f t="shared" si="13"/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f>H29+5</f>
        <v>45</v>
      </c>
      <c r="J29" s="11">
        <f t="shared" ref="J29:Q29" si="14">I29+5</f>
        <v>50</v>
      </c>
      <c r="K29" s="11">
        <f t="shared" si="14"/>
        <v>55</v>
      </c>
      <c r="L29" s="11">
        <f t="shared" si="14"/>
        <v>60</v>
      </c>
      <c r="M29" s="11">
        <f t="shared" si="14"/>
        <v>65</v>
      </c>
      <c r="N29" s="11">
        <f t="shared" si="14"/>
        <v>70</v>
      </c>
      <c r="O29" s="11">
        <f t="shared" si="14"/>
        <v>75</v>
      </c>
      <c r="P29" s="11">
        <f t="shared" si="14"/>
        <v>80</v>
      </c>
      <c r="Q29" s="11">
        <f t="shared" si="14"/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4:LE34"/>
  <sheetViews>
    <sheetView topLeftCell="A8" workbookViewId="0">
      <selection activeCell="H13" sqref="A1:XFD1048576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100</v>
      </c>
      <c r="I13" s="21">
        <v>100</v>
      </c>
      <c r="J13" s="21">
        <v>100</v>
      </c>
      <c r="K13" s="21">
        <v>100</v>
      </c>
      <c r="L13" s="21">
        <v>100</v>
      </c>
      <c r="M13" s="21">
        <v>100</v>
      </c>
      <c r="N13" s="21">
        <v>100</v>
      </c>
      <c r="O13" s="21">
        <v>100</v>
      </c>
      <c r="P13" s="21">
        <v>100</v>
      </c>
      <c r="Q13" s="2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100</v>
      </c>
      <c r="I14" s="21">
        <v>100</v>
      </c>
      <c r="J14" s="21">
        <v>100</v>
      </c>
      <c r="K14" s="21">
        <v>100</v>
      </c>
      <c r="L14" s="21">
        <v>100</v>
      </c>
      <c r="M14" s="21">
        <v>100</v>
      </c>
      <c r="N14" s="21">
        <v>100</v>
      </c>
      <c r="O14" s="21">
        <v>100</v>
      </c>
      <c r="P14" s="21">
        <v>100</v>
      </c>
      <c r="Q14" s="2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100</v>
      </c>
      <c r="I15" s="21">
        <v>100</v>
      </c>
      <c r="J15" s="21">
        <v>100</v>
      </c>
      <c r="K15" s="21">
        <v>100</v>
      </c>
      <c r="L15" s="21">
        <v>100</v>
      </c>
      <c r="M15" s="21">
        <v>100</v>
      </c>
      <c r="N15" s="21">
        <v>100</v>
      </c>
      <c r="O15" s="21">
        <v>100</v>
      </c>
      <c r="P15" s="21">
        <v>100</v>
      </c>
      <c r="Q15" s="2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4:LE35"/>
  <sheetViews>
    <sheetView topLeftCell="A7" workbookViewId="0">
      <selection activeCell="A24" sqref="A24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B7" t="s">
        <v>105</v>
      </c>
      <c r="C7" t="s">
        <v>15</v>
      </c>
      <c r="D7" t="s">
        <v>1060</v>
      </c>
      <c r="E7" t="s">
        <v>1061</v>
      </c>
      <c r="G7">
        <f t="shared" ref="G7:G35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v>3</v>
      </c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100</v>
      </c>
      <c r="J19" s="11" t="str">
        <f t="shared" ref="J19:Q19" ca="1" si="2">TEXT(I19*(1+RANDBETWEEN(-0.2,1)*0.1),0)</f>
        <v>110</v>
      </c>
      <c r="K19" s="11" t="str">
        <f t="shared" ca="1" si="2"/>
        <v>121</v>
      </c>
      <c r="L19" s="11" t="str">
        <f t="shared" ca="1" si="2"/>
        <v>121</v>
      </c>
      <c r="M19" s="11" t="str">
        <f t="shared" ca="1" si="2"/>
        <v>133</v>
      </c>
      <c r="N19" s="11" t="str">
        <f t="shared" ca="1" si="2"/>
        <v>146</v>
      </c>
      <c r="O19" s="11" t="str">
        <f t="shared" ca="1" si="2"/>
        <v>161</v>
      </c>
      <c r="P19" s="11" t="str">
        <f t="shared" ca="1" si="2"/>
        <v>177</v>
      </c>
      <c r="Q19" s="11" t="str">
        <f t="shared" ca="1" si="2"/>
        <v>195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95</v>
      </c>
      <c r="J20" s="11" t="str">
        <f t="shared" ca="1" si="3"/>
        <v>95</v>
      </c>
      <c r="K20" s="11" t="str">
        <f t="shared" ca="1" si="3"/>
        <v>105</v>
      </c>
      <c r="L20" s="11" t="str">
        <f t="shared" ca="1" si="3"/>
        <v>105</v>
      </c>
      <c r="M20" s="11" t="str">
        <f t="shared" ca="1" si="3"/>
        <v>116</v>
      </c>
      <c r="N20" s="11" t="str">
        <f t="shared" ca="1" si="3"/>
        <v>128</v>
      </c>
      <c r="O20" s="11" t="str">
        <f t="shared" ca="1" si="3"/>
        <v>128</v>
      </c>
      <c r="P20" s="11" t="str">
        <f t="shared" ca="1" si="3"/>
        <v>128</v>
      </c>
      <c r="Q20" s="11" t="str">
        <f t="shared" ca="1" si="3"/>
        <v>128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107</v>
      </c>
      <c r="J21" s="11" t="str">
        <f t="shared" ca="1" si="3"/>
        <v>118</v>
      </c>
      <c r="K21" s="11" t="str">
        <f t="shared" ca="1" si="3"/>
        <v>118</v>
      </c>
      <c r="L21" s="11" t="str">
        <f t="shared" ca="1" si="3"/>
        <v>130</v>
      </c>
      <c r="M21" s="11" t="str">
        <f t="shared" ca="1" si="3"/>
        <v>143</v>
      </c>
      <c r="N21" s="11" t="str">
        <f t="shared" ca="1" si="3"/>
        <v>157</v>
      </c>
      <c r="O21" s="11" t="str">
        <f t="shared" ca="1" si="3"/>
        <v>173</v>
      </c>
      <c r="P21" s="11" t="str">
        <f t="shared" ca="1" si="3"/>
        <v>190</v>
      </c>
      <c r="Q21" s="11" t="str">
        <f t="shared" ca="1" si="3"/>
        <v>190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3">
      <c r="A35" t="s">
        <v>1048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N28"/>
  <sheetViews>
    <sheetView workbookViewId="0">
      <selection activeCell="B6" sqref="A1:XFD1048576"/>
    </sheetView>
  </sheetViews>
  <sheetFormatPr baseColWidth="10" defaultColWidth="11.1640625" defaultRowHeight="16" x14ac:dyDescent="0.2"/>
  <cols>
    <col min="1" max="1" width="31.5" bestFit="1" customWidth="1"/>
  </cols>
  <sheetData>
    <row r="5" spans="1:14" x14ac:dyDescent="0.3">
      <c r="A5" t="s">
        <v>92</v>
      </c>
      <c r="B5" t="s">
        <v>105</v>
      </c>
      <c r="C5" t="s">
        <v>1071</v>
      </c>
      <c r="D5" t="s">
        <v>15</v>
      </c>
      <c r="E5" t="s">
        <v>1060</v>
      </c>
      <c r="F5" t="s">
        <v>1061</v>
      </c>
      <c r="G5">
        <v>0</v>
      </c>
      <c r="H5" s="10">
        <v>3</v>
      </c>
      <c r="I5" s="10">
        <v>3</v>
      </c>
      <c r="J5" s="10">
        <v>2</v>
      </c>
      <c r="K5" s="10">
        <v>10</v>
      </c>
      <c r="L5" s="10">
        <v>100</v>
      </c>
      <c r="M5" s="10">
        <v>3</v>
      </c>
      <c r="N5" s="10"/>
    </row>
    <row r="6" spans="1:14" x14ac:dyDescent="0.3">
      <c r="A6" t="s">
        <v>1048</v>
      </c>
      <c r="G6">
        <f>G5+1</f>
        <v>1</v>
      </c>
      <c r="H6" s="10">
        <v>0</v>
      </c>
      <c r="I6" s="10"/>
      <c r="J6" s="10"/>
      <c r="K6" s="10"/>
      <c r="L6" s="10"/>
      <c r="M6" s="10"/>
      <c r="N6" s="10"/>
    </row>
    <row r="7" spans="1:14" x14ac:dyDescent="0.3">
      <c r="G7">
        <f t="shared" ref="G7:G28" si="0">G6+1</f>
        <v>2</v>
      </c>
      <c r="H7" s="10"/>
      <c r="I7" s="10"/>
      <c r="J7" s="10"/>
      <c r="K7" s="10"/>
      <c r="L7" s="10"/>
      <c r="M7" s="10"/>
      <c r="N7" s="10"/>
    </row>
    <row r="8" spans="1:14" x14ac:dyDescent="0.3">
      <c r="A8" t="s">
        <v>93</v>
      </c>
      <c r="G8">
        <f t="shared" si="0"/>
        <v>3</v>
      </c>
      <c r="H8" s="10">
        <v>0</v>
      </c>
      <c r="I8" s="10">
        <v>200</v>
      </c>
      <c r="J8" s="10"/>
      <c r="K8" s="10"/>
      <c r="L8" s="10"/>
      <c r="M8" s="10"/>
      <c r="N8" s="10"/>
    </row>
    <row r="9" spans="1:14" x14ac:dyDescent="0.3">
      <c r="A9" t="s">
        <v>1066</v>
      </c>
      <c r="G9">
        <f t="shared" si="0"/>
        <v>4</v>
      </c>
      <c r="H9" s="10">
        <v>20</v>
      </c>
      <c r="I9" s="10">
        <v>40</v>
      </c>
      <c r="J9" s="10"/>
      <c r="K9" s="10"/>
      <c r="L9" s="10"/>
      <c r="M9" s="10"/>
      <c r="N9" s="10"/>
    </row>
    <row r="10" spans="1:14" x14ac:dyDescent="0.3">
      <c r="A10" t="s">
        <v>1068</v>
      </c>
      <c r="G10">
        <f t="shared" si="0"/>
        <v>5</v>
      </c>
      <c r="H10" s="10">
        <v>20</v>
      </c>
      <c r="I10" s="10">
        <v>35</v>
      </c>
      <c r="J10" s="10"/>
      <c r="K10" s="10"/>
      <c r="L10" s="10"/>
      <c r="M10" s="10"/>
      <c r="N10" s="10"/>
    </row>
    <row r="11" spans="1:14" x14ac:dyDescent="0.3">
      <c r="A11" t="s">
        <v>1069</v>
      </c>
      <c r="G11">
        <f t="shared" si="0"/>
        <v>6</v>
      </c>
      <c r="H11" s="10">
        <v>40</v>
      </c>
      <c r="I11" s="10">
        <v>100</v>
      </c>
      <c r="J11" s="10"/>
      <c r="K11" s="10"/>
      <c r="L11" s="10"/>
      <c r="M11" s="10"/>
      <c r="N11" s="10"/>
    </row>
    <row r="12" spans="1:14" x14ac:dyDescent="0.3">
      <c r="A12" t="s">
        <v>1070</v>
      </c>
      <c r="B12" t="s">
        <v>52</v>
      </c>
      <c r="G12">
        <f t="shared" si="0"/>
        <v>7</v>
      </c>
      <c r="H12" s="10">
        <v>0</v>
      </c>
      <c r="I12" s="10">
        <v>0</v>
      </c>
      <c r="J12" s="10">
        <v>0</v>
      </c>
      <c r="K12" s="10"/>
      <c r="L12" s="10"/>
      <c r="M12" s="10"/>
      <c r="N12" s="10"/>
    </row>
    <row r="13" spans="1:14" x14ac:dyDescent="0.3">
      <c r="G13">
        <f t="shared" si="0"/>
        <v>8</v>
      </c>
      <c r="H13" s="10"/>
      <c r="I13" s="10"/>
      <c r="J13" s="10"/>
      <c r="K13" s="10"/>
      <c r="L13" s="10"/>
      <c r="M13" s="10"/>
      <c r="N13" s="10"/>
    </row>
    <row r="14" spans="1:14" x14ac:dyDescent="0.3">
      <c r="A14" t="s">
        <v>1063</v>
      </c>
      <c r="G14">
        <f>G13+1</f>
        <v>9</v>
      </c>
      <c r="H14" s="10">
        <v>-40</v>
      </c>
      <c r="I14" s="10">
        <v>100</v>
      </c>
      <c r="J14" s="10"/>
      <c r="K14" s="10"/>
      <c r="L14" s="10"/>
      <c r="M14" s="10"/>
      <c r="N14" s="10"/>
    </row>
    <row r="15" spans="1:14" x14ac:dyDescent="0.3">
      <c r="A15" t="s">
        <v>1064</v>
      </c>
      <c r="G15">
        <f t="shared" si="0"/>
        <v>10</v>
      </c>
      <c r="H15" s="10">
        <v>50</v>
      </c>
      <c r="I15" s="10">
        <v>100</v>
      </c>
      <c r="J15" s="10"/>
      <c r="K15" s="10"/>
      <c r="L15" s="10"/>
      <c r="M15" s="10"/>
      <c r="N15" s="10"/>
    </row>
    <row r="16" spans="1:14" x14ac:dyDescent="0.3">
      <c r="A16" t="s">
        <v>1065</v>
      </c>
      <c r="G16">
        <f t="shared" si="0"/>
        <v>11</v>
      </c>
      <c r="H16" s="10">
        <v>40</v>
      </c>
      <c r="I16" s="10">
        <v>60</v>
      </c>
      <c r="J16" s="10"/>
      <c r="K16" s="10"/>
      <c r="L16" s="10"/>
      <c r="M16" s="10"/>
      <c r="N16" s="10"/>
    </row>
    <row r="17" spans="1:14" x14ac:dyDescent="0.3">
      <c r="A17" t="s">
        <v>1067</v>
      </c>
      <c r="G17">
        <f t="shared" si="0"/>
        <v>12</v>
      </c>
      <c r="H17" s="10" t="s">
        <v>1062</v>
      </c>
      <c r="I17" s="10"/>
      <c r="J17" s="10"/>
      <c r="K17" s="10"/>
      <c r="L17" s="10"/>
      <c r="M17" s="10"/>
      <c r="N17" s="10"/>
    </row>
    <row r="18" spans="1:14" x14ac:dyDescent="0.3">
      <c r="A18" t="s">
        <v>1072</v>
      </c>
      <c r="G18">
        <f t="shared" si="0"/>
        <v>13</v>
      </c>
      <c r="H18" s="14" t="s">
        <v>73</v>
      </c>
      <c r="I18" s="10"/>
      <c r="J18" s="10"/>
      <c r="K18" s="10"/>
      <c r="L18" s="10"/>
      <c r="M18" s="10"/>
      <c r="N18" s="10"/>
    </row>
    <row r="19" spans="1:14" x14ac:dyDescent="0.3">
      <c r="G19">
        <f t="shared" si="0"/>
        <v>14</v>
      </c>
      <c r="H19" s="10"/>
      <c r="I19" s="10"/>
      <c r="J19" s="10"/>
      <c r="K19" s="10"/>
      <c r="L19" s="10"/>
      <c r="M19" s="10"/>
      <c r="N19" s="10"/>
    </row>
    <row r="20" spans="1:14" x14ac:dyDescent="0.3">
      <c r="G20">
        <f t="shared" si="0"/>
        <v>15</v>
      </c>
      <c r="H20" s="10"/>
      <c r="I20" s="10"/>
      <c r="J20" s="10"/>
      <c r="K20" s="10"/>
      <c r="L20" s="10"/>
      <c r="M20" s="10"/>
      <c r="N20" s="10"/>
    </row>
    <row r="21" spans="1:14" x14ac:dyDescent="0.3">
      <c r="G21">
        <f t="shared" si="0"/>
        <v>16</v>
      </c>
      <c r="H21" s="10"/>
      <c r="I21" s="10"/>
      <c r="J21" s="10"/>
      <c r="K21" s="10"/>
      <c r="L21" s="10"/>
      <c r="M21" s="10"/>
      <c r="N21" s="10"/>
    </row>
    <row r="22" spans="1:14" x14ac:dyDescent="0.3">
      <c r="G22">
        <f t="shared" si="0"/>
        <v>17</v>
      </c>
      <c r="H22" s="10"/>
      <c r="I22" s="10"/>
      <c r="J22" s="10"/>
      <c r="K22" s="10"/>
      <c r="L22" s="10"/>
      <c r="M22" s="10"/>
      <c r="N22" s="10"/>
    </row>
    <row r="23" spans="1:14" x14ac:dyDescent="0.3">
      <c r="G23">
        <f t="shared" si="0"/>
        <v>18</v>
      </c>
      <c r="H23" s="10"/>
      <c r="I23" s="10"/>
      <c r="J23" s="10"/>
      <c r="K23" s="10"/>
      <c r="L23" s="10"/>
      <c r="M23" s="10"/>
      <c r="N23" s="10"/>
    </row>
    <row r="24" spans="1:14" x14ac:dyDescent="0.3">
      <c r="G24">
        <f t="shared" si="0"/>
        <v>19</v>
      </c>
      <c r="H24" s="10"/>
      <c r="I24" s="10"/>
      <c r="J24" s="10"/>
      <c r="K24" s="10"/>
      <c r="L24" s="10"/>
      <c r="M24" s="10"/>
      <c r="N24" s="10"/>
    </row>
    <row r="25" spans="1:14" x14ac:dyDescent="0.3">
      <c r="G25">
        <f t="shared" si="0"/>
        <v>20</v>
      </c>
      <c r="H25" s="10"/>
      <c r="I25" s="10"/>
      <c r="J25" s="10"/>
      <c r="K25" s="10"/>
      <c r="L25" s="10"/>
      <c r="M25" s="10"/>
      <c r="N25" s="10"/>
    </row>
    <row r="26" spans="1:14" x14ac:dyDescent="0.3">
      <c r="G26">
        <f t="shared" si="0"/>
        <v>21</v>
      </c>
      <c r="H26" s="10"/>
      <c r="I26" s="10"/>
      <c r="J26" s="10"/>
      <c r="K26" s="10"/>
      <c r="L26" s="10"/>
      <c r="M26" s="10"/>
      <c r="N26" s="10"/>
    </row>
    <row r="27" spans="1:14" x14ac:dyDescent="0.3">
      <c r="G27">
        <f t="shared" si="0"/>
        <v>22</v>
      </c>
      <c r="H27" s="10"/>
      <c r="I27" s="10"/>
      <c r="J27" s="10"/>
      <c r="K27" s="10"/>
      <c r="L27" s="10"/>
      <c r="M27" s="10"/>
      <c r="N27" s="10"/>
    </row>
    <row r="28" spans="1:14" x14ac:dyDescent="0.3">
      <c r="G28">
        <f t="shared" si="0"/>
        <v>23</v>
      </c>
      <c r="H28" s="10"/>
      <c r="I28" s="10"/>
      <c r="J28" s="10"/>
      <c r="K28" s="10"/>
      <c r="L28" s="10"/>
      <c r="M28" s="10"/>
      <c r="N28" s="10"/>
    </row>
  </sheetData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N28"/>
  <sheetViews>
    <sheetView tabSelected="1" workbookViewId="0">
      <selection activeCell="H25" sqref="H25"/>
    </sheetView>
  </sheetViews>
  <sheetFormatPr baseColWidth="10" defaultColWidth="11.1640625" defaultRowHeight="16" x14ac:dyDescent="0.2"/>
  <cols>
    <col min="1" max="1" width="31.5" bestFit="1" customWidth="1"/>
  </cols>
  <sheetData>
    <row r="5" spans="1:14" x14ac:dyDescent="0.2">
      <c r="A5" t="s">
        <v>92</v>
      </c>
      <c r="B5" t="s">
        <v>105</v>
      </c>
      <c r="C5" t="s">
        <v>1071</v>
      </c>
      <c r="D5" t="s">
        <v>15</v>
      </c>
      <c r="E5" t="s">
        <v>1060</v>
      </c>
      <c r="F5" t="s">
        <v>1061</v>
      </c>
      <c r="G5">
        <v>0</v>
      </c>
      <c r="H5" s="10">
        <v>3</v>
      </c>
      <c r="I5" s="10">
        <v>3</v>
      </c>
      <c r="J5" s="10">
        <v>2</v>
      </c>
      <c r="K5" s="10">
        <v>10</v>
      </c>
      <c r="L5" s="10">
        <v>100</v>
      </c>
      <c r="M5" s="10">
        <v>3</v>
      </c>
      <c r="N5" s="10"/>
    </row>
    <row r="6" spans="1:14" x14ac:dyDescent="0.2">
      <c r="A6" t="s">
        <v>1520</v>
      </c>
      <c r="B6" t="s">
        <v>1519</v>
      </c>
      <c r="C6" t="s">
        <v>1514</v>
      </c>
      <c r="D6" t="s">
        <v>1515</v>
      </c>
      <c r="E6" t="s">
        <v>1516</v>
      </c>
      <c r="F6" t="s">
        <v>1517</v>
      </c>
      <c r="G6">
        <f>G5+1</f>
        <v>1</v>
      </c>
      <c r="H6" s="10">
        <v>0</v>
      </c>
      <c r="I6" s="10">
        <v>1</v>
      </c>
      <c r="J6" s="10">
        <v>6</v>
      </c>
      <c r="K6" s="10">
        <v>3</v>
      </c>
      <c r="L6" s="10">
        <v>10</v>
      </c>
      <c r="M6" s="10" t="s">
        <v>1518</v>
      </c>
      <c r="N6" s="10"/>
    </row>
    <row r="7" spans="1:14" x14ac:dyDescent="0.2">
      <c r="G7">
        <f t="shared" ref="G7:G28" si="0">G6+1</f>
        <v>2</v>
      </c>
      <c r="H7" s="10"/>
      <c r="I7" s="10"/>
      <c r="J7" s="10"/>
      <c r="K7" s="10"/>
      <c r="L7" s="10"/>
      <c r="M7" s="10"/>
      <c r="N7" s="10"/>
    </row>
    <row r="8" spans="1:14" x14ac:dyDescent="0.2">
      <c r="A8" t="s">
        <v>93</v>
      </c>
      <c r="G8">
        <f t="shared" si="0"/>
        <v>3</v>
      </c>
      <c r="H8" s="10">
        <v>0</v>
      </c>
      <c r="I8" s="10">
        <v>200</v>
      </c>
      <c r="J8" s="10"/>
      <c r="K8" s="10"/>
      <c r="L8" s="10"/>
      <c r="M8" s="10"/>
      <c r="N8" s="10"/>
    </row>
    <row r="9" spans="1:14" x14ac:dyDescent="0.2">
      <c r="A9" t="s">
        <v>1066</v>
      </c>
      <c r="G9">
        <f t="shared" si="0"/>
        <v>4</v>
      </c>
      <c r="H9" s="10">
        <v>20</v>
      </c>
      <c r="I9" s="10">
        <v>40</v>
      </c>
      <c r="J9" s="10"/>
      <c r="K9" s="10"/>
      <c r="L9" s="10"/>
      <c r="M9" s="10"/>
      <c r="N9" s="10"/>
    </row>
    <row r="10" spans="1:14" x14ac:dyDescent="0.2">
      <c r="A10" t="s">
        <v>1068</v>
      </c>
      <c r="G10">
        <f t="shared" si="0"/>
        <v>5</v>
      </c>
      <c r="H10" s="10">
        <v>20</v>
      </c>
      <c r="I10" s="10">
        <v>35</v>
      </c>
      <c r="J10" s="10"/>
      <c r="K10" s="10"/>
      <c r="L10" s="10"/>
      <c r="M10" s="10"/>
      <c r="N10" s="10"/>
    </row>
    <row r="11" spans="1:14" x14ac:dyDescent="0.2">
      <c r="A11" t="s">
        <v>1069</v>
      </c>
      <c r="G11">
        <f t="shared" si="0"/>
        <v>6</v>
      </c>
      <c r="H11" s="10">
        <v>40</v>
      </c>
      <c r="I11" s="10">
        <v>100</v>
      </c>
      <c r="J11" s="10"/>
      <c r="K11" s="10"/>
      <c r="L11" s="10"/>
      <c r="M11" s="10"/>
      <c r="N11" s="10"/>
    </row>
    <row r="12" spans="1:14" x14ac:dyDescent="0.2">
      <c r="A12" t="s">
        <v>1070</v>
      </c>
      <c r="B12" t="s">
        <v>52</v>
      </c>
      <c r="G12">
        <f t="shared" si="0"/>
        <v>7</v>
      </c>
      <c r="H12" s="10">
        <v>0</v>
      </c>
      <c r="I12" s="10">
        <v>0</v>
      </c>
      <c r="J12" s="10">
        <v>0</v>
      </c>
      <c r="K12" s="10"/>
      <c r="L12" s="10"/>
      <c r="M12" s="10"/>
      <c r="N12" s="10"/>
    </row>
    <row r="13" spans="1:14" x14ac:dyDescent="0.2">
      <c r="G13">
        <f t="shared" si="0"/>
        <v>8</v>
      </c>
      <c r="H13" s="10"/>
      <c r="I13" s="10"/>
      <c r="J13" s="10"/>
      <c r="K13" s="10"/>
      <c r="L13" s="10"/>
      <c r="M13" s="10"/>
      <c r="N13" s="10"/>
    </row>
    <row r="14" spans="1:14" x14ac:dyDescent="0.2">
      <c r="A14" t="s">
        <v>1063</v>
      </c>
      <c r="G14">
        <f>G13+1</f>
        <v>9</v>
      </c>
      <c r="H14" s="10">
        <v>-40</v>
      </c>
      <c r="I14" s="10">
        <v>100</v>
      </c>
      <c r="J14" s="10"/>
      <c r="K14" s="10"/>
      <c r="L14" s="10"/>
      <c r="M14" s="10"/>
      <c r="N14" s="10"/>
    </row>
    <row r="15" spans="1:14" x14ac:dyDescent="0.2">
      <c r="A15" t="s">
        <v>1064</v>
      </c>
      <c r="G15">
        <f t="shared" si="0"/>
        <v>10</v>
      </c>
      <c r="H15" s="10">
        <v>50</v>
      </c>
      <c r="I15" s="10">
        <v>100</v>
      </c>
      <c r="J15" s="10"/>
      <c r="K15" s="10"/>
      <c r="L15" s="10"/>
      <c r="M15" s="10"/>
      <c r="N15" s="10"/>
    </row>
    <row r="16" spans="1:14" x14ac:dyDescent="0.2">
      <c r="A16" t="s">
        <v>1065</v>
      </c>
      <c r="G16">
        <f t="shared" si="0"/>
        <v>11</v>
      </c>
      <c r="H16" s="10">
        <v>40</v>
      </c>
      <c r="I16" s="10">
        <v>60</v>
      </c>
      <c r="J16" s="10"/>
      <c r="K16" s="10"/>
      <c r="L16" s="10"/>
      <c r="M16" s="10"/>
      <c r="N16" s="10"/>
    </row>
    <row r="17" spans="1:14" x14ac:dyDescent="0.2">
      <c r="A17" t="s">
        <v>1067</v>
      </c>
      <c r="G17">
        <f t="shared" si="0"/>
        <v>12</v>
      </c>
      <c r="H17" s="10" t="s">
        <v>1062</v>
      </c>
      <c r="I17" s="10"/>
      <c r="J17" s="10"/>
      <c r="K17" s="10"/>
      <c r="L17" s="10"/>
      <c r="M17" s="10"/>
      <c r="N17" s="10"/>
    </row>
    <row r="18" spans="1:14" x14ac:dyDescent="0.2">
      <c r="A18" t="s">
        <v>1072</v>
      </c>
      <c r="G18">
        <f t="shared" si="0"/>
        <v>13</v>
      </c>
      <c r="H18" s="14" t="s">
        <v>73</v>
      </c>
      <c r="I18" s="10"/>
      <c r="J18" s="10"/>
      <c r="K18" s="10"/>
      <c r="L18" s="10"/>
      <c r="M18" s="10"/>
      <c r="N18" s="10"/>
    </row>
    <row r="19" spans="1:14" x14ac:dyDescent="0.2">
      <c r="G19">
        <f t="shared" si="0"/>
        <v>14</v>
      </c>
      <c r="H19" s="10"/>
      <c r="I19" s="10"/>
      <c r="J19" s="10"/>
      <c r="K19" s="10"/>
      <c r="L19" s="10"/>
      <c r="M19" s="10"/>
      <c r="N19" s="10"/>
    </row>
    <row r="20" spans="1:14" x14ac:dyDescent="0.2">
      <c r="G20">
        <f t="shared" si="0"/>
        <v>15</v>
      </c>
      <c r="H20" s="10"/>
      <c r="I20" s="10"/>
      <c r="J20" s="10"/>
      <c r="K20" s="10"/>
      <c r="L20" s="10"/>
      <c r="M20" s="10"/>
      <c r="N20" s="10"/>
    </row>
    <row r="21" spans="1:14" x14ac:dyDescent="0.2">
      <c r="G21">
        <f t="shared" si="0"/>
        <v>16</v>
      </c>
      <c r="H21" s="10"/>
      <c r="I21" s="10"/>
      <c r="J21" s="10"/>
      <c r="K21" s="10"/>
      <c r="L21" s="10"/>
      <c r="M21" s="10"/>
      <c r="N21" s="10"/>
    </row>
    <row r="22" spans="1:14" x14ac:dyDescent="0.2">
      <c r="G22">
        <f t="shared" si="0"/>
        <v>17</v>
      </c>
      <c r="H22" s="10"/>
      <c r="I22" s="10"/>
      <c r="J22" s="10"/>
      <c r="K22" s="10"/>
      <c r="L22" s="10"/>
      <c r="M22" s="10"/>
      <c r="N22" s="10"/>
    </row>
    <row r="23" spans="1:14" x14ac:dyDescent="0.2">
      <c r="G23">
        <f t="shared" si="0"/>
        <v>18</v>
      </c>
      <c r="H23" s="10"/>
      <c r="I23" s="10"/>
      <c r="J23" s="10"/>
      <c r="K23" s="10"/>
      <c r="L23" s="10"/>
      <c r="M23" s="10"/>
      <c r="N23" s="10"/>
    </row>
    <row r="24" spans="1:14" x14ac:dyDescent="0.2">
      <c r="G24">
        <f t="shared" si="0"/>
        <v>19</v>
      </c>
      <c r="H24" s="10"/>
      <c r="I24" s="10"/>
      <c r="J24" s="10"/>
      <c r="K24" s="10"/>
      <c r="L24" s="10"/>
      <c r="M24" s="10"/>
      <c r="N24" s="10"/>
    </row>
    <row r="25" spans="1:14" x14ac:dyDescent="0.2">
      <c r="G25">
        <f t="shared" si="0"/>
        <v>20</v>
      </c>
      <c r="H25" s="10"/>
      <c r="I25" s="10"/>
      <c r="J25" s="10"/>
      <c r="K25" s="10"/>
      <c r="L25" s="10"/>
      <c r="M25" s="10"/>
      <c r="N25" s="10"/>
    </row>
    <row r="26" spans="1:14" x14ac:dyDescent="0.2">
      <c r="G26">
        <f t="shared" si="0"/>
        <v>21</v>
      </c>
      <c r="H26" s="10"/>
      <c r="I26" s="10"/>
      <c r="J26" s="10"/>
      <c r="K26" s="10"/>
      <c r="L26" s="10"/>
      <c r="M26" s="10"/>
      <c r="N26" s="10"/>
    </row>
    <row r="27" spans="1:14" x14ac:dyDescent="0.2">
      <c r="G27">
        <f t="shared" si="0"/>
        <v>22</v>
      </c>
      <c r="H27" s="10"/>
      <c r="I27" s="10"/>
      <c r="J27" s="10"/>
      <c r="K27" s="10"/>
      <c r="L27" s="10"/>
      <c r="M27" s="10"/>
      <c r="N27" s="10"/>
    </row>
    <row r="28" spans="1:14" x14ac:dyDescent="0.2">
      <c r="G28">
        <f t="shared" si="0"/>
        <v>23</v>
      </c>
      <c r="H28" s="10"/>
      <c r="I28" s="10"/>
      <c r="J28" s="10"/>
      <c r="K28" s="10"/>
      <c r="L28" s="10"/>
      <c r="M28" s="10"/>
      <c r="N28" s="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4:LE74"/>
  <sheetViews>
    <sheetView topLeftCell="A39" workbookViewId="0">
      <selection activeCell="H56" sqref="A1:XFD1048576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H70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f>13-COUNTBLANK(H56:T56)</f>
        <v>10</v>
      </c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110</v>
      </c>
      <c r="J19" s="11" t="str">
        <f t="shared" ref="J19:Q19" ca="1" si="2">TEXT(I19*(1+RANDBETWEEN(-0.2,1)*0.1),0)</f>
        <v>110</v>
      </c>
      <c r="K19" s="11" t="str">
        <f t="shared" ca="1" si="2"/>
        <v>110</v>
      </c>
      <c r="L19" s="11" t="str">
        <f t="shared" ca="1" si="2"/>
        <v>121</v>
      </c>
      <c r="M19" s="11" t="str">
        <f t="shared" ca="1" si="2"/>
        <v>133</v>
      </c>
      <c r="N19" s="11" t="str">
        <f t="shared" ca="1" si="2"/>
        <v>146</v>
      </c>
      <c r="O19" s="11" t="str">
        <f t="shared" ca="1" si="2"/>
        <v>146</v>
      </c>
      <c r="P19" s="11" t="str">
        <f t="shared" ca="1" si="2"/>
        <v>146</v>
      </c>
      <c r="Q19" s="11" t="str">
        <f t="shared" ca="1" si="2"/>
        <v>146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105</v>
      </c>
      <c r="J20" s="11" t="str">
        <f t="shared" ca="1" si="3"/>
        <v>105</v>
      </c>
      <c r="K20" s="11" t="str">
        <f t="shared" ca="1" si="3"/>
        <v>116</v>
      </c>
      <c r="L20" s="11" t="str">
        <f t="shared" ca="1" si="3"/>
        <v>116</v>
      </c>
      <c r="M20" s="11" t="str">
        <f t="shared" ca="1" si="3"/>
        <v>128</v>
      </c>
      <c r="N20" s="11" t="str">
        <f t="shared" ca="1" si="3"/>
        <v>128</v>
      </c>
      <c r="O20" s="11" t="str">
        <f t="shared" ca="1" si="3"/>
        <v>128</v>
      </c>
      <c r="P20" s="11" t="str">
        <f t="shared" ca="1" si="3"/>
        <v>128</v>
      </c>
      <c r="Q20" s="11" t="str">
        <f t="shared" ca="1" si="3"/>
        <v>141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97</v>
      </c>
      <c r="J21" s="11" t="str">
        <f t="shared" ca="1" si="3"/>
        <v>97</v>
      </c>
      <c r="K21" s="11" t="str">
        <f t="shared" ca="1" si="3"/>
        <v>107</v>
      </c>
      <c r="L21" s="11" t="str">
        <f t="shared" ca="1" si="3"/>
        <v>118</v>
      </c>
      <c r="M21" s="11" t="str">
        <f t="shared" ca="1" si="3"/>
        <v>118</v>
      </c>
      <c r="N21" s="11" t="str">
        <f t="shared" ca="1" si="3"/>
        <v>130</v>
      </c>
      <c r="O21" s="11" t="str">
        <f t="shared" ca="1" si="3"/>
        <v>130</v>
      </c>
      <c r="P21" s="11" t="str">
        <f t="shared" ca="1" si="3"/>
        <v>143</v>
      </c>
      <c r="Q21" s="11" t="str">
        <f t="shared" ca="1" si="3"/>
        <v>143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3">
      <c r="A35" t="s">
        <v>1048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17" x14ac:dyDescent="0.3">
      <c r="G36">
        <f t="shared" si="0"/>
        <v>31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x14ac:dyDescent="0.3">
      <c r="A37" t="s">
        <v>1055</v>
      </c>
      <c r="B37" t="s">
        <v>1049</v>
      </c>
      <c r="C37">
        <f>C34+1</f>
        <v>1</v>
      </c>
      <c r="D37" t="s">
        <v>1052</v>
      </c>
      <c r="G37">
        <f t="shared" si="0"/>
        <v>32</v>
      </c>
      <c r="H37" s="11">
        <v>30</v>
      </c>
      <c r="I37" s="11">
        <v>30</v>
      </c>
      <c r="J37" s="11">
        <v>30</v>
      </c>
      <c r="K37" s="11">
        <v>30</v>
      </c>
      <c r="L37" s="11">
        <v>30</v>
      </c>
      <c r="M37" s="11">
        <v>30</v>
      </c>
      <c r="N37" s="11">
        <v>30</v>
      </c>
      <c r="O37" s="11">
        <v>30</v>
      </c>
      <c r="P37" s="11">
        <v>30</v>
      </c>
      <c r="Q37" s="11">
        <v>30</v>
      </c>
    </row>
    <row r="38" spans="1:17" x14ac:dyDescent="0.3">
      <c r="A38" t="s">
        <v>1055</v>
      </c>
      <c r="B38" t="s">
        <v>1049</v>
      </c>
      <c r="C38">
        <f t="shared" ref="C38:C39" si="4">C35+1</f>
        <v>1</v>
      </c>
      <c r="D38" t="s">
        <v>1053</v>
      </c>
      <c r="G38">
        <f t="shared" si="0"/>
        <v>33</v>
      </c>
      <c r="H38" s="11">
        <f>H37-1</f>
        <v>29</v>
      </c>
      <c r="I38" s="11">
        <v>20</v>
      </c>
      <c r="J38" s="11">
        <v>20</v>
      </c>
      <c r="K38" s="11">
        <v>20</v>
      </c>
      <c r="L38" s="11">
        <v>20</v>
      </c>
      <c r="M38" s="11">
        <v>20</v>
      </c>
      <c r="N38" s="11">
        <v>20</v>
      </c>
      <c r="O38" s="11">
        <v>20</v>
      </c>
      <c r="P38" s="11">
        <v>20</v>
      </c>
      <c r="Q38" s="11">
        <v>20</v>
      </c>
    </row>
    <row r="39" spans="1:17" x14ac:dyDescent="0.3">
      <c r="A39" t="s">
        <v>1055</v>
      </c>
      <c r="B39" t="s">
        <v>1049</v>
      </c>
      <c r="C39">
        <f t="shared" si="4"/>
        <v>1</v>
      </c>
      <c r="D39" t="s">
        <v>1054</v>
      </c>
      <c r="G39">
        <f t="shared" si="0"/>
        <v>34</v>
      </c>
      <c r="H39" s="11">
        <f t="shared" ref="H39:H54" si="5">H38-1</f>
        <v>28</v>
      </c>
      <c r="I39" s="11">
        <v>10</v>
      </c>
      <c r="J39" s="11">
        <v>10</v>
      </c>
      <c r="K39" s="11">
        <v>10</v>
      </c>
      <c r="L39" s="11">
        <v>10</v>
      </c>
      <c r="M39" s="11">
        <v>10</v>
      </c>
      <c r="N39" s="11">
        <v>10</v>
      </c>
      <c r="O39" s="11">
        <v>10</v>
      </c>
      <c r="P39" s="11">
        <v>10</v>
      </c>
      <c r="Q39" s="11">
        <v>10</v>
      </c>
    </row>
    <row r="40" spans="1:17" x14ac:dyDescent="0.3">
      <c r="A40" t="s">
        <v>1055</v>
      </c>
      <c r="B40" t="s">
        <v>1050</v>
      </c>
      <c r="C40">
        <v>1</v>
      </c>
      <c r="D40" t="s">
        <v>1052</v>
      </c>
      <c r="G40">
        <f t="shared" si="0"/>
        <v>35</v>
      </c>
      <c r="H40" s="11">
        <f t="shared" si="5"/>
        <v>27</v>
      </c>
      <c r="I40" s="11">
        <v>30</v>
      </c>
      <c r="J40" s="11">
        <v>30</v>
      </c>
      <c r="K40" s="11">
        <v>30</v>
      </c>
      <c r="L40" s="11">
        <v>30</v>
      </c>
      <c r="M40" s="11">
        <v>30</v>
      </c>
      <c r="N40" s="11">
        <v>30</v>
      </c>
      <c r="O40" s="11">
        <v>30</v>
      </c>
      <c r="P40" s="11">
        <v>30</v>
      </c>
      <c r="Q40" s="11">
        <v>30</v>
      </c>
    </row>
    <row r="41" spans="1:17" x14ac:dyDescent="0.3">
      <c r="A41" t="s">
        <v>1055</v>
      </c>
      <c r="B41" t="s">
        <v>1050</v>
      </c>
      <c r="C41">
        <v>1</v>
      </c>
      <c r="D41" t="s">
        <v>1053</v>
      </c>
      <c r="G41">
        <f t="shared" si="0"/>
        <v>36</v>
      </c>
      <c r="H41" s="11">
        <f t="shared" si="5"/>
        <v>26</v>
      </c>
      <c r="I41" s="11">
        <v>20</v>
      </c>
      <c r="J41" s="11">
        <v>20</v>
      </c>
      <c r="K41" s="11">
        <v>20</v>
      </c>
      <c r="L41" s="11">
        <v>20</v>
      </c>
      <c r="M41" s="11">
        <v>20</v>
      </c>
      <c r="N41" s="11">
        <v>20</v>
      </c>
      <c r="O41" s="11">
        <v>20</v>
      </c>
      <c r="P41" s="11">
        <v>20</v>
      </c>
      <c r="Q41" s="11">
        <v>20</v>
      </c>
    </row>
    <row r="42" spans="1:17" x14ac:dyDescent="0.2">
      <c r="A42" t="s">
        <v>1055</v>
      </c>
      <c r="B42" t="s">
        <v>1050</v>
      </c>
      <c r="C42">
        <v>1</v>
      </c>
      <c r="D42" t="s">
        <v>1054</v>
      </c>
      <c r="G42">
        <f t="shared" si="0"/>
        <v>37</v>
      </c>
      <c r="H42" s="11">
        <f t="shared" si="5"/>
        <v>25</v>
      </c>
      <c r="I42" s="11">
        <v>10</v>
      </c>
      <c r="J42" s="11">
        <v>10</v>
      </c>
      <c r="K42" s="11">
        <v>10</v>
      </c>
      <c r="L42" s="11">
        <v>10</v>
      </c>
      <c r="M42" s="11">
        <v>10</v>
      </c>
      <c r="N42" s="11">
        <v>10</v>
      </c>
      <c r="O42" s="11">
        <v>10</v>
      </c>
      <c r="P42" s="11">
        <v>10</v>
      </c>
      <c r="Q42" s="11">
        <v>10</v>
      </c>
    </row>
    <row r="43" spans="1:17" x14ac:dyDescent="0.2">
      <c r="A43" t="s">
        <v>1055</v>
      </c>
      <c r="B43" t="s">
        <v>1051</v>
      </c>
      <c r="C43">
        <v>1</v>
      </c>
      <c r="D43" t="s">
        <v>1052</v>
      </c>
      <c r="G43">
        <f t="shared" si="0"/>
        <v>38</v>
      </c>
      <c r="H43" s="11">
        <f t="shared" si="5"/>
        <v>24</v>
      </c>
      <c r="I43" s="11">
        <v>30</v>
      </c>
      <c r="J43" s="11">
        <v>30</v>
      </c>
      <c r="K43" s="11">
        <v>30</v>
      </c>
      <c r="L43" s="11">
        <v>30</v>
      </c>
      <c r="M43" s="11">
        <v>30</v>
      </c>
      <c r="N43" s="11">
        <v>30</v>
      </c>
      <c r="O43" s="11">
        <v>30</v>
      </c>
      <c r="P43" s="11">
        <v>30</v>
      </c>
      <c r="Q43" s="11">
        <v>30</v>
      </c>
    </row>
    <row r="44" spans="1:17" x14ac:dyDescent="0.2">
      <c r="A44" t="s">
        <v>1055</v>
      </c>
      <c r="B44" t="s">
        <v>1051</v>
      </c>
      <c r="C44">
        <v>1</v>
      </c>
      <c r="D44" t="s">
        <v>1053</v>
      </c>
      <c r="G44">
        <f t="shared" si="0"/>
        <v>39</v>
      </c>
      <c r="H44" s="11">
        <f t="shared" si="5"/>
        <v>23</v>
      </c>
      <c r="I44" s="11">
        <v>20</v>
      </c>
      <c r="J44" s="11">
        <v>20</v>
      </c>
      <c r="K44" s="11">
        <v>20</v>
      </c>
      <c r="L44" s="11">
        <v>20</v>
      </c>
      <c r="M44" s="11">
        <v>20</v>
      </c>
      <c r="N44" s="11">
        <v>20</v>
      </c>
      <c r="O44" s="11">
        <v>20</v>
      </c>
      <c r="P44" s="11">
        <v>20</v>
      </c>
      <c r="Q44" s="11">
        <v>20</v>
      </c>
    </row>
    <row r="45" spans="1:17" x14ac:dyDescent="0.2">
      <c r="A45" t="s">
        <v>1055</v>
      </c>
      <c r="B45" t="s">
        <v>1051</v>
      </c>
      <c r="C45">
        <v>1</v>
      </c>
      <c r="D45" t="s">
        <v>1054</v>
      </c>
      <c r="G45">
        <f t="shared" si="0"/>
        <v>40</v>
      </c>
      <c r="H45" s="11">
        <f t="shared" si="5"/>
        <v>22</v>
      </c>
      <c r="I45" s="11">
        <v>10</v>
      </c>
      <c r="J45" s="11">
        <v>10</v>
      </c>
      <c r="K45" s="11">
        <v>10</v>
      </c>
      <c r="L45" s="11">
        <v>10</v>
      </c>
      <c r="M45" s="11">
        <v>10</v>
      </c>
      <c r="N45" s="11">
        <v>10</v>
      </c>
      <c r="O45" s="11">
        <v>10</v>
      </c>
      <c r="P45" s="11">
        <v>10</v>
      </c>
      <c r="Q45" s="11">
        <v>10</v>
      </c>
    </row>
    <row r="46" spans="1:17" x14ac:dyDescent="0.2">
      <c r="A46" t="s">
        <v>1055</v>
      </c>
      <c r="B46" t="str">
        <f>B37</f>
        <v>DP1</v>
      </c>
      <c r="C46">
        <f>C37+1</f>
        <v>2</v>
      </c>
      <c r="D46" t="s">
        <v>1052</v>
      </c>
      <c r="G46">
        <f t="shared" si="0"/>
        <v>41</v>
      </c>
      <c r="H46" s="11">
        <f t="shared" si="5"/>
        <v>21</v>
      </c>
      <c r="I46" s="11">
        <v>30</v>
      </c>
      <c r="J46" s="11">
        <v>30</v>
      </c>
      <c r="K46" s="11">
        <v>30</v>
      </c>
      <c r="L46" s="11">
        <v>30</v>
      </c>
      <c r="M46" s="11">
        <v>30</v>
      </c>
      <c r="N46" s="11">
        <v>30</v>
      </c>
      <c r="O46" s="11">
        <v>30</v>
      </c>
      <c r="P46" s="11">
        <v>30</v>
      </c>
      <c r="Q46" s="11">
        <v>30</v>
      </c>
    </row>
    <row r="47" spans="1:17" x14ac:dyDescent="0.2">
      <c r="A47" t="s">
        <v>1055</v>
      </c>
      <c r="B47" t="str">
        <f t="shared" ref="B47" si="6">B38</f>
        <v>DP1</v>
      </c>
      <c r="C47">
        <f t="shared" ref="C47:C54" si="7">C38+1</f>
        <v>2</v>
      </c>
      <c r="D47" t="s">
        <v>1052</v>
      </c>
      <c r="G47">
        <f t="shared" si="0"/>
        <v>42</v>
      </c>
      <c r="H47" s="11">
        <f t="shared" si="5"/>
        <v>20</v>
      </c>
      <c r="I47" s="11">
        <v>20</v>
      </c>
      <c r="J47" s="11">
        <v>20</v>
      </c>
      <c r="K47" s="11">
        <v>20</v>
      </c>
      <c r="L47" s="11">
        <v>20</v>
      </c>
      <c r="M47" s="11">
        <v>20</v>
      </c>
      <c r="N47" s="11">
        <v>20</v>
      </c>
      <c r="O47" s="11">
        <v>20</v>
      </c>
      <c r="P47" s="11">
        <v>20</v>
      </c>
      <c r="Q47" s="11">
        <v>20</v>
      </c>
    </row>
    <row r="48" spans="1:17" x14ac:dyDescent="0.2">
      <c r="A48" t="s">
        <v>1055</v>
      </c>
      <c r="B48" t="str">
        <f t="shared" ref="B48" si="8">B39</f>
        <v>DP1</v>
      </c>
      <c r="C48">
        <f t="shared" si="7"/>
        <v>2</v>
      </c>
      <c r="D48" t="s">
        <v>1052</v>
      </c>
      <c r="G48">
        <f t="shared" si="0"/>
        <v>43</v>
      </c>
      <c r="H48" s="11">
        <f t="shared" si="5"/>
        <v>19</v>
      </c>
      <c r="I48" s="11">
        <v>10</v>
      </c>
      <c r="J48" s="11">
        <v>10</v>
      </c>
      <c r="K48" s="11">
        <v>10</v>
      </c>
      <c r="L48" s="11">
        <v>10</v>
      </c>
      <c r="M48" s="11">
        <v>10</v>
      </c>
      <c r="N48" s="11">
        <v>10</v>
      </c>
      <c r="O48" s="11">
        <v>10</v>
      </c>
      <c r="P48" s="11">
        <v>10</v>
      </c>
      <c r="Q48" s="11">
        <v>10</v>
      </c>
    </row>
    <row r="49" spans="1:17" x14ac:dyDescent="0.2">
      <c r="A49" t="s">
        <v>1055</v>
      </c>
      <c r="B49" t="str">
        <f t="shared" ref="B49" si="9">B40</f>
        <v>DP2</v>
      </c>
      <c r="C49">
        <f t="shared" si="7"/>
        <v>2</v>
      </c>
      <c r="D49" t="s">
        <v>1052</v>
      </c>
      <c r="G49">
        <f t="shared" si="0"/>
        <v>44</v>
      </c>
      <c r="H49" s="11">
        <f t="shared" si="5"/>
        <v>18</v>
      </c>
      <c r="I49" s="11">
        <v>30</v>
      </c>
      <c r="J49" s="11">
        <v>30</v>
      </c>
      <c r="K49" s="11">
        <v>30</v>
      </c>
      <c r="L49" s="11">
        <v>30</v>
      </c>
      <c r="M49" s="11">
        <v>30</v>
      </c>
      <c r="N49" s="11">
        <v>30</v>
      </c>
      <c r="O49" s="11">
        <v>30</v>
      </c>
      <c r="P49" s="11">
        <v>30</v>
      </c>
      <c r="Q49" s="11">
        <v>30</v>
      </c>
    </row>
    <row r="50" spans="1:17" x14ac:dyDescent="0.2">
      <c r="A50" t="s">
        <v>1055</v>
      </c>
      <c r="B50" t="str">
        <f t="shared" ref="B50" si="10">B41</f>
        <v>DP2</v>
      </c>
      <c r="C50">
        <f t="shared" si="7"/>
        <v>2</v>
      </c>
      <c r="D50" t="s">
        <v>1052</v>
      </c>
      <c r="G50">
        <f t="shared" si="0"/>
        <v>45</v>
      </c>
      <c r="H50" s="11">
        <f t="shared" si="5"/>
        <v>17</v>
      </c>
      <c r="I50" s="11">
        <v>20</v>
      </c>
      <c r="J50" s="11">
        <v>20</v>
      </c>
      <c r="K50" s="11">
        <v>20</v>
      </c>
      <c r="L50" s="11">
        <v>20</v>
      </c>
      <c r="M50" s="11">
        <v>20</v>
      </c>
      <c r="N50" s="11">
        <v>20</v>
      </c>
      <c r="O50" s="11">
        <v>20</v>
      </c>
      <c r="P50" s="11">
        <v>20</v>
      </c>
      <c r="Q50" s="11">
        <v>20</v>
      </c>
    </row>
    <row r="51" spans="1:17" x14ac:dyDescent="0.2">
      <c r="A51" t="s">
        <v>1055</v>
      </c>
      <c r="B51" t="str">
        <f t="shared" ref="B51" si="11">B42</f>
        <v>DP2</v>
      </c>
      <c r="C51">
        <f t="shared" si="7"/>
        <v>2</v>
      </c>
      <c r="D51" t="s">
        <v>1052</v>
      </c>
      <c r="G51">
        <f t="shared" si="0"/>
        <v>46</v>
      </c>
      <c r="H51" s="11">
        <f t="shared" si="5"/>
        <v>16</v>
      </c>
      <c r="I51" s="11">
        <v>10</v>
      </c>
      <c r="J51" s="11">
        <v>10</v>
      </c>
      <c r="K51" s="11">
        <v>10</v>
      </c>
      <c r="L51" s="11">
        <v>10</v>
      </c>
      <c r="M51" s="11">
        <v>10</v>
      </c>
      <c r="N51" s="11">
        <v>10</v>
      </c>
      <c r="O51" s="11">
        <v>10</v>
      </c>
      <c r="P51" s="11">
        <v>10</v>
      </c>
      <c r="Q51" s="11">
        <v>10</v>
      </c>
    </row>
    <row r="52" spans="1:17" x14ac:dyDescent="0.2">
      <c r="A52" t="s">
        <v>1055</v>
      </c>
      <c r="B52" t="str">
        <f t="shared" ref="B52" si="12">B43</f>
        <v>DP3</v>
      </c>
      <c r="C52">
        <f t="shared" si="7"/>
        <v>2</v>
      </c>
      <c r="D52" t="s">
        <v>1052</v>
      </c>
      <c r="G52">
        <f t="shared" si="0"/>
        <v>47</v>
      </c>
      <c r="H52" s="11">
        <f t="shared" si="5"/>
        <v>15</v>
      </c>
      <c r="I52" s="11">
        <v>30</v>
      </c>
      <c r="J52" s="11">
        <v>30</v>
      </c>
      <c r="K52" s="11">
        <v>30</v>
      </c>
      <c r="L52" s="11">
        <v>30</v>
      </c>
      <c r="M52" s="11">
        <v>30</v>
      </c>
      <c r="N52" s="11">
        <v>30</v>
      </c>
      <c r="O52" s="11">
        <v>30</v>
      </c>
      <c r="P52" s="11">
        <v>30</v>
      </c>
      <c r="Q52" s="11">
        <v>30</v>
      </c>
    </row>
    <row r="53" spans="1:17" x14ac:dyDescent="0.2">
      <c r="A53" t="s">
        <v>1055</v>
      </c>
      <c r="B53" t="str">
        <f t="shared" ref="B53" si="13">B44</f>
        <v>DP3</v>
      </c>
      <c r="C53">
        <f t="shared" si="7"/>
        <v>2</v>
      </c>
      <c r="D53" t="s">
        <v>1052</v>
      </c>
      <c r="G53">
        <f t="shared" si="0"/>
        <v>48</v>
      </c>
      <c r="H53" s="11">
        <f t="shared" si="5"/>
        <v>14</v>
      </c>
      <c r="I53" s="11">
        <v>20</v>
      </c>
      <c r="J53" s="11">
        <v>20</v>
      </c>
      <c r="K53" s="11">
        <v>20</v>
      </c>
      <c r="L53" s="11">
        <v>20</v>
      </c>
      <c r="M53" s="11">
        <v>20</v>
      </c>
      <c r="N53" s="11">
        <v>20</v>
      </c>
      <c r="O53" s="11">
        <v>20</v>
      </c>
      <c r="P53" s="11">
        <v>20</v>
      </c>
      <c r="Q53" s="11">
        <v>20</v>
      </c>
    </row>
    <row r="54" spans="1:17" x14ac:dyDescent="0.2">
      <c r="A54" t="s">
        <v>1055</v>
      </c>
      <c r="B54" t="str">
        <f t="shared" ref="B54" si="14">B45</f>
        <v>DP3</v>
      </c>
      <c r="C54">
        <f t="shared" si="7"/>
        <v>2</v>
      </c>
      <c r="D54" t="s">
        <v>1052</v>
      </c>
      <c r="G54">
        <f t="shared" si="0"/>
        <v>49</v>
      </c>
      <c r="H54" s="11">
        <f t="shared" si="5"/>
        <v>13</v>
      </c>
      <c r="I54" s="11">
        <v>10</v>
      </c>
      <c r="J54" s="11">
        <v>10</v>
      </c>
      <c r="K54" s="11">
        <v>10</v>
      </c>
      <c r="L54" s="11">
        <v>10</v>
      </c>
      <c r="M54" s="11">
        <v>10</v>
      </c>
      <c r="N54" s="11">
        <v>10</v>
      </c>
      <c r="O54" s="11">
        <v>10</v>
      </c>
      <c r="P54" s="11">
        <v>10</v>
      </c>
      <c r="Q54" s="11">
        <v>10</v>
      </c>
    </row>
    <row r="55" spans="1:17" x14ac:dyDescent="0.2">
      <c r="G55">
        <f t="shared" si="0"/>
        <v>50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1:17" x14ac:dyDescent="0.2">
      <c r="A56" t="s">
        <v>1056</v>
      </c>
      <c r="B56" t="s">
        <v>1049</v>
      </c>
      <c r="C56">
        <f>C37</f>
        <v>1</v>
      </c>
      <c r="D56" t="s">
        <v>1052</v>
      </c>
      <c r="G56">
        <f t="shared" si="0"/>
        <v>51</v>
      </c>
      <c r="H56" s="11">
        <v>40</v>
      </c>
      <c r="I56" s="11">
        <v>40</v>
      </c>
      <c r="J56" s="11">
        <v>40</v>
      </c>
      <c r="K56" s="11">
        <v>40</v>
      </c>
      <c r="L56" s="11">
        <v>40</v>
      </c>
      <c r="M56" s="11">
        <v>40</v>
      </c>
      <c r="N56" s="11">
        <v>40</v>
      </c>
      <c r="O56" s="11">
        <v>40</v>
      </c>
      <c r="P56" s="11">
        <v>40</v>
      </c>
      <c r="Q56" s="11">
        <v>40</v>
      </c>
    </row>
    <row r="57" spans="1:17" x14ac:dyDescent="0.2">
      <c r="A57" t="s">
        <v>1056</v>
      </c>
      <c r="B57" t="str">
        <f>B56</f>
        <v>DP1</v>
      </c>
      <c r="C57">
        <v>1</v>
      </c>
      <c r="D57" t="s">
        <v>1053</v>
      </c>
      <c r="G57">
        <f t="shared" si="0"/>
        <v>52</v>
      </c>
      <c r="H57" s="11">
        <f>H56+1</f>
        <v>41</v>
      </c>
      <c r="I57" s="11">
        <v>45</v>
      </c>
      <c r="J57" s="11">
        <v>45</v>
      </c>
      <c r="K57" s="11">
        <v>45</v>
      </c>
      <c r="L57" s="11">
        <v>45</v>
      </c>
      <c r="M57" s="11">
        <v>45</v>
      </c>
      <c r="N57" s="11">
        <v>45</v>
      </c>
      <c r="O57" s="11">
        <v>45</v>
      </c>
      <c r="P57" s="11">
        <v>45</v>
      </c>
      <c r="Q57" s="11">
        <v>45</v>
      </c>
    </row>
    <row r="58" spans="1:17" x14ac:dyDescent="0.2">
      <c r="A58" t="s">
        <v>1056</v>
      </c>
      <c r="B58" t="str">
        <f>B57</f>
        <v>DP1</v>
      </c>
      <c r="C58">
        <v>1</v>
      </c>
      <c r="D58" t="s">
        <v>1054</v>
      </c>
      <c r="G58">
        <f t="shared" si="0"/>
        <v>53</v>
      </c>
      <c r="H58" s="11">
        <f t="shared" si="0"/>
        <v>42</v>
      </c>
      <c r="I58" s="11">
        <v>50</v>
      </c>
      <c r="J58" s="11">
        <v>50</v>
      </c>
      <c r="K58" s="11">
        <v>50</v>
      </c>
      <c r="L58" s="11">
        <v>50</v>
      </c>
      <c r="M58" s="11">
        <v>50</v>
      </c>
      <c r="N58" s="11">
        <v>50</v>
      </c>
      <c r="O58" s="11">
        <v>50</v>
      </c>
      <c r="P58" s="11">
        <v>50</v>
      </c>
      <c r="Q58" s="11">
        <v>50</v>
      </c>
    </row>
    <row r="59" spans="1:17" x14ac:dyDescent="0.2">
      <c r="A59" t="s">
        <v>1056</v>
      </c>
      <c r="B59" t="s">
        <v>1049</v>
      </c>
      <c r="C59">
        <v>2</v>
      </c>
      <c r="D59" t="s">
        <v>1052</v>
      </c>
      <c r="G59">
        <f t="shared" si="0"/>
        <v>54</v>
      </c>
      <c r="H59" s="11">
        <f t="shared" si="0"/>
        <v>43</v>
      </c>
      <c r="I59" s="11">
        <v>40</v>
      </c>
      <c r="J59" s="11">
        <v>40</v>
      </c>
      <c r="K59" s="11">
        <v>40</v>
      </c>
      <c r="L59" s="11">
        <v>40</v>
      </c>
      <c r="M59" s="11">
        <v>40</v>
      </c>
      <c r="N59" s="11">
        <v>40</v>
      </c>
      <c r="O59" s="11">
        <v>40</v>
      </c>
      <c r="P59" s="11">
        <v>40</v>
      </c>
      <c r="Q59" s="11">
        <v>40</v>
      </c>
    </row>
    <row r="60" spans="1:17" x14ac:dyDescent="0.2">
      <c r="A60" t="s">
        <v>1056</v>
      </c>
      <c r="B60" t="str">
        <f>B59</f>
        <v>DP1</v>
      </c>
      <c r="C60">
        <v>2</v>
      </c>
      <c r="D60" t="s">
        <v>1053</v>
      </c>
      <c r="G60">
        <f t="shared" si="0"/>
        <v>55</v>
      </c>
      <c r="H60" s="11">
        <f t="shared" si="0"/>
        <v>44</v>
      </c>
      <c r="I60" s="11">
        <v>45</v>
      </c>
      <c r="J60" s="11">
        <v>45</v>
      </c>
      <c r="K60" s="11">
        <v>45</v>
      </c>
      <c r="L60" s="11">
        <v>45</v>
      </c>
      <c r="M60" s="11">
        <v>45</v>
      </c>
      <c r="N60" s="11">
        <v>45</v>
      </c>
      <c r="O60" s="11">
        <v>45</v>
      </c>
      <c r="P60" s="11">
        <v>45</v>
      </c>
      <c r="Q60" s="11">
        <v>45</v>
      </c>
    </row>
    <row r="61" spans="1:17" x14ac:dyDescent="0.2">
      <c r="A61" t="s">
        <v>1056</v>
      </c>
      <c r="B61" t="str">
        <f>B60</f>
        <v>DP1</v>
      </c>
      <c r="C61">
        <v>2</v>
      </c>
      <c r="D61" t="s">
        <v>1054</v>
      </c>
      <c r="G61">
        <f t="shared" si="0"/>
        <v>56</v>
      </c>
      <c r="H61" s="11">
        <f t="shared" si="0"/>
        <v>45</v>
      </c>
      <c r="I61" s="11">
        <v>50</v>
      </c>
      <c r="J61" s="11">
        <v>50</v>
      </c>
      <c r="K61" s="11">
        <v>50</v>
      </c>
      <c r="L61" s="11">
        <v>50</v>
      </c>
      <c r="M61" s="11">
        <v>50</v>
      </c>
      <c r="N61" s="11">
        <v>50</v>
      </c>
      <c r="O61" s="11">
        <v>50</v>
      </c>
      <c r="P61" s="11">
        <v>50</v>
      </c>
      <c r="Q61" s="11">
        <v>50</v>
      </c>
    </row>
    <row r="62" spans="1:17" x14ac:dyDescent="0.2">
      <c r="A62" t="s">
        <v>1056</v>
      </c>
      <c r="B62" t="s">
        <v>1050</v>
      </c>
      <c r="C62">
        <f>C43</f>
        <v>1</v>
      </c>
      <c r="D62" t="s">
        <v>1052</v>
      </c>
      <c r="G62">
        <f t="shared" si="0"/>
        <v>57</v>
      </c>
      <c r="H62" s="11">
        <f t="shared" si="0"/>
        <v>46</v>
      </c>
      <c r="I62" s="11">
        <v>40</v>
      </c>
      <c r="J62" s="11">
        <v>40</v>
      </c>
      <c r="K62" s="11">
        <v>40</v>
      </c>
      <c r="L62" s="11">
        <v>40</v>
      </c>
      <c r="M62" s="11">
        <v>40</v>
      </c>
      <c r="N62" s="11">
        <v>40</v>
      </c>
      <c r="O62" s="11">
        <v>40</v>
      </c>
      <c r="P62" s="11">
        <v>40</v>
      </c>
      <c r="Q62" s="11">
        <v>40</v>
      </c>
    </row>
    <row r="63" spans="1:17" x14ac:dyDescent="0.2">
      <c r="A63" t="s">
        <v>1056</v>
      </c>
      <c r="B63" t="s">
        <v>1050</v>
      </c>
      <c r="C63">
        <v>1</v>
      </c>
      <c r="D63" t="s">
        <v>1053</v>
      </c>
      <c r="G63">
        <f t="shared" si="0"/>
        <v>58</v>
      </c>
      <c r="H63" s="11">
        <f t="shared" si="0"/>
        <v>47</v>
      </c>
      <c r="I63" s="11">
        <v>45</v>
      </c>
      <c r="J63" s="11">
        <v>45</v>
      </c>
      <c r="K63" s="11">
        <v>45</v>
      </c>
      <c r="L63" s="11">
        <v>45</v>
      </c>
      <c r="M63" s="11">
        <v>45</v>
      </c>
      <c r="N63" s="11">
        <v>45</v>
      </c>
      <c r="O63" s="11">
        <v>45</v>
      </c>
      <c r="P63" s="11">
        <v>45</v>
      </c>
      <c r="Q63" s="11">
        <v>45</v>
      </c>
    </row>
    <row r="64" spans="1:17" x14ac:dyDescent="0.2">
      <c r="A64" t="s">
        <v>1056</v>
      </c>
      <c r="B64" t="s">
        <v>1050</v>
      </c>
      <c r="C64">
        <v>1</v>
      </c>
      <c r="D64" t="s">
        <v>1054</v>
      </c>
      <c r="G64">
        <f t="shared" si="0"/>
        <v>59</v>
      </c>
      <c r="H64" s="11">
        <f t="shared" si="0"/>
        <v>48</v>
      </c>
      <c r="I64" s="11">
        <v>50</v>
      </c>
      <c r="J64" s="11">
        <v>50</v>
      </c>
      <c r="K64" s="11">
        <v>50</v>
      </c>
      <c r="L64" s="11">
        <v>50</v>
      </c>
      <c r="M64" s="11">
        <v>50</v>
      </c>
      <c r="N64" s="11">
        <v>50</v>
      </c>
      <c r="O64" s="11">
        <v>50</v>
      </c>
      <c r="P64" s="11">
        <v>50</v>
      </c>
      <c r="Q64" s="11">
        <v>50</v>
      </c>
    </row>
    <row r="65" spans="1:17" x14ac:dyDescent="0.2">
      <c r="A65" t="s">
        <v>1056</v>
      </c>
      <c r="B65" t="s">
        <v>1050</v>
      </c>
      <c r="C65">
        <v>2</v>
      </c>
      <c r="D65" t="s">
        <v>1052</v>
      </c>
      <c r="G65">
        <f t="shared" si="0"/>
        <v>60</v>
      </c>
      <c r="H65" s="11">
        <f t="shared" si="0"/>
        <v>49</v>
      </c>
      <c r="I65" s="11">
        <v>40</v>
      </c>
      <c r="J65" s="11">
        <v>40</v>
      </c>
      <c r="K65" s="11">
        <v>40</v>
      </c>
      <c r="L65" s="11">
        <v>40</v>
      </c>
      <c r="M65" s="11">
        <v>40</v>
      </c>
      <c r="N65" s="11">
        <v>40</v>
      </c>
      <c r="O65" s="11">
        <v>40</v>
      </c>
      <c r="P65" s="11">
        <v>40</v>
      </c>
      <c r="Q65" s="11">
        <v>40</v>
      </c>
    </row>
    <row r="66" spans="1:17" x14ac:dyDescent="0.2">
      <c r="A66" t="s">
        <v>1056</v>
      </c>
      <c r="B66" t="s">
        <v>1050</v>
      </c>
      <c r="C66">
        <v>2</v>
      </c>
      <c r="D66" t="s">
        <v>1053</v>
      </c>
      <c r="G66">
        <f t="shared" si="0"/>
        <v>61</v>
      </c>
      <c r="H66" s="11">
        <f t="shared" si="0"/>
        <v>50</v>
      </c>
      <c r="I66" s="11">
        <v>45</v>
      </c>
      <c r="J66" s="11">
        <v>45</v>
      </c>
      <c r="K66" s="11">
        <v>45</v>
      </c>
      <c r="L66" s="11">
        <v>45</v>
      </c>
      <c r="M66" s="11">
        <v>45</v>
      </c>
      <c r="N66" s="11">
        <v>45</v>
      </c>
      <c r="O66" s="11">
        <v>45</v>
      </c>
      <c r="P66" s="11">
        <v>45</v>
      </c>
      <c r="Q66" s="11">
        <v>45</v>
      </c>
    </row>
    <row r="67" spans="1:17" x14ac:dyDescent="0.2">
      <c r="A67" t="s">
        <v>1056</v>
      </c>
      <c r="B67" t="s">
        <v>1050</v>
      </c>
      <c r="C67">
        <v>2</v>
      </c>
      <c r="D67" t="s">
        <v>1054</v>
      </c>
      <c r="G67">
        <f t="shared" si="0"/>
        <v>62</v>
      </c>
      <c r="H67" s="11">
        <f t="shared" si="0"/>
        <v>51</v>
      </c>
      <c r="I67" s="11">
        <v>50</v>
      </c>
      <c r="J67" s="11">
        <v>50</v>
      </c>
      <c r="K67" s="11">
        <v>50</v>
      </c>
      <c r="L67" s="11">
        <v>50</v>
      </c>
      <c r="M67" s="11">
        <v>50</v>
      </c>
      <c r="N67" s="11">
        <v>50</v>
      </c>
      <c r="O67" s="11">
        <v>50</v>
      </c>
      <c r="P67" s="11">
        <v>50</v>
      </c>
      <c r="Q67" s="11">
        <v>50</v>
      </c>
    </row>
    <row r="68" spans="1:17" x14ac:dyDescent="0.2">
      <c r="A68" t="s">
        <v>1056</v>
      </c>
      <c r="B68" t="s">
        <v>1051</v>
      </c>
      <c r="C68">
        <f>C50</f>
        <v>2</v>
      </c>
      <c r="D68" t="s">
        <v>1052</v>
      </c>
      <c r="G68">
        <f t="shared" si="0"/>
        <v>63</v>
      </c>
      <c r="H68" s="11">
        <f t="shared" si="0"/>
        <v>52</v>
      </c>
      <c r="I68" s="11">
        <v>40</v>
      </c>
      <c r="J68" s="11">
        <v>40</v>
      </c>
      <c r="K68" s="11">
        <v>40</v>
      </c>
      <c r="L68" s="11">
        <v>40</v>
      </c>
      <c r="M68" s="11">
        <v>40</v>
      </c>
      <c r="N68" s="11">
        <v>40</v>
      </c>
      <c r="O68" s="11">
        <v>40</v>
      </c>
      <c r="P68" s="11">
        <v>40</v>
      </c>
      <c r="Q68" s="11">
        <v>40</v>
      </c>
    </row>
    <row r="69" spans="1:17" x14ac:dyDescent="0.2">
      <c r="A69" t="s">
        <v>1056</v>
      </c>
      <c r="B69" t="s">
        <v>1051</v>
      </c>
      <c r="C69">
        <v>1</v>
      </c>
      <c r="D69" t="s">
        <v>1053</v>
      </c>
      <c r="G69">
        <f t="shared" si="0"/>
        <v>64</v>
      </c>
      <c r="H69" s="11">
        <f t="shared" si="0"/>
        <v>53</v>
      </c>
      <c r="I69" s="11">
        <v>45</v>
      </c>
      <c r="J69" s="11">
        <v>45</v>
      </c>
      <c r="K69" s="11">
        <v>45</v>
      </c>
      <c r="L69" s="11">
        <v>45</v>
      </c>
      <c r="M69" s="11">
        <v>45</v>
      </c>
      <c r="N69" s="11">
        <v>45</v>
      </c>
      <c r="O69" s="11">
        <v>45</v>
      </c>
      <c r="P69" s="11">
        <v>45</v>
      </c>
      <c r="Q69" s="11">
        <v>45</v>
      </c>
    </row>
    <row r="70" spans="1:17" x14ac:dyDescent="0.2">
      <c r="A70" t="s">
        <v>1056</v>
      </c>
      <c r="B70" t="s">
        <v>1051</v>
      </c>
      <c r="C70">
        <v>1</v>
      </c>
      <c r="D70" t="s">
        <v>1054</v>
      </c>
      <c r="G70">
        <f t="shared" si="0"/>
        <v>65</v>
      </c>
      <c r="H70" s="11">
        <f t="shared" si="0"/>
        <v>54</v>
      </c>
      <c r="I70" s="11">
        <v>50</v>
      </c>
      <c r="J70" s="11">
        <v>50</v>
      </c>
      <c r="K70" s="11">
        <v>50</v>
      </c>
      <c r="L70" s="11">
        <v>50</v>
      </c>
      <c r="M70" s="11">
        <v>50</v>
      </c>
      <c r="N70" s="11">
        <v>50</v>
      </c>
      <c r="O70" s="11">
        <v>50</v>
      </c>
      <c r="P70" s="11">
        <v>50</v>
      </c>
      <c r="Q70" s="11">
        <v>50</v>
      </c>
    </row>
    <row r="71" spans="1:17" x14ac:dyDescent="0.2">
      <c r="A71" t="s">
        <v>1056</v>
      </c>
      <c r="B71" t="s">
        <v>1051</v>
      </c>
      <c r="C71">
        <v>2</v>
      </c>
      <c r="D71" t="s">
        <v>1052</v>
      </c>
      <c r="G71">
        <f t="shared" ref="G71:H73" si="15">G70+1</f>
        <v>66</v>
      </c>
      <c r="H71" s="11">
        <f t="shared" si="15"/>
        <v>55</v>
      </c>
      <c r="I71" s="11">
        <v>40</v>
      </c>
      <c r="J71" s="11">
        <v>40</v>
      </c>
      <c r="K71" s="11">
        <v>40</v>
      </c>
      <c r="L71" s="11">
        <v>40</v>
      </c>
      <c r="M71" s="11">
        <v>40</v>
      </c>
      <c r="N71" s="11">
        <v>40</v>
      </c>
      <c r="O71" s="11">
        <v>40</v>
      </c>
      <c r="P71" s="11">
        <v>40</v>
      </c>
      <c r="Q71" s="11">
        <v>40</v>
      </c>
    </row>
    <row r="72" spans="1:17" x14ac:dyDescent="0.2">
      <c r="A72" t="s">
        <v>1056</v>
      </c>
      <c r="B72" t="s">
        <v>1051</v>
      </c>
      <c r="C72">
        <v>2</v>
      </c>
      <c r="D72" t="s">
        <v>1053</v>
      </c>
      <c r="G72">
        <f t="shared" si="15"/>
        <v>67</v>
      </c>
      <c r="H72" s="11">
        <f t="shared" si="15"/>
        <v>56</v>
      </c>
      <c r="I72" s="11">
        <v>45</v>
      </c>
      <c r="J72" s="11">
        <v>45</v>
      </c>
      <c r="K72" s="11">
        <v>45</v>
      </c>
      <c r="L72" s="11">
        <v>45</v>
      </c>
      <c r="M72" s="11">
        <v>45</v>
      </c>
      <c r="N72" s="11">
        <v>45</v>
      </c>
      <c r="O72" s="11">
        <v>45</v>
      </c>
      <c r="P72" s="11">
        <v>45</v>
      </c>
      <c r="Q72" s="11">
        <v>45</v>
      </c>
    </row>
    <row r="73" spans="1:17" x14ac:dyDescent="0.2">
      <c r="A73" t="s">
        <v>1056</v>
      </c>
      <c r="B73" t="s">
        <v>1051</v>
      </c>
      <c r="C73">
        <v>2</v>
      </c>
      <c r="D73" t="s">
        <v>1054</v>
      </c>
      <c r="G73">
        <f t="shared" si="15"/>
        <v>68</v>
      </c>
      <c r="H73" s="11">
        <f t="shared" si="15"/>
        <v>57</v>
      </c>
      <c r="I73" s="11">
        <v>50</v>
      </c>
      <c r="J73" s="11">
        <v>50</v>
      </c>
      <c r="K73" s="11">
        <v>50</v>
      </c>
      <c r="L73" s="11">
        <v>50</v>
      </c>
      <c r="M73" s="11">
        <v>50</v>
      </c>
      <c r="N73" s="11">
        <v>50</v>
      </c>
      <c r="O73" s="11">
        <v>50</v>
      </c>
      <c r="P73" s="11">
        <v>50</v>
      </c>
      <c r="Q73" s="11">
        <v>50</v>
      </c>
    </row>
    <row r="74" spans="1:17" x14ac:dyDescent="0.2">
      <c r="H74" s="11"/>
      <c r="I74" s="11"/>
      <c r="J74" s="11"/>
      <c r="K74" s="11"/>
      <c r="L74" s="11"/>
      <c r="M74" s="11"/>
      <c r="N74" s="11"/>
      <c r="O74" s="11"/>
      <c r="P74" s="11"/>
      <c r="Q74" s="11"/>
    </row>
  </sheetData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4:LE34"/>
  <sheetViews>
    <sheetView workbookViewId="0">
      <selection activeCell="H29" sqref="H29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80</v>
      </c>
      <c r="I10" s="11">
        <f>H10+5</f>
        <v>85</v>
      </c>
      <c r="J10" s="11">
        <f t="shared" ref="J10:Q10" si="1">I10+5</f>
        <v>90</v>
      </c>
      <c r="K10" s="11">
        <f t="shared" si="1"/>
        <v>95</v>
      </c>
      <c r="L10" s="11">
        <f t="shared" si="1"/>
        <v>100</v>
      </c>
      <c r="M10" s="11">
        <f t="shared" si="1"/>
        <v>105</v>
      </c>
      <c r="N10" s="11">
        <f t="shared" si="1"/>
        <v>110</v>
      </c>
      <c r="O10" s="11">
        <f t="shared" si="1"/>
        <v>115</v>
      </c>
      <c r="P10" s="11">
        <f t="shared" si="1"/>
        <v>120</v>
      </c>
      <c r="Q10" s="11">
        <f t="shared" si="1"/>
        <v>125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80</v>
      </c>
      <c r="I11" s="11">
        <f t="shared" ref="I11:Q11" si="2">H11+5</f>
        <v>85</v>
      </c>
      <c r="J11" s="11">
        <f t="shared" si="2"/>
        <v>90</v>
      </c>
      <c r="K11" s="11">
        <f t="shared" si="2"/>
        <v>95</v>
      </c>
      <c r="L11" s="11">
        <f t="shared" si="2"/>
        <v>100</v>
      </c>
      <c r="M11" s="11">
        <f t="shared" si="2"/>
        <v>105</v>
      </c>
      <c r="N11" s="11">
        <f t="shared" si="2"/>
        <v>110</v>
      </c>
      <c r="O11" s="11">
        <f t="shared" si="2"/>
        <v>115</v>
      </c>
      <c r="P11" s="11">
        <f t="shared" si="2"/>
        <v>120</v>
      </c>
      <c r="Q11" s="11">
        <f t="shared" si="2"/>
        <v>125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80</v>
      </c>
      <c r="I12" s="11">
        <f t="shared" ref="I12:Q12" si="3">H12+5</f>
        <v>85</v>
      </c>
      <c r="J12" s="11">
        <f t="shared" si="3"/>
        <v>90</v>
      </c>
      <c r="K12" s="11">
        <f t="shared" si="3"/>
        <v>95</v>
      </c>
      <c r="L12" s="11">
        <f t="shared" si="3"/>
        <v>100</v>
      </c>
      <c r="M12" s="11">
        <f t="shared" si="3"/>
        <v>105</v>
      </c>
      <c r="N12" s="11">
        <f t="shared" si="3"/>
        <v>110</v>
      </c>
      <c r="O12" s="11">
        <f t="shared" si="3"/>
        <v>115</v>
      </c>
      <c r="P12" s="11">
        <f t="shared" si="3"/>
        <v>120</v>
      </c>
      <c r="Q12" s="11">
        <f t="shared" si="3"/>
        <v>125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v>46</v>
      </c>
      <c r="J13" s="11">
        <v>46</v>
      </c>
      <c r="K13" s="11">
        <v>46</v>
      </c>
      <c r="L13" s="11">
        <v>46</v>
      </c>
      <c r="M13" s="11">
        <v>46</v>
      </c>
      <c r="N13" s="11">
        <v>46</v>
      </c>
      <c r="O13" s="11">
        <v>46</v>
      </c>
      <c r="P13" s="11">
        <v>46</v>
      </c>
      <c r="Q13" s="11"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4">C11+1</f>
        <v>1</v>
      </c>
      <c r="D14" t="s">
        <v>28</v>
      </c>
      <c r="E14">
        <v>2</v>
      </c>
      <c r="G14">
        <f t="shared" si="0"/>
        <v>9</v>
      </c>
      <c r="H14" s="11">
        <v>46</v>
      </c>
      <c r="I14" s="11">
        <v>46</v>
      </c>
      <c r="J14" s="11">
        <v>46</v>
      </c>
      <c r="K14" s="11">
        <v>46</v>
      </c>
      <c r="L14" s="11">
        <v>46</v>
      </c>
      <c r="M14" s="11">
        <v>46</v>
      </c>
      <c r="N14" s="11">
        <v>46</v>
      </c>
      <c r="O14" s="11">
        <v>46</v>
      </c>
      <c r="P14" s="11">
        <v>46</v>
      </c>
      <c r="Q14" s="11"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4"/>
        <v>1</v>
      </c>
      <c r="D15" t="s">
        <v>28</v>
      </c>
      <c r="E15">
        <v>3</v>
      </c>
      <c r="G15">
        <f t="shared" si="0"/>
        <v>10</v>
      </c>
      <c r="H15" s="11">
        <v>46</v>
      </c>
      <c r="I15" s="11">
        <v>46</v>
      </c>
      <c r="J15" s="11">
        <v>46</v>
      </c>
      <c r="K15" s="11">
        <v>46</v>
      </c>
      <c r="L15" s="11">
        <v>46</v>
      </c>
      <c r="M15" s="11">
        <v>46</v>
      </c>
      <c r="N15" s="11">
        <v>46</v>
      </c>
      <c r="O15" s="11">
        <v>46</v>
      </c>
      <c r="P15" s="11">
        <v>46</v>
      </c>
      <c r="Q15" s="11"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4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4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4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f>H30+0.5</f>
        <v>50.5</v>
      </c>
      <c r="J30" s="11">
        <f t="shared" ref="J30:Q30" si="5">I30+0.5</f>
        <v>51</v>
      </c>
      <c r="K30" s="11">
        <f t="shared" si="5"/>
        <v>51.5</v>
      </c>
      <c r="L30" s="11">
        <f t="shared" si="5"/>
        <v>52</v>
      </c>
      <c r="M30" s="11">
        <f t="shared" si="5"/>
        <v>52.5</v>
      </c>
      <c r="N30" s="11">
        <f t="shared" si="5"/>
        <v>53</v>
      </c>
      <c r="O30" s="11">
        <f t="shared" si="5"/>
        <v>53.5</v>
      </c>
      <c r="P30" s="11">
        <f t="shared" si="5"/>
        <v>54</v>
      </c>
      <c r="Q30" s="11">
        <f t="shared" si="5"/>
        <v>54.5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50</v>
      </c>
      <c r="I31" s="11">
        <f>H31+0.5</f>
        <v>50.5</v>
      </c>
      <c r="J31" s="11">
        <f t="shared" ref="J31:Q31" si="6">I31+0.5</f>
        <v>51</v>
      </c>
      <c r="K31" s="11">
        <f t="shared" si="6"/>
        <v>51.5</v>
      </c>
      <c r="L31" s="11">
        <f t="shared" si="6"/>
        <v>52</v>
      </c>
      <c r="M31" s="11">
        <f t="shared" si="6"/>
        <v>52.5</v>
      </c>
      <c r="N31" s="11">
        <f t="shared" si="6"/>
        <v>53</v>
      </c>
      <c r="O31" s="11">
        <f t="shared" si="6"/>
        <v>53.5</v>
      </c>
      <c r="P31" s="11">
        <f t="shared" si="6"/>
        <v>54</v>
      </c>
      <c r="Q31" s="11">
        <f t="shared" si="6"/>
        <v>54.5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2">
        <v>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4:LE31"/>
  <sheetViews>
    <sheetView showGridLines="0" workbookViewId="0">
      <selection activeCell="I7" sqref="I7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100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1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>
        <f>IF(NOT(ISBLANK(H10)),1/$J$7,"")</f>
        <v>0.1</v>
      </c>
      <c r="I9" s="12">
        <f t="shared" ref="I9:Q9" si="1">IF(NOT(ISBLANK(I10)),1/$J$7,"")</f>
        <v>0.1</v>
      </c>
      <c r="J9" s="12">
        <f t="shared" si="1"/>
        <v>0.1</v>
      </c>
      <c r="K9" s="12">
        <f t="shared" si="1"/>
        <v>0.1</v>
      </c>
      <c r="L9" s="12">
        <f t="shared" si="1"/>
        <v>0.1</v>
      </c>
      <c r="M9" s="12">
        <f t="shared" si="1"/>
        <v>0.1</v>
      </c>
      <c r="N9" s="12">
        <f t="shared" si="1"/>
        <v>0.1</v>
      </c>
      <c r="O9" s="12">
        <f t="shared" si="1"/>
        <v>0.1</v>
      </c>
      <c r="P9" s="12">
        <f t="shared" si="1"/>
        <v>0.1</v>
      </c>
      <c r="Q9" s="12">
        <f t="shared" si="1"/>
        <v>0.1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ref="L10:Q12" si="2">I10+5</f>
        <v>15</v>
      </c>
      <c r="M10" s="11">
        <f t="shared" si="2"/>
        <v>15</v>
      </c>
      <c r="N10" s="11">
        <f t="shared" si="2"/>
        <v>15</v>
      </c>
      <c r="O10" s="11">
        <f t="shared" si="2"/>
        <v>20</v>
      </c>
      <c r="P10" s="11">
        <f t="shared" si="2"/>
        <v>20</v>
      </c>
      <c r="Q10" s="11">
        <f t="shared" si="2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2"/>
        <v>15</v>
      </c>
      <c r="M11" s="11">
        <f t="shared" si="2"/>
        <v>15</v>
      </c>
      <c r="N11" s="11">
        <f t="shared" si="2"/>
        <v>15</v>
      </c>
      <c r="O11" s="11">
        <f t="shared" si="2"/>
        <v>20</v>
      </c>
      <c r="P11" s="11">
        <f t="shared" si="2"/>
        <v>20</v>
      </c>
      <c r="Q11" s="11">
        <f t="shared" si="2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10</v>
      </c>
      <c r="I12" s="11">
        <v>10</v>
      </c>
      <c r="J12" s="11">
        <v>10</v>
      </c>
      <c r="K12" s="11">
        <v>10</v>
      </c>
      <c r="L12" s="11">
        <f t="shared" si="2"/>
        <v>15</v>
      </c>
      <c r="M12" s="11">
        <f t="shared" si="2"/>
        <v>15</v>
      </c>
      <c r="N12" s="11">
        <f t="shared" si="2"/>
        <v>15</v>
      </c>
      <c r="O12" s="11">
        <f t="shared" si="2"/>
        <v>20</v>
      </c>
      <c r="P12" s="11">
        <f t="shared" si="2"/>
        <v>20</v>
      </c>
      <c r="Q12" s="11">
        <f t="shared" si="2"/>
        <v>20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3">C11+1</f>
        <v>1</v>
      </c>
      <c r="D14" t="s">
        <v>28</v>
      </c>
      <c r="E14">
        <v>2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3"/>
        <v>1</v>
      </c>
      <c r="D15" t="s">
        <v>28</v>
      </c>
      <c r="E15">
        <v>3</v>
      </c>
      <c r="G15">
        <f t="shared" si="0"/>
        <v>10</v>
      </c>
      <c r="H15" s="11">
        <v>100</v>
      </c>
      <c r="I15" s="11">
        <v>100</v>
      </c>
      <c r="J15" s="11">
        <v>100</v>
      </c>
      <c r="K15" s="11">
        <v>100</v>
      </c>
      <c r="L15" s="11">
        <v>100</v>
      </c>
      <c r="M15" s="11">
        <v>100</v>
      </c>
      <c r="N15" s="11">
        <v>100</v>
      </c>
      <c r="O15" s="11">
        <v>100</v>
      </c>
      <c r="P15" s="11">
        <v>100</v>
      </c>
      <c r="Q15" s="1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3"/>
        <v>2</v>
      </c>
      <c r="D16" t="s">
        <v>28</v>
      </c>
      <c r="E16">
        <v>1</v>
      </c>
      <c r="G16">
        <f t="shared" si="0"/>
        <v>11</v>
      </c>
      <c r="H16" s="11" t="s">
        <v>69</v>
      </c>
      <c r="I16" s="11" t="s">
        <v>70</v>
      </c>
      <c r="J16" s="11" t="s">
        <v>71</v>
      </c>
      <c r="K16" s="11" t="s">
        <v>69</v>
      </c>
      <c r="L16" s="11" t="s">
        <v>70</v>
      </c>
      <c r="M16" s="11" t="s">
        <v>71</v>
      </c>
      <c r="N16" s="11" t="s">
        <v>69</v>
      </c>
      <c r="O16" s="11" t="s">
        <v>70</v>
      </c>
      <c r="P16" s="11" t="s">
        <v>71</v>
      </c>
      <c r="Q16" s="11" t="s">
        <v>71</v>
      </c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3"/>
        <v>2</v>
      </c>
      <c r="D17" t="s">
        <v>28</v>
      </c>
      <c r="E17">
        <v>2</v>
      </c>
      <c r="G17">
        <f t="shared" si="0"/>
        <v>12</v>
      </c>
      <c r="H17" s="11" t="s">
        <v>69</v>
      </c>
      <c r="I17" s="11" t="s">
        <v>70</v>
      </c>
      <c r="J17" s="11" t="s">
        <v>71</v>
      </c>
      <c r="K17" s="11" t="s">
        <v>69</v>
      </c>
      <c r="L17" s="11" t="s">
        <v>70</v>
      </c>
      <c r="M17" s="11" t="s">
        <v>71</v>
      </c>
      <c r="N17" s="11" t="s">
        <v>69</v>
      </c>
      <c r="O17" s="11" t="s">
        <v>70</v>
      </c>
      <c r="P17" s="11" t="s">
        <v>71</v>
      </c>
      <c r="Q17" s="11" t="s">
        <v>71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3"/>
        <v>2</v>
      </c>
      <c r="D18" t="s">
        <v>28</v>
      </c>
      <c r="E18">
        <v>3</v>
      </c>
      <c r="G18">
        <f t="shared" si="0"/>
        <v>13</v>
      </c>
      <c r="H18" s="11" t="s">
        <v>69</v>
      </c>
      <c r="I18" s="11" t="s">
        <v>70</v>
      </c>
      <c r="J18" s="11" t="s">
        <v>71</v>
      </c>
      <c r="K18" s="11" t="s">
        <v>69</v>
      </c>
      <c r="L18" s="11" t="s">
        <v>70</v>
      </c>
      <c r="M18" s="11" t="s">
        <v>71</v>
      </c>
      <c r="N18" s="11" t="s">
        <v>69</v>
      </c>
      <c r="O18" s="11" t="s">
        <v>70</v>
      </c>
      <c r="P18" s="11" t="s">
        <v>71</v>
      </c>
      <c r="Q18" s="11" t="s">
        <v>71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G19">
        <f t="shared" si="0"/>
        <v>14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317" x14ac:dyDescent="0.3">
      <c r="A20" t="s">
        <v>83</v>
      </c>
      <c r="B20" t="s">
        <v>84</v>
      </c>
      <c r="G20">
        <f t="shared" si="0"/>
        <v>15</v>
      </c>
      <c r="H20" s="11" t="s">
        <v>72</v>
      </c>
      <c r="I20" s="11"/>
      <c r="J20" s="11"/>
      <c r="K20" s="11"/>
      <c r="L20" s="11"/>
      <c r="M20" s="11"/>
      <c r="N20" s="11"/>
      <c r="O20" s="11"/>
      <c r="P20" s="11"/>
      <c r="Q20" s="11"/>
    </row>
    <row r="21" spans="1:317" x14ac:dyDescent="0.3">
      <c r="A21" t="s">
        <v>85</v>
      </c>
      <c r="G21">
        <f t="shared" si="0"/>
        <v>16</v>
      </c>
      <c r="H21" s="11" t="s">
        <v>73</v>
      </c>
      <c r="I21" s="11"/>
      <c r="J21" s="11"/>
      <c r="K21" s="11"/>
      <c r="L21" s="11"/>
      <c r="M21" s="11"/>
      <c r="N21" s="11"/>
      <c r="O21" s="11"/>
      <c r="P21" s="11"/>
      <c r="Q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86</v>
      </c>
      <c r="B23" t="s">
        <v>87</v>
      </c>
      <c r="C23" t="s">
        <v>88</v>
      </c>
      <c r="D23" t="s">
        <v>89</v>
      </c>
      <c r="E23">
        <v>1</v>
      </c>
      <c r="G23">
        <f t="shared" si="0"/>
        <v>18</v>
      </c>
      <c r="H23" s="11">
        <v>15</v>
      </c>
      <c r="I23" s="11">
        <f>H23+1</f>
        <v>16</v>
      </c>
      <c r="J23" s="11">
        <f t="shared" ref="J23:Q23" si="4">I23+1</f>
        <v>17</v>
      </c>
      <c r="K23" s="11">
        <f t="shared" si="4"/>
        <v>18</v>
      </c>
      <c r="L23" s="11">
        <f t="shared" si="4"/>
        <v>19</v>
      </c>
      <c r="M23" s="11">
        <f t="shared" si="4"/>
        <v>20</v>
      </c>
      <c r="N23" s="11">
        <f t="shared" si="4"/>
        <v>21</v>
      </c>
      <c r="O23" s="11">
        <f t="shared" si="4"/>
        <v>22</v>
      </c>
      <c r="P23" s="11">
        <f t="shared" si="4"/>
        <v>23</v>
      </c>
      <c r="Q23" s="11">
        <f t="shared" si="4"/>
        <v>24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3">
      <c r="A24" t="s">
        <v>86</v>
      </c>
      <c r="B24" t="s">
        <v>87</v>
      </c>
      <c r="C24" t="s">
        <v>88</v>
      </c>
      <c r="D24" t="s">
        <v>89</v>
      </c>
      <c r="E24">
        <v>1</v>
      </c>
      <c r="G24">
        <f t="shared" si="0"/>
        <v>19</v>
      </c>
      <c r="H24" s="11">
        <v>40</v>
      </c>
      <c r="I24" s="11">
        <f t="shared" ref="I24:Q28" si="5">H24+1</f>
        <v>41</v>
      </c>
      <c r="J24" s="11">
        <f t="shared" si="5"/>
        <v>42</v>
      </c>
      <c r="K24" s="11">
        <f t="shared" si="5"/>
        <v>43</v>
      </c>
      <c r="L24" s="11">
        <f t="shared" si="5"/>
        <v>44</v>
      </c>
      <c r="M24" s="11">
        <f t="shared" si="5"/>
        <v>45</v>
      </c>
      <c r="N24" s="11">
        <f t="shared" si="5"/>
        <v>46</v>
      </c>
      <c r="O24" s="11">
        <f t="shared" si="5"/>
        <v>47</v>
      </c>
      <c r="P24" s="11">
        <f t="shared" si="5"/>
        <v>48</v>
      </c>
      <c r="Q24" s="11">
        <f t="shared" si="5"/>
        <v>49</v>
      </c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</row>
    <row r="25" spans="1:317" x14ac:dyDescent="0.3">
      <c r="A25" t="s">
        <v>86</v>
      </c>
      <c r="B25" t="s">
        <v>87</v>
      </c>
      <c r="C25" t="s">
        <v>88</v>
      </c>
      <c r="D25" t="s">
        <v>89</v>
      </c>
      <c r="E25">
        <v>2</v>
      </c>
      <c r="G25">
        <f t="shared" si="0"/>
        <v>20</v>
      </c>
      <c r="H25" s="11">
        <v>55</v>
      </c>
      <c r="I25" s="11">
        <f t="shared" si="5"/>
        <v>56</v>
      </c>
      <c r="J25" s="11">
        <f t="shared" si="5"/>
        <v>57</v>
      </c>
      <c r="K25" s="11">
        <f t="shared" si="5"/>
        <v>58</v>
      </c>
      <c r="L25" s="11">
        <f t="shared" si="5"/>
        <v>59</v>
      </c>
      <c r="M25" s="11">
        <f t="shared" si="5"/>
        <v>60</v>
      </c>
      <c r="N25" s="11">
        <f t="shared" si="5"/>
        <v>61</v>
      </c>
      <c r="O25" s="11">
        <f t="shared" si="5"/>
        <v>62</v>
      </c>
      <c r="P25" s="11">
        <f t="shared" si="5"/>
        <v>63</v>
      </c>
      <c r="Q25" s="11">
        <f t="shared" si="5"/>
        <v>64</v>
      </c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2</v>
      </c>
      <c r="G26">
        <f t="shared" si="0"/>
        <v>21</v>
      </c>
      <c r="H26" s="12">
        <v>200</v>
      </c>
      <c r="I26" s="11">
        <f t="shared" si="5"/>
        <v>201</v>
      </c>
      <c r="J26" s="11">
        <f t="shared" si="5"/>
        <v>202</v>
      </c>
      <c r="K26" s="11">
        <f t="shared" si="5"/>
        <v>203</v>
      </c>
      <c r="L26" s="11">
        <f t="shared" si="5"/>
        <v>204</v>
      </c>
      <c r="M26" s="11">
        <f t="shared" si="5"/>
        <v>205</v>
      </c>
      <c r="N26" s="11">
        <f t="shared" si="5"/>
        <v>206</v>
      </c>
      <c r="O26" s="11">
        <f t="shared" si="5"/>
        <v>207</v>
      </c>
      <c r="P26" s="11">
        <f t="shared" si="5"/>
        <v>208</v>
      </c>
      <c r="Q26" s="11">
        <f t="shared" si="5"/>
        <v>209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3</v>
      </c>
      <c r="G27">
        <f t="shared" si="0"/>
        <v>22</v>
      </c>
      <c r="H27" s="12">
        <v>200</v>
      </c>
      <c r="I27" s="11">
        <f t="shared" si="5"/>
        <v>201</v>
      </c>
      <c r="J27" s="11">
        <f t="shared" si="5"/>
        <v>202</v>
      </c>
      <c r="K27" s="11">
        <f t="shared" si="5"/>
        <v>203</v>
      </c>
      <c r="L27" s="11">
        <f t="shared" si="5"/>
        <v>204</v>
      </c>
      <c r="M27" s="11">
        <f t="shared" si="5"/>
        <v>205</v>
      </c>
      <c r="N27" s="11">
        <f t="shared" si="5"/>
        <v>206</v>
      </c>
      <c r="O27" s="11">
        <f t="shared" si="5"/>
        <v>207</v>
      </c>
      <c r="P27" s="11">
        <f t="shared" si="5"/>
        <v>208</v>
      </c>
      <c r="Q27" s="11">
        <f t="shared" si="5"/>
        <v>209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2">
        <v>200</v>
      </c>
      <c r="I28" s="11">
        <f t="shared" si="5"/>
        <v>201</v>
      </c>
      <c r="J28" s="11">
        <f t="shared" si="5"/>
        <v>202</v>
      </c>
      <c r="K28" s="11">
        <f t="shared" si="5"/>
        <v>203</v>
      </c>
      <c r="L28" s="11">
        <f t="shared" si="5"/>
        <v>204</v>
      </c>
      <c r="M28" s="11">
        <f t="shared" si="5"/>
        <v>205</v>
      </c>
      <c r="N28" s="11">
        <f t="shared" si="5"/>
        <v>206</v>
      </c>
      <c r="O28" s="11">
        <f t="shared" si="5"/>
        <v>207</v>
      </c>
      <c r="P28" s="11">
        <f t="shared" si="5"/>
        <v>208</v>
      </c>
      <c r="Q28" s="11">
        <f t="shared" si="5"/>
        <v>209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G29">
        <f t="shared" si="0"/>
        <v>24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317" x14ac:dyDescent="0.3">
      <c r="A30" t="s">
        <v>90</v>
      </c>
      <c r="B30" t="s">
        <v>4</v>
      </c>
      <c r="G30">
        <f t="shared" si="0"/>
        <v>25</v>
      </c>
      <c r="H30" s="11" t="s">
        <v>78</v>
      </c>
      <c r="I30" s="11"/>
      <c r="J30" s="11"/>
      <c r="K30" s="11"/>
      <c r="L30" s="11"/>
      <c r="M30" s="11"/>
      <c r="N30" s="11"/>
      <c r="O30" s="11"/>
      <c r="P30" s="11"/>
      <c r="Q30" s="11"/>
    </row>
    <row r="31" spans="1:317" x14ac:dyDescent="0.3">
      <c r="A31" t="s">
        <v>53</v>
      </c>
      <c r="B31" t="s">
        <v>91</v>
      </c>
      <c r="G31">
        <f t="shared" si="0"/>
        <v>26</v>
      </c>
      <c r="H31" s="11" t="s">
        <v>72</v>
      </c>
      <c r="I31" s="11" t="s">
        <v>79</v>
      </c>
      <c r="J31" s="11"/>
      <c r="K31" s="11"/>
      <c r="L31" s="11"/>
      <c r="M31" s="11"/>
      <c r="N31" s="11"/>
      <c r="O31" s="11"/>
      <c r="P31" s="11"/>
      <c r="Q31" s="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4:LE36"/>
  <sheetViews>
    <sheetView topLeftCell="A3" workbookViewId="0">
      <selection activeCell="C24" sqref="C24"/>
    </sheetView>
  </sheetViews>
  <sheetFormatPr baseColWidth="10" defaultColWidth="11.1640625" defaultRowHeight="16" x14ac:dyDescent="0.2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92</v>
      </c>
      <c r="G6">
        <f>G5+1</f>
        <v>1</v>
      </c>
      <c r="H6" s="11">
        <v>3</v>
      </c>
      <c r="I6" s="11">
        <v>3</v>
      </c>
      <c r="J6" s="11">
        <f>COUNT(H9:XFD9)</f>
        <v>10</v>
      </c>
      <c r="K6" s="11"/>
      <c r="L6" s="11"/>
      <c r="M6" s="11"/>
      <c r="N6" s="11"/>
      <c r="O6" s="11"/>
      <c r="P6" s="11"/>
      <c r="Q6" s="11"/>
    </row>
    <row r="7" spans="1:317" x14ac:dyDescent="0.3">
      <c r="G7">
        <f t="shared" ref="G7:G36" si="0">G6+1</f>
        <v>2</v>
      </c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317" x14ac:dyDescent="0.3">
      <c r="A8" t="s">
        <v>96</v>
      </c>
      <c r="B8" t="s">
        <v>80</v>
      </c>
      <c r="G8">
        <f t="shared" si="0"/>
        <v>3</v>
      </c>
      <c r="H8" s="12" t="s">
        <v>68</v>
      </c>
      <c r="I8" s="12" t="s">
        <v>68</v>
      </c>
      <c r="J8" s="12" t="s">
        <v>68</v>
      </c>
      <c r="K8" s="12" t="s">
        <v>68</v>
      </c>
      <c r="L8" s="12" t="s">
        <v>68</v>
      </c>
      <c r="M8" s="12" t="s">
        <v>68</v>
      </c>
      <c r="N8" s="12" t="s">
        <v>68</v>
      </c>
      <c r="O8" s="12" t="s">
        <v>68</v>
      </c>
      <c r="P8" s="12" t="s">
        <v>68</v>
      </c>
      <c r="Q8" s="12" t="s">
        <v>68</v>
      </c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</row>
    <row r="9" spans="1:317" x14ac:dyDescent="0.3">
      <c r="A9" t="s">
        <v>98</v>
      </c>
      <c r="G9">
        <f t="shared" si="0"/>
        <v>4</v>
      </c>
      <c r="H9" s="11">
        <v>10</v>
      </c>
      <c r="I9" s="11">
        <v>10</v>
      </c>
      <c r="J9" s="11">
        <v>10</v>
      </c>
      <c r="K9" s="11">
        <v>10</v>
      </c>
      <c r="L9" s="11">
        <f t="shared" ref="L9:Q11" si="1">I9+5</f>
        <v>15</v>
      </c>
      <c r="M9" s="11">
        <f t="shared" si="1"/>
        <v>15</v>
      </c>
      <c r="N9" s="11">
        <f t="shared" si="1"/>
        <v>15</v>
      </c>
      <c r="O9" s="11">
        <f t="shared" si="1"/>
        <v>20</v>
      </c>
      <c r="P9" s="11">
        <f t="shared" si="1"/>
        <v>20</v>
      </c>
      <c r="Q9" s="11">
        <f t="shared" si="1"/>
        <v>20</v>
      </c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</row>
    <row r="10" spans="1:317" x14ac:dyDescent="0.3">
      <c r="A10" t="s">
        <v>99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si="1"/>
        <v>15</v>
      </c>
      <c r="M10" s="11">
        <f t="shared" si="1"/>
        <v>15</v>
      </c>
      <c r="N10" s="11">
        <f t="shared" si="1"/>
        <v>15</v>
      </c>
      <c r="O10" s="11">
        <f t="shared" si="1"/>
        <v>20</v>
      </c>
      <c r="P10" s="11">
        <f t="shared" si="1"/>
        <v>20</v>
      </c>
      <c r="Q10" s="11">
        <f t="shared" si="1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100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1"/>
        <v>15</v>
      </c>
      <c r="M11" s="11">
        <f t="shared" si="1"/>
        <v>15</v>
      </c>
      <c r="N11" s="11">
        <f t="shared" si="1"/>
        <v>15</v>
      </c>
      <c r="O11" s="11">
        <f t="shared" si="1"/>
        <v>20</v>
      </c>
      <c r="P11" s="11">
        <f t="shared" si="1"/>
        <v>20</v>
      </c>
      <c r="Q11" s="11">
        <f t="shared" si="1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81</v>
      </c>
      <c r="B12" t="s">
        <v>82</v>
      </c>
      <c r="C12">
        <f>C9+1</f>
        <v>1</v>
      </c>
      <c r="D12" t="s">
        <v>28</v>
      </c>
      <c r="E12">
        <v>1</v>
      </c>
      <c r="G12">
        <f t="shared" si="0"/>
        <v>7</v>
      </c>
      <c r="H12" s="11">
        <v>100</v>
      </c>
      <c r="I12" s="11">
        <v>100</v>
      </c>
      <c r="J12" s="11">
        <v>100</v>
      </c>
      <c r="K12" s="11">
        <v>100</v>
      </c>
      <c r="L12" s="11">
        <v>100</v>
      </c>
      <c r="M12" s="11">
        <v>100</v>
      </c>
      <c r="N12" s="11">
        <v>100</v>
      </c>
      <c r="O12" s="11">
        <v>100</v>
      </c>
      <c r="P12" s="11">
        <v>100</v>
      </c>
      <c r="Q12" s="11">
        <v>100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 t="shared" ref="C13:C17" si="2">C10+1</f>
        <v>1</v>
      </c>
      <c r="D13" t="s">
        <v>28</v>
      </c>
      <c r="E13">
        <v>2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si="2"/>
        <v>1</v>
      </c>
      <c r="D14" t="s">
        <v>28</v>
      </c>
      <c r="E14">
        <v>3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2"/>
        <v>2</v>
      </c>
      <c r="D15" t="s">
        <v>28</v>
      </c>
      <c r="E15">
        <v>1</v>
      </c>
      <c r="G15">
        <f t="shared" si="0"/>
        <v>10</v>
      </c>
      <c r="H15" s="12">
        <v>35</v>
      </c>
      <c r="I15" s="12">
        <v>47</v>
      </c>
      <c r="J15" s="11">
        <v>56</v>
      </c>
      <c r="K15" s="12">
        <v>35</v>
      </c>
      <c r="L15" s="12">
        <v>47</v>
      </c>
      <c r="M15" s="11">
        <v>56</v>
      </c>
      <c r="N15" s="12">
        <v>35</v>
      </c>
      <c r="O15" s="12">
        <v>47</v>
      </c>
      <c r="P15" s="11">
        <v>56</v>
      </c>
      <c r="Q15" s="12">
        <v>35</v>
      </c>
      <c r="R15" s="12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2"/>
        <v>2</v>
      </c>
      <c r="D16" t="s">
        <v>28</v>
      </c>
      <c r="E16">
        <v>2</v>
      </c>
      <c r="G16">
        <f t="shared" si="0"/>
        <v>11</v>
      </c>
      <c r="H16" s="12">
        <v>35</v>
      </c>
      <c r="I16" s="12">
        <v>47</v>
      </c>
      <c r="J16" s="11">
        <v>56</v>
      </c>
      <c r="K16" s="12">
        <v>35</v>
      </c>
      <c r="L16" s="12">
        <v>47</v>
      </c>
      <c r="M16" s="11">
        <v>56</v>
      </c>
      <c r="N16" s="12">
        <v>35</v>
      </c>
      <c r="O16" s="12">
        <v>47</v>
      </c>
      <c r="P16" s="11">
        <v>56</v>
      </c>
      <c r="Q16" s="12">
        <v>35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2"/>
        <v>2</v>
      </c>
      <c r="D17" t="s">
        <v>28</v>
      </c>
      <c r="E17">
        <v>3</v>
      </c>
      <c r="G17">
        <f t="shared" si="0"/>
        <v>12</v>
      </c>
      <c r="H17" s="12">
        <v>35</v>
      </c>
      <c r="I17" s="12">
        <v>47</v>
      </c>
      <c r="J17" s="11">
        <v>56</v>
      </c>
      <c r="K17" s="12">
        <v>35</v>
      </c>
      <c r="L17" s="12">
        <v>47</v>
      </c>
      <c r="M17" s="11">
        <v>56</v>
      </c>
      <c r="N17" s="12">
        <v>35</v>
      </c>
      <c r="O17" s="12">
        <v>47</v>
      </c>
      <c r="P17" s="11">
        <v>56</v>
      </c>
      <c r="Q17" s="12">
        <v>35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101</v>
      </c>
      <c r="D18" t="s">
        <v>28</v>
      </c>
      <c r="E18">
        <v>1</v>
      </c>
      <c r="G18">
        <f t="shared" si="0"/>
        <v>13</v>
      </c>
      <c r="H18" s="11">
        <f>_xlfn.FLOOR.MATH(H$17*0.75*2)</f>
        <v>52</v>
      </c>
      <c r="I18" s="11">
        <f t="shared" ref="I18:Q18" si="3">_xlfn.FLOOR.MATH(I$17*0.75*2)</f>
        <v>70</v>
      </c>
      <c r="J18" s="11">
        <f t="shared" si="3"/>
        <v>84</v>
      </c>
      <c r="K18" s="11">
        <f t="shared" si="3"/>
        <v>52</v>
      </c>
      <c r="L18" s="11">
        <f t="shared" si="3"/>
        <v>70</v>
      </c>
      <c r="M18" s="11">
        <f t="shared" si="3"/>
        <v>84</v>
      </c>
      <c r="N18" s="11">
        <f t="shared" si="3"/>
        <v>52</v>
      </c>
      <c r="O18" s="11">
        <f t="shared" si="3"/>
        <v>70</v>
      </c>
      <c r="P18" s="11">
        <f t="shared" si="3"/>
        <v>84</v>
      </c>
      <c r="Q18" s="11">
        <f t="shared" si="3"/>
        <v>52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2</v>
      </c>
      <c r="G19">
        <f t="shared" si="0"/>
        <v>14</v>
      </c>
      <c r="H19" s="11">
        <f>_xlfn.FLOOR.MATH(H$17*0.8*2)</f>
        <v>56</v>
      </c>
      <c r="I19" s="11">
        <f t="shared" ref="I19:Q19" si="4">_xlfn.FLOOR.MATH(I$17*0.8*2)</f>
        <v>75</v>
      </c>
      <c r="J19" s="11">
        <f t="shared" si="4"/>
        <v>89</v>
      </c>
      <c r="K19" s="11">
        <f t="shared" si="4"/>
        <v>56</v>
      </c>
      <c r="L19" s="11">
        <f t="shared" si="4"/>
        <v>75</v>
      </c>
      <c r="M19" s="11">
        <f t="shared" si="4"/>
        <v>89</v>
      </c>
      <c r="N19" s="11">
        <f t="shared" si="4"/>
        <v>56</v>
      </c>
      <c r="O19" s="11">
        <f t="shared" si="4"/>
        <v>75</v>
      </c>
      <c r="P19" s="11">
        <f t="shared" si="4"/>
        <v>89</v>
      </c>
      <c r="Q19" s="11">
        <f t="shared" si="4"/>
        <v>56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3</v>
      </c>
      <c r="G20">
        <f t="shared" si="0"/>
        <v>15</v>
      </c>
      <c r="H20" s="11">
        <f>_xlfn.FLOOR.MATH(H$17*0.9*2)</f>
        <v>63</v>
      </c>
      <c r="I20" s="11">
        <f t="shared" ref="I20:Q20" si="5">_xlfn.FLOOR.MATH(I$17*0.9*2)</f>
        <v>84</v>
      </c>
      <c r="J20" s="11">
        <f t="shared" si="5"/>
        <v>100</v>
      </c>
      <c r="K20" s="11">
        <f t="shared" si="5"/>
        <v>63</v>
      </c>
      <c r="L20" s="11">
        <f t="shared" si="5"/>
        <v>84</v>
      </c>
      <c r="M20" s="11">
        <f t="shared" si="5"/>
        <v>100</v>
      </c>
      <c r="N20" s="11">
        <f t="shared" si="5"/>
        <v>63</v>
      </c>
      <c r="O20" s="11">
        <f t="shared" si="5"/>
        <v>84</v>
      </c>
      <c r="P20" s="11">
        <f t="shared" si="5"/>
        <v>100</v>
      </c>
      <c r="Q20" s="11">
        <f t="shared" si="5"/>
        <v>63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104</v>
      </c>
      <c r="B21" t="s">
        <v>105</v>
      </c>
      <c r="C21">
        <v>1</v>
      </c>
      <c r="D21" t="s">
        <v>28</v>
      </c>
      <c r="E21">
        <v>1</v>
      </c>
      <c r="G21">
        <f t="shared" si="0"/>
        <v>16</v>
      </c>
      <c r="H21" s="11">
        <v>70</v>
      </c>
      <c r="I21" s="11">
        <v>80</v>
      </c>
      <c r="J21" s="11">
        <v>90</v>
      </c>
      <c r="K21" s="11">
        <v>70</v>
      </c>
      <c r="L21" s="11">
        <v>80</v>
      </c>
      <c r="M21" s="11">
        <v>90</v>
      </c>
      <c r="N21" s="11">
        <v>70</v>
      </c>
      <c r="O21" s="11">
        <v>80</v>
      </c>
      <c r="P21" s="11">
        <v>90</v>
      </c>
      <c r="Q21" s="11">
        <v>100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A22" t="s">
        <v>104</v>
      </c>
      <c r="B22" t="s">
        <v>105</v>
      </c>
      <c r="C22">
        <v>2</v>
      </c>
      <c r="D22" t="s">
        <v>28</v>
      </c>
      <c r="E22">
        <v>2</v>
      </c>
      <c r="G22">
        <f t="shared" si="0"/>
        <v>17</v>
      </c>
      <c r="H22" s="11">
        <v>70</v>
      </c>
      <c r="I22" s="11">
        <v>80</v>
      </c>
      <c r="J22" s="11">
        <v>90</v>
      </c>
      <c r="K22" s="11">
        <v>70</v>
      </c>
      <c r="L22" s="11">
        <v>80</v>
      </c>
      <c r="M22" s="11">
        <v>90</v>
      </c>
      <c r="N22" s="11">
        <v>70</v>
      </c>
      <c r="O22" s="11">
        <v>80</v>
      </c>
      <c r="P22" s="11">
        <v>90</v>
      </c>
      <c r="Q22" s="11">
        <v>100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</row>
    <row r="23" spans="1:317" x14ac:dyDescent="0.3">
      <c r="A23" t="s">
        <v>104</v>
      </c>
      <c r="B23" t="s">
        <v>105</v>
      </c>
      <c r="C23">
        <v>3</v>
      </c>
      <c r="D23" t="s">
        <v>28</v>
      </c>
      <c r="E23">
        <v>3</v>
      </c>
      <c r="G23">
        <f t="shared" si="0"/>
        <v>18</v>
      </c>
      <c r="H23" s="11">
        <v>70</v>
      </c>
      <c r="I23" s="11">
        <v>80</v>
      </c>
      <c r="J23" s="11">
        <v>90</v>
      </c>
      <c r="K23" s="11">
        <v>70</v>
      </c>
      <c r="L23" s="11">
        <v>80</v>
      </c>
      <c r="M23" s="11">
        <v>90</v>
      </c>
      <c r="N23" s="11">
        <v>70</v>
      </c>
      <c r="O23" s="11">
        <v>80</v>
      </c>
      <c r="P23" s="11">
        <v>90</v>
      </c>
      <c r="Q23" s="11">
        <v>100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3">
      <c r="G24">
        <f t="shared" si="0"/>
        <v>19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A25" t="s">
        <v>83</v>
      </c>
      <c r="B25" t="s">
        <v>84</v>
      </c>
      <c r="G25">
        <f t="shared" si="0"/>
        <v>20</v>
      </c>
      <c r="H25" s="11" t="s">
        <v>72</v>
      </c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85</v>
      </c>
      <c r="G26">
        <f t="shared" si="0"/>
        <v>21</v>
      </c>
      <c r="H26" s="11" t="s">
        <v>73</v>
      </c>
      <c r="I26" s="11"/>
      <c r="J26" s="11"/>
      <c r="K26" s="11"/>
      <c r="L26" s="11"/>
      <c r="M26" s="11"/>
      <c r="N26" s="11"/>
      <c r="O26" s="11"/>
      <c r="P26" s="11"/>
      <c r="Q26" s="11"/>
    </row>
    <row r="27" spans="1:317" x14ac:dyDescent="0.3">
      <c r="G27">
        <f t="shared" si="0"/>
        <v>22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317" x14ac:dyDescent="0.3">
      <c r="A28" t="s">
        <v>86</v>
      </c>
      <c r="B28" t="s">
        <v>87</v>
      </c>
      <c r="C28" t="s">
        <v>88</v>
      </c>
      <c r="D28" t="s">
        <v>89</v>
      </c>
      <c r="E28">
        <v>1</v>
      </c>
      <c r="G28">
        <f t="shared" si="0"/>
        <v>23</v>
      </c>
      <c r="H28" s="11">
        <v>15</v>
      </c>
      <c r="I28" s="11">
        <f>H28+1</f>
        <v>16</v>
      </c>
      <c r="J28" s="11">
        <f t="shared" ref="J28:Q28" si="6">I28+1</f>
        <v>17</v>
      </c>
      <c r="K28" s="11">
        <f t="shared" si="6"/>
        <v>18</v>
      </c>
      <c r="L28" s="11">
        <f t="shared" si="6"/>
        <v>19</v>
      </c>
      <c r="M28" s="11">
        <f t="shared" si="6"/>
        <v>20</v>
      </c>
      <c r="N28" s="11">
        <f t="shared" si="6"/>
        <v>21</v>
      </c>
      <c r="O28" s="11">
        <f t="shared" si="6"/>
        <v>22</v>
      </c>
      <c r="P28" s="11">
        <f t="shared" si="6"/>
        <v>23</v>
      </c>
      <c r="Q28" s="11">
        <f t="shared" si="6"/>
        <v>24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f t="shared" ref="I29:Q33" si="7">H29+1</f>
        <v>41</v>
      </c>
      <c r="J29" s="11">
        <f t="shared" si="7"/>
        <v>42</v>
      </c>
      <c r="K29" s="11">
        <f t="shared" si="7"/>
        <v>43</v>
      </c>
      <c r="L29" s="11">
        <f t="shared" si="7"/>
        <v>44</v>
      </c>
      <c r="M29" s="11">
        <f t="shared" si="7"/>
        <v>45</v>
      </c>
      <c r="N29" s="11">
        <f t="shared" si="7"/>
        <v>46</v>
      </c>
      <c r="O29" s="11">
        <f t="shared" si="7"/>
        <v>47</v>
      </c>
      <c r="P29" s="11">
        <f t="shared" si="7"/>
        <v>48</v>
      </c>
      <c r="Q29" s="11">
        <f t="shared" si="7"/>
        <v>49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55</v>
      </c>
      <c r="I30" s="11">
        <f t="shared" si="7"/>
        <v>56</v>
      </c>
      <c r="J30" s="11">
        <f t="shared" si="7"/>
        <v>57</v>
      </c>
      <c r="K30" s="11">
        <f t="shared" si="7"/>
        <v>58</v>
      </c>
      <c r="L30" s="11">
        <f t="shared" si="7"/>
        <v>59</v>
      </c>
      <c r="M30" s="11">
        <f t="shared" si="7"/>
        <v>60</v>
      </c>
      <c r="N30" s="11">
        <f t="shared" si="7"/>
        <v>61</v>
      </c>
      <c r="O30" s="11">
        <f t="shared" si="7"/>
        <v>62</v>
      </c>
      <c r="P30" s="11">
        <f t="shared" si="7"/>
        <v>63</v>
      </c>
      <c r="Q30" s="11">
        <f t="shared" si="7"/>
        <v>64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84</v>
      </c>
      <c r="C31" t="s">
        <v>88</v>
      </c>
      <c r="D31" t="s">
        <v>89</v>
      </c>
      <c r="E31">
        <v>2</v>
      </c>
      <c r="G31">
        <f t="shared" si="0"/>
        <v>26</v>
      </c>
      <c r="H31" s="11">
        <v>5</v>
      </c>
      <c r="I31" s="11">
        <f t="shared" si="7"/>
        <v>6</v>
      </c>
      <c r="J31" s="11">
        <f t="shared" si="7"/>
        <v>7</v>
      </c>
      <c r="K31" s="11">
        <f t="shared" si="7"/>
        <v>8</v>
      </c>
      <c r="L31" s="11">
        <f t="shared" si="7"/>
        <v>9</v>
      </c>
      <c r="M31" s="11">
        <f t="shared" si="7"/>
        <v>10</v>
      </c>
      <c r="N31" s="11">
        <f t="shared" si="7"/>
        <v>11</v>
      </c>
      <c r="O31" s="11">
        <f t="shared" si="7"/>
        <v>12</v>
      </c>
      <c r="P31" s="11">
        <f t="shared" si="7"/>
        <v>13</v>
      </c>
      <c r="Q31" s="11">
        <f t="shared" si="7"/>
        <v>14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A32" t="s">
        <v>86</v>
      </c>
      <c r="B32" t="s">
        <v>84</v>
      </c>
      <c r="C32" t="s">
        <v>88</v>
      </c>
      <c r="D32" t="s">
        <v>89</v>
      </c>
      <c r="E32">
        <v>3</v>
      </c>
      <c r="G32">
        <f t="shared" si="0"/>
        <v>27</v>
      </c>
      <c r="H32" s="11">
        <v>36</v>
      </c>
      <c r="I32" s="11">
        <f t="shared" si="7"/>
        <v>37</v>
      </c>
      <c r="J32" s="11">
        <f t="shared" si="7"/>
        <v>38</v>
      </c>
      <c r="K32" s="11">
        <f t="shared" si="7"/>
        <v>39</v>
      </c>
      <c r="L32" s="11">
        <f t="shared" si="7"/>
        <v>40</v>
      </c>
      <c r="M32" s="11">
        <f t="shared" si="7"/>
        <v>41</v>
      </c>
      <c r="N32" s="11">
        <f t="shared" si="7"/>
        <v>42</v>
      </c>
      <c r="O32" s="11">
        <f t="shared" si="7"/>
        <v>43</v>
      </c>
      <c r="P32" s="11">
        <f t="shared" si="7"/>
        <v>44</v>
      </c>
      <c r="Q32" s="11">
        <f t="shared" si="7"/>
        <v>45</v>
      </c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</row>
    <row r="33" spans="1:317" x14ac:dyDescent="0.3">
      <c r="A33" t="s">
        <v>86</v>
      </c>
      <c r="B33" t="s">
        <v>84</v>
      </c>
      <c r="C33" t="s">
        <v>88</v>
      </c>
      <c r="D33" t="s">
        <v>89</v>
      </c>
      <c r="E33">
        <v>3</v>
      </c>
      <c r="G33">
        <f t="shared" si="0"/>
        <v>28</v>
      </c>
      <c r="H33" s="11">
        <v>49</v>
      </c>
      <c r="I33" s="11">
        <f t="shared" si="7"/>
        <v>50</v>
      </c>
      <c r="J33" s="11">
        <f t="shared" si="7"/>
        <v>51</v>
      </c>
      <c r="K33" s="11">
        <f t="shared" si="7"/>
        <v>52</v>
      </c>
      <c r="L33" s="11">
        <f t="shared" si="7"/>
        <v>53</v>
      </c>
      <c r="M33" s="11">
        <f t="shared" si="7"/>
        <v>54</v>
      </c>
      <c r="N33" s="11">
        <f t="shared" si="7"/>
        <v>55</v>
      </c>
      <c r="O33" s="11">
        <f t="shared" si="7"/>
        <v>56</v>
      </c>
      <c r="P33" s="11">
        <f t="shared" si="7"/>
        <v>57</v>
      </c>
      <c r="Q33" s="11">
        <f t="shared" si="7"/>
        <v>58</v>
      </c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</row>
    <row r="34" spans="1:317" x14ac:dyDescent="0.3">
      <c r="G34">
        <f t="shared" si="0"/>
        <v>29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317" x14ac:dyDescent="0.3">
      <c r="A35" t="s">
        <v>90</v>
      </c>
      <c r="B35" t="s">
        <v>4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317" x14ac:dyDescent="0.3">
      <c r="A36" t="s">
        <v>53</v>
      </c>
      <c r="B36" t="s">
        <v>91</v>
      </c>
      <c r="G36">
        <f t="shared" si="0"/>
        <v>31</v>
      </c>
      <c r="H36" s="11">
        <v>0</v>
      </c>
      <c r="I36" s="12">
        <v>0</v>
      </c>
      <c r="J36" s="11"/>
      <c r="K36" s="11"/>
      <c r="L36" s="11"/>
      <c r="M36" s="11"/>
      <c r="N36" s="11"/>
      <c r="O36" s="11"/>
      <c r="P36" s="11"/>
      <c r="Q3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Raw_WO_bm</vt:lpstr>
      <vt:lpstr>Raw_hydro_bm</vt:lpstr>
      <vt:lpstr>Input</vt:lpstr>
      <vt:lpstr>Lookup</vt:lpstr>
      <vt:lpstr>Bidding</vt:lpstr>
      <vt:lpstr>Physical</vt:lpstr>
      <vt:lpstr>params</vt:lpstr>
      <vt:lpstr>params_stochastic_MC</vt:lpstr>
      <vt:lpstr>params_stochastic_MC_bm</vt:lpstr>
      <vt:lpstr>params_stochastic_MC_bm_OF</vt:lpstr>
      <vt:lpstr>101</vt:lpstr>
      <vt:lpstr>102</vt:lpstr>
      <vt:lpstr>params_limited_liquidity</vt:lpstr>
      <vt:lpstr>params_stochastic_MC_bm_WO</vt:lpstr>
      <vt:lpstr>Sheet3</vt:lpstr>
      <vt:lpstr>Wind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2018-02-14T09:46:48Z</dcterms:created>
  <dcterms:modified xsi:type="dcterms:W3CDTF">2018-03-13T15:05:36Z</dcterms:modified>
</cp:coreProperties>
</file>