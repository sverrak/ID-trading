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verreakersveen/Documents/Skole/5klasse/Master/Masterprogg/id-trading/Programming/"/>
    </mc:Choice>
  </mc:AlternateContent>
  <bookViews>
    <workbookView xWindow="0" yWindow="460" windowWidth="25600" windowHeight="15460" tabRatio="500" activeTab="1"/>
  </bookViews>
  <sheets>
    <sheet name="Running_time_sensitivity_analys" sheetId="1" r:id="rId1"/>
    <sheet name="Sheet1" sheetId="2" r:id="rId2"/>
  </sheets>
  <definedNames>
    <definedName name="solver_adj" localSheetId="0" hidden="1">Running_time_sensitivity_analys!$B$4:$E$4,Running_time_sensitivity_analys!$V$4:$Y$4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opt" localSheetId="0" hidden="1">Running_time_sensitivity_analys!$B$2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2</definedName>
  </definedName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" i="2" l="1"/>
  <c r="C12" i="2"/>
  <c r="D12" i="2"/>
  <c r="E12" i="2"/>
  <c r="B13" i="2"/>
  <c r="C13" i="2"/>
  <c r="D13" i="2"/>
  <c r="E13" i="2"/>
  <c r="B14" i="2"/>
  <c r="C14" i="2"/>
  <c r="D14" i="2"/>
  <c r="E14" i="2"/>
  <c r="B15" i="2"/>
  <c r="C15" i="2"/>
  <c r="D15" i="2"/>
  <c r="E15" i="2"/>
  <c r="B16" i="2"/>
  <c r="C16" i="2"/>
  <c r="D16" i="2"/>
  <c r="E16" i="2"/>
  <c r="C11" i="2"/>
  <c r="D11" i="2"/>
  <c r="E11" i="2"/>
  <c r="B11" i="2"/>
  <c r="Z8" i="1"/>
  <c r="AA8" i="1"/>
  <c r="Z9" i="1"/>
  <c r="AA9" i="1"/>
  <c r="Z10" i="1"/>
  <c r="AA10" i="1"/>
  <c r="Z11" i="1"/>
  <c r="AA11" i="1"/>
  <c r="Z12" i="1"/>
  <c r="AA12" i="1"/>
  <c r="Z13" i="1"/>
  <c r="AA13" i="1"/>
  <c r="Z14" i="1"/>
  <c r="AA14" i="1"/>
  <c r="Z15" i="1"/>
  <c r="AA15" i="1"/>
  <c r="Z16" i="1"/>
  <c r="AA16" i="1"/>
  <c r="Z17" i="1"/>
  <c r="AA17" i="1"/>
  <c r="Z18" i="1"/>
  <c r="AA18" i="1"/>
  <c r="Z19" i="1"/>
  <c r="AA19" i="1"/>
  <c r="Z20" i="1"/>
  <c r="AA20" i="1"/>
  <c r="Z21" i="1"/>
  <c r="AA21" i="1"/>
  <c r="Z22" i="1"/>
  <c r="AA22" i="1"/>
  <c r="Z23" i="1"/>
  <c r="AA23" i="1"/>
  <c r="Z24" i="1"/>
  <c r="AA24" i="1"/>
  <c r="Z25" i="1"/>
  <c r="AA25" i="1"/>
  <c r="Z26" i="1"/>
  <c r="AA26" i="1"/>
  <c r="Z27" i="1"/>
  <c r="AA27" i="1"/>
  <c r="Z28" i="1"/>
  <c r="AA28" i="1"/>
  <c r="Z29" i="1"/>
  <c r="AA29" i="1"/>
  <c r="Z30" i="1"/>
  <c r="AA30" i="1"/>
  <c r="Z31" i="1"/>
  <c r="AA31" i="1"/>
  <c r="Z32" i="1"/>
  <c r="AA32" i="1"/>
  <c r="Z33" i="1"/>
  <c r="AA33" i="1"/>
  <c r="Z34" i="1"/>
  <c r="AA34" i="1"/>
  <c r="Z35" i="1"/>
  <c r="AA35" i="1"/>
  <c r="Z36" i="1"/>
  <c r="AA36" i="1"/>
  <c r="Z37" i="1"/>
  <c r="AA37" i="1"/>
  <c r="Z38" i="1"/>
  <c r="AA38" i="1"/>
  <c r="Z39" i="1"/>
  <c r="AA39" i="1"/>
  <c r="Z40" i="1"/>
  <c r="AA40" i="1"/>
  <c r="Z41" i="1"/>
  <c r="AA41" i="1"/>
  <c r="Z42" i="1"/>
  <c r="AA42" i="1"/>
  <c r="Z43" i="1"/>
  <c r="AA43" i="1"/>
  <c r="Z44" i="1"/>
  <c r="AA44" i="1"/>
  <c r="Z45" i="1"/>
  <c r="AA45" i="1"/>
  <c r="Z46" i="1"/>
  <c r="AA46" i="1"/>
  <c r="Z47" i="1"/>
  <c r="AA47" i="1"/>
  <c r="Z48" i="1"/>
  <c r="AA48" i="1"/>
  <c r="Z49" i="1"/>
  <c r="AA49" i="1"/>
  <c r="Z50" i="1"/>
  <c r="AA50" i="1"/>
  <c r="Z51" i="1"/>
  <c r="AA51" i="1"/>
  <c r="Z52" i="1"/>
  <c r="AA52" i="1"/>
  <c r="Z53" i="1"/>
  <c r="AA53" i="1"/>
  <c r="Z54" i="1"/>
  <c r="AA54" i="1"/>
  <c r="Z55" i="1"/>
  <c r="AA55" i="1"/>
  <c r="Z56" i="1"/>
  <c r="AA56" i="1"/>
  <c r="Z57" i="1"/>
  <c r="AA57" i="1"/>
  <c r="Z58" i="1"/>
  <c r="AA58" i="1"/>
  <c r="Z59" i="1"/>
  <c r="AA59" i="1"/>
  <c r="Z60" i="1"/>
  <c r="AA60" i="1"/>
  <c r="Z61" i="1"/>
  <c r="AA61" i="1"/>
  <c r="Z62" i="1"/>
  <c r="AA62" i="1"/>
  <c r="Z63" i="1"/>
  <c r="AA63" i="1"/>
  <c r="Z64" i="1"/>
  <c r="AA64" i="1"/>
  <c r="Z65" i="1"/>
  <c r="AA65" i="1"/>
  <c r="Z66" i="1"/>
  <c r="AA66" i="1"/>
  <c r="Z67" i="1"/>
  <c r="AA67" i="1"/>
  <c r="Z68" i="1"/>
  <c r="AA68" i="1"/>
  <c r="Z69" i="1"/>
  <c r="AA69" i="1"/>
  <c r="Z70" i="1"/>
  <c r="AA70" i="1"/>
  <c r="Z71" i="1"/>
  <c r="AA71" i="1"/>
  <c r="Z72" i="1"/>
  <c r="AA72" i="1"/>
  <c r="Z73" i="1"/>
  <c r="AA73" i="1"/>
  <c r="Z74" i="1"/>
  <c r="AA74" i="1"/>
  <c r="Z75" i="1"/>
  <c r="AA75" i="1"/>
  <c r="Z76" i="1"/>
  <c r="AA76" i="1"/>
  <c r="Z77" i="1"/>
  <c r="AA77" i="1"/>
  <c r="Z78" i="1"/>
  <c r="AA78" i="1"/>
  <c r="Z7" i="1"/>
  <c r="AA7" i="1"/>
  <c r="V8" i="1"/>
  <c r="W8" i="1"/>
  <c r="X8" i="1"/>
  <c r="Y8" i="1"/>
  <c r="V9" i="1"/>
  <c r="W9" i="1"/>
  <c r="X9" i="1"/>
  <c r="Y9" i="1"/>
  <c r="V10" i="1"/>
  <c r="W10" i="1"/>
  <c r="X10" i="1"/>
  <c r="Y10" i="1"/>
  <c r="V11" i="1"/>
  <c r="W11" i="1"/>
  <c r="X11" i="1"/>
  <c r="Y11" i="1"/>
  <c r="V12" i="1"/>
  <c r="W12" i="1"/>
  <c r="X12" i="1"/>
  <c r="Y12" i="1"/>
  <c r="V13" i="1"/>
  <c r="W13" i="1"/>
  <c r="X13" i="1"/>
  <c r="Y13" i="1"/>
  <c r="V14" i="1"/>
  <c r="W14" i="1"/>
  <c r="X14" i="1"/>
  <c r="Y14" i="1"/>
  <c r="V15" i="1"/>
  <c r="W15" i="1"/>
  <c r="X15" i="1"/>
  <c r="Y15" i="1"/>
  <c r="V16" i="1"/>
  <c r="W16" i="1"/>
  <c r="X16" i="1"/>
  <c r="Y16" i="1"/>
  <c r="V17" i="1"/>
  <c r="W17" i="1"/>
  <c r="X17" i="1"/>
  <c r="Y17" i="1"/>
  <c r="V18" i="1"/>
  <c r="W18" i="1"/>
  <c r="X18" i="1"/>
  <c r="Y18" i="1"/>
  <c r="V19" i="1"/>
  <c r="W19" i="1"/>
  <c r="X19" i="1"/>
  <c r="Y19" i="1"/>
  <c r="V20" i="1"/>
  <c r="W20" i="1"/>
  <c r="X20" i="1"/>
  <c r="Y20" i="1"/>
  <c r="V21" i="1"/>
  <c r="W21" i="1"/>
  <c r="X21" i="1"/>
  <c r="Y21" i="1"/>
  <c r="V22" i="1"/>
  <c r="W22" i="1"/>
  <c r="X22" i="1"/>
  <c r="Y22" i="1"/>
  <c r="V23" i="1"/>
  <c r="W23" i="1"/>
  <c r="X23" i="1"/>
  <c r="Y23" i="1"/>
  <c r="V24" i="1"/>
  <c r="W24" i="1"/>
  <c r="X24" i="1"/>
  <c r="Y24" i="1"/>
  <c r="V25" i="1"/>
  <c r="W25" i="1"/>
  <c r="X25" i="1"/>
  <c r="Y25" i="1"/>
  <c r="V26" i="1"/>
  <c r="W26" i="1"/>
  <c r="X26" i="1"/>
  <c r="Y26" i="1"/>
  <c r="V27" i="1"/>
  <c r="W27" i="1"/>
  <c r="X27" i="1"/>
  <c r="Y27" i="1"/>
  <c r="V28" i="1"/>
  <c r="W28" i="1"/>
  <c r="X28" i="1"/>
  <c r="Y28" i="1"/>
  <c r="V29" i="1"/>
  <c r="W29" i="1"/>
  <c r="X29" i="1"/>
  <c r="Y29" i="1"/>
  <c r="V30" i="1"/>
  <c r="W30" i="1"/>
  <c r="X30" i="1"/>
  <c r="Y30" i="1"/>
  <c r="V31" i="1"/>
  <c r="W31" i="1"/>
  <c r="X31" i="1"/>
  <c r="Y31" i="1"/>
  <c r="V32" i="1"/>
  <c r="W32" i="1"/>
  <c r="X32" i="1"/>
  <c r="Y32" i="1"/>
  <c r="V33" i="1"/>
  <c r="W33" i="1"/>
  <c r="X33" i="1"/>
  <c r="Y33" i="1"/>
  <c r="V34" i="1"/>
  <c r="W34" i="1"/>
  <c r="X34" i="1"/>
  <c r="Y34" i="1"/>
  <c r="V35" i="1"/>
  <c r="W35" i="1"/>
  <c r="X35" i="1"/>
  <c r="Y35" i="1"/>
  <c r="V36" i="1"/>
  <c r="W36" i="1"/>
  <c r="X36" i="1"/>
  <c r="Y36" i="1"/>
  <c r="V37" i="1"/>
  <c r="W37" i="1"/>
  <c r="X37" i="1"/>
  <c r="Y37" i="1"/>
  <c r="V38" i="1"/>
  <c r="W38" i="1"/>
  <c r="X38" i="1"/>
  <c r="Y38" i="1"/>
  <c r="V39" i="1"/>
  <c r="W39" i="1"/>
  <c r="X39" i="1"/>
  <c r="Y39" i="1"/>
  <c r="V40" i="1"/>
  <c r="W40" i="1"/>
  <c r="X40" i="1"/>
  <c r="Y40" i="1"/>
  <c r="V41" i="1"/>
  <c r="W41" i="1"/>
  <c r="X41" i="1"/>
  <c r="Y41" i="1"/>
  <c r="V42" i="1"/>
  <c r="W42" i="1"/>
  <c r="X42" i="1"/>
  <c r="Y42" i="1"/>
  <c r="V43" i="1"/>
  <c r="W43" i="1"/>
  <c r="X43" i="1"/>
  <c r="Y43" i="1"/>
  <c r="V44" i="1"/>
  <c r="W44" i="1"/>
  <c r="X44" i="1"/>
  <c r="Y44" i="1"/>
  <c r="V45" i="1"/>
  <c r="W45" i="1"/>
  <c r="X45" i="1"/>
  <c r="Y45" i="1"/>
  <c r="V46" i="1"/>
  <c r="W46" i="1"/>
  <c r="X46" i="1"/>
  <c r="Y46" i="1"/>
  <c r="V47" i="1"/>
  <c r="W47" i="1"/>
  <c r="X47" i="1"/>
  <c r="Y47" i="1"/>
  <c r="V48" i="1"/>
  <c r="W48" i="1"/>
  <c r="X48" i="1"/>
  <c r="Y48" i="1"/>
  <c r="V49" i="1"/>
  <c r="W49" i="1"/>
  <c r="X49" i="1"/>
  <c r="Y49" i="1"/>
  <c r="V50" i="1"/>
  <c r="W50" i="1"/>
  <c r="X50" i="1"/>
  <c r="Y50" i="1"/>
  <c r="V51" i="1"/>
  <c r="W51" i="1"/>
  <c r="X51" i="1"/>
  <c r="Y51" i="1"/>
  <c r="V52" i="1"/>
  <c r="W52" i="1"/>
  <c r="X52" i="1"/>
  <c r="Y52" i="1"/>
  <c r="V53" i="1"/>
  <c r="W53" i="1"/>
  <c r="X53" i="1"/>
  <c r="Y53" i="1"/>
  <c r="V54" i="1"/>
  <c r="W54" i="1"/>
  <c r="X54" i="1"/>
  <c r="Y54" i="1"/>
  <c r="V55" i="1"/>
  <c r="W55" i="1"/>
  <c r="X55" i="1"/>
  <c r="Y55" i="1"/>
  <c r="V56" i="1"/>
  <c r="W56" i="1"/>
  <c r="X56" i="1"/>
  <c r="Y56" i="1"/>
  <c r="V57" i="1"/>
  <c r="W57" i="1"/>
  <c r="X57" i="1"/>
  <c r="Y57" i="1"/>
  <c r="V58" i="1"/>
  <c r="W58" i="1"/>
  <c r="X58" i="1"/>
  <c r="Y58" i="1"/>
  <c r="V59" i="1"/>
  <c r="W59" i="1"/>
  <c r="X59" i="1"/>
  <c r="Y59" i="1"/>
  <c r="V60" i="1"/>
  <c r="W60" i="1"/>
  <c r="X60" i="1"/>
  <c r="Y60" i="1"/>
  <c r="V61" i="1"/>
  <c r="W61" i="1"/>
  <c r="X61" i="1"/>
  <c r="Y61" i="1"/>
  <c r="V62" i="1"/>
  <c r="W62" i="1"/>
  <c r="X62" i="1"/>
  <c r="Y62" i="1"/>
  <c r="V63" i="1"/>
  <c r="W63" i="1"/>
  <c r="X63" i="1"/>
  <c r="Y63" i="1"/>
  <c r="V64" i="1"/>
  <c r="W64" i="1"/>
  <c r="X64" i="1"/>
  <c r="Y64" i="1"/>
  <c r="V65" i="1"/>
  <c r="W65" i="1"/>
  <c r="X65" i="1"/>
  <c r="Y65" i="1"/>
  <c r="V66" i="1"/>
  <c r="W66" i="1"/>
  <c r="X66" i="1"/>
  <c r="Y66" i="1"/>
  <c r="V67" i="1"/>
  <c r="W67" i="1"/>
  <c r="X67" i="1"/>
  <c r="Y67" i="1"/>
  <c r="V68" i="1"/>
  <c r="W68" i="1"/>
  <c r="X68" i="1"/>
  <c r="Y68" i="1"/>
  <c r="V69" i="1"/>
  <c r="W69" i="1"/>
  <c r="X69" i="1"/>
  <c r="Y69" i="1"/>
  <c r="V70" i="1"/>
  <c r="W70" i="1"/>
  <c r="X70" i="1"/>
  <c r="Y70" i="1"/>
  <c r="V71" i="1"/>
  <c r="W71" i="1"/>
  <c r="X71" i="1"/>
  <c r="Y71" i="1"/>
  <c r="V72" i="1"/>
  <c r="W72" i="1"/>
  <c r="X72" i="1"/>
  <c r="Y72" i="1"/>
  <c r="V73" i="1"/>
  <c r="W73" i="1"/>
  <c r="X73" i="1"/>
  <c r="Y73" i="1"/>
  <c r="V74" i="1"/>
  <c r="W74" i="1"/>
  <c r="X74" i="1"/>
  <c r="Y74" i="1"/>
  <c r="V75" i="1"/>
  <c r="W75" i="1"/>
  <c r="X75" i="1"/>
  <c r="Y75" i="1"/>
  <c r="V76" i="1"/>
  <c r="W76" i="1"/>
  <c r="X76" i="1"/>
  <c r="Y76" i="1"/>
  <c r="V77" i="1"/>
  <c r="W77" i="1"/>
  <c r="X77" i="1"/>
  <c r="Y77" i="1"/>
  <c r="V78" i="1"/>
  <c r="W78" i="1"/>
  <c r="X78" i="1"/>
  <c r="Y78" i="1"/>
  <c r="W7" i="1"/>
  <c r="X7" i="1"/>
  <c r="Y7" i="1"/>
  <c r="V7" i="1"/>
  <c r="G11" i="2"/>
  <c r="H11" i="2"/>
  <c r="I11" i="2"/>
  <c r="G12" i="2"/>
  <c r="H12" i="2"/>
  <c r="I12" i="2"/>
  <c r="G13" i="2"/>
  <c r="H13" i="2"/>
  <c r="I13" i="2"/>
  <c r="G14" i="2"/>
  <c r="H14" i="2"/>
  <c r="I14" i="2"/>
  <c r="F12" i="2"/>
  <c r="F13" i="2"/>
  <c r="F14" i="2"/>
  <c r="F11" i="2"/>
  <c r="G3" i="2"/>
  <c r="H3" i="2"/>
  <c r="I3" i="2"/>
  <c r="G4" i="2"/>
  <c r="H4" i="2"/>
  <c r="I4" i="2"/>
  <c r="G5" i="2"/>
  <c r="H5" i="2"/>
  <c r="I5" i="2"/>
  <c r="G6" i="2"/>
  <c r="H6" i="2"/>
  <c r="I6" i="2"/>
  <c r="F4" i="2"/>
  <c r="F5" i="2"/>
  <c r="F6" i="2"/>
  <c r="F3" i="2"/>
  <c r="B2" i="1"/>
  <c r="W6" i="1"/>
  <c r="X6" i="1"/>
  <c r="Y6" i="1"/>
  <c r="V6" i="1"/>
</calcChain>
</file>

<file path=xl/sharedStrings.xml><?xml version="1.0" encoding="utf-8"?>
<sst xmlns="http://schemas.openxmlformats.org/spreadsheetml/2006/main" count="114" uniqueCount="28">
  <si>
    <t>Model</t>
  </si>
  <si>
    <t>DPs</t>
  </si>
  <si>
    <t>Scenarios</t>
  </si>
  <si>
    <t>Production_units</t>
  </si>
  <si>
    <t>Trading_timeslots</t>
  </si>
  <si>
    <t>Elapsed_time</t>
  </si>
  <si>
    <t>Number_of_variables</t>
  </si>
  <si>
    <t>Number_of_linear_constraints</t>
  </si>
  <si>
    <t>Number_of_SOS_constraints</t>
  </si>
  <si>
    <t>Number_of_quadratic_constraints</t>
  </si>
  <si>
    <t>Number_of_non-zero_coefficients_in_the_constraint_matrix</t>
  </si>
  <si>
    <t>Number_of_non-zero_quadratic_objective_terms</t>
  </si>
  <si>
    <t>Number_of_non-zero_terms_in_quadratic_constraints</t>
  </si>
  <si>
    <t>Number_of_integer_variables</t>
  </si>
  <si>
    <t>Number_of_binary_variables</t>
  </si>
  <si>
    <t>Model_name</t>
  </si>
  <si>
    <t>Model_sense_(minimization_or_maximization)</t>
  </si>
  <si>
    <t>Constant_offset_for_objective_function</t>
  </si>
  <si>
    <t>Objective_value_for_current_solution</t>
  </si>
  <si>
    <t>Multiplier</t>
  </si>
  <si>
    <t>Computed time</t>
  </si>
  <si>
    <t>SE</t>
  </si>
  <si>
    <t>MSE</t>
  </si>
  <si>
    <t>Number_of_variables_with_piecewise-linear_objective_functions,</t>
  </si>
  <si>
    <t>Average Elapsed time</t>
  </si>
  <si>
    <t>Elapsed time</t>
  </si>
  <si>
    <t>Number of variables</t>
  </si>
  <si>
    <t>itp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</si>
</sst>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1" formatCode="0.0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auto="1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9">
    <xf numFmtId="0" fontId="0" fillId="0" borderId="0" xfId="0"/>
    <xf numFmtId="0" fontId="4" fillId="0" borderId="0" xfId="0" applyFont="1"/>
    <xf numFmtId="0" fontId="3" fillId="3" borderId="2" xfId="2"/>
    <xf numFmtId="0" fontId="2" fillId="2" borderId="1" xfId="1"/>
    <xf numFmtId="0" fontId="1" fillId="4" borderId="0" xfId="3"/>
    <xf numFmtId="0" fontId="4" fillId="5" borderId="3" xfId="4" applyFont="1" applyBorder="1"/>
    <xf numFmtId="0" fontId="5" fillId="0" borderId="0" xfId="0" applyFont="1"/>
    <xf numFmtId="171" fontId="0" fillId="0" borderId="0" xfId="0" applyNumberFormat="1"/>
    <xf numFmtId="3" fontId="0" fillId="0" borderId="0" xfId="0" applyNumberFormat="1"/>
  </cellXfs>
  <cellStyles count="5">
    <cellStyle name="20% - Accent1" xfId="3" builtinId="30"/>
    <cellStyle name="40% - Accent1" xfId="4" builtinId="31"/>
    <cellStyle name="Input" xfId="1" builtinId="20"/>
    <cellStyle name="Normal" xfId="0" builtinId="0"/>
    <cellStyle name="Output" xfId="2" builtinId="2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Running_time_sensitivity_analys!$F$7:$F$78</c:f>
              <c:numCache>
                <c:formatCode>General</c:formatCode>
                <c:ptCount val="72"/>
                <c:pt idx="0">
                  <c:v>32.9781899452209</c:v>
                </c:pt>
                <c:pt idx="1">
                  <c:v>10.7917528152465</c:v>
                </c:pt>
                <c:pt idx="2">
                  <c:v>1.2894639968872</c:v>
                </c:pt>
                <c:pt idx="3">
                  <c:v>32.6054239273071</c:v>
                </c:pt>
                <c:pt idx="4">
                  <c:v>11.0490698814392</c:v>
                </c:pt>
                <c:pt idx="5">
                  <c:v>1.2090401649475</c:v>
                </c:pt>
                <c:pt idx="6">
                  <c:v>22.9907069206237</c:v>
                </c:pt>
                <c:pt idx="7">
                  <c:v>7.65583491325378</c:v>
                </c:pt>
                <c:pt idx="8">
                  <c:v>0.878470182418823</c:v>
                </c:pt>
                <c:pt idx="9">
                  <c:v>21.9301450252532</c:v>
                </c:pt>
                <c:pt idx="10">
                  <c:v>7.5862431526184</c:v>
                </c:pt>
                <c:pt idx="11">
                  <c:v>0.83231520652771</c:v>
                </c:pt>
                <c:pt idx="12">
                  <c:v>12.4227218627929</c:v>
                </c:pt>
                <c:pt idx="13">
                  <c:v>4.32227301597595</c:v>
                </c:pt>
                <c:pt idx="14">
                  <c:v>0.475834131240844</c:v>
                </c:pt>
                <c:pt idx="15">
                  <c:v>12.4923620223999</c:v>
                </c:pt>
                <c:pt idx="16">
                  <c:v>4.200847864151</c:v>
                </c:pt>
                <c:pt idx="17">
                  <c:v>0.475983142852783</c:v>
                </c:pt>
                <c:pt idx="18">
                  <c:v>3.04240202903747</c:v>
                </c:pt>
                <c:pt idx="19">
                  <c:v>1.06108593940734</c:v>
                </c:pt>
                <c:pt idx="20">
                  <c:v>0.135720014572143</c:v>
                </c:pt>
                <c:pt idx="21">
                  <c:v>3.04693102836608</c:v>
                </c:pt>
                <c:pt idx="22">
                  <c:v>1.25625610351562</c:v>
                </c:pt>
                <c:pt idx="23">
                  <c:v>0.130469799041748</c:v>
                </c:pt>
                <c:pt idx="24">
                  <c:v>19.9480030536651</c:v>
                </c:pt>
                <c:pt idx="25">
                  <c:v>6.61915922164917</c:v>
                </c:pt>
                <c:pt idx="26">
                  <c:v>0.773108959197998</c:v>
                </c:pt>
                <c:pt idx="27">
                  <c:v>18.6494846343994</c:v>
                </c:pt>
                <c:pt idx="28">
                  <c:v>6.49542498588562</c:v>
                </c:pt>
                <c:pt idx="29">
                  <c:v>0.75967788696289</c:v>
                </c:pt>
                <c:pt idx="30">
                  <c:v>17.8832669258117</c:v>
                </c:pt>
                <c:pt idx="31">
                  <c:v>5.75183010101318</c:v>
                </c:pt>
                <c:pt idx="32">
                  <c:v>0.654839992523193</c:v>
                </c:pt>
                <c:pt idx="33">
                  <c:v>13.5720210075378</c:v>
                </c:pt>
                <c:pt idx="34">
                  <c:v>4.3056640625</c:v>
                </c:pt>
                <c:pt idx="35">
                  <c:v>0.529721021652221</c:v>
                </c:pt>
                <c:pt idx="36">
                  <c:v>7.48356199264526</c:v>
                </c:pt>
                <c:pt idx="37">
                  <c:v>2.56424093246459</c:v>
                </c:pt>
                <c:pt idx="38">
                  <c:v>0.316161155700683</c:v>
                </c:pt>
                <c:pt idx="39">
                  <c:v>7.37350511550903</c:v>
                </c:pt>
                <c:pt idx="40">
                  <c:v>2.51584315299987</c:v>
                </c:pt>
                <c:pt idx="41">
                  <c:v>0.313421010971069</c:v>
                </c:pt>
                <c:pt idx="42">
                  <c:v>1.8422532081604</c:v>
                </c:pt>
                <c:pt idx="43">
                  <c:v>0.653171777725219</c:v>
                </c:pt>
                <c:pt idx="44">
                  <c:v>0.0911056995391845</c:v>
                </c:pt>
                <c:pt idx="45">
                  <c:v>1.81348991394042</c:v>
                </c:pt>
                <c:pt idx="46">
                  <c:v>0.641090869903564</c:v>
                </c:pt>
                <c:pt idx="47">
                  <c:v>0.0846011638641357</c:v>
                </c:pt>
                <c:pt idx="48">
                  <c:v>6.38560390472412</c:v>
                </c:pt>
                <c:pt idx="49">
                  <c:v>2.3073239326477</c:v>
                </c:pt>
                <c:pt idx="50">
                  <c:v>0.444447994232177</c:v>
                </c:pt>
                <c:pt idx="51">
                  <c:v>6.22400021553039</c:v>
                </c:pt>
                <c:pt idx="52">
                  <c:v>2.1963460445404</c:v>
                </c:pt>
                <c:pt idx="53">
                  <c:v>0.304880142211914</c:v>
                </c:pt>
                <c:pt idx="54">
                  <c:v>4.27451205253601</c:v>
                </c:pt>
                <c:pt idx="55">
                  <c:v>1.50711894035339</c:v>
                </c:pt>
                <c:pt idx="56">
                  <c:v>0.227321863174438</c:v>
                </c:pt>
                <c:pt idx="57">
                  <c:v>4.36135005950927</c:v>
                </c:pt>
                <c:pt idx="58">
                  <c:v>1.72191572189331</c:v>
                </c:pt>
                <c:pt idx="59">
                  <c:v>0.214211702346801</c:v>
                </c:pt>
                <c:pt idx="60">
                  <c:v>2.56520414352417</c:v>
                </c:pt>
                <c:pt idx="61">
                  <c:v>1.08437466621398</c:v>
                </c:pt>
                <c:pt idx="62">
                  <c:v>0.173011064529418</c:v>
                </c:pt>
                <c:pt idx="63">
                  <c:v>2.63401508331298</c:v>
                </c:pt>
                <c:pt idx="64">
                  <c:v>0.927539110183715</c:v>
                </c:pt>
                <c:pt idx="65">
                  <c:v>0.145051002502441</c:v>
                </c:pt>
                <c:pt idx="66">
                  <c:v>0.67275071144104</c:v>
                </c:pt>
                <c:pt idx="67">
                  <c:v>0.240952968597412</c:v>
                </c:pt>
                <c:pt idx="68">
                  <c:v>0.044753074645996</c:v>
                </c:pt>
                <c:pt idx="69">
                  <c:v>0.671922206878662</c:v>
                </c:pt>
                <c:pt idx="70">
                  <c:v>0.242048978805542</c:v>
                </c:pt>
                <c:pt idx="71">
                  <c:v>0.0689289569854736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2700400"/>
        <c:axId val="1692907744"/>
      </c:scatterChart>
      <c:valAx>
        <c:axId val="16927004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2907744"/>
        <c:crosses val="autoZero"/>
        <c:crossBetween val="midCat"/>
      </c:valAx>
      <c:valAx>
        <c:axId val="1692907744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2700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30</xdr:row>
      <xdr:rowOff>76200</xdr:rowOff>
    </xdr:from>
    <xdr:to>
      <xdr:col>11</xdr:col>
      <xdr:colOff>25400</xdr:colOff>
      <xdr:row>43</xdr:row>
      <xdr:rowOff>177800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2:AA78"/>
  <sheetViews>
    <sheetView topLeftCell="A2" workbookViewId="0">
      <selection activeCell="K29" sqref="K29"/>
    </sheetView>
  </sheetViews>
  <sheetFormatPr baseColWidth="10" defaultRowHeight="16" x14ac:dyDescent="0.2"/>
  <cols>
    <col min="2" max="3" width="12.1640625" bestFit="1" customWidth="1"/>
    <col min="4" max="4" width="15.33203125" bestFit="1" customWidth="1"/>
    <col min="5" max="5" width="16" bestFit="1" customWidth="1"/>
  </cols>
  <sheetData>
    <row r="2" spans="1:27" x14ac:dyDescent="0.2">
      <c r="A2" s="1" t="s">
        <v>22</v>
      </c>
      <c r="B2" s="2">
        <f>SUM(AA7:AA78)</f>
        <v>1487.4505296737991</v>
      </c>
    </row>
    <row r="4" spans="1:27" x14ac:dyDescent="0.2">
      <c r="A4" s="1" t="s">
        <v>19</v>
      </c>
      <c r="B4" s="3">
        <v>-0.67847511944174144</v>
      </c>
      <c r="C4" s="3">
        <v>1.3561877955591753E-2</v>
      </c>
      <c r="D4" s="3">
        <v>-0.11146419534479293</v>
      </c>
      <c r="E4" s="3">
        <v>-0.68240791136523005</v>
      </c>
      <c r="V4" s="3">
        <v>0.11128247561693214</v>
      </c>
      <c r="W4" s="3">
        <v>5.8382496888493966E-4</v>
      </c>
      <c r="X4" s="3">
        <v>-0.20450274229018131</v>
      </c>
      <c r="Y4" s="3">
        <v>9.0772380839994615E-2</v>
      </c>
    </row>
    <row r="6" spans="1:27" x14ac:dyDescent="0.2">
      <c r="A6" s="5" t="s">
        <v>0</v>
      </c>
      <c r="B6" s="5" t="s">
        <v>1</v>
      </c>
      <c r="C6" s="5" t="s">
        <v>2</v>
      </c>
      <c r="D6" s="5" t="s">
        <v>3</v>
      </c>
      <c r="E6" s="5" t="s">
        <v>4</v>
      </c>
      <c r="F6" s="5" t="s">
        <v>5</v>
      </c>
      <c r="G6" s="5" t="s">
        <v>6</v>
      </c>
      <c r="H6" s="5" t="s">
        <v>7</v>
      </c>
      <c r="I6" s="5" t="s">
        <v>8</v>
      </c>
      <c r="J6" s="5" t="s">
        <v>9</v>
      </c>
      <c r="K6" s="5" t="s">
        <v>10</v>
      </c>
      <c r="L6" s="5" t="s">
        <v>11</v>
      </c>
      <c r="M6" s="5" t="s">
        <v>12</v>
      </c>
      <c r="N6" s="5" t="s">
        <v>13</v>
      </c>
      <c r="O6" s="5" t="s">
        <v>14</v>
      </c>
      <c r="P6" s="5" t="s">
        <v>23</v>
      </c>
      <c r="Q6" s="5" t="s">
        <v>15</v>
      </c>
      <c r="R6" s="5" t="s">
        <v>16</v>
      </c>
      <c r="S6" s="5" t="s">
        <v>17</v>
      </c>
      <c r="T6" s="5" t="s">
        <v>18</v>
      </c>
      <c r="U6" s="5"/>
      <c r="V6" s="5" t="str">
        <f>B6&amp;" Squared"</f>
        <v>DPs Squared</v>
      </c>
      <c r="W6" s="5" t="str">
        <f t="shared" ref="W6:Y6" si="0">C6&amp;" Squared"</f>
        <v>Scenarios Squared</v>
      </c>
      <c r="X6" s="5" t="str">
        <f t="shared" si="0"/>
        <v>Production_units Squared</v>
      </c>
      <c r="Y6" s="5" t="str">
        <f t="shared" si="0"/>
        <v>Trading_timeslots Squared</v>
      </c>
      <c r="Z6" s="5" t="s">
        <v>20</v>
      </c>
      <c r="AA6" s="5" t="s">
        <v>21</v>
      </c>
    </row>
    <row r="7" spans="1:27" x14ac:dyDescent="0.2">
      <c r="A7" s="4">
        <v>2</v>
      </c>
      <c r="B7" s="4">
        <v>10</v>
      </c>
      <c r="C7" s="4">
        <v>100</v>
      </c>
      <c r="D7" s="4">
        <v>3</v>
      </c>
      <c r="E7" s="4">
        <v>14</v>
      </c>
      <c r="F7" s="4">
        <v>32.978189945220898</v>
      </c>
      <c r="G7" s="4">
        <v>1223000</v>
      </c>
      <c r="H7" s="4">
        <v>682990</v>
      </c>
      <c r="I7" s="4">
        <v>0</v>
      </c>
      <c r="J7" s="4">
        <v>0</v>
      </c>
      <c r="K7" s="4">
        <v>1553900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 t="s">
        <v>27</v>
      </c>
      <c r="R7" s="4">
        <v>-1</v>
      </c>
      <c r="S7" s="4">
        <v>0</v>
      </c>
      <c r="T7" s="4">
        <v>10264.964602497201</v>
      </c>
      <c r="U7" s="4"/>
      <c r="V7" s="4">
        <f>B7^2</f>
        <v>100</v>
      </c>
      <c r="W7" s="4">
        <f t="shared" ref="W7:Y7" si="1">C7^2</f>
        <v>10000</v>
      </c>
      <c r="X7" s="4">
        <f t="shared" si="1"/>
        <v>9</v>
      </c>
      <c r="Y7" s="4">
        <f t="shared" si="1"/>
        <v>196</v>
      </c>
      <c r="Z7" s="4">
        <f>SUMPRODUCT(B7:Y7,$B$4:$Y$4)</f>
        <v>17.600692470564081</v>
      </c>
      <c r="AA7" s="4">
        <f>(F7-Z7)^2</f>
        <v>236.46742858307678</v>
      </c>
    </row>
    <row r="8" spans="1:27" x14ac:dyDescent="0.2">
      <c r="A8" s="4">
        <v>3</v>
      </c>
      <c r="B8" s="4">
        <v>10</v>
      </c>
      <c r="C8" s="4">
        <v>100</v>
      </c>
      <c r="D8" s="4">
        <v>3</v>
      </c>
      <c r="E8" s="4">
        <v>8</v>
      </c>
      <c r="F8" s="4">
        <v>10.7917528152465</v>
      </c>
      <c r="G8" s="4">
        <v>413000</v>
      </c>
      <c r="H8" s="4">
        <v>250990</v>
      </c>
      <c r="I8" s="4">
        <v>0</v>
      </c>
      <c r="J8" s="4">
        <v>0</v>
      </c>
      <c r="K8" s="4">
        <v>536900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 t="s">
        <v>27</v>
      </c>
      <c r="R8" s="4">
        <v>-1</v>
      </c>
      <c r="S8" s="4">
        <v>0</v>
      </c>
      <c r="T8" s="4">
        <v>6339.0474384133304</v>
      </c>
      <c r="U8" s="4"/>
      <c r="V8" s="4">
        <f t="shared" ref="V8:V71" si="2">B8^2</f>
        <v>100</v>
      </c>
      <c r="W8" s="4">
        <f t="shared" ref="W8:W71" si="3">C8^2</f>
        <v>10000</v>
      </c>
      <c r="X8" s="4">
        <f t="shared" ref="X8:X71" si="4">D8^2</f>
        <v>9</v>
      </c>
      <c r="Y8" s="4">
        <f t="shared" ref="Y8:Y71" si="5">E8^2</f>
        <v>64</v>
      </c>
      <c r="Z8" s="4">
        <f t="shared" ref="Z8:Z71" si="6">SUMPRODUCT(B8:Y8,$B$4:$Y$4)</f>
        <v>9.713185667876175</v>
      </c>
      <c r="AA8" s="4">
        <f t="shared" ref="AA8:AA71" si="7">(F8-Z8)^2</f>
        <v>1.1633070913865611</v>
      </c>
    </row>
    <row r="9" spans="1:27" x14ac:dyDescent="0.2">
      <c r="A9" s="4">
        <v>4</v>
      </c>
      <c r="B9" s="4">
        <v>10</v>
      </c>
      <c r="C9" s="4">
        <v>100</v>
      </c>
      <c r="D9" s="4">
        <v>3</v>
      </c>
      <c r="E9" s="4">
        <v>2</v>
      </c>
      <c r="F9" s="4">
        <v>1.2894639968871999</v>
      </c>
      <c r="G9" s="4">
        <v>35000</v>
      </c>
      <c r="H9" s="4">
        <v>34990</v>
      </c>
      <c r="I9" s="4">
        <v>0</v>
      </c>
      <c r="J9" s="4">
        <v>0</v>
      </c>
      <c r="K9" s="4">
        <v>59900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 t="s">
        <v>27</v>
      </c>
      <c r="R9" s="4">
        <v>-1</v>
      </c>
      <c r="S9" s="4">
        <v>0</v>
      </c>
      <c r="T9" s="4">
        <v>1657.58410468477</v>
      </c>
      <c r="U9" s="4"/>
      <c r="V9" s="4">
        <f t="shared" si="2"/>
        <v>100</v>
      </c>
      <c r="W9" s="4">
        <f t="shared" si="3"/>
        <v>10000</v>
      </c>
      <c r="X9" s="4">
        <f t="shared" si="4"/>
        <v>9</v>
      </c>
      <c r="Y9" s="4">
        <f t="shared" si="5"/>
        <v>4</v>
      </c>
      <c r="Z9" s="4">
        <f t="shared" si="6"/>
        <v>8.361290285667879</v>
      </c>
      <c r="AA9" s="4">
        <f t="shared" si="7"/>
        <v>50.010727058689511</v>
      </c>
    </row>
    <row r="10" spans="1:27" x14ac:dyDescent="0.2">
      <c r="A10" s="4">
        <v>5</v>
      </c>
      <c r="B10" s="4">
        <v>10</v>
      </c>
      <c r="C10" s="4">
        <v>100</v>
      </c>
      <c r="D10" s="4">
        <v>2</v>
      </c>
      <c r="E10" s="4">
        <v>14</v>
      </c>
      <c r="F10" s="4">
        <v>32.6054239273071</v>
      </c>
      <c r="G10" s="4">
        <v>1222000</v>
      </c>
      <c r="H10" s="4">
        <v>681990</v>
      </c>
      <c r="I10" s="4">
        <v>0</v>
      </c>
      <c r="J10" s="4">
        <v>0</v>
      </c>
      <c r="K10" s="4">
        <v>1548900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 t="s">
        <v>27</v>
      </c>
      <c r="R10" s="4">
        <v>-1</v>
      </c>
      <c r="S10" s="4">
        <v>0</v>
      </c>
      <c r="T10" s="4">
        <v>10713.294977388599</v>
      </c>
      <c r="U10" s="4"/>
      <c r="V10" s="4">
        <f t="shared" si="2"/>
        <v>100</v>
      </c>
      <c r="W10" s="4">
        <f t="shared" si="3"/>
        <v>10000</v>
      </c>
      <c r="X10" s="4">
        <f t="shared" si="4"/>
        <v>4</v>
      </c>
      <c r="Y10" s="4">
        <f t="shared" si="5"/>
        <v>196</v>
      </c>
      <c r="Z10" s="4">
        <f t="shared" si="6"/>
        <v>18.734670377359784</v>
      </c>
      <c r="AA10" s="4">
        <f t="shared" si="7"/>
        <v>192.39780404337608</v>
      </c>
    </row>
    <row r="11" spans="1:27" x14ac:dyDescent="0.2">
      <c r="A11" s="4">
        <v>6</v>
      </c>
      <c r="B11" s="4">
        <v>10</v>
      </c>
      <c r="C11" s="4">
        <v>100</v>
      </c>
      <c r="D11" s="4">
        <v>2</v>
      </c>
      <c r="E11" s="4">
        <v>8</v>
      </c>
      <c r="F11" s="4">
        <v>11.0490698814392</v>
      </c>
      <c r="G11" s="4">
        <v>412000</v>
      </c>
      <c r="H11" s="4">
        <v>249990</v>
      </c>
      <c r="I11" s="4">
        <v>0</v>
      </c>
      <c r="J11" s="4">
        <v>0</v>
      </c>
      <c r="K11" s="4">
        <v>531900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 t="s">
        <v>27</v>
      </c>
      <c r="R11" s="4">
        <v>-1</v>
      </c>
      <c r="S11" s="4">
        <v>0</v>
      </c>
      <c r="T11" s="4">
        <v>6053.3347355605601</v>
      </c>
      <c r="U11" s="4"/>
      <c r="V11" s="4">
        <f t="shared" si="2"/>
        <v>100</v>
      </c>
      <c r="W11" s="4">
        <f t="shared" si="3"/>
        <v>10000</v>
      </c>
      <c r="X11" s="4">
        <f t="shared" si="4"/>
        <v>4</v>
      </c>
      <c r="Y11" s="4">
        <f t="shared" si="5"/>
        <v>64</v>
      </c>
      <c r="Z11" s="4">
        <f t="shared" si="6"/>
        <v>10.847163574671875</v>
      </c>
      <c r="AA11" s="4">
        <f t="shared" si="7"/>
        <v>4.0766156712421335E-2</v>
      </c>
    </row>
    <row r="12" spans="1:27" x14ac:dyDescent="0.2">
      <c r="A12" s="4">
        <v>7</v>
      </c>
      <c r="B12" s="4">
        <v>10</v>
      </c>
      <c r="C12" s="4">
        <v>100</v>
      </c>
      <c r="D12" s="4">
        <v>2</v>
      </c>
      <c r="E12" s="4">
        <v>2</v>
      </c>
      <c r="F12" s="4">
        <v>1.2090401649475</v>
      </c>
      <c r="G12" s="4">
        <v>34000</v>
      </c>
      <c r="H12" s="4">
        <v>33990</v>
      </c>
      <c r="I12" s="4">
        <v>0</v>
      </c>
      <c r="J12" s="4">
        <v>0</v>
      </c>
      <c r="K12" s="4">
        <v>54900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 t="s">
        <v>27</v>
      </c>
      <c r="R12" s="4">
        <v>-1</v>
      </c>
      <c r="S12" s="4">
        <v>0</v>
      </c>
      <c r="T12" s="4">
        <v>1617.4439104200001</v>
      </c>
      <c r="U12" s="4"/>
      <c r="V12" s="4">
        <f t="shared" si="2"/>
        <v>100</v>
      </c>
      <c r="W12" s="4">
        <f t="shared" si="3"/>
        <v>10000</v>
      </c>
      <c r="X12" s="4">
        <f t="shared" si="4"/>
        <v>4</v>
      </c>
      <c r="Y12" s="4">
        <f t="shared" si="5"/>
        <v>4</v>
      </c>
      <c r="Z12" s="4">
        <f t="shared" si="6"/>
        <v>9.4952681924635751</v>
      </c>
      <c r="AA12" s="4">
        <f t="shared" si="7"/>
        <v>68.66157492399293</v>
      </c>
    </row>
    <row r="13" spans="1:27" x14ac:dyDescent="0.2">
      <c r="A13" s="4">
        <v>8</v>
      </c>
      <c r="B13" s="4">
        <v>10</v>
      </c>
      <c r="C13" s="4">
        <v>70</v>
      </c>
      <c r="D13" s="4">
        <v>3</v>
      </c>
      <c r="E13" s="4">
        <v>14</v>
      </c>
      <c r="F13" s="4">
        <v>22.990706920623701</v>
      </c>
      <c r="G13" s="4">
        <v>856100</v>
      </c>
      <c r="H13" s="4">
        <v>478090</v>
      </c>
      <c r="I13" s="4">
        <v>0</v>
      </c>
      <c r="J13" s="4">
        <v>0</v>
      </c>
      <c r="K13" s="4">
        <v>1087730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 t="s">
        <v>27</v>
      </c>
      <c r="R13" s="4">
        <v>-1</v>
      </c>
      <c r="S13" s="4">
        <v>0</v>
      </c>
      <c r="T13" s="4">
        <v>10894.2465467085</v>
      </c>
      <c r="U13" s="4"/>
      <c r="V13" s="4">
        <f t="shared" si="2"/>
        <v>100</v>
      </c>
      <c r="W13" s="4">
        <f t="shared" si="3"/>
        <v>4900</v>
      </c>
      <c r="X13" s="4">
        <f t="shared" si="4"/>
        <v>9</v>
      </c>
      <c r="Y13" s="4">
        <f t="shared" si="5"/>
        <v>196</v>
      </c>
      <c r="Z13" s="4">
        <f t="shared" si="6"/>
        <v>14.216328790583139</v>
      </c>
      <c r="AA13" s="4">
        <f t="shared" si="7"/>
        <v>76.989711568934112</v>
      </c>
    </row>
    <row r="14" spans="1:27" x14ac:dyDescent="0.2">
      <c r="A14" s="4">
        <v>9</v>
      </c>
      <c r="B14" s="4">
        <v>10</v>
      </c>
      <c r="C14" s="4">
        <v>70</v>
      </c>
      <c r="D14" s="4">
        <v>3</v>
      </c>
      <c r="E14" s="4">
        <v>8</v>
      </c>
      <c r="F14" s="4">
        <v>7.6558349132537797</v>
      </c>
      <c r="G14" s="4">
        <v>289100</v>
      </c>
      <c r="H14" s="4">
        <v>175690</v>
      </c>
      <c r="I14" s="4">
        <v>0</v>
      </c>
      <c r="J14" s="4">
        <v>0</v>
      </c>
      <c r="K14" s="4">
        <v>375830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 t="s">
        <v>27</v>
      </c>
      <c r="R14" s="4">
        <v>-1</v>
      </c>
      <c r="S14" s="4">
        <v>0</v>
      </c>
      <c r="T14" s="4">
        <v>7191.36193025799</v>
      </c>
      <c r="U14" s="4"/>
      <c r="V14" s="4">
        <f t="shared" si="2"/>
        <v>100</v>
      </c>
      <c r="W14" s="4">
        <f t="shared" si="3"/>
        <v>4900</v>
      </c>
      <c r="X14" s="4">
        <f t="shared" si="4"/>
        <v>9</v>
      </c>
      <c r="Y14" s="4">
        <f t="shared" si="5"/>
        <v>64</v>
      </c>
      <c r="Z14" s="4">
        <f t="shared" si="6"/>
        <v>6.3288219878952301</v>
      </c>
      <c r="AA14" s="4">
        <f t="shared" si="7"/>
        <v>1.7609633040686556</v>
      </c>
    </row>
    <row r="15" spans="1:27" x14ac:dyDescent="0.2">
      <c r="A15" s="4">
        <v>10</v>
      </c>
      <c r="B15" s="4">
        <v>10</v>
      </c>
      <c r="C15" s="4">
        <v>70</v>
      </c>
      <c r="D15" s="4">
        <v>3</v>
      </c>
      <c r="E15" s="4">
        <v>2</v>
      </c>
      <c r="F15" s="4">
        <v>0.87847018241882302</v>
      </c>
      <c r="G15" s="4">
        <v>24500</v>
      </c>
      <c r="H15" s="4">
        <v>24490</v>
      </c>
      <c r="I15" s="4">
        <v>0</v>
      </c>
      <c r="J15" s="4">
        <v>0</v>
      </c>
      <c r="K15" s="4">
        <v>41930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 t="s">
        <v>27</v>
      </c>
      <c r="R15" s="4">
        <v>-1</v>
      </c>
      <c r="S15" s="4">
        <v>0</v>
      </c>
      <c r="T15" s="4">
        <v>3166.4046338949302</v>
      </c>
      <c r="U15" s="4"/>
      <c r="V15" s="4">
        <f t="shared" si="2"/>
        <v>100</v>
      </c>
      <c r="W15" s="4">
        <f t="shared" si="3"/>
        <v>4900</v>
      </c>
      <c r="X15" s="4">
        <f t="shared" si="4"/>
        <v>9</v>
      </c>
      <c r="Y15" s="4">
        <f t="shared" si="5"/>
        <v>4</v>
      </c>
      <c r="Z15" s="4">
        <f t="shared" si="6"/>
        <v>4.9769266056869323</v>
      </c>
      <c r="AA15" s="4">
        <f t="shared" si="7"/>
        <v>16.797345053427623</v>
      </c>
    </row>
    <row r="16" spans="1:27" x14ac:dyDescent="0.2">
      <c r="A16" s="4">
        <v>11</v>
      </c>
      <c r="B16" s="4">
        <v>10</v>
      </c>
      <c r="C16" s="4">
        <v>70</v>
      </c>
      <c r="D16" s="4">
        <v>2</v>
      </c>
      <c r="E16" s="4">
        <v>14</v>
      </c>
      <c r="F16" s="4">
        <v>21.9301450252532</v>
      </c>
      <c r="G16" s="4">
        <v>855400</v>
      </c>
      <c r="H16" s="4">
        <v>477390</v>
      </c>
      <c r="I16" s="4">
        <v>0</v>
      </c>
      <c r="J16" s="4">
        <v>0</v>
      </c>
      <c r="K16" s="4">
        <v>1084230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 t="s">
        <v>27</v>
      </c>
      <c r="R16" s="4">
        <v>-1</v>
      </c>
      <c r="S16" s="4">
        <v>0</v>
      </c>
      <c r="T16" s="4">
        <v>12615.4437653766</v>
      </c>
      <c r="U16" s="4"/>
      <c r="V16" s="4">
        <f t="shared" si="2"/>
        <v>100</v>
      </c>
      <c r="W16" s="4">
        <f t="shared" si="3"/>
        <v>4900</v>
      </c>
      <c r="X16" s="4">
        <f t="shared" si="4"/>
        <v>4</v>
      </c>
      <c r="Y16" s="4">
        <f t="shared" si="5"/>
        <v>196</v>
      </c>
      <c r="Z16" s="4">
        <f t="shared" si="6"/>
        <v>15.350306697378837</v>
      </c>
      <c r="AA16" s="4">
        <f t="shared" si="7"/>
        <v>43.294272420964489</v>
      </c>
    </row>
    <row r="17" spans="1:27" x14ac:dyDescent="0.2">
      <c r="A17" s="4">
        <v>12</v>
      </c>
      <c r="B17" s="4">
        <v>10</v>
      </c>
      <c r="C17" s="4">
        <v>70</v>
      </c>
      <c r="D17" s="4">
        <v>2</v>
      </c>
      <c r="E17" s="4">
        <v>8</v>
      </c>
      <c r="F17" s="4">
        <v>7.5862431526184002</v>
      </c>
      <c r="G17" s="4">
        <v>288400</v>
      </c>
      <c r="H17" s="4">
        <v>174990</v>
      </c>
      <c r="I17" s="4">
        <v>0</v>
      </c>
      <c r="J17" s="4">
        <v>0</v>
      </c>
      <c r="K17" s="4">
        <v>372330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 t="s">
        <v>27</v>
      </c>
      <c r="R17" s="4">
        <v>-1</v>
      </c>
      <c r="S17" s="4">
        <v>0</v>
      </c>
      <c r="T17" s="4">
        <v>7558.4502376588798</v>
      </c>
      <c r="U17" s="4"/>
      <c r="V17" s="4">
        <f t="shared" si="2"/>
        <v>100</v>
      </c>
      <c r="W17" s="4">
        <f t="shared" si="3"/>
        <v>4900</v>
      </c>
      <c r="X17" s="4">
        <f t="shared" si="4"/>
        <v>4</v>
      </c>
      <c r="Y17" s="4">
        <f t="shared" si="5"/>
        <v>64</v>
      </c>
      <c r="Z17" s="4">
        <f t="shared" si="6"/>
        <v>7.4627998946909289</v>
      </c>
      <c r="AA17" s="4">
        <f t="shared" si="7"/>
        <v>1.5238237927748218E-2</v>
      </c>
    </row>
    <row r="18" spans="1:27" x14ac:dyDescent="0.2">
      <c r="A18" s="4">
        <v>13</v>
      </c>
      <c r="B18" s="4">
        <v>10</v>
      </c>
      <c r="C18" s="4">
        <v>70</v>
      </c>
      <c r="D18" s="4">
        <v>2</v>
      </c>
      <c r="E18" s="4">
        <v>2</v>
      </c>
      <c r="F18" s="4">
        <v>0.83231520652770996</v>
      </c>
      <c r="G18" s="4">
        <v>23800</v>
      </c>
      <c r="H18" s="4">
        <v>23790</v>
      </c>
      <c r="I18" s="4">
        <v>0</v>
      </c>
      <c r="J18" s="4">
        <v>0</v>
      </c>
      <c r="K18" s="4">
        <v>38430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 t="s">
        <v>27</v>
      </c>
      <c r="R18" s="4">
        <v>-1</v>
      </c>
      <c r="S18" s="4">
        <v>0</v>
      </c>
      <c r="T18" s="4">
        <v>3117.8868110005201</v>
      </c>
      <c r="U18" s="4"/>
      <c r="V18" s="4">
        <f t="shared" si="2"/>
        <v>100</v>
      </c>
      <c r="W18" s="4">
        <f t="shared" si="3"/>
        <v>4900</v>
      </c>
      <c r="X18" s="4">
        <f t="shared" si="4"/>
        <v>4</v>
      </c>
      <c r="Y18" s="4">
        <f t="shared" si="5"/>
        <v>4</v>
      </c>
      <c r="Z18" s="4">
        <f t="shared" si="6"/>
        <v>6.110904512482632</v>
      </c>
      <c r="AA18" s="4">
        <f t="shared" si="7"/>
        <v>27.863505060941666</v>
      </c>
    </row>
    <row r="19" spans="1:27" x14ac:dyDescent="0.2">
      <c r="A19" s="4">
        <v>14</v>
      </c>
      <c r="B19" s="4">
        <v>10</v>
      </c>
      <c r="C19" s="4">
        <v>40</v>
      </c>
      <c r="D19" s="4">
        <v>3</v>
      </c>
      <c r="E19" s="4">
        <v>14</v>
      </c>
      <c r="F19" s="4">
        <v>12.422721862792899</v>
      </c>
      <c r="G19" s="4">
        <v>489200</v>
      </c>
      <c r="H19" s="4">
        <v>273190</v>
      </c>
      <c r="I19" s="4">
        <v>0</v>
      </c>
      <c r="J19" s="4">
        <v>0</v>
      </c>
      <c r="K19" s="4">
        <v>621560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 t="s">
        <v>27</v>
      </c>
      <c r="R19" s="4">
        <v>-1</v>
      </c>
      <c r="S19" s="4">
        <v>0</v>
      </c>
      <c r="T19" s="4">
        <v>13704.5233099732</v>
      </c>
      <c r="U19" s="4"/>
      <c r="V19" s="4">
        <f t="shared" si="2"/>
        <v>100</v>
      </c>
      <c r="W19" s="4">
        <f t="shared" si="3"/>
        <v>1600</v>
      </c>
      <c r="X19" s="4">
        <f t="shared" si="4"/>
        <v>9</v>
      </c>
      <c r="Y19" s="4">
        <f t="shared" si="5"/>
        <v>196</v>
      </c>
      <c r="Z19" s="4">
        <f t="shared" si="6"/>
        <v>11.882850054595083</v>
      </c>
      <c r="AA19" s="4">
        <f t="shared" si="7"/>
        <v>0.29146156928677941</v>
      </c>
    </row>
    <row r="20" spans="1:27" x14ac:dyDescent="0.2">
      <c r="A20" s="4">
        <v>15</v>
      </c>
      <c r="B20" s="4">
        <v>10</v>
      </c>
      <c r="C20" s="4">
        <v>40</v>
      </c>
      <c r="D20" s="4">
        <v>3</v>
      </c>
      <c r="E20" s="4">
        <v>8</v>
      </c>
      <c r="F20" s="4">
        <v>4.3222730159759504</v>
      </c>
      <c r="G20" s="4">
        <v>165200</v>
      </c>
      <c r="H20" s="4">
        <v>100390</v>
      </c>
      <c r="I20" s="4">
        <v>0</v>
      </c>
      <c r="J20" s="4">
        <v>0</v>
      </c>
      <c r="K20" s="4">
        <v>214760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 t="s">
        <v>27</v>
      </c>
      <c r="R20" s="4">
        <v>-1</v>
      </c>
      <c r="S20" s="4">
        <v>0</v>
      </c>
      <c r="T20" s="4">
        <v>7007.3281225392202</v>
      </c>
      <c r="U20" s="4"/>
      <c r="V20" s="4">
        <f t="shared" si="2"/>
        <v>100</v>
      </c>
      <c r="W20" s="4">
        <f t="shared" si="3"/>
        <v>1600</v>
      </c>
      <c r="X20" s="4">
        <f t="shared" si="4"/>
        <v>9</v>
      </c>
      <c r="Y20" s="4">
        <f t="shared" si="5"/>
        <v>64</v>
      </c>
      <c r="Z20" s="4">
        <f t="shared" si="6"/>
        <v>3.9953432519071779</v>
      </c>
      <c r="AA20" s="4">
        <f t="shared" si="7"/>
        <v>0.10688307063406324</v>
      </c>
    </row>
    <row r="21" spans="1:27" x14ac:dyDescent="0.2">
      <c r="A21" s="4">
        <v>16</v>
      </c>
      <c r="B21" s="4">
        <v>10</v>
      </c>
      <c r="C21" s="4">
        <v>40</v>
      </c>
      <c r="D21" s="4">
        <v>3</v>
      </c>
      <c r="E21" s="4">
        <v>2</v>
      </c>
      <c r="F21" s="4">
        <v>0.475834131240844</v>
      </c>
      <c r="G21" s="4">
        <v>14000</v>
      </c>
      <c r="H21" s="4">
        <v>13990</v>
      </c>
      <c r="I21" s="4">
        <v>0</v>
      </c>
      <c r="J21" s="4">
        <v>0</v>
      </c>
      <c r="K21" s="4">
        <v>23960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 t="s">
        <v>27</v>
      </c>
      <c r="R21" s="4">
        <v>-1</v>
      </c>
      <c r="S21" s="4">
        <v>0</v>
      </c>
      <c r="T21" s="4">
        <v>4208.56812031543</v>
      </c>
      <c r="U21" s="4"/>
      <c r="V21" s="4">
        <f t="shared" si="2"/>
        <v>100</v>
      </c>
      <c r="W21" s="4">
        <f t="shared" si="3"/>
        <v>1600</v>
      </c>
      <c r="X21" s="4">
        <f t="shared" si="4"/>
        <v>9</v>
      </c>
      <c r="Y21" s="4">
        <f t="shared" si="5"/>
        <v>4</v>
      </c>
      <c r="Z21" s="4">
        <f t="shared" si="6"/>
        <v>2.6434478696988801</v>
      </c>
      <c r="AA21" s="4">
        <f t="shared" si="7"/>
        <v>4.6985493191520238</v>
      </c>
    </row>
    <row r="22" spans="1:27" x14ac:dyDescent="0.2">
      <c r="A22" s="4">
        <v>17</v>
      </c>
      <c r="B22" s="4">
        <v>10</v>
      </c>
      <c r="C22" s="4">
        <v>40</v>
      </c>
      <c r="D22" s="4">
        <v>2</v>
      </c>
      <c r="E22" s="4">
        <v>14</v>
      </c>
      <c r="F22" s="4">
        <v>12.492362022399901</v>
      </c>
      <c r="G22" s="4">
        <v>488800</v>
      </c>
      <c r="H22" s="4">
        <v>272790</v>
      </c>
      <c r="I22" s="4">
        <v>0</v>
      </c>
      <c r="J22" s="4">
        <v>0</v>
      </c>
      <c r="K22" s="4">
        <v>619560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 t="s">
        <v>27</v>
      </c>
      <c r="R22" s="4">
        <v>-1</v>
      </c>
      <c r="S22" s="4">
        <v>0</v>
      </c>
      <c r="T22" s="4">
        <v>14400.977589378101</v>
      </c>
      <c r="U22" s="4"/>
      <c r="V22" s="4">
        <f t="shared" si="2"/>
        <v>100</v>
      </c>
      <c r="W22" s="4">
        <f t="shared" si="3"/>
        <v>1600</v>
      </c>
      <c r="X22" s="4">
        <f t="shared" si="4"/>
        <v>4</v>
      </c>
      <c r="Y22" s="4">
        <f t="shared" si="5"/>
        <v>196</v>
      </c>
      <c r="Z22" s="4">
        <f t="shared" si="6"/>
        <v>13.016827961390785</v>
      </c>
      <c r="AA22" s="4">
        <f t="shared" si="7"/>
        <v>0.27506452116159003</v>
      </c>
    </row>
    <row r="23" spans="1:27" x14ac:dyDescent="0.2">
      <c r="A23" s="4">
        <v>18</v>
      </c>
      <c r="B23" s="4">
        <v>10</v>
      </c>
      <c r="C23" s="4">
        <v>40</v>
      </c>
      <c r="D23" s="4">
        <v>2</v>
      </c>
      <c r="E23" s="4">
        <v>8</v>
      </c>
      <c r="F23" s="4">
        <v>4.2008478641510001</v>
      </c>
      <c r="G23" s="4">
        <v>164800</v>
      </c>
      <c r="H23" s="4">
        <v>99990</v>
      </c>
      <c r="I23" s="4">
        <v>0</v>
      </c>
      <c r="J23" s="4">
        <v>0</v>
      </c>
      <c r="K23" s="4">
        <v>212760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 t="s">
        <v>27</v>
      </c>
      <c r="R23" s="4">
        <v>-1</v>
      </c>
      <c r="S23" s="4">
        <v>0</v>
      </c>
      <c r="T23" s="4">
        <v>9244.5040764792993</v>
      </c>
      <c r="U23" s="4"/>
      <c r="V23" s="4">
        <f t="shared" si="2"/>
        <v>100</v>
      </c>
      <c r="W23" s="4">
        <f t="shared" si="3"/>
        <v>1600</v>
      </c>
      <c r="X23" s="4">
        <f t="shared" si="4"/>
        <v>4</v>
      </c>
      <c r="Y23" s="4">
        <f t="shared" si="5"/>
        <v>64</v>
      </c>
      <c r="Z23" s="4">
        <f t="shared" si="6"/>
        <v>5.1293211587028749</v>
      </c>
      <c r="AA23" s="4">
        <f t="shared" si="7"/>
        <v>0.8620626586960124</v>
      </c>
    </row>
    <row r="24" spans="1:27" x14ac:dyDescent="0.2">
      <c r="A24" s="4">
        <v>19</v>
      </c>
      <c r="B24" s="4">
        <v>10</v>
      </c>
      <c r="C24" s="4">
        <v>40</v>
      </c>
      <c r="D24" s="4">
        <v>2</v>
      </c>
      <c r="E24" s="4">
        <v>2</v>
      </c>
      <c r="F24" s="4">
        <v>0.47598314285278298</v>
      </c>
      <c r="G24" s="4">
        <v>13600</v>
      </c>
      <c r="H24" s="4">
        <v>13590</v>
      </c>
      <c r="I24" s="4">
        <v>0</v>
      </c>
      <c r="J24" s="4">
        <v>0</v>
      </c>
      <c r="K24" s="4">
        <v>21960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 t="s">
        <v>27</v>
      </c>
      <c r="R24" s="4">
        <v>-1</v>
      </c>
      <c r="S24" s="4">
        <v>0</v>
      </c>
      <c r="T24" s="4">
        <v>4154.2078462701102</v>
      </c>
      <c r="U24" s="4"/>
      <c r="V24" s="4">
        <f t="shared" si="2"/>
        <v>100</v>
      </c>
      <c r="W24" s="4">
        <f t="shared" si="3"/>
        <v>1600</v>
      </c>
      <c r="X24" s="4">
        <f t="shared" si="4"/>
        <v>4</v>
      </c>
      <c r="Y24" s="4">
        <f t="shared" si="5"/>
        <v>4</v>
      </c>
      <c r="Z24" s="4">
        <f t="shared" si="6"/>
        <v>3.7774257764945793</v>
      </c>
      <c r="AA24" s="4">
        <f t="shared" si="7"/>
        <v>10.899523463227682</v>
      </c>
    </row>
    <row r="25" spans="1:27" x14ac:dyDescent="0.2">
      <c r="A25" s="4">
        <v>20</v>
      </c>
      <c r="B25" s="4">
        <v>10</v>
      </c>
      <c r="C25" s="4">
        <v>10</v>
      </c>
      <c r="D25" s="4">
        <v>3</v>
      </c>
      <c r="E25" s="4">
        <v>14</v>
      </c>
      <c r="F25" s="4">
        <v>3.0424020290374698</v>
      </c>
      <c r="G25" s="4">
        <v>122300</v>
      </c>
      <c r="H25" s="4">
        <v>68290</v>
      </c>
      <c r="I25" s="4">
        <v>0</v>
      </c>
      <c r="J25" s="4">
        <v>0</v>
      </c>
      <c r="K25" s="4">
        <v>155390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 t="s">
        <v>27</v>
      </c>
      <c r="R25" s="4">
        <v>-1</v>
      </c>
      <c r="S25" s="4">
        <v>0</v>
      </c>
      <c r="T25" s="4">
        <v>12391.3153272491</v>
      </c>
      <c r="U25" s="4"/>
      <c r="V25" s="4">
        <f t="shared" si="2"/>
        <v>100</v>
      </c>
      <c r="W25" s="4">
        <f t="shared" si="3"/>
        <v>100</v>
      </c>
      <c r="X25" s="4">
        <f t="shared" si="4"/>
        <v>9</v>
      </c>
      <c r="Y25" s="4">
        <f t="shared" si="5"/>
        <v>196</v>
      </c>
      <c r="Z25" s="4">
        <f t="shared" si="6"/>
        <v>10.600256262599922</v>
      </c>
      <c r="AA25" s="4">
        <f t="shared" si="7"/>
        <v>57.121160615777875</v>
      </c>
    </row>
    <row r="26" spans="1:27" x14ac:dyDescent="0.2">
      <c r="A26" s="4">
        <v>21</v>
      </c>
      <c r="B26" s="4">
        <v>10</v>
      </c>
      <c r="C26" s="4">
        <v>10</v>
      </c>
      <c r="D26" s="4">
        <v>3</v>
      </c>
      <c r="E26" s="4">
        <v>8</v>
      </c>
      <c r="F26" s="4">
        <v>1.06108593940734</v>
      </c>
      <c r="G26" s="4">
        <v>41300</v>
      </c>
      <c r="H26" s="4">
        <v>25090</v>
      </c>
      <c r="I26" s="4">
        <v>0</v>
      </c>
      <c r="J26" s="4">
        <v>0</v>
      </c>
      <c r="K26" s="4">
        <v>53690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 t="s">
        <v>27</v>
      </c>
      <c r="R26" s="4">
        <v>-1</v>
      </c>
      <c r="S26" s="4">
        <v>0</v>
      </c>
      <c r="T26" s="4">
        <v>7381.8971112454901</v>
      </c>
      <c r="U26" s="4"/>
      <c r="V26" s="4">
        <f t="shared" si="2"/>
        <v>100</v>
      </c>
      <c r="W26" s="4">
        <f t="shared" si="3"/>
        <v>100</v>
      </c>
      <c r="X26" s="4">
        <f t="shared" si="4"/>
        <v>9</v>
      </c>
      <c r="Y26" s="4">
        <f t="shared" si="5"/>
        <v>64</v>
      </c>
      <c r="Z26" s="4">
        <f t="shared" si="6"/>
        <v>2.7127494599120139</v>
      </c>
      <c r="AA26" s="4">
        <f t="shared" si="7"/>
        <v>2.7279923849658934</v>
      </c>
    </row>
    <row r="27" spans="1:27" x14ac:dyDescent="0.2">
      <c r="A27" s="4">
        <v>22</v>
      </c>
      <c r="B27" s="4">
        <v>10</v>
      </c>
      <c r="C27" s="4">
        <v>10</v>
      </c>
      <c r="D27" s="4">
        <v>3</v>
      </c>
      <c r="E27" s="4">
        <v>2</v>
      </c>
      <c r="F27" s="4">
        <v>0.135720014572143</v>
      </c>
      <c r="G27" s="4">
        <v>3500</v>
      </c>
      <c r="H27" s="4">
        <v>3490</v>
      </c>
      <c r="I27" s="4">
        <v>0</v>
      </c>
      <c r="J27" s="4">
        <v>0</v>
      </c>
      <c r="K27" s="4">
        <v>5990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 t="s">
        <v>27</v>
      </c>
      <c r="R27" s="4">
        <v>-1</v>
      </c>
      <c r="S27" s="4">
        <v>0</v>
      </c>
      <c r="T27" s="4">
        <v>4959.4793818087401</v>
      </c>
      <c r="U27" s="4"/>
      <c r="V27" s="4">
        <f t="shared" si="2"/>
        <v>100</v>
      </c>
      <c r="W27" s="4">
        <f t="shared" si="3"/>
        <v>100</v>
      </c>
      <c r="X27" s="4">
        <f t="shared" si="4"/>
        <v>9</v>
      </c>
      <c r="Y27" s="4">
        <f t="shared" si="5"/>
        <v>4</v>
      </c>
      <c r="Z27" s="4">
        <f t="shared" si="6"/>
        <v>1.3608540777037179</v>
      </c>
      <c r="AA27" s="4">
        <f t="shared" si="7"/>
        <v>1.5009534726452816</v>
      </c>
    </row>
    <row r="28" spans="1:27" x14ac:dyDescent="0.2">
      <c r="A28" s="4">
        <v>23</v>
      </c>
      <c r="B28" s="4">
        <v>10</v>
      </c>
      <c r="C28" s="4">
        <v>10</v>
      </c>
      <c r="D28" s="4">
        <v>2</v>
      </c>
      <c r="E28" s="4">
        <v>14</v>
      </c>
      <c r="F28" s="4">
        <v>3.04693102836608</v>
      </c>
      <c r="G28" s="4">
        <v>122200</v>
      </c>
      <c r="H28" s="4">
        <v>68190</v>
      </c>
      <c r="I28" s="4">
        <v>0</v>
      </c>
      <c r="J28" s="4">
        <v>0</v>
      </c>
      <c r="K28" s="4">
        <v>154890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 t="s">
        <v>27</v>
      </c>
      <c r="R28" s="4">
        <v>-1</v>
      </c>
      <c r="S28" s="4">
        <v>0</v>
      </c>
      <c r="T28" s="4">
        <v>14890.208785314</v>
      </c>
      <c r="U28" s="4"/>
      <c r="V28" s="4">
        <f t="shared" si="2"/>
        <v>100</v>
      </c>
      <c r="W28" s="4">
        <f t="shared" si="3"/>
        <v>100</v>
      </c>
      <c r="X28" s="4">
        <f t="shared" si="4"/>
        <v>4</v>
      </c>
      <c r="Y28" s="4">
        <f t="shared" si="5"/>
        <v>196</v>
      </c>
      <c r="Z28" s="4">
        <f t="shared" si="6"/>
        <v>11.734234169395624</v>
      </c>
      <c r="AA28" s="4">
        <f t="shared" si="7"/>
        <v>75.46923586414178</v>
      </c>
    </row>
    <row r="29" spans="1:27" x14ac:dyDescent="0.2">
      <c r="A29" s="4">
        <v>24</v>
      </c>
      <c r="B29" s="4">
        <v>10</v>
      </c>
      <c r="C29" s="4">
        <v>10</v>
      </c>
      <c r="D29" s="4">
        <v>2</v>
      </c>
      <c r="E29" s="4">
        <v>8</v>
      </c>
      <c r="F29" s="4">
        <v>1.2562561035156199</v>
      </c>
      <c r="G29" s="4">
        <v>41200</v>
      </c>
      <c r="H29" s="4">
        <v>24990</v>
      </c>
      <c r="I29" s="4">
        <v>0</v>
      </c>
      <c r="J29" s="4">
        <v>0</v>
      </c>
      <c r="K29" s="4">
        <v>53190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 t="s">
        <v>27</v>
      </c>
      <c r="R29" s="4">
        <v>-1</v>
      </c>
      <c r="S29" s="4">
        <v>0</v>
      </c>
      <c r="T29" s="4">
        <v>11605.4854522605</v>
      </c>
      <c r="U29" s="4"/>
      <c r="V29" s="4">
        <f t="shared" si="2"/>
        <v>100</v>
      </c>
      <c r="W29" s="4">
        <f t="shared" si="3"/>
        <v>100</v>
      </c>
      <c r="X29" s="4">
        <f t="shared" si="4"/>
        <v>4</v>
      </c>
      <c r="Y29" s="4">
        <f t="shared" si="5"/>
        <v>64</v>
      </c>
      <c r="Z29" s="4">
        <f t="shared" si="6"/>
        <v>3.8467273667077144</v>
      </c>
      <c r="AA29" s="4">
        <f t="shared" si="7"/>
        <v>6.7105413654240467</v>
      </c>
    </row>
    <row r="30" spans="1:27" x14ac:dyDescent="0.2">
      <c r="A30" s="4">
        <v>25</v>
      </c>
      <c r="B30" s="4">
        <v>10</v>
      </c>
      <c r="C30" s="4">
        <v>10</v>
      </c>
      <c r="D30" s="4">
        <v>2</v>
      </c>
      <c r="E30" s="4">
        <v>2</v>
      </c>
      <c r="F30" s="4">
        <v>0.13046979904174799</v>
      </c>
      <c r="G30" s="4">
        <v>3400</v>
      </c>
      <c r="H30" s="4">
        <v>3390</v>
      </c>
      <c r="I30" s="4">
        <v>0</v>
      </c>
      <c r="J30" s="4">
        <v>0</v>
      </c>
      <c r="K30" s="4">
        <v>5490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 t="s">
        <v>27</v>
      </c>
      <c r="R30" s="4">
        <v>-1</v>
      </c>
      <c r="S30" s="4">
        <v>0</v>
      </c>
      <c r="T30" s="4">
        <v>4669.50283549901</v>
      </c>
      <c r="U30" s="4"/>
      <c r="V30" s="4">
        <f t="shared" si="2"/>
        <v>100</v>
      </c>
      <c r="W30" s="4">
        <f t="shared" si="3"/>
        <v>100</v>
      </c>
      <c r="X30" s="4">
        <f t="shared" si="4"/>
        <v>4</v>
      </c>
      <c r="Y30" s="4">
        <f t="shared" si="5"/>
        <v>4</v>
      </c>
      <c r="Z30" s="4">
        <f t="shared" si="6"/>
        <v>2.4948319844994171</v>
      </c>
      <c r="AA30" s="4">
        <f t="shared" si="7"/>
        <v>5.5902085440221647</v>
      </c>
    </row>
    <row r="31" spans="1:27" x14ac:dyDescent="0.2">
      <c r="A31" s="4">
        <v>26</v>
      </c>
      <c r="B31" s="4">
        <v>6</v>
      </c>
      <c r="C31" s="4">
        <v>100</v>
      </c>
      <c r="D31" s="4">
        <v>3</v>
      </c>
      <c r="E31" s="4">
        <v>14</v>
      </c>
      <c r="F31" s="4">
        <v>19.948003053665101</v>
      </c>
      <c r="G31" s="4">
        <v>733800</v>
      </c>
      <c r="H31" s="4">
        <v>409794</v>
      </c>
      <c r="I31" s="4">
        <v>0</v>
      </c>
      <c r="J31" s="4">
        <v>0</v>
      </c>
      <c r="K31" s="4">
        <v>932300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 t="s">
        <v>27</v>
      </c>
      <c r="R31" s="4">
        <v>-1</v>
      </c>
      <c r="S31" s="4">
        <v>0</v>
      </c>
      <c r="T31" s="4">
        <v>6396.0144885469699</v>
      </c>
      <c r="U31" s="4"/>
      <c r="V31" s="4">
        <f t="shared" si="2"/>
        <v>36</v>
      </c>
      <c r="W31" s="4">
        <f t="shared" si="3"/>
        <v>10000</v>
      </c>
      <c r="X31" s="4">
        <f t="shared" si="4"/>
        <v>9</v>
      </c>
      <c r="Y31" s="4">
        <f t="shared" si="5"/>
        <v>196</v>
      </c>
      <c r="Z31" s="4">
        <f t="shared" si="6"/>
        <v>13.192514508847392</v>
      </c>
      <c r="AA31" s="4">
        <f t="shared" si="7"/>
        <v>45.636625479163285</v>
      </c>
    </row>
    <row r="32" spans="1:27" x14ac:dyDescent="0.2">
      <c r="A32" s="4">
        <v>27</v>
      </c>
      <c r="B32" s="4">
        <v>6</v>
      </c>
      <c r="C32" s="4">
        <v>100</v>
      </c>
      <c r="D32" s="4">
        <v>3</v>
      </c>
      <c r="E32" s="4">
        <v>8</v>
      </c>
      <c r="F32" s="4">
        <v>6.6191592216491699</v>
      </c>
      <c r="G32" s="4">
        <v>247800</v>
      </c>
      <c r="H32" s="4">
        <v>150594</v>
      </c>
      <c r="I32" s="4">
        <v>0</v>
      </c>
      <c r="J32" s="4">
        <v>0</v>
      </c>
      <c r="K32" s="4">
        <v>322100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 t="s">
        <v>27</v>
      </c>
      <c r="R32" s="4">
        <v>-1</v>
      </c>
      <c r="S32" s="4">
        <v>0</v>
      </c>
      <c r="T32" s="4">
        <v>3816.8747967275199</v>
      </c>
      <c r="U32" s="4"/>
      <c r="V32" s="4">
        <f t="shared" si="2"/>
        <v>36</v>
      </c>
      <c r="W32" s="4">
        <f t="shared" si="3"/>
        <v>10000</v>
      </c>
      <c r="X32" s="4">
        <f t="shared" si="4"/>
        <v>9</v>
      </c>
      <c r="Y32" s="4">
        <f t="shared" si="5"/>
        <v>64</v>
      </c>
      <c r="Z32" s="4">
        <f t="shared" si="6"/>
        <v>5.3050077061594845</v>
      </c>
      <c r="AA32" s="4">
        <f t="shared" si="7"/>
        <v>1.726994205663837</v>
      </c>
    </row>
    <row r="33" spans="1:27" x14ac:dyDescent="0.2">
      <c r="A33" s="4">
        <v>28</v>
      </c>
      <c r="B33" s="4">
        <v>6</v>
      </c>
      <c r="C33" s="4">
        <v>100</v>
      </c>
      <c r="D33" s="4">
        <v>3</v>
      </c>
      <c r="E33" s="4">
        <v>2</v>
      </c>
      <c r="F33" s="4">
        <v>0.77310895919799805</v>
      </c>
      <c r="G33" s="4">
        <v>21000</v>
      </c>
      <c r="H33" s="4">
        <v>20994</v>
      </c>
      <c r="I33" s="4">
        <v>0</v>
      </c>
      <c r="J33" s="4">
        <v>0</v>
      </c>
      <c r="K33" s="4">
        <v>35900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 t="s">
        <v>27</v>
      </c>
      <c r="R33" s="4">
        <v>-1</v>
      </c>
      <c r="S33" s="4">
        <v>0</v>
      </c>
      <c r="T33" s="4">
        <v>880.69182764995401</v>
      </c>
      <c r="U33" s="4"/>
      <c r="V33" s="4">
        <f t="shared" si="2"/>
        <v>36</v>
      </c>
      <c r="W33" s="4">
        <f t="shared" si="3"/>
        <v>10000</v>
      </c>
      <c r="X33" s="4">
        <f t="shared" si="4"/>
        <v>9</v>
      </c>
      <c r="Y33" s="4">
        <f t="shared" si="5"/>
        <v>4</v>
      </c>
      <c r="Z33" s="4">
        <f t="shared" si="6"/>
        <v>3.9531123239511885</v>
      </c>
      <c r="AA33" s="4">
        <f t="shared" si="7"/>
        <v>10.112421399841613</v>
      </c>
    </row>
    <row r="34" spans="1:27" x14ac:dyDescent="0.2">
      <c r="A34" s="4">
        <v>29</v>
      </c>
      <c r="B34" s="4">
        <v>6</v>
      </c>
      <c r="C34" s="4">
        <v>100</v>
      </c>
      <c r="D34" s="4">
        <v>2</v>
      </c>
      <c r="E34" s="4">
        <v>14</v>
      </c>
      <c r="F34" s="4">
        <v>18.6494846343994</v>
      </c>
      <c r="G34" s="4">
        <v>733200</v>
      </c>
      <c r="H34" s="4">
        <v>409194</v>
      </c>
      <c r="I34" s="4">
        <v>0</v>
      </c>
      <c r="J34" s="4">
        <v>0</v>
      </c>
      <c r="K34" s="4">
        <v>929300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 t="s">
        <v>27</v>
      </c>
      <c r="R34" s="4">
        <v>-1</v>
      </c>
      <c r="S34" s="4">
        <v>0</v>
      </c>
      <c r="T34" s="4">
        <v>6554.6162162700302</v>
      </c>
      <c r="U34" s="4"/>
      <c r="V34" s="4">
        <f t="shared" si="2"/>
        <v>36</v>
      </c>
      <c r="W34" s="4">
        <f t="shared" si="3"/>
        <v>10000</v>
      </c>
      <c r="X34" s="4">
        <f t="shared" si="4"/>
        <v>4</v>
      </c>
      <c r="Y34" s="4">
        <f t="shared" si="5"/>
        <v>196</v>
      </c>
      <c r="Z34" s="4">
        <f t="shared" si="6"/>
        <v>14.326492415643092</v>
      </c>
      <c r="AA34" s="4">
        <f t="shared" si="7"/>
        <v>18.688261723427591</v>
      </c>
    </row>
    <row r="35" spans="1:27" x14ac:dyDescent="0.2">
      <c r="A35" s="4">
        <v>30</v>
      </c>
      <c r="B35" s="4">
        <v>6</v>
      </c>
      <c r="C35" s="4">
        <v>100</v>
      </c>
      <c r="D35" s="4">
        <v>2</v>
      </c>
      <c r="E35" s="4">
        <v>8</v>
      </c>
      <c r="F35" s="4">
        <v>6.4954249858856201</v>
      </c>
      <c r="G35" s="4">
        <v>247200</v>
      </c>
      <c r="H35" s="4">
        <v>149994</v>
      </c>
      <c r="I35" s="4">
        <v>0</v>
      </c>
      <c r="J35" s="4">
        <v>0</v>
      </c>
      <c r="K35" s="4">
        <v>319100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 t="s">
        <v>27</v>
      </c>
      <c r="R35" s="4">
        <v>-1</v>
      </c>
      <c r="S35" s="4">
        <v>0</v>
      </c>
      <c r="T35" s="4">
        <v>4436.9905949751201</v>
      </c>
      <c r="U35" s="4"/>
      <c r="V35" s="4">
        <f t="shared" si="2"/>
        <v>36</v>
      </c>
      <c r="W35" s="4">
        <f t="shared" si="3"/>
        <v>10000</v>
      </c>
      <c r="X35" s="4">
        <f t="shared" si="4"/>
        <v>4</v>
      </c>
      <c r="Y35" s="4">
        <f t="shared" si="5"/>
        <v>64</v>
      </c>
      <c r="Z35" s="4">
        <f t="shared" si="6"/>
        <v>6.4389856129551841</v>
      </c>
      <c r="AA35" s="4">
        <f t="shared" si="7"/>
        <v>3.1854028167808313E-3</v>
      </c>
    </row>
    <row r="36" spans="1:27" x14ac:dyDescent="0.2">
      <c r="A36" s="4">
        <v>31</v>
      </c>
      <c r="B36" s="4">
        <v>6</v>
      </c>
      <c r="C36" s="4">
        <v>100</v>
      </c>
      <c r="D36" s="4">
        <v>2</v>
      </c>
      <c r="E36" s="4">
        <v>2</v>
      </c>
      <c r="F36" s="4">
        <v>0.75967788696288996</v>
      </c>
      <c r="G36" s="4">
        <v>20400</v>
      </c>
      <c r="H36" s="4">
        <v>20394</v>
      </c>
      <c r="I36" s="4">
        <v>0</v>
      </c>
      <c r="J36" s="4">
        <v>0</v>
      </c>
      <c r="K36" s="4">
        <v>32900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 t="s">
        <v>27</v>
      </c>
      <c r="R36" s="4">
        <v>-1</v>
      </c>
      <c r="S36" s="4">
        <v>0</v>
      </c>
      <c r="T36" s="4">
        <v>1079.0294532294399</v>
      </c>
      <c r="U36" s="4"/>
      <c r="V36" s="4">
        <f t="shared" si="2"/>
        <v>36</v>
      </c>
      <c r="W36" s="4">
        <f t="shared" si="3"/>
        <v>10000</v>
      </c>
      <c r="X36" s="4">
        <f t="shared" si="4"/>
        <v>4</v>
      </c>
      <c r="Y36" s="4">
        <f t="shared" si="5"/>
        <v>4</v>
      </c>
      <c r="Z36" s="4">
        <f t="shared" si="6"/>
        <v>5.0870902307468882</v>
      </c>
      <c r="AA36" s="4">
        <f t="shared" si="7"/>
        <v>18.72649759313412</v>
      </c>
    </row>
    <row r="37" spans="1:27" x14ac:dyDescent="0.2">
      <c r="A37" s="4">
        <v>32</v>
      </c>
      <c r="B37" s="4">
        <v>6</v>
      </c>
      <c r="C37" s="4">
        <v>70</v>
      </c>
      <c r="D37" s="4">
        <v>3</v>
      </c>
      <c r="E37" s="4">
        <v>14</v>
      </c>
      <c r="F37" s="4">
        <v>17.8832669258117</v>
      </c>
      <c r="G37" s="4">
        <v>513660</v>
      </c>
      <c r="H37" s="4">
        <v>286854</v>
      </c>
      <c r="I37" s="4">
        <v>0</v>
      </c>
      <c r="J37" s="4">
        <v>0</v>
      </c>
      <c r="K37" s="4">
        <v>652610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 t="s">
        <v>27</v>
      </c>
      <c r="R37" s="4">
        <v>-1</v>
      </c>
      <c r="S37" s="4">
        <v>0</v>
      </c>
      <c r="T37" s="4">
        <v>6767.4191665984599</v>
      </c>
      <c r="U37" s="4"/>
      <c r="V37" s="4">
        <f t="shared" si="2"/>
        <v>36</v>
      </c>
      <c r="W37" s="4">
        <f t="shared" si="3"/>
        <v>4900</v>
      </c>
      <c r="X37" s="4">
        <f t="shared" si="4"/>
        <v>9</v>
      </c>
      <c r="Y37" s="4">
        <f t="shared" si="5"/>
        <v>196</v>
      </c>
      <c r="Z37" s="4">
        <f t="shared" si="6"/>
        <v>9.8081508288664487</v>
      </c>
      <c r="AA37" s="4">
        <f t="shared" si="7"/>
        <v>65.207499979144316</v>
      </c>
    </row>
    <row r="38" spans="1:27" x14ac:dyDescent="0.2">
      <c r="A38" s="4">
        <v>33</v>
      </c>
      <c r="B38" s="4">
        <v>6</v>
      </c>
      <c r="C38" s="4">
        <v>70</v>
      </c>
      <c r="D38" s="4">
        <v>3</v>
      </c>
      <c r="E38" s="4">
        <v>8</v>
      </c>
      <c r="F38" s="4">
        <v>5.75183010101318</v>
      </c>
      <c r="G38" s="4">
        <v>173460</v>
      </c>
      <c r="H38" s="4">
        <v>105414</v>
      </c>
      <c r="I38" s="4">
        <v>0</v>
      </c>
      <c r="J38" s="4">
        <v>0</v>
      </c>
      <c r="K38" s="4">
        <v>225470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 t="s">
        <v>27</v>
      </c>
      <c r="R38" s="4">
        <v>-1</v>
      </c>
      <c r="S38" s="4">
        <v>0</v>
      </c>
      <c r="T38" s="4">
        <v>4857.82907890773</v>
      </c>
      <c r="U38" s="4"/>
      <c r="V38" s="4">
        <f t="shared" si="2"/>
        <v>36</v>
      </c>
      <c r="W38" s="4">
        <f t="shared" si="3"/>
        <v>4900</v>
      </c>
      <c r="X38" s="4">
        <f t="shared" si="4"/>
        <v>9</v>
      </c>
      <c r="Y38" s="4">
        <f t="shared" si="5"/>
        <v>64</v>
      </c>
      <c r="Z38" s="4">
        <f t="shared" si="6"/>
        <v>1.92064402617854</v>
      </c>
      <c r="AA38" s="4">
        <f t="shared" si="7"/>
        <v>14.677986740006856</v>
      </c>
    </row>
    <row r="39" spans="1:27" x14ac:dyDescent="0.2">
      <c r="A39" s="4">
        <v>34</v>
      </c>
      <c r="B39" s="4">
        <v>6</v>
      </c>
      <c r="C39" s="4">
        <v>70</v>
      </c>
      <c r="D39" s="4">
        <v>3</v>
      </c>
      <c r="E39" s="4">
        <v>2</v>
      </c>
      <c r="F39" s="4">
        <v>0.65483999252319303</v>
      </c>
      <c r="G39" s="4">
        <v>14700</v>
      </c>
      <c r="H39" s="4">
        <v>14694</v>
      </c>
      <c r="I39" s="4">
        <v>0</v>
      </c>
      <c r="J39" s="4">
        <v>0</v>
      </c>
      <c r="K39" s="4">
        <v>25130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 t="s">
        <v>27</v>
      </c>
      <c r="R39" s="4">
        <v>-1</v>
      </c>
      <c r="S39" s="4">
        <v>0</v>
      </c>
      <c r="T39" s="4">
        <v>1741.1334356188299</v>
      </c>
      <c r="U39" s="4"/>
      <c r="V39" s="4">
        <f t="shared" si="2"/>
        <v>36</v>
      </c>
      <c r="W39" s="4">
        <f t="shared" si="3"/>
        <v>4900</v>
      </c>
      <c r="X39" s="4">
        <f t="shared" si="4"/>
        <v>9</v>
      </c>
      <c r="Y39" s="4">
        <f t="shared" si="5"/>
        <v>4</v>
      </c>
      <c r="Z39" s="4">
        <f t="shared" si="6"/>
        <v>0.56874864397024361</v>
      </c>
      <c r="AA39" s="4">
        <f t="shared" si="7"/>
        <v>7.4117202956654263E-3</v>
      </c>
    </row>
    <row r="40" spans="1:27" x14ac:dyDescent="0.2">
      <c r="A40" s="4">
        <v>35</v>
      </c>
      <c r="B40" s="4">
        <v>6</v>
      </c>
      <c r="C40" s="4">
        <v>70</v>
      </c>
      <c r="D40" s="4">
        <v>2</v>
      </c>
      <c r="E40" s="4">
        <v>14</v>
      </c>
      <c r="F40" s="4">
        <v>13.572021007537799</v>
      </c>
      <c r="G40" s="4">
        <v>513240</v>
      </c>
      <c r="H40" s="4">
        <v>286434</v>
      </c>
      <c r="I40" s="4">
        <v>0</v>
      </c>
      <c r="J40" s="4">
        <v>0</v>
      </c>
      <c r="K40" s="4">
        <v>650510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 t="s">
        <v>27</v>
      </c>
      <c r="R40" s="4">
        <v>-1</v>
      </c>
      <c r="S40" s="4">
        <v>0</v>
      </c>
      <c r="T40" s="4">
        <v>6795.6600653351397</v>
      </c>
      <c r="U40" s="4"/>
      <c r="V40" s="4">
        <f t="shared" si="2"/>
        <v>36</v>
      </c>
      <c r="W40" s="4">
        <f t="shared" si="3"/>
        <v>4900</v>
      </c>
      <c r="X40" s="4">
        <f t="shared" si="4"/>
        <v>4</v>
      </c>
      <c r="Y40" s="4">
        <f t="shared" si="5"/>
        <v>196</v>
      </c>
      <c r="Z40" s="4">
        <f t="shared" si="6"/>
        <v>10.942128735662148</v>
      </c>
      <c r="AA40" s="4">
        <f t="shared" si="7"/>
        <v>6.9163333616712714</v>
      </c>
    </row>
    <row r="41" spans="1:27" x14ac:dyDescent="0.2">
      <c r="A41" s="4">
        <v>36</v>
      </c>
      <c r="B41" s="4">
        <v>6</v>
      </c>
      <c r="C41" s="4">
        <v>70</v>
      </c>
      <c r="D41" s="4">
        <v>2</v>
      </c>
      <c r="E41" s="4">
        <v>8</v>
      </c>
      <c r="F41" s="4">
        <v>4.3056640625</v>
      </c>
      <c r="G41" s="4">
        <v>173040</v>
      </c>
      <c r="H41" s="4">
        <v>104994</v>
      </c>
      <c r="I41" s="4">
        <v>0</v>
      </c>
      <c r="J41" s="4">
        <v>0</v>
      </c>
      <c r="K41" s="4">
        <v>223370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 t="s">
        <v>27</v>
      </c>
      <c r="R41" s="4">
        <v>-1</v>
      </c>
      <c r="S41" s="4">
        <v>0</v>
      </c>
      <c r="T41" s="4">
        <v>4364.5831218818803</v>
      </c>
      <c r="U41" s="4"/>
      <c r="V41" s="4">
        <f t="shared" si="2"/>
        <v>36</v>
      </c>
      <c r="W41" s="4">
        <f t="shared" si="3"/>
        <v>4900</v>
      </c>
      <c r="X41" s="4">
        <f t="shared" si="4"/>
        <v>4</v>
      </c>
      <c r="Y41" s="4">
        <f t="shared" si="5"/>
        <v>64</v>
      </c>
      <c r="Z41" s="4">
        <f t="shared" si="6"/>
        <v>3.0546219329742392</v>
      </c>
      <c r="AA41" s="4">
        <f t="shared" si="7"/>
        <v>1.5651064098483505</v>
      </c>
    </row>
    <row r="42" spans="1:27" x14ac:dyDescent="0.2">
      <c r="A42" s="4">
        <v>37</v>
      </c>
      <c r="B42" s="4">
        <v>6</v>
      </c>
      <c r="C42" s="4">
        <v>70</v>
      </c>
      <c r="D42" s="4">
        <v>2</v>
      </c>
      <c r="E42" s="4">
        <v>2</v>
      </c>
      <c r="F42" s="4">
        <v>0.52972102165222101</v>
      </c>
      <c r="G42" s="4">
        <v>14280</v>
      </c>
      <c r="H42" s="4">
        <v>14274</v>
      </c>
      <c r="I42" s="4">
        <v>0</v>
      </c>
      <c r="J42" s="4">
        <v>0</v>
      </c>
      <c r="K42" s="4">
        <v>23030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 t="s">
        <v>27</v>
      </c>
      <c r="R42" s="4">
        <v>-1</v>
      </c>
      <c r="S42" s="4">
        <v>0</v>
      </c>
      <c r="T42" s="4">
        <v>1812.53027899584</v>
      </c>
      <c r="U42" s="4"/>
      <c r="V42" s="4">
        <f t="shared" si="2"/>
        <v>36</v>
      </c>
      <c r="W42" s="4">
        <f t="shared" si="3"/>
        <v>4900</v>
      </c>
      <c r="X42" s="4">
        <f t="shared" si="4"/>
        <v>4</v>
      </c>
      <c r="Y42" s="4">
        <f t="shared" si="5"/>
        <v>4</v>
      </c>
      <c r="Z42" s="4">
        <f t="shared" si="6"/>
        <v>1.7027265507659428</v>
      </c>
      <c r="AA42" s="4">
        <f t="shared" si="7"/>
        <v>1.3759419713313625</v>
      </c>
    </row>
    <row r="43" spans="1:27" x14ac:dyDescent="0.2">
      <c r="A43" s="4">
        <v>38</v>
      </c>
      <c r="B43" s="4">
        <v>6</v>
      </c>
      <c r="C43" s="4">
        <v>40</v>
      </c>
      <c r="D43" s="4">
        <v>3</v>
      </c>
      <c r="E43" s="4">
        <v>14</v>
      </c>
      <c r="F43" s="4">
        <v>7.4835619926452601</v>
      </c>
      <c r="G43" s="4">
        <v>293520</v>
      </c>
      <c r="H43" s="4">
        <v>163914</v>
      </c>
      <c r="I43" s="4">
        <v>0</v>
      </c>
      <c r="J43" s="4">
        <v>0</v>
      </c>
      <c r="K43" s="4">
        <v>372920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 t="s">
        <v>27</v>
      </c>
      <c r="R43" s="4">
        <v>-1</v>
      </c>
      <c r="S43" s="4">
        <v>0</v>
      </c>
      <c r="T43" s="4">
        <v>7772.6024377918402</v>
      </c>
      <c r="U43" s="4"/>
      <c r="V43" s="4">
        <f t="shared" si="2"/>
        <v>36</v>
      </c>
      <c r="W43" s="4">
        <f t="shared" si="3"/>
        <v>1600</v>
      </c>
      <c r="X43" s="4">
        <f t="shared" si="4"/>
        <v>9</v>
      </c>
      <c r="Y43" s="4">
        <f t="shared" si="5"/>
        <v>196</v>
      </c>
      <c r="Z43" s="4">
        <f t="shared" si="6"/>
        <v>7.474672092878393</v>
      </c>
      <c r="AA43" s="4">
        <f t="shared" si="7"/>
        <v>7.9030317864944781E-5</v>
      </c>
    </row>
    <row r="44" spans="1:27" x14ac:dyDescent="0.2">
      <c r="A44" s="4">
        <v>39</v>
      </c>
      <c r="B44" s="4">
        <v>6</v>
      </c>
      <c r="C44" s="4">
        <v>40</v>
      </c>
      <c r="D44" s="4">
        <v>3</v>
      </c>
      <c r="E44" s="4">
        <v>8</v>
      </c>
      <c r="F44" s="4">
        <v>2.5642409324645898</v>
      </c>
      <c r="G44" s="4">
        <v>99120</v>
      </c>
      <c r="H44" s="4">
        <v>60234</v>
      </c>
      <c r="I44" s="4">
        <v>0</v>
      </c>
      <c r="J44" s="4">
        <v>0</v>
      </c>
      <c r="K44" s="4">
        <v>128840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 t="s">
        <v>27</v>
      </c>
      <c r="R44" s="4">
        <v>-1</v>
      </c>
      <c r="S44" s="4">
        <v>0</v>
      </c>
      <c r="T44" s="4">
        <v>4727.8181051881902</v>
      </c>
      <c r="U44" s="4"/>
      <c r="V44" s="4">
        <f t="shared" si="2"/>
        <v>36</v>
      </c>
      <c r="W44" s="4">
        <f t="shared" si="3"/>
        <v>1600</v>
      </c>
      <c r="X44" s="4">
        <f t="shared" si="4"/>
        <v>9</v>
      </c>
      <c r="Y44" s="4">
        <f t="shared" si="5"/>
        <v>64</v>
      </c>
      <c r="Z44" s="4">
        <f t="shared" si="6"/>
        <v>-0.41283470980951442</v>
      </c>
      <c r="AA44" s="4">
        <f t="shared" si="7"/>
        <v>8.8629793798217698</v>
      </c>
    </row>
    <row r="45" spans="1:27" x14ac:dyDescent="0.2">
      <c r="A45" s="4">
        <v>40</v>
      </c>
      <c r="B45" s="4">
        <v>6</v>
      </c>
      <c r="C45" s="4">
        <v>40</v>
      </c>
      <c r="D45" s="4">
        <v>3</v>
      </c>
      <c r="E45" s="4">
        <v>2</v>
      </c>
      <c r="F45" s="4">
        <v>0.31616115570068298</v>
      </c>
      <c r="G45" s="4">
        <v>8400</v>
      </c>
      <c r="H45" s="4">
        <v>8394</v>
      </c>
      <c r="I45" s="4">
        <v>0</v>
      </c>
      <c r="J45" s="4">
        <v>0</v>
      </c>
      <c r="K45" s="4">
        <v>14360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 t="s">
        <v>27</v>
      </c>
      <c r="R45" s="4">
        <v>-1</v>
      </c>
      <c r="S45" s="4">
        <v>0</v>
      </c>
      <c r="T45" s="4">
        <v>2588.8656277678501</v>
      </c>
      <c r="U45" s="4"/>
      <c r="V45" s="4">
        <f t="shared" si="2"/>
        <v>36</v>
      </c>
      <c r="W45" s="4">
        <f t="shared" si="3"/>
        <v>1600</v>
      </c>
      <c r="X45" s="4">
        <f t="shared" si="4"/>
        <v>9</v>
      </c>
      <c r="Y45" s="4">
        <f t="shared" si="5"/>
        <v>4</v>
      </c>
      <c r="Z45" s="4">
        <f t="shared" si="6"/>
        <v>-1.7647300920178099</v>
      </c>
      <c r="AA45" s="4">
        <f t="shared" si="7"/>
        <v>4.3301083848314272</v>
      </c>
    </row>
    <row r="46" spans="1:27" x14ac:dyDescent="0.2">
      <c r="A46" s="4">
        <v>41</v>
      </c>
      <c r="B46" s="4">
        <v>6</v>
      </c>
      <c r="C46" s="4">
        <v>40</v>
      </c>
      <c r="D46" s="4">
        <v>2</v>
      </c>
      <c r="E46" s="4">
        <v>14</v>
      </c>
      <c r="F46" s="4">
        <v>7.3735051155090297</v>
      </c>
      <c r="G46" s="4">
        <v>293280</v>
      </c>
      <c r="H46" s="4">
        <v>163674</v>
      </c>
      <c r="I46" s="4">
        <v>0</v>
      </c>
      <c r="J46" s="4">
        <v>0</v>
      </c>
      <c r="K46" s="4">
        <v>371720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 t="s">
        <v>27</v>
      </c>
      <c r="R46" s="4">
        <v>-1</v>
      </c>
      <c r="S46" s="4">
        <v>0</v>
      </c>
      <c r="T46" s="4">
        <v>8622.2841009476506</v>
      </c>
      <c r="U46" s="4"/>
      <c r="V46" s="4">
        <f t="shared" si="2"/>
        <v>36</v>
      </c>
      <c r="W46" s="4">
        <f t="shared" si="3"/>
        <v>1600</v>
      </c>
      <c r="X46" s="4">
        <f t="shared" si="4"/>
        <v>4</v>
      </c>
      <c r="Y46" s="4">
        <f t="shared" si="5"/>
        <v>196</v>
      </c>
      <c r="Z46" s="4">
        <f t="shared" si="6"/>
        <v>8.6086499996740926</v>
      </c>
      <c r="AA46" s="4">
        <f t="shared" si="7"/>
        <v>1.5255828848791269</v>
      </c>
    </row>
    <row r="47" spans="1:27" x14ac:dyDescent="0.2">
      <c r="A47" s="4">
        <v>42</v>
      </c>
      <c r="B47" s="4">
        <v>6</v>
      </c>
      <c r="C47" s="4">
        <v>40</v>
      </c>
      <c r="D47" s="4">
        <v>2</v>
      </c>
      <c r="E47" s="4">
        <v>8</v>
      </c>
      <c r="F47" s="4">
        <v>2.5158431529998699</v>
      </c>
      <c r="G47" s="4">
        <v>98880</v>
      </c>
      <c r="H47" s="4">
        <v>59994</v>
      </c>
      <c r="I47" s="4">
        <v>0</v>
      </c>
      <c r="J47" s="4">
        <v>0</v>
      </c>
      <c r="K47" s="4">
        <v>127640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 t="s">
        <v>27</v>
      </c>
      <c r="R47" s="4">
        <v>-1</v>
      </c>
      <c r="S47" s="4">
        <v>0</v>
      </c>
      <c r="T47" s="4">
        <v>5606.6646490809098</v>
      </c>
      <c r="U47" s="4"/>
      <c r="V47" s="4">
        <f t="shared" si="2"/>
        <v>36</v>
      </c>
      <c r="W47" s="4">
        <f t="shared" si="3"/>
        <v>1600</v>
      </c>
      <c r="X47" s="4">
        <f t="shared" si="4"/>
        <v>4</v>
      </c>
      <c r="Y47" s="4">
        <f t="shared" si="5"/>
        <v>64</v>
      </c>
      <c r="Z47" s="4">
        <f t="shared" si="6"/>
        <v>0.72114319698618523</v>
      </c>
      <c r="AA47" s="4">
        <f t="shared" si="7"/>
        <v>3.2209479321155219</v>
      </c>
    </row>
    <row r="48" spans="1:27" x14ac:dyDescent="0.2">
      <c r="A48" s="4">
        <v>43</v>
      </c>
      <c r="B48" s="4">
        <v>6</v>
      </c>
      <c r="C48" s="4">
        <v>40</v>
      </c>
      <c r="D48" s="4">
        <v>2</v>
      </c>
      <c r="E48" s="4">
        <v>2</v>
      </c>
      <c r="F48" s="4">
        <v>0.313421010971069</v>
      </c>
      <c r="G48" s="4">
        <v>8160</v>
      </c>
      <c r="H48" s="4">
        <v>8154</v>
      </c>
      <c r="I48" s="4">
        <v>0</v>
      </c>
      <c r="J48" s="4">
        <v>0</v>
      </c>
      <c r="K48" s="4">
        <v>13160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 t="s">
        <v>27</v>
      </c>
      <c r="R48" s="4">
        <v>-1</v>
      </c>
      <c r="S48" s="4">
        <v>0</v>
      </c>
      <c r="T48" s="4">
        <v>2405.3329742802298</v>
      </c>
      <c r="U48" s="4"/>
      <c r="V48" s="4">
        <f t="shared" si="2"/>
        <v>36</v>
      </c>
      <c r="W48" s="4">
        <f t="shared" si="3"/>
        <v>1600</v>
      </c>
      <c r="X48" s="4">
        <f t="shared" si="4"/>
        <v>4</v>
      </c>
      <c r="Y48" s="4">
        <f t="shared" si="5"/>
        <v>4</v>
      </c>
      <c r="Z48" s="4">
        <f t="shared" si="6"/>
        <v>-0.63075218522211107</v>
      </c>
      <c r="AA48" s="4">
        <f t="shared" si="7"/>
        <v>0.89146302440964531</v>
      </c>
    </row>
    <row r="49" spans="1:27" x14ac:dyDescent="0.2">
      <c r="A49" s="4">
        <v>44</v>
      </c>
      <c r="B49" s="4">
        <v>6</v>
      </c>
      <c r="C49" s="4">
        <v>10</v>
      </c>
      <c r="D49" s="4">
        <v>3</v>
      </c>
      <c r="E49" s="4">
        <v>14</v>
      </c>
      <c r="F49" s="4">
        <v>1.8422532081603999</v>
      </c>
      <c r="G49" s="4">
        <v>73380</v>
      </c>
      <c r="H49" s="4">
        <v>40974</v>
      </c>
      <c r="I49" s="4">
        <v>0</v>
      </c>
      <c r="J49" s="4">
        <v>0</v>
      </c>
      <c r="K49" s="4">
        <v>93230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 t="s">
        <v>27</v>
      </c>
      <c r="R49" s="4">
        <v>-1</v>
      </c>
      <c r="S49" s="4">
        <v>0</v>
      </c>
      <c r="T49" s="4">
        <v>7412.0660998756503</v>
      </c>
      <c r="U49" s="4"/>
      <c r="V49" s="4">
        <f t="shared" si="2"/>
        <v>36</v>
      </c>
      <c r="W49" s="4">
        <f t="shared" si="3"/>
        <v>100</v>
      </c>
      <c r="X49" s="4">
        <f t="shared" si="4"/>
        <v>9</v>
      </c>
      <c r="Y49" s="4">
        <f t="shared" si="5"/>
        <v>196</v>
      </c>
      <c r="Z49" s="4">
        <f t="shared" si="6"/>
        <v>6.1920783008832334</v>
      </c>
      <c r="AA49" s="4">
        <f t="shared" si="7"/>
        <v>18.920978337281202</v>
      </c>
    </row>
    <row r="50" spans="1:27" x14ac:dyDescent="0.2">
      <c r="A50" s="4">
        <v>45</v>
      </c>
      <c r="B50" s="4">
        <v>6</v>
      </c>
      <c r="C50" s="4">
        <v>10</v>
      </c>
      <c r="D50" s="4">
        <v>3</v>
      </c>
      <c r="E50" s="4">
        <v>8</v>
      </c>
      <c r="F50" s="4">
        <v>0.65317177772521895</v>
      </c>
      <c r="G50" s="4">
        <v>24780</v>
      </c>
      <c r="H50" s="4">
        <v>15054</v>
      </c>
      <c r="I50" s="4">
        <v>0</v>
      </c>
      <c r="J50" s="4">
        <v>0</v>
      </c>
      <c r="K50" s="4">
        <v>32210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 t="s">
        <v>27</v>
      </c>
      <c r="R50" s="4">
        <v>-1</v>
      </c>
      <c r="S50" s="4">
        <v>0</v>
      </c>
      <c r="T50" s="4">
        <v>7209.10010176581</v>
      </c>
      <c r="U50" s="4"/>
      <c r="V50" s="4">
        <f t="shared" si="2"/>
        <v>36</v>
      </c>
      <c r="W50" s="4">
        <f t="shared" si="3"/>
        <v>100</v>
      </c>
      <c r="X50" s="4">
        <f t="shared" si="4"/>
        <v>9</v>
      </c>
      <c r="Y50" s="4">
        <f t="shared" si="5"/>
        <v>64</v>
      </c>
      <c r="Z50" s="4">
        <f t="shared" si="6"/>
        <v>-1.6954285018046757</v>
      </c>
      <c r="AA50" s="4">
        <f t="shared" si="7"/>
        <v>5.5159232730078989</v>
      </c>
    </row>
    <row r="51" spans="1:27" x14ac:dyDescent="0.2">
      <c r="A51" s="4">
        <v>46</v>
      </c>
      <c r="B51" s="4">
        <v>6</v>
      </c>
      <c r="C51" s="4">
        <v>10</v>
      </c>
      <c r="D51" s="4">
        <v>3</v>
      </c>
      <c r="E51" s="4">
        <v>2</v>
      </c>
      <c r="F51" s="4">
        <v>9.1105699539184501E-2</v>
      </c>
      <c r="G51" s="4">
        <v>2100</v>
      </c>
      <c r="H51" s="4">
        <v>2094</v>
      </c>
      <c r="I51" s="4">
        <v>0</v>
      </c>
      <c r="J51" s="4">
        <v>0</v>
      </c>
      <c r="K51" s="4">
        <v>3590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 t="s">
        <v>27</v>
      </c>
      <c r="R51" s="4">
        <v>-1</v>
      </c>
      <c r="S51" s="4">
        <v>0</v>
      </c>
      <c r="T51" s="4">
        <v>3453.88876280658</v>
      </c>
      <c r="U51" s="4"/>
      <c r="V51" s="4">
        <f t="shared" si="2"/>
        <v>36</v>
      </c>
      <c r="W51" s="4">
        <f t="shared" si="3"/>
        <v>100</v>
      </c>
      <c r="X51" s="4">
        <f t="shared" si="4"/>
        <v>9</v>
      </c>
      <c r="Y51" s="4">
        <f t="shared" si="5"/>
        <v>4</v>
      </c>
      <c r="Z51" s="4">
        <f t="shared" si="6"/>
        <v>-3.0473238840129713</v>
      </c>
      <c r="AA51" s="4">
        <f t="shared" si="7"/>
        <v>9.8497402509153584</v>
      </c>
    </row>
    <row r="52" spans="1:27" x14ac:dyDescent="0.2">
      <c r="A52" s="4">
        <v>47</v>
      </c>
      <c r="B52" s="4">
        <v>6</v>
      </c>
      <c r="C52" s="4">
        <v>10</v>
      </c>
      <c r="D52" s="4">
        <v>2</v>
      </c>
      <c r="E52" s="4">
        <v>14</v>
      </c>
      <c r="F52" s="4">
        <v>1.8134899139404199</v>
      </c>
      <c r="G52" s="4">
        <v>73320</v>
      </c>
      <c r="H52" s="4">
        <v>40914</v>
      </c>
      <c r="I52" s="4">
        <v>0</v>
      </c>
      <c r="J52" s="4">
        <v>0</v>
      </c>
      <c r="K52" s="4">
        <v>92930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 t="s">
        <v>27</v>
      </c>
      <c r="R52" s="4">
        <v>-1</v>
      </c>
      <c r="S52" s="4">
        <v>0</v>
      </c>
      <c r="T52" s="4">
        <v>9669.1051516800999</v>
      </c>
      <c r="U52" s="4"/>
      <c r="V52" s="4">
        <f t="shared" si="2"/>
        <v>36</v>
      </c>
      <c r="W52" s="4">
        <f t="shared" si="3"/>
        <v>100</v>
      </c>
      <c r="X52" s="4">
        <f t="shared" si="4"/>
        <v>4</v>
      </c>
      <c r="Y52" s="4">
        <f t="shared" si="5"/>
        <v>196</v>
      </c>
      <c r="Z52" s="4">
        <f t="shared" si="6"/>
        <v>7.3260562076789331</v>
      </c>
      <c r="AA52" s="4">
        <f t="shared" si="7"/>
        <v>30.388387142861966</v>
      </c>
    </row>
    <row r="53" spans="1:27" x14ac:dyDescent="0.2">
      <c r="A53" s="4">
        <v>48</v>
      </c>
      <c r="B53" s="4">
        <v>6</v>
      </c>
      <c r="C53" s="4">
        <v>10</v>
      </c>
      <c r="D53" s="4">
        <v>2</v>
      </c>
      <c r="E53" s="4">
        <v>8</v>
      </c>
      <c r="F53" s="4">
        <v>0.64109086990356401</v>
      </c>
      <c r="G53" s="4">
        <v>24720</v>
      </c>
      <c r="H53" s="4">
        <v>14994</v>
      </c>
      <c r="I53" s="4">
        <v>0</v>
      </c>
      <c r="J53" s="4">
        <v>0</v>
      </c>
      <c r="K53" s="4">
        <v>31910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 t="s">
        <v>27</v>
      </c>
      <c r="R53" s="4">
        <v>-1</v>
      </c>
      <c r="S53" s="4">
        <v>0</v>
      </c>
      <c r="T53" s="4">
        <v>5973.9587703227999</v>
      </c>
      <c r="U53" s="4"/>
      <c r="V53" s="4">
        <f t="shared" si="2"/>
        <v>36</v>
      </c>
      <c r="W53" s="4">
        <f t="shared" si="3"/>
        <v>100</v>
      </c>
      <c r="X53" s="4">
        <f t="shared" si="4"/>
        <v>4</v>
      </c>
      <c r="Y53" s="4">
        <f t="shared" si="5"/>
        <v>64</v>
      </c>
      <c r="Z53" s="4">
        <f t="shared" si="6"/>
        <v>-0.56145059500897521</v>
      </c>
      <c r="AA53" s="4">
        <f t="shared" si="7"/>
        <v>1.4461059748339957</v>
      </c>
    </row>
    <row r="54" spans="1:27" x14ac:dyDescent="0.2">
      <c r="A54" s="4">
        <v>49</v>
      </c>
      <c r="B54" s="4">
        <v>6</v>
      </c>
      <c r="C54" s="4">
        <v>10</v>
      </c>
      <c r="D54" s="4">
        <v>2</v>
      </c>
      <c r="E54" s="4">
        <v>2</v>
      </c>
      <c r="F54" s="4">
        <v>8.4601163864135701E-2</v>
      </c>
      <c r="G54" s="4">
        <v>2040</v>
      </c>
      <c r="H54" s="4">
        <v>2034</v>
      </c>
      <c r="I54" s="4">
        <v>0</v>
      </c>
      <c r="J54" s="4">
        <v>0</v>
      </c>
      <c r="K54" s="4">
        <v>3290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 t="s">
        <v>27</v>
      </c>
      <c r="R54" s="4">
        <v>-1</v>
      </c>
      <c r="S54" s="4">
        <v>0</v>
      </c>
      <c r="T54" s="4">
        <v>2996.1095885350701</v>
      </c>
      <c r="U54" s="4"/>
      <c r="V54" s="4">
        <f t="shared" si="2"/>
        <v>36</v>
      </c>
      <c r="W54" s="4">
        <f t="shared" si="3"/>
        <v>100</v>
      </c>
      <c r="X54" s="4">
        <f t="shared" si="4"/>
        <v>4</v>
      </c>
      <c r="Y54" s="4">
        <f t="shared" si="5"/>
        <v>4</v>
      </c>
      <c r="Z54" s="4">
        <f t="shared" si="6"/>
        <v>-1.9133459772172725</v>
      </c>
      <c r="AA54" s="4">
        <f t="shared" si="7"/>
        <v>3.9917927785553728</v>
      </c>
    </row>
    <row r="55" spans="1:27" x14ac:dyDescent="0.2">
      <c r="A55" s="4">
        <v>50</v>
      </c>
      <c r="B55" s="4">
        <v>2</v>
      </c>
      <c r="C55" s="4">
        <v>100</v>
      </c>
      <c r="D55" s="4">
        <v>3</v>
      </c>
      <c r="E55" s="4">
        <v>14</v>
      </c>
      <c r="F55" s="4">
        <v>6.3856039047241202</v>
      </c>
      <c r="G55" s="4">
        <v>244600</v>
      </c>
      <c r="H55" s="4">
        <v>136598</v>
      </c>
      <c r="I55" s="4">
        <v>0</v>
      </c>
      <c r="J55" s="4">
        <v>0</v>
      </c>
      <c r="K55" s="4">
        <v>310700</v>
      </c>
      <c r="L55" s="4">
        <v>0</v>
      </c>
      <c r="M55" s="4">
        <v>0</v>
      </c>
      <c r="N55" s="4">
        <v>0</v>
      </c>
      <c r="O55" s="4">
        <v>0</v>
      </c>
      <c r="P55" s="4">
        <v>0</v>
      </c>
      <c r="Q55" s="4" t="s">
        <v>27</v>
      </c>
      <c r="R55" s="4">
        <v>-1</v>
      </c>
      <c r="S55" s="4">
        <v>0</v>
      </c>
      <c r="T55" s="4">
        <v>1865.56307834989</v>
      </c>
      <c r="U55" s="4"/>
      <c r="V55" s="4">
        <f t="shared" si="2"/>
        <v>4</v>
      </c>
      <c r="W55" s="4">
        <f t="shared" si="3"/>
        <v>10000</v>
      </c>
      <c r="X55" s="4">
        <f t="shared" si="4"/>
        <v>9</v>
      </c>
      <c r="Y55" s="4">
        <f t="shared" si="5"/>
        <v>196</v>
      </c>
      <c r="Z55" s="4">
        <f t="shared" si="6"/>
        <v>12.345375766872531</v>
      </c>
      <c r="AA55" s="4">
        <f t="shared" si="7"/>
        <v>35.518880648855934</v>
      </c>
    </row>
    <row r="56" spans="1:27" x14ac:dyDescent="0.2">
      <c r="A56" s="4">
        <v>51</v>
      </c>
      <c r="B56" s="4">
        <v>2</v>
      </c>
      <c r="C56" s="4">
        <v>100</v>
      </c>
      <c r="D56" s="4">
        <v>3</v>
      </c>
      <c r="E56" s="4">
        <v>8</v>
      </c>
      <c r="F56" s="4">
        <v>2.3073239326477002</v>
      </c>
      <c r="G56" s="4">
        <v>82600</v>
      </c>
      <c r="H56" s="4">
        <v>50198</v>
      </c>
      <c r="I56" s="4">
        <v>0</v>
      </c>
      <c r="J56" s="4">
        <v>0</v>
      </c>
      <c r="K56" s="4">
        <v>107300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 t="s">
        <v>27</v>
      </c>
      <c r="R56" s="4">
        <v>-1</v>
      </c>
      <c r="S56" s="4">
        <v>0</v>
      </c>
      <c r="T56" s="4">
        <v>1079.48028480721</v>
      </c>
      <c r="U56" s="4"/>
      <c r="V56" s="4">
        <f t="shared" si="2"/>
        <v>4</v>
      </c>
      <c r="W56" s="4">
        <f t="shared" si="3"/>
        <v>10000</v>
      </c>
      <c r="X56" s="4">
        <f t="shared" si="4"/>
        <v>9</v>
      </c>
      <c r="Y56" s="4">
        <f t="shared" si="5"/>
        <v>64</v>
      </c>
      <c r="Z56" s="4">
        <f t="shared" si="6"/>
        <v>4.4578689641846214</v>
      </c>
      <c r="AA56" s="4">
        <f t="shared" si="7"/>
        <v>4.6248439326681376</v>
      </c>
    </row>
    <row r="57" spans="1:27" x14ac:dyDescent="0.2">
      <c r="A57" s="4">
        <v>52</v>
      </c>
      <c r="B57" s="4">
        <v>2</v>
      </c>
      <c r="C57" s="4">
        <v>100</v>
      </c>
      <c r="D57" s="4">
        <v>3</v>
      </c>
      <c r="E57" s="4">
        <v>2</v>
      </c>
      <c r="F57" s="4">
        <v>0.44444799423217701</v>
      </c>
      <c r="G57" s="4">
        <v>7000</v>
      </c>
      <c r="H57" s="4">
        <v>6998</v>
      </c>
      <c r="I57" s="4">
        <v>0</v>
      </c>
      <c r="J57" s="4">
        <v>0</v>
      </c>
      <c r="K57" s="4">
        <v>11900</v>
      </c>
      <c r="L57" s="4">
        <v>0</v>
      </c>
      <c r="M57" s="4">
        <v>0</v>
      </c>
      <c r="N57" s="4">
        <v>0</v>
      </c>
      <c r="O57" s="4">
        <v>0</v>
      </c>
      <c r="P57" s="4">
        <v>0</v>
      </c>
      <c r="Q57" s="4" t="s">
        <v>27</v>
      </c>
      <c r="R57" s="4">
        <v>-1</v>
      </c>
      <c r="S57" s="4">
        <v>0</v>
      </c>
      <c r="T57" s="4">
        <v>377.979058592294</v>
      </c>
      <c r="U57" s="4"/>
      <c r="V57" s="4">
        <f t="shared" si="2"/>
        <v>4</v>
      </c>
      <c r="W57" s="4">
        <f t="shared" si="3"/>
        <v>10000</v>
      </c>
      <c r="X57" s="4">
        <f t="shared" si="4"/>
        <v>9</v>
      </c>
      <c r="Y57" s="4">
        <f t="shared" si="5"/>
        <v>4</v>
      </c>
      <c r="Z57" s="4">
        <f t="shared" si="6"/>
        <v>3.1059735819763254</v>
      </c>
      <c r="AA57" s="4">
        <f t="shared" si="7"/>
        <v>7.0837184542168359</v>
      </c>
    </row>
    <row r="58" spans="1:27" x14ac:dyDescent="0.2">
      <c r="A58" s="4">
        <v>53</v>
      </c>
      <c r="B58" s="4">
        <v>2</v>
      </c>
      <c r="C58" s="4">
        <v>100</v>
      </c>
      <c r="D58" s="4">
        <v>2</v>
      </c>
      <c r="E58" s="4">
        <v>14</v>
      </c>
      <c r="F58" s="4">
        <v>6.2240002155303902</v>
      </c>
      <c r="G58" s="4">
        <v>244400</v>
      </c>
      <c r="H58" s="4">
        <v>136398</v>
      </c>
      <c r="I58" s="4">
        <v>0</v>
      </c>
      <c r="J58" s="4">
        <v>0</v>
      </c>
      <c r="K58" s="4">
        <v>309700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 t="s">
        <v>27</v>
      </c>
      <c r="R58" s="4">
        <v>-1</v>
      </c>
      <c r="S58" s="4">
        <v>0</v>
      </c>
      <c r="T58" s="4">
        <v>1932.9601017018599</v>
      </c>
      <c r="U58" s="4"/>
      <c r="V58" s="4">
        <f t="shared" si="2"/>
        <v>4</v>
      </c>
      <c r="W58" s="4">
        <f t="shared" si="3"/>
        <v>10000</v>
      </c>
      <c r="X58" s="4">
        <f t="shared" si="4"/>
        <v>4</v>
      </c>
      <c r="Y58" s="4">
        <f t="shared" si="5"/>
        <v>196</v>
      </c>
      <c r="Z58" s="4">
        <f t="shared" si="6"/>
        <v>13.479353673668228</v>
      </c>
      <c r="AA58" s="4">
        <f t="shared" si="7"/>
        <v>52.640153802512685</v>
      </c>
    </row>
    <row r="59" spans="1:27" x14ac:dyDescent="0.2">
      <c r="A59" s="4">
        <v>54</v>
      </c>
      <c r="B59" s="4">
        <v>2</v>
      </c>
      <c r="C59" s="4">
        <v>100</v>
      </c>
      <c r="D59" s="4">
        <v>2</v>
      </c>
      <c r="E59" s="4">
        <v>8</v>
      </c>
      <c r="F59" s="4">
        <v>2.1963460445403999</v>
      </c>
      <c r="G59" s="4">
        <v>82400</v>
      </c>
      <c r="H59" s="4">
        <v>49998</v>
      </c>
      <c r="I59" s="4">
        <v>0</v>
      </c>
      <c r="J59" s="4">
        <v>0</v>
      </c>
      <c r="K59" s="4">
        <v>106300</v>
      </c>
      <c r="L59" s="4">
        <v>0</v>
      </c>
      <c r="M59" s="4">
        <v>0</v>
      </c>
      <c r="N59" s="4">
        <v>0</v>
      </c>
      <c r="O59" s="4">
        <v>0</v>
      </c>
      <c r="P59" s="4">
        <v>0</v>
      </c>
      <c r="Q59" s="4" t="s">
        <v>27</v>
      </c>
      <c r="R59" s="4">
        <v>-1</v>
      </c>
      <c r="S59" s="4">
        <v>0</v>
      </c>
      <c r="T59" s="4">
        <v>1365.8896059920501</v>
      </c>
      <c r="U59" s="4"/>
      <c r="V59" s="4">
        <f t="shared" si="2"/>
        <v>4</v>
      </c>
      <c r="W59" s="4">
        <f t="shared" si="3"/>
        <v>10000</v>
      </c>
      <c r="X59" s="4">
        <f t="shared" si="4"/>
        <v>4</v>
      </c>
      <c r="Y59" s="4">
        <f t="shared" si="5"/>
        <v>64</v>
      </c>
      <c r="Z59" s="4">
        <f t="shared" si="6"/>
        <v>5.5918468709803211</v>
      </c>
      <c r="AA59" s="4">
        <f t="shared" si="7"/>
        <v>11.529425862354188</v>
      </c>
    </row>
    <row r="60" spans="1:27" x14ac:dyDescent="0.2">
      <c r="A60" s="4">
        <v>55</v>
      </c>
      <c r="B60" s="4">
        <v>2</v>
      </c>
      <c r="C60" s="4">
        <v>100</v>
      </c>
      <c r="D60" s="4">
        <v>2</v>
      </c>
      <c r="E60" s="4">
        <v>2</v>
      </c>
      <c r="F60" s="4">
        <v>0.30488014221191401</v>
      </c>
      <c r="G60" s="4">
        <v>6800</v>
      </c>
      <c r="H60" s="4">
        <v>6798</v>
      </c>
      <c r="I60" s="4">
        <v>0</v>
      </c>
      <c r="J60" s="4">
        <v>0</v>
      </c>
      <c r="K60" s="4">
        <v>10900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 t="s">
        <v>27</v>
      </c>
      <c r="R60" s="4">
        <v>-1</v>
      </c>
      <c r="S60" s="4">
        <v>0</v>
      </c>
      <c r="T60" s="4">
        <v>334.21686637970299</v>
      </c>
      <c r="U60" s="4"/>
      <c r="V60" s="4">
        <f t="shared" si="2"/>
        <v>4</v>
      </c>
      <c r="W60" s="4">
        <f t="shared" si="3"/>
        <v>10000</v>
      </c>
      <c r="X60" s="4">
        <f t="shared" si="4"/>
        <v>4</v>
      </c>
      <c r="Y60" s="4">
        <f t="shared" si="5"/>
        <v>4</v>
      </c>
      <c r="Z60" s="4">
        <f t="shared" si="6"/>
        <v>4.2399514887720251</v>
      </c>
      <c r="AA60" s="4">
        <f t="shared" si="7"/>
        <v>15.484786502518405</v>
      </c>
    </row>
    <row r="61" spans="1:27" x14ac:dyDescent="0.2">
      <c r="A61" s="4">
        <v>56</v>
      </c>
      <c r="B61" s="4">
        <v>2</v>
      </c>
      <c r="C61" s="4">
        <v>70</v>
      </c>
      <c r="D61" s="4">
        <v>3</v>
      </c>
      <c r="E61" s="4">
        <v>14</v>
      </c>
      <c r="F61" s="4">
        <v>4.2745120525360099</v>
      </c>
      <c r="G61" s="4">
        <v>171220</v>
      </c>
      <c r="H61" s="4">
        <v>95618</v>
      </c>
      <c r="I61" s="4">
        <v>0</v>
      </c>
      <c r="J61" s="4">
        <v>0</v>
      </c>
      <c r="K61" s="4">
        <v>217490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 t="s">
        <v>27</v>
      </c>
      <c r="R61" s="4">
        <v>-1</v>
      </c>
      <c r="S61" s="4">
        <v>0</v>
      </c>
      <c r="T61" s="4">
        <v>2253.6950432102099</v>
      </c>
      <c r="U61" s="4"/>
      <c r="V61" s="4">
        <f t="shared" si="2"/>
        <v>4</v>
      </c>
      <c r="W61" s="4">
        <f t="shared" si="3"/>
        <v>4900</v>
      </c>
      <c r="X61" s="4">
        <f t="shared" si="4"/>
        <v>9</v>
      </c>
      <c r="Y61" s="4">
        <f t="shared" si="5"/>
        <v>196</v>
      </c>
      <c r="Z61" s="4">
        <f t="shared" si="6"/>
        <v>8.9610120868915857</v>
      </c>
      <c r="AA61" s="4">
        <f t="shared" si="7"/>
        <v>21.963282572014812</v>
      </c>
    </row>
    <row r="62" spans="1:27" x14ac:dyDescent="0.2">
      <c r="A62" s="4">
        <v>57</v>
      </c>
      <c r="B62" s="4">
        <v>2</v>
      </c>
      <c r="C62" s="4">
        <v>70</v>
      </c>
      <c r="D62" s="4">
        <v>3</v>
      </c>
      <c r="E62" s="4">
        <v>8</v>
      </c>
      <c r="F62" s="4">
        <v>1.50711894035339</v>
      </c>
      <c r="G62" s="4">
        <v>57820</v>
      </c>
      <c r="H62" s="4">
        <v>35138</v>
      </c>
      <c r="I62" s="4">
        <v>0</v>
      </c>
      <c r="J62" s="4">
        <v>0</v>
      </c>
      <c r="K62" s="4">
        <v>75110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 t="s">
        <v>27</v>
      </c>
      <c r="R62" s="4">
        <v>-1</v>
      </c>
      <c r="S62" s="4">
        <v>0</v>
      </c>
      <c r="T62" s="4">
        <v>1384.2011297956799</v>
      </c>
      <c r="U62" s="4"/>
      <c r="V62" s="4">
        <f t="shared" si="2"/>
        <v>4</v>
      </c>
      <c r="W62" s="4">
        <f t="shared" si="3"/>
        <v>4900</v>
      </c>
      <c r="X62" s="4">
        <f t="shared" si="4"/>
        <v>9</v>
      </c>
      <c r="Y62" s="4">
        <f t="shared" si="5"/>
        <v>64</v>
      </c>
      <c r="Z62" s="4">
        <f t="shared" si="6"/>
        <v>1.0735052842036765</v>
      </c>
      <c r="AA62" s="4">
        <f t="shared" si="7"/>
        <v>0.18802080279952196</v>
      </c>
    </row>
    <row r="63" spans="1:27" x14ac:dyDescent="0.2">
      <c r="A63" s="4">
        <v>58</v>
      </c>
      <c r="B63" s="4">
        <v>2</v>
      </c>
      <c r="C63" s="4">
        <v>70</v>
      </c>
      <c r="D63" s="4">
        <v>3</v>
      </c>
      <c r="E63" s="4">
        <v>2</v>
      </c>
      <c r="F63" s="4">
        <v>0.227321863174438</v>
      </c>
      <c r="G63" s="4">
        <v>4900</v>
      </c>
      <c r="H63" s="4">
        <v>4898</v>
      </c>
      <c r="I63" s="4">
        <v>0</v>
      </c>
      <c r="J63" s="4">
        <v>0</v>
      </c>
      <c r="K63" s="4">
        <v>8330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 t="s">
        <v>27</v>
      </c>
      <c r="R63" s="4">
        <v>-1</v>
      </c>
      <c r="S63" s="4">
        <v>0</v>
      </c>
      <c r="T63" s="4">
        <v>592.57278744917403</v>
      </c>
      <c r="U63" s="4"/>
      <c r="V63" s="4">
        <f t="shared" si="2"/>
        <v>4</v>
      </c>
      <c r="W63" s="4">
        <f t="shared" si="3"/>
        <v>4900</v>
      </c>
      <c r="X63" s="4">
        <f t="shared" si="4"/>
        <v>9</v>
      </c>
      <c r="Y63" s="4">
        <f t="shared" si="5"/>
        <v>4</v>
      </c>
      <c r="Z63" s="4">
        <f t="shared" si="6"/>
        <v>-0.27839009800461945</v>
      </c>
      <c r="AA63" s="4">
        <f t="shared" si="7"/>
        <v>0.25574458767956854</v>
      </c>
    </row>
    <row r="64" spans="1:27" x14ac:dyDescent="0.2">
      <c r="A64" s="4">
        <v>59</v>
      </c>
      <c r="B64" s="4">
        <v>2</v>
      </c>
      <c r="C64" s="4">
        <v>70</v>
      </c>
      <c r="D64" s="4">
        <v>2</v>
      </c>
      <c r="E64" s="4">
        <v>14</v>
      </c>
      <c r="F64" s="4">
        <v>4.3613500595092702</v>
      </c>
      <c r="G64" s="4">
        <v>171080</v>
      </c>
      <c r="H64" s="4">
        <v>95478</v>
      </c>
      <c r="I64" s="4">
        <v>0</v>
      </c>
      <c r="J64" s="4">
        <v>0</v>
      </c>
      <c r="K64" s="4">
        <v>216790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 t="s">
        <v>27</v>
      </c>
      <c r="R64" s="4">
        <v>-1</v>
      </c>
      <c r="S64" s="4">
        <v>0</v>
      </c>
      <c r="T64" s="4">
        <v>2458.3015416201201</v>
      </c>
      <c r="U64" s="4"/>
      <c r="V64" s="4">
        <f t="shared" si="2"/>
        <v>4</v>
      </c>
      <c r="W64" s="4">
        <f t="shared" si="3"/>
        <v>4900</v>
      </c>
      <c r="X64" s="4">
        <f t="shared" si="4"/>
        <v>4</v>
      </c>
      <c r="Y64" s="4">
        <f t="shared" si="5"/>
        <v>196</v>
      </c>
      <c r="Z64" s="4">
        <f t="shared" si="6"/>
        <v>10.094989993687285</v>
      </c>
      <c r="AA64" s="4">
        <f t="shared" si="7"/>
        <v>32.874626894800876</v>
      </c>
    </row>
    <row r="65" spans="1:27" x14ac:dyDescent="0.2">
      <c r="A65" s="4">
        <v>60</v>
      </c>
      <c r="B65" s="4">
        <v>2</v>
      </c>
      <c r="C65" s="4">
        <v>70</v>
      </c>
      <c r="D65" s="4">
        <v>2</v>
      </c>
      <c r="E65" s="4">
        <v>8</v>
      </c>
      <c r="F65" s="4">
        <v>1.7219157218933101</v>
      </c>
      <c r="G65" s="4">
        <v>57680</v>
      </c>
      <c r="H65" s="4">
        <v>34998</v>
      </c>
      <c r="I65" s="4">
        <v>0</v>
      </c>
      <c r="J65" s="4">
        <v>0</v>
      </c>
      <c r="K65" s="4">
        <v>74410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 t="s">
        <v>27</v>
      </c>
      <c r="R65" s="4">
        <v>-1</v>
      </c>
      <c r="S65" s="4">
        <v>0</v>
      </c>
      <c r="T65" s="4">
        <v>1360.16432306909</v>
      </c>
      <c r="U65" s="4"/>
      <c r="V65" s="4">
        <f t="shared" si="2"/>
        <v>4</v>
      </c>
      <c r="W65" s="4">
        <f t="shared" si="3"/>
        <v>4900</v>
      </c>
      <c r="X65" s="4">
        <f t="shared" si="4"/>
        <v>4</v>
      </c>
      <c r="Y65" s="4">
        <f t="shared" si="5"/>
        <v>64</v>
      </c>
      <c r="Z65" s="4">
        <f t="shared" si="6"/>
        <v>2.2074831909993771</v>
      </c>
      <c r="AA65" s="4">
        <f t="shared" si="7"/>
        <v>0.2357757670540713</v>
      </c>
    </row>
    <row r="66" spans="1:27" x14ac:dyDescent="0.2">
      <c r="A66" s="4">
        <v>61</v>
      </c>
      <c r="B66" s="4">
        <v>2</v>
      </c>
      <c r="C66" s="4">
        <v>70</v>
      </c>
      <c r="D66" s="4">
        <v>2</v>
      </c>
      <c r="E66" s="4">
        <v>2</v>
      </c>
      <c r="F66" s="4">
        <v>0.21421170234680101</v>
      </c>
      <c r="G66" s="4">
        <v>4760</v>
      </c>
      <c r="H66" s="4">
        <v>4758</v>
      </c>
      <c r="I66" s="4">
        <v>0</v>
      </c>
      <c r="J66" s="4">
        <v>0</v>
      </c>
      <c r="K66" s="4">
        <v>7630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 t="s">
        <v>27</v>
      </c>
      <c r="R66" s="4">
        <v>-1</v>
      </c>
      <c r="S66" s="4">
        <v>0</v>
      </c>
      <c r="T66" s="4">
        <v>553.3778249774</v>
      </c>
      <c r="U66" s="4"/>
      <c r="V66" s="4">
        <f t="shared" si="2"/>
        <v>4</v>
      </c>
      <c r="W66" s="4">
        <f t="shared" si="3"/>
        <v>4900</v>
      </c>
      <c r="X66" s="4">
        <f t="shared" si="4"/>
        <v>4</v>
      </c>
      <c r="Y66" s="4">
        <f t="shared" si="5"/>
        <v>4</v>
      </c>
      <c r="Z66" s="4">
        <f t="shared" si="6"/>
        <v>0.8555878087910801</v>
      </c>
      <c r="AA66" s="4">
        <f t="shared" si="7"/>
        <v>0.41136330991762327</v>
      </c>
    </row>
    <row r="67" spans="1:27" x14ac:dyDescent="0.2">
      <c r="A67" s="4">
        <v>62</v>
      </c>
      <c r="B67" s="4">
        <v>2</v>
      </c>
      <c r="C67" s="4">
        <v>40</v>
      </c>
      <c r="D67" s="4">
        <v>3</v>
      </c>
      <c r="E67" s="4">
        <v>14</v>
      </c>
      <c r="F67" s="4">
        <v>2.5652041435241699</v>
      </c>
      <c r="G67" s="4">
        <v>97840</v>
      </c>
      <c r="H67" s="4">
        <v>54638</v>
      </c>
      <c r="I67" s="4">
        <v>0</v>
      </c>
      <c r="J67" s="4">
        <v>0</v>
      </c>
      <c r="K67" s="4">
        <v>124280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 t="s">
        <v>27</v>
      </c>
      <c r="R67" s="4">
        <v>-1</v>
      </c>
      <c r="S67" s="4">
        <v>0</v>
      </c>
      <c r="T67" s="4">
        <v>2708.15370004837</v>
      </c>
      <c r="U67" s="4"/>
      <c r="V67" s="4">
        <f t="shared" si="2"/>
        <v>4</v>
      </c>
      <c r="W67" s="4">
        <f t="shared" si="3"/>
        <v>1600</v>
      </c>
      <c r="X67" s="4">
        <f t="shared" si="4"/>
        <v>9</v>
      </c>
      <c r="Y67" s="4">
        <f t="shared" si="5"/>
        <v>196</v>
      </c>
      <c r="Z67" s="4">
        <f t="shared" si="6"/>
        <v>6.6275333509035317</v>
      </c>
      <c r="AA67" s="4">
        <f t="shared" si="7"/>
        <v>16.502518589127433</v>
      </c>
    </row>
    <row r="68" spans="1:27" x14ac:dyDescent="0.2">
      <c r="A68" s="4">
        <v>63</v>
      </c>
      <c r="B68" s="4">
        <v>2</v>
      </c>
      <c r="C68" s="4">
        <v>40</v>
      </c>
      <c r="D68" s="4">
        <v>3</v>
      </c>
      <c r="E68" s="4">
        <v>8</v>
      </c>
      <c r="F68" s="4">
        <v>1.0843746662139799</v>
      </c>
      <c r="G68" s="4">
        <v>33040</v>
      </c>
      <c r="H68" s="4">
        <v>20078</v>
      </c>
      <c r="I68" s="4">
        <v>0</v>
      </c>
      <c r="J68" s="4">
        <v>0</v>
      </c>
      <c r="K68" s="4">
        <v>42920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 t="s">
        <v>27</v>
      </c>
      <c r="R68" s="4">
        <v>-1</v>
      </c>
      <c r="S68" s="4">
        <v>0</v>
      </c>
      <c r="T68" s="4">
        <v>1789.0027382999799</v>
      </c>
      <c r="U68" s="4"/>
      <c r="V68" s="4">
        <f t="shared" si="2"/>
        <v>4</v>
      </c>
      <c r="W68" s="4">
        <f t="shared" si="3"/>
        <v>1600</v>
      </c>
      <c r="X68" s="4">
        <f t="shared" si="4"/>
        <v>9</v>
      </c>
      <c r="Y68" s="4">
        <f t="shared" si="5"/>
        <v>64</v>
      </c>
      <c r="Z68" s="4">
        <f t="shared" si="6"/>
        <v>-1.2599734517843757</v>
      </c>
      <c r="AA68" s="4">
        <f t="shared" si="7"/>
        <v>5.4959680983624324</v>
      </c>
    </row>
    <row r="69" spans="1:27" x14ac:dyDescent="0.2">
      <c r="A69" s="4">
        <v>64</v>
      </c>
      <c r="B69" s="4">
        <v>2</v>
      </c>
      <c r="C69" s="4">
        <v>40</v>
      </c>
      <c r="D69" s="4">
        <v>3</v>
      </c>
      <c r="E69" s="4">
        <v>2</v>
      </c>
      <c r="F69" s="4">
        <v>0.173011064529418</v>
      </c>
      <c r="G69" s="4">
        <v>2800</v>
      </c>
      <c r="H69" s="4">
        <v>2798</v>
      </c>
      <c r="I69" s="4">
        <v>0</v>
      </c>
      <c r="J69" s="4">
        <v>0</v>
      </c>
      <c r="K69" s="4">
        <v>4760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 t="s">
        <v>27</v>
      </c>
      <c r="R69" s="4">
        <v>-1</v>
      </c>
      <c r="S69" s="4">
        <v>0</v>
      </c>
      <c r="T69" s="4">
        <v>879.62830261462898</v>
      </c>
      <c r="U69" s="4"/>
      <c r="V69" s="4">
        <f t="shared" si="2"/>
        <v>4</v>
      </c>
      <c r="W69" s="4">
        <f t="shared" si="3"/>
        <v>1600</v>
      </c>
      <c r="X69" s="4">
        <f t="shared" si="4"/>
        <v>9</v>
      </c>
      <c r="Y69" s="4">
        <f t="shared" si="5"/>
        <v>4</v>
      </c>
      <c r="Z69" s="4">
        <f t="shared" si="6"/>
        <v>-2.611868833992673</v>
      </c>
      <c r="AA69" s="4">
        <f t="shared" si="7"/>
        <v>7.7555560491924123</v>
      </c>
    </row>
    <row r="70" spans="1:27" x14ac:dyDescent="0.2">
      <c r="A70" s="4">
        <v>65</v>
      </c>
      <c r="B70" s="4">
        <v>2</v>
      </c>
      <c r="C70" s="4">
        <v>40</v>
      </c>
      <c r="D70" s="4">
        <v>2</v>
      </c>
      <c r="E70" s="4">
        <v>14</v>
      </c>
      <c r="F70" s="4">
        <v>2.6340150833129798</v>
      </c>
      <c r="G70" s="4">
        <v>97760</v>
      </c>
      <c r="H70" s="4">
        <v>54558</v>
      </c>
      <c r="I70" s="4">
        <v>0</v>
      </c>
      <c r="J70" s="4">
        <v>0</v>
      </c>
      <c r="K70" s="4">
        <v>123880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 t="s">
        <v>27</v>
      </c>
      <c r="R70" s="4">
        <v>-1</v>
      </c>
      <c r="S70" s="4">
        <v>0</v>
      </c>
      <c r="T70" s="4">
        <v>2686.2287716474498</v>
      </c>
      <c r="U70" s="4"/>
      <c r="V70" s="4">
        <f t="shared" si="2"/>
        <v>4</v>
      </c>
      <c r="W70" s="4">
        <f t="shared" si="3"/>
        <v>1600</v>
      </c>
      <c r="X70" s="4">
        <f t="shared" si="4"/>
        <v>4</v>
      </c>
      <c r="Y70" s="4">
        <f t="shared" si="5"/>
        <v>196</v>
      </c>
      <c r="Z70" s="4">
        <f t="shared" si="6"/>
        <v>7.7615112576992313</v>
      </c>
      <c r="AA70" s="4">
        <f t="shared" si="7"/>
        <v>26.291217018345648</v>
      </c>
    </row>
    <row r="71" spans="1:27" x14ac:dyDescent="0.2">
      <c r="A71" s="4">
        <v>66</v>
      </c>
      <c r="B71" s="4">
        <v>2</v>
      </c>
      <c r="C71" s="4">
        <v>40</v>
      </c>
      <c r="D71" s="4">
        <v>2</v>
      </c>
      <c r="E71" s="4">
        <v>8</v>
      </c>
      <c r="F71" s="4">
        <v>0.92753911018371504</v>
      </c>
      <c r="G71" s="4">
        <v>32960</v>
      </c>
      <c r="H71" s="4">
        <v>19998</v>
      </c>
      <c r="I71" s="4">
        <v>0</v>
      </c>
      <c r="J71" s="4">
        <v>0</v>
      </c>
      <c r="K71" s="4">
        <v>42520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 t="s">
        <v>27</v>
      </c>
      <c r="R71" s="4">
        <v>-1</v>
      </c>
      <c r="S71" s="4">
        <v>0</v>
      </c>
      <c r="T71" s="4">
        <v>1488.9859804154601</v>
      </c>
      <c r="U71" s="4"/>
      <c r="V71" s="4">
        <f t="shared" si="2"/>
        <v>4</v>
      </c>
      <c r="W71" s="4">
        <f t="shared" si="3"/>
        <v>1600</v>
      </c>
      <c r="X71" s="4">
        <f t="shared" si="4"/>
        <v>4</v>
      </c>
      <c r="Y71" s="4">
        <f t="shared" si="5"/>
        <v>64</v>
      </c>
      <c r="Z71" s="4">
        <f t="shared" si="6"/>
        <v>-0.12599554498867693</v>
      </c>
      <c r="AA71" s="4">
        <f t="shared" si="7"/>
        <v>1.1099352696492106</v>
      </c>
    </row>
    <row r="72" spans="1:27" x14ac:dyDescent="0.2">
      <c r="A72" s="4">
        <v>67</v>
      </c>
      <c r="B72" s="4">
        <v>2</v>
      </c>
      <c r="C72" s="4">
        <v>40</v>
      </c>
      <c r="D72" s="4">
        <v>2</v>
      </c>
      <c r="E72" s="4">
        <v>2</v>
      </c>
      <c r="F72" s="4">
        <v>0.14505100250244099</v>
      </c>
      <c r="G72" s="4">
        <v>2720</v>
      </c>
      <c r="H72" s="4">
        <v>2718</v>
      </c>
      <c r="I72" s="4">
        <v>0</v>
      </c>
      <c r="J72" s="4">
        <v>0</v>
      </c>
      <c r="K72" s="4">
        <v>4360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 t="s">
        <v>27</v>
      </c>
      <c r="R72" s="4">
        <v>-1</v>
      </c>
      <c r="S72" s="4">
        <v>0</v>
      </c>
      <c r="T72" s="4">
        <v>866.70431259619204</v>
      </c>
      <c r="U72" s="4"/>
      <c r="V72" s="4">
        <f t="shared" ref="V72:V78" si="8">B72^2</f>
        <v>4</v>
      </c>
      <c r="W72" s="4">
        <f t="shared" ref="W72:W78" si="9">C72^2</f>
        <v>1600</v>
      </c>
      <c r="X72" s="4">
        <f t="shared" ref="X72:X78" si="10">D72^2</f>
        <v>4</v>
      </c>
      <c r="Y72" s="4">
        <f t="shared" ref="Y72:Y78" si="11">E72^2</f>
        <v>4</v>
      </c>
      <c r="Z72" s="4">
        <f t="shared" ref="Z72:Z78" si="12">SUMPRODUCT(B72:Y72,$B$4:$Y$4)</f>
        <v>-1.4778909271969733</v>
      </c>
      <c r="AA72" s="4">
        <f t="shared" ref="AA72:AA78" si="13">(F72-Z72)^2</f>
        <v>2.6339405071764586</v>
      </c>
    </row>
    <row r="73" spans="1:27" x14ac:dyDescent="0.2">
      <c r="A73" s="4">
        <v>68</v>
      </c>
      <c r="B73" s="4">
        <v>2</v>
      </c>
      <c r="C73" s="4">
        <v>10</v>
      </c>
      <c r="D73" s="4">
        <v>3</v>
      </c>
      <c r="E73" s="4">
        <v>14</v>
      </c>
      <c r="F73" s="4">
        <v>0.67275071144104004</v>
      </c>
      <c r="G73" s="4">
        <v>24460</v>
      </c>
      <c r="H73" s="4">
        <v>13658</v>
      </c>
      <c r="I73" s="4">
        <v>0</v>
      </c>
      <c r="J73" s="4">
        <v>0</v>
      </c>
      <c r="K73" s="4">
        <v>31070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 t="s">
        <v>27</v>
      </c>
      <c r="R73" s="4">
        <v>-1</v>
      </c>
      <c r="S73" s="4">
        <v>0</v>
      </c>
      <c r="T73" s="4">
        <v>3975.05081793727</v>
      </c>
      <c r="U73" s="4"/>
      <c r="V73" s="4">
        <f t="shared" si="8"/>
        <v>4</v>
      </c>
      <c r="W73" s="4">
        <f t="shared" si="9"/>
        <v>100</v>
      </c>
      <c r="X73" s="4">
        <f t="shared" si="10"/>
        <v>9</v>
      </c>
      <c r="Y73" s="4">
        <f t="shared" si="11"/>
        <v>196</v>
      </c>
      <c r="Z73" s="4">
        <f t="shared" si="12"/>
        <v>5.3449395589083721</v>
      </c>
      <c r="AA73" s="4">
        <f t="shared" si="13"/>
        <v>21.829348626398119</v>
      </c>
    </row>
    <row r="74" spans="1:27" x14ac:dyDescent="0.2">
      <c r="A74" s="4">
        <v>69</v>
      </c>
      <c r="B74" s="4">
        <v>2</v>
      </c>
      <c r="C74" s="4">
        <v>10</v>
      </c>
      <c r="D74" s="4">
        <v>3</v>
      </c>
      <c r="E74" s="4">
        <v>8</v>
      </c>
      <c r="F74" s="4">
        <v>0.240952968597412</v>
      </c>
      <c r="G74" s="4">
        <v>8260</v>
      </c>
      <c r="H74" s="4">
        <v>5018</v>
      </c>
      <c r="I74" s="4">
        <v>0</v>
      </c>
      <c r="J74" s="4">
        <v>0</v>
      </c>
      <c r="K74" s="4">
        <v>10730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 t="s">
        <v>27</v>
      </c>
      <c r="R74" s="4">
        <v>-1</v>
      </c>
      <c r="S74" s="4">
        <v>0</v>
      </c>
      <c r="T74" s="4">
        <v>1301.56738839121</v>
      </c>
      <c r="U74" s="4"/>
      <c r="V74" s="4">
        <f t="shared" si="8"/>
        <v>4</v>
      </c>
      <c r="W74" s="4">
        <f t="shared" si="9"/>
        <v>100</v>
      </c>
      <c r="X74" s="4">
        <f t="shared" si="10"/>
        <v>9</v>
      </c>
      <c r="Y74" s="4">
        <f t="shared" si="11"/>
        <v>64</v>
      </c>
      <c r="Z74" s="4">
        <f t="shared" si="12"/>
        <v>-2.5425672437795388</v>
      </c>
      <c r="AA74" s="4">
        <f t="shared" si="13"/>
        <v>7.7479847727110256</v>
      </c>
    </row>
    <row r="75" spans="1:27" x14ac:dyDescent="0.2">
      <c r="A75" s="4">
        <v>70</v>
      </c>
      <c r="B75" s="4">
        <v>2</v>
      </c>
      <c r="C75" s="4">
        <v>10</v>
      </c>
      <c r="D75" s="4">
        <v>3</v>
      </c>
      <c r="E75" s="4">
        <v>2</v>
      </c>
      <c r="F75" s="4">
        <v>4.4753074645995997E-2</v>
      </c>
      <c r="G75" s="4">
        <v>700</v>
      </c>
      <c r="H75" s="4">
        <v>698</v>
      </c>
      <c r="I75" s="4">
        <v>0</v>
      </c>
      <c r="J75" s="4">
        <v>0</v>
      </c>
      <c r="K75" s="4">
        <v>1190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 t="s">
        <v>27</v>
      </c>
      <c r="R75" s="4">
        <v>-1</v>
      </c>
      <c r="S75" s="4">
        <v>0</v>
      </c>
      <c r="T75" s="4">
        <v>1037.1964623531401</v>
      </c>
      <c r="U75" s="4"/>
      <c r="V75" s="4">
        <f t="shared" si="8"/>
        <v>4</v>
      </c>
      <c r="W75" s="4">
        <f t="shared" si="9"/>
        <v>100</v>
      </c>
      <c r="X75" s="4">
        <f t="shared" si="10"/>
        <v>9</v>
      </c>
      <c r="Y75" s="4">
        <f t="shared" si="11"/>
        <v>4</v>
      </c>
      <c r="Z75" s="4">
        <f t="shared" si="12"/>
        <v>-3.8944626259878343</v>
      </c>
      <c r="AA75" s="4">
        <f t="shared" si="13"/>
        <v>15.517420336120079</v>
      </c>
    </row>
    <row r="76" spans="1:27" x14ac:dyDescent="0.2">
      <c r="A76" s="4">
        <v>71</v>
      </c>
      <c r="B76" s="4">
        <v>2</v>
      </c>
      <c r="C76" s="4">
        <v>10</v>
      </c>
      <c r="D76" s="4">
        <v>2</v>
      </c>
      <c r="E76" s="4">
        <v>14</v>
      </c>
      <c r="F76" s="4">
        <v>0.671922206878662</v>
      </c>
      <c r="G76" s="4">
        <v>24440</v>
      </c>
      <c r="H76" s="4">
        <v>13638</v>
      </c>
      <c r="I76" s="4">
        <v>0</v>
      </c>
      <c r="J76" s="4">
        <v>0</v>
      </c>
      <c r="K76" s="4">
        <v>30970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 t="s">
        <v>27</v>
      </c>
      <c r="R76" s="4">
        <v>-1</v>
      </c>
      <c r="S76" s="4">
        <v>0</v>
      </c>
      <c r="T76" s="4">
        <v>3721.1240649776701</v>
      </c>
      <c r="U76" s="4"/>
      <c r="V76" s="4">
        <f t="shared" si="8"/>
        <v>4</v>
      </c>
      <c r="W76" s="4">
        <f t="shared" si="9"/>
        <v>100</v>
      </c>
      <c r="X76" s="4">
        <f t="shared" si="10"/>
        <v>4</v>
      </c>
      <c r="Y76" s="4">
        <f t="shared" si="11"/>
        <v>196</v>
      </c>
      <c r="Z76" s="4">
        <f t="shared" si="12"/>
        <v>6.47891746570407</v>
      </c>
      <c r="AA76" s="4">
        <f t="shared" si="13"/>
        <v>33.721193936020768</v>
      </c>
    </row>
    <row r="77" spans="1:27" x14ac:dyDescent="0.2">
      <c r="A77" s="4">
        <v>72</v>
      </c>
      <c r="B77" s="4">
        <v>2</v>
      </c>
      <c r="C77" s="4">
        <v>10</v>
      </c>
      <c r="D77" s="4">
        <v>2</v>
      </c>
      <c r="E77" s="4">
        <v>8</v>
      </c>
      <c r="F77" s="4">
        <v>0.24204897880554199</v>
      </c>
      <c r="G77" s="4">
        <v>8240</v>
      </c>
      <c r="H77" s="4">
        <v>4998</v>
      </c>
      <c r="I77" s="4">
        <v>0</v>
      </c>
      <c r="J77" s="4">
        <v>0</v>
      </c>
      <c r="K77" s="4">
        <v>10630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 t="s">
        <v>27</v>
      </c>
      <c r="R77" s="4">
        <v>-1</v>
      </c>
      <c r="S77" s="4">
        <v>0</v>
      </c>
      <c r="T77" s="4">
        <v>1975.7731858915699</v>
      </c>
      <c r="U77" s="4"/>
      <c r="V77" s="4">
        <f t="shared" si="8"/>
        <v>4</v>
      </c>
      <c r="W77" s="4">
        <f t="shared" si="9"/>
        <v>100</v>
      </c>
      <c r="X77" s="4">
        <f t="shared" si="10"/>
        <v>4</v>
      </c>
      <c r="Y77" s="4">
        <f t="shared" si="11"/>
        <v>64</v>
      </c>
      <c r="Z77" s="4">
        <f t="shared" si="12"/>
        <v>-1.4085893369838391</v>
      </c>
      <c r="AA77" s="4">
        <f t="shared" si="13"/>
        <v>2.7246068495520048</v>
      </c>
    </row>
    <row r="78" spans="1:27" x14ac:dyDescent="0.2">
      <c r="A78" s="4">
        <v>73</v>
      </c>
      <c r="B78" s="4">
        <v>2</v>
      </c>
      <c r="C78" s="4">
        <v>10</v>
      </c>
      <c r="D78" s="4">
        <v>2</v>
      </c>
      <c r="E78" s="4">
        <v>2</v>
      </c>
      <c r="F78" s="4">
        <v>6.8928956985473605E-2</v>
      </c>
      <c r="G78" s="4">
        <v>680</v>
      </c>
      <c r="H78" s="4">
        <v>678</v>
      </c>
      <c r="I78" s="4">
        <v>0</v>
      </c>
      <c r="J78" s="4">
        <v>0</v>
      </c>
      <c r="K78" s="4">
        <v>1090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 t="s">
        <v>27</v>
      </c>
      <c r="R78" s="4">
        <v>-1</v>
      </c>
      <c r="S78" s="4">
        <v>0</v>
      </c>
      <c r="T78" s="4">
        <v>983.41546311167394</v>
      </c>
      <c r="U78" s="4"/>
      <c r="V78" s="4">
        <f t="shared" si="8"/>
        <v>4</v>
      </c>
      <c r="W78" s="4">
        <f t="shared" si="9"/>
        <v>100</v>
      </c>
      <c r="X78" s="4">
        <f t="shared" si="10"/>
        <v>4</v>
      </c>
      <c r="Y78" s="4">
        <f t="shared" si="11"/>
        <v>4</v>
      </c>
      <c r="Z78" s="4">
        <f t="shared" si="12"/>
        <v>-2.7604847191921356</v>
      </c>
      <c r="AA78" s="4">
        <f t="shared" si="13"/>
        <v>8.0055817509408929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1:I16"/>
  <sheetViews>
    <sheetView tabSelected="1" zoomScale="84" workbookViewId="0">
      <selection activeCell="B11" sqref="B11:E16"/>
    </sheetView>
  </sheetViews>
  <sheetFormatPr baseColWidth="10" defaultRowHeight="16" x14ac:dyDescent="0.2"/>
  <cols>
    <col min="6" max="6" width="18.6640625" bestFit="1" customWidth="1"/>
    <col min="7" max="9" width="12.6640625" bestFit="1" customWidth="1"/>
  </cols>
  <sheetData>
    <row r="1" spans="2:9" x14ac:dyDescent="0.2">
      <c r="B1" s="6" t="s">
        <v>25</v>
      </c>
    </row>
    <row r="2" spans="2:9" x14ac:dyDescent="0.2">
      <c r="B2" t="s">
        <v>1</v>
      </c>
      <c r="C2" t="s">
        <v>2</v>
      </c>
      <c r="D2" t="s">
        <v>3</v>
      </c>
      <c r="E2" t="s">
        <v>4</v>
      </c>
      <c r="F2" t="s">
        <v>24</v>
      </c>
      <c r="G2" t="s">
        <v>24</v>
      </c>
      <c r="H2" t="s">
        <v>24</v>
      </c>
      <c r="I2" t="s">
        <v>24</v>
      </c>
    </row>
    <row r="3" spans="2:9" x14ac:dyDescent="0.2">
      <c r="B3">
        <v>10</v>
      </c>
      <c r="C3">
        <v>100</v>
      </c>
      <c r="D3">
        <v>3</v>
      </c>
      <c r="E3">
        <v>14</v>
      </c>
      <c r="F3" s="7">
        <f>IFERROR(AVERAGEIF(Running_time_sensitivity_analys!B$7:B$78,"="&amp;Sheet1!B3,Running_time_sensitivity_analys!$F$7:$F$78),"")</f>
        <v>8.1191476285457433</v>
      </c>
      <c r="G3" s="7">
        <f>IFERROR(AVERAGEIF(Running_time_sensitivity_analys!C$7:C$78,"="&amp;Sheet1!C3,Running_time_sensitivity_analys!$F$7:$F$78),"")</f>
        <v>8.9461334281497376</v>
      </c>
      <c r="H3" s="7">
        <f>IFERROR(AVERAGEIF(Running_time_sensitivity_analys!D$7:D$78,"="&amp;Sheet1!D3,Running_time_sensitivity_analys!$F$7:$F$78),"")</f>
        <v>5.0709037250942535</v>
      </c>
      <c r="I3" s="7">
        <f>IFERROR(AVERAGEIF(Running_time_sensitivity_analys!E$7:E$78,"="&amp;Sheet1!E3,Running_time_sensitivity_analys!$F$7:$F$78),"")</f>
        <v>10.744326124588627</v>
      </c>
    </row>
    <row r="4" spans="2:9" x14ac:dyDescent="0.2">
      <c r="B4">
        <v>6</v>
      </c>
      <c r="C4">
        <v>70</v>
      </c>
      <c r="D4">
        <v>2</v>
      </c>
      <c r="E4">
        <v>8</v>
      </c>
      <c r="F4" s="7">
        <f>IFERROR(AVERAGEIF(Running_time_sensitivity_analys!B$7:B$78,"="&amp;Sheet1!B4,Running_time_sensitivity_analys!$F$7:$F$78),"")</f>
        <v>5.068110326925904</v>
      </c>
      <c r="G4" s="7">
        <f>IFERROR(AVERAGEIF(Running_time_sensitivity_analys!C$7:C$78,"="&amp;Sheet1!C4,Running_time_sensitivity_analys!$F$7:$F$78),"")</f>
        <v>6.4931938250859407</v>
      </c>
      <c r="H4" s="7">
        <f>IFERROR(AVERAGEIF(Running_time_sensitivity_analys!D$7:D$78,"="&amp;Sheet1!D4,Running_time_sensitivity_analys!$F$7:$F$78),"")</f>
        <v>4.8217011491457562</v>
      </c>
      <c r="I4" s="7">
        <f>IFERROR(AVERAGEIF(Running_time_sensitivity_analys!E$7:E$78,"="&amp;Sheet1!E4,Running_time_sensitivity_analys!$F$7:$F$78),"")</f>
        <v>3.6540587147076855</v>
      </c>
    </row>
    <row r="5" spans="2:9" x14ac:dyDescent="0.2">
      <c r="B5">
        <v>2</v>
      </c>
      <c r="C5">
        <v>40</v>
      </c>
      <c r="E5">
        <v>2</v>
      </c>
      <c r="F5" s="7">
        <f>IFERROR(AVERAGEIF(Running_time_sensitivity_analys!B$7:B$78,"="&amp;Sheet1!B5,Running_time_sensitivity_analys!$F$7:$F$78),"")</f>
        <v>1.6516493558883649</v>
      </c>
      <c r="G5" s="7">
        <f>IFERROR(AVERAGEIF(Running_time_sensitivity_analys!C$7:C$78,"="&amp;Sheet1!C5,Running_time_sensitivity_analys!$F$7:$F$78),"")</f>
        <v>3.4714416927761444</v>
      </c>
      <c r="H5" s="7" t="str">
        <f>IFERROR(AVERAGEIF(Running_time_sensitivity_analys!D$7:D$78,"="&amp;Sheet1!D5,Running_time_sensitivity_analys!$F$7:$F$78),"")</f>
        <v/>
      </c>
      <c r="I5" s="7">
        <f>IFERROR(AVERAGEIF(Running_time_sensitivity_analys!E$7:E$78,"="&amp;Sheet1!E5,Running_time_sensitivity_analys!$F$7:$F$78),"")</f>
        <v>0.44052247206369949</v>
      </c>
    </row>
    <row r="6" spans="2:9" x14ac:dyDescent="0.2">
      <c r="C6">
        <v>10</v>
      </c>
      <c r="F6" s="7" t="str">
        <f>IFERROR(AVERAGEIF(Running_time_sensitivity_analys!B$7:B$78,"="&amp;Sheet1!B6,Running_time_sensitivity_analys!$F$7:$F$78),"")</f>
        <v/>
      </c>
      <c r="G6" s="7">
        <f>IFERROR(AVERAGEIF(Running_time_sensitivity_analys!C$7:C$78,"="&amp;Sheet1!C6,Running_time_sensitivity_analys!$F$7:$F$78),"")</f>
        <v>0.87444080246819178</v>
      </c>
      <c r="H6" s="7" t="str">
        <f>IFERROR(AVERAGEIF(Running_time_sensitivity_analys!D$7:D$78,"="&amp;Sheet1!D6,Running_time_sensitivity_analys!$F$7:$F$78),"")</f>
        <v/>
      </c>
      <c r="I6" s="7" t="str">
        <f>IFERROR(AVERAGEIF(Running_time_sensitivity_analys!E$7:E$78,"="&amp;Sheet1!E6,Running_time_sensitivity_analys!$F$7:$F$78),"")</f>
        <v/>
      </c>
    </row>
    <row r="9" spans="2:9" x14ac:dyDescent="0.2">
      <c r="B9" s="6" t="s">
        <v>26</v>
      </c>
    </row>
    <row r="10" spans="2:9" x14ac:dyDescent="0.2">
      <c r="B10" t="s">
        <v>1</v>
      </c>
      <c r="C10" t="s">
        <v>2</v>
      </c>
      <c r="D10" t="s">
        <v>3</v>
      </c>
      <c r="E10" t="s">
        <v>4</v>
      </c>
      <c r="F10" t="s">
        <v>26</v>
      </c>
      <c r="G10" t="s">
        <v>26</v>
      </c>
      <c r="H10" t="s">
        <v>26</v>
      </c>
      <c r="I10" t="s">
        <v>26</v>
      </c>
    </row>
    <row r="11" spans="2:9" x14ac:dyDescent="0.2">
      <c r="B11">
        <f>IF(B3&lt;&gt;"",B3,"")</f>
        <v>10</v>
      </c>
      <c r="C11">
        <f t="shared" ref="C11:E11" si="0">IF(C3&lt;&gt;"",C3,"")</f>
        <v>100</v>
      </c>
      <c r="D11">
        <f t="shared" si="0"/>
        <v>3</v>
      </c>
      <c r="E11">
        <f t="shared" si="0"/>
        <v>14</v>
      </c>
      <c r="F11" s="8">
        <f>IFERROR(AVERAGEIF(Running_time_sensitivity_analys!B$7:B$78,"="&amp;Sheet1!B11,Running_time_sensitivity_analys!$G$7:$G$78),"")</f>
        <v>306075</v>
      </c>
      <c r="G11" s="8">
        <f>IFERROR(AVERAGEIF(Running_time_sensitivity_analys!C$7:C$78,"="&amp;Sheet1!C11,Running_time_sensitivity_analys!$G$7:$G$78),"")</f>
        <v>333900</v>
      </c>
      <c r="H11" s="8">
        <f>IFERROR(AVERAGEIF(Running_time_sensitivity_analys!D$7:D$78,"="&amp;Sheet1!D11,Running_time_sensitivity_analys!$G$7:$G$78),"")</f>
        <v>183810</v>
      </c>
      <c r="I11" s="8">
        <f>IFERROR(AVERAGEIF(Running_time_sensitivity_analys!E$7:E$78,"="&amp;Sheet1!E11,Running_time_sensitivity_analys!$G$7:$G$78),"")</f>
        <v>403425</v>
      </c>
    </row>
    <row r="12" spans="2:9" x14ac:dyDescent="0.2">
      <c r="B12">
        <f t="shared" ref="B12:E12" si="1">IF(B4&lt;&gt;"",B4,"")</f>
        <v>6</v>
      </c>
      <c r="C12">
        <f t="shared" si="1"/>
        <v>70</v>
      </c>
      <c r="D12">
        <f t="shared" si="1"/>
        <v>2</v>
      </c>
      <c r="E12">
        <f t="shared" si="1"/>
        <v>8</v>
      </c>
      <c r="F12" s="8">
        <f>IFERROR(AVERAGEIF(Running_time_sensitivity_analys!B$7:B$78,"="&amp;Sheet1!B12,Running_time_sensitivity_analys!$G$7:$G$78),"")</f>
        <v>183645</v>
      </c>
      <c r="G12" s="8">
        <f>IFERROR(AVERAGEIF(Running_time_sensitivity_analys!C$7:C$78,"="&amp;Sheet1!C12,Running_time_sensitivity_analys!$G$7:$G$78),"")</f>
        <v>233730</v>
      </c>
      <c r="H12" s="8">
        <f>IFERROR(AVERAGEIF(Running_time_sensitivity_analys!D$7:D$78,"="&amp;Sheet1!D12,Running_time_sensitivity_analys!$G$7:$G$78),"")</f>
        <v>183480</v>
      </c>
      <c r="I12" s="8">
        <f>IFERROR(AVERAGEIF(Running_time_sensitivity_analys!E$7:E$78,"="&amp;Sheet1!E12,Running_time_sensitivity_analys!$G$7:$G$78),"")</f>
        <v>136125</v>
      </c>
    </row>
    <row r="13" spans="2:9" x14ac:dyDescent="0.2">
      <c r="B13">
        <f t="shared" ref="B13:E13" si="2">IF(B5&lt;&gt;"",B5,"")</f>
        <v>2</v>
      </c>
      <c r="C13">
        <f t="shared" si="2"/>
        <v>40</v>
      </c>
      <c r="D13" t="str">
        <f t="shared" si="2"/>
        <v/>
      </c>
      <c r="E13">
        <f t="shared" si="2"/>
        <v>2</v>
      </c>
      <c r="F13" s="8">
        <f>IFERROR(AVERAGEIF(Running_time_sensitivity_analys!B$7:B$78,"="&amp;Sheet1!B13,Running_time_sensitivity_analys!$G$7:$G$78),"")</f>
        <v>61215</v>
      </c>
      <c r="G13" s="8">
        <f>IFERROR(AVERAGEIF(Running_time_sensitivity_analys!C$7:C$78,"="&amp;Sheet1!C13,Running_time_sensitivity_analys!$G$7:$G$78),"")</f>
        <v>133560</v>
      </c>
      <c r="H13" s="8" t="str">
        <f>IFERROR(AVERAGEIF(Running_time_sensitivity_analys!D$7:D$78,"="&amp;Sheet1!D13,Running_time_sensitivity_analys!$G$7:$G$78),"")</f>
        <v/>
      </c>
      <c r="I13" s="8">
        <f>IFERROR(AVERAGEIF(Running_time_sensitivity_analys!E$7:E$78,"="&amp;Sheet1!E13,Running_time_sensitivity_analys!$G$7:$G$78),"")</f>
        <v>11385</v>
      </c>
    </row>
    <row r="14" spans="2:9" x14ac:dyDescent="0.2">
      <c r="B14" t="str">
        <f t="shared" ref="B14:E14" si="3">IF(B6&lt;&gt;"",B6,"")</f>
        <v/>
      </c>
      <c r="C14">
        <f t="shared" si="3"/>
        <v>10</v>
      </c>
      <c r="D14" t="str">
        <f t="shared" si="3"/>
        <v/>
      </c>
      <c r="E14" t="str">
        <f t="shared" si="3"/>
        <v/>
      </c>
      <c r="F14" s="8" t="str">
        <f>IFERROR(AVERAGEIF(Running_time_sensitivity_analys!B$7:B$78,"="&amp;Sheet1!B14,Running_time_sensitivity_analys!$G$7:$G$78),"")</f>
        <v/>
      </c>
      <c r="G14" s="8">
        <f>IFERROR(AVERAGEIF(Running_time_sensitivity_analys!C$7:C$78,"="&amp;Sheet1!C14,Running_time_sensitivity_analys!$G$7:$G$78),"")</f>
        <v>33390</v>
      </c>
      <c r="H14" s="8" t="str">
        <f>IFERROR(AVERAGEIF(Running_time_sensitivity_analys!D$7:D$78,"="&amp;Sheet1!D14,Running_time_sensitivity_analys!$G$7:$G$78),"")</f>
        <v/>
      </c>
      <c r="I14" s="8" t="str">
        <f>IFERROR(AVERAGEIF(Running_time_sensitivity_analys!E$7:E$78,"="&amp;Sheet1!E14,Running_time_sensitivity_analys!$G$7:$G$78),"")</f>
        <v/>
      </c>
    </row>
    <row r="15" spans="2:9" x14ac:dyDescent="0.2">
      <c r="B15" t="str">
        <f t="shared" ref="B15:E15" si="4">IF(B7&lt;&gt;"",B7,"")</f>
        <v/>
      </c>
      <c r="C15" t="str">
        <f t="shared" si="4"/>
        <v/>
      </c>
      <c r="D15" t="str">
        <f t="shared" si="4"/>
        <v/>
      </c>
      <c r="E15" t="str">
        <f t="shared" si="4"/>
        <v/>
      </c>
    </row>
    <row r="16" spans="2:9" x14ac:dyDescent="0.2">
      <c r="B16" t="str">
        <f t="shared" ref="B16:E16" si="5">IF(B8&lt;&gt;"",B8,"")</f>
        <v/>
      </c>
      <c r="C16" t="str">
        <f t="shared" si="5"/>
        <v/>
      </c>
      <c r="D16" t="str">
        <f t="shared" si="5"/>
        <v/>
      </c>
      <c r="E16" t="str">
        <f t="shared" si="5"/>
        <v/>
      </c>
    </row>
  </sheetData>
  <pageMargins left="0.7" right="0.7" top="0.75" bottom="0.75" header="0.3" footer="0.3"/>
</worksheet>
</file>